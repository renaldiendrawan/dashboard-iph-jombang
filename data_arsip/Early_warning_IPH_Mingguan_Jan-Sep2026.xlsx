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ngkasan Mingguan 2026" sheetId="1" state="visible" r:id="rId3"/>
    <sheet name="Perhitungan IPH Mingguan 2026" sheetId="2" state="visible" r:id="rId4"/>
    <sheet name="Top 5 Andil per Minggu 2026" sheetId="3" state="visible" r:id="rId5"/>
    <sheet name="Saran ke Pemkab 2026" sheetId="4" state="visible" r:id="rId6"/>
    <sheet name="Pemetaan Variant" sheetId="5" state="visible" r:id="rId7"/>
    <sheet name="P0Q0 Dasar 2022" sheetId="6" state="visible" r:id="rId8"/>
    <sheet name="Data Des 2025" sheetId="7" state="visible" r:id="rId9"/>
    <sheet name="Data Jan 2026" sheetId="8" state="visible" r:id="rId10"/>
    <sheet name="Data Feb 2026" sheetId="9" state="visible" r:id="rId11"/>
    <sheet name="Data Mar 2026" sheetId="10" state="visible" r:id="rId12"/>
    <sheet name="Data Apr 2026" sheetId="11" state="visible" r:id="rId13"/>
    <sheet name="Data Mei 2026" sheetId="12" state="visible" r:id="rId14"/>
    <sheet name="Data Jun 2026" sheetId="13" state="visible" r:id="rId15"/>
    <sheet name="Data Jul 2026" sheetId="14" state="visible" r:id="rId16"/>
    <sheet name="Data Agu 2026" sheetId="15" state="visible" r:id="rId17"/>
    <sheet name="Data Sep 2026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<sst xmlns="http://schemas.openxmlformats.org/spreadsheetml/2006/main" count="2022" uniqueCount="675">
  <si>
    <t xml:space="preserve">RINGKASAN GROWTH IPH MINGGUAN JANUARI - AGUSTUS 2026 (Pasar Pon Jombang)</t>
  </si>
  <si>
    <t xml:space="preserve">No</t>
  </si>
  <si>
    <t xml:space="preserve">Bulan - Minggu</t>
  </si>
  <si>
    <t xml:space="preserve">Rentang Tanggal</t>
  </si>
  <si>
    <t xml:space="preserve">Growth IPH (%)</t>
  </si>
  <si>
    <t xml:space="preserve">Arah</t>
  </si>
  <si>
    <t xml:space="preserve">Growth IPH (%) [utk grafik]</t>
  </si>
  <si>
    <t xml:space="preserve">Jan 2026 - M1</t>
  </si>
  <si>
    <t xml:space="preserve">2026-01-01 s/d 2026-01-02</t>
  </si>
  <si>
    <t xml:space="preserve">Jan 2026 - M2</t>
  </si>
  <si>
    <t xml:space="preserve">2026-01-05 s/d 2026-01-09</t>
  </si>
  <si>
    <t xml:space="preserve">Jan 2026 - M3</t>
  </si>
  <si>
    <t xml:space="preserve">2026-01-12 s/d 2026-01-16</t>
  </si>
  <si>
    <t xml:space="preserve">Jan 2026 - M4</t>
  </si>
  <si>
    <t xml:space="preserve">2026-01-19 s/d 2026-01-23</t>
  </si>
  <si>
    <t xml:space="preserve">Jan 2026 - M5</t>
  </si>
  <si>
    <t xml:space="preserve">2026-01-26 s/d 2026-01-30</t>
  </si>
  <si>
    <t xml:space="preserve">Feb 2026 - M1</t>
  </si>
  <si>
    <t xml:space="preserve">2026-02-02 s/d 2026-02-06</t>
  </si>
  <si>
    <t xml:space="preserve">Feb 2026 - M2</t>
  </si>
  <si>
    <t xml:space="preserve">2026-02-09 s/d 2026-02-13</t>
  </si>
  <si>
    <t xml:space="preserve">Feb 2026 - M3</t>
  </si>
  <si>
    <t xml:space="preserve">2026-02-16 s/d 2026-02-20</t>
  </si>
  <si>
    <t xml:space="preserve">Feb 2026 - M4</t>
  </si>
  <si>
    <t xml:space="preserve">2026-02-23 s/d 2026-02-27</t>
  </si>
  <si>
    <t xml:space="preserve">Mar 2026 - M1</t>
  </si>
  <si>
    <t xml:space="preserve">2026-03-02 s/d 2026-03-06</t>
  </si>
  <si>
    <t xml:space="preserve">Mar 2026 - M2</t>
  </si>
  <si>
    <t xml:space="preserve">2026-03-09 s/d 2026-03-13</t>
  </si>
  <si>
    <t xml:space="preserve">Mar 2026 - M3</t>
  </si>
  <si>
    <t xml:space="preserve">2026-03-16 s/d 2026-03-20</t>
  </si>
  <si>
    <t xml:space="preserve">Mar 2026 - M4</t>
  </si>
  <si>
    <t xml:space="preserve">2026-03-23 s/d 2026-03-27</t>
  </si>
  <si>
    <t xml:space="preserve">Mar 2026 - M5</t>
  </si>
  <si>
    <t xml:space="preserve">2026-03-30 s/d 2026-03-31</t>
  </si>
  <si>
    <t xml:space="preserve">Apr 2026 - M1</t>
  </si>
  <si>
    <t xml:space="preserve">2026-04-01 s/d 2026-04-03</t>
  </si>
  <si>
    <t xml:space="preserve">Apr 2026 - M2</t>
  </si>
  <si>
    <t xml:space="preserve">2026-04-06 s/d 2026-04-10</t>
  </si>
  <si>
    <t xml:space="preserve">Apr 2026 - M3</t>
  </si>
  <si>
    <t xml:space="preserve">2026-04-13 s/d 2026-04-17</t>
  </si>
  <si>
    <t xml:space="preserve">Apr 2026 - M4</t>
  </si>
  <si>
    <t xml:space="preserve">2026-04-20 s/d 2026-04-24</t>
  </si>
  <si>
    <t xml:space="preserve">Apr 2026 - M5</t>
  </si>
  <si>
    <t xml:space="preserve">2026-04-27 s/d 2026-04-30</t>
  </si>
  <si>
    <t xml:space="preserve">Mei 2026 - M1</t>
  </si>
  <si>
    <t xml:space="preserve">2026-05-01 s/d 2026-05-01</t>
  </si>
  <si>
    <t xml:space="preserve">Mei 2026 - M2</t>
  </si>
  <si>
    <t xml:space="preserve">2026-05-04 s/d 2026-05-08</t>
  </si>
  <si>
    <t xml:space="preserve">Mei 2026 - M3</t>
  </si>
  <si>
    <t xml:space="preserve">2026-05-11 s/d 2026-05-15</t>
  </si>
  <si>
    <t xml:space="preserve">Mei 2026 - M4</t>
  </si>
  <si>
    <t xml:space="preserve">2026-05-18 s/d 2026-05-22</t>
  </si>
  <si>
    <t xml:space="preserve">Mei 2026 - M5</t>
  </si>
  <si>
    <t xml:space="preserve">2026-05-25 s/d 2026-05-29</t>
  </si>
  <si>
    <t xml:space="preserve">Jun 2026 - M1</t>
  </si>
  <si>
    <t xml:space="preserve">2026-06-01 s/d 2026-06-05</t>
  </si>
  <si>
    <t xml:space="preserve">Jun 2026 - M2</t>
  </si>
  <si>
    <t xml:space="preserve">2026-06-08 s/d 2026-06-12</t>
  </si>
  <si>
    <t xml:space="preserve">Jun 2026 - M3</t>
  </si>
  <si>
    <t xml:space="preserve">2026-06-15 s/d 2026-06-19</t>
  </si>
  <si>
    <t xml:space="preserve">Jun 2026 - M4</t>
  </si>
  <si>
    <t xml:space="preserve">2026-06-22 s/d 2026-06-26</t>
  </si>
  <si>
    <t xml:space="preserve">Jun 2026 - M5</t>
  </si>
  <si>
    <t xml:space="preserve">2026-06-29 s/d 2026-06-30</t>
  </si>
  <si>
    <t xml:space="preserve">Jul 2026 - M1</t>
  </si>
  <si>
    <t xml:space="preserve">2026-07-01 s/d 2026-07-03</t>
  </si>
  <si>
    <t xml:space="preserve">Jul 2026 - M2</t>
  </si>
  <si>
    <t xml:space="preserve">2026-07-06 s/d 2026-07-10</t>
  </si>
  <si>
    <t xml:space="preserve">Jul 2026 - M3</t>
  </si>
  <si>
    <t xml:space="preserve">2026-07-13 s/d 2026-07-17</t>
  </si>
  <si>
    <t xml:space="preserve">Jul 2026 - M4</t>
  </si>
  <si>
    <t xml:space="preserve">2026-07-20 s/d 2026-07-24</t>
  </si>
  <si>
    <t xml:space="preserve">Jul 2026 - M5</t>
  </si>
  <si>
    <t xml:space="preserve">2026-07-27 s/d 2026-07-31</t>
  </si>
  <si>
    <t xml:space="preserve">Agu 2026 - M1</t>
  </si>
  <si>
    <t xml:space="preserve">2026-08-03 s/d 2026-08-07</t>
  </si>
  <si>
    <t xml:space="preserve">Agu 2026 - M2</t>
  </si>
  <si>
    <t xml:space="preserve">2026-08-10 s/d 2026-08-14</t>
  </si>
  <si>
    <t xml:space="preserve">Agu 2026 - M3</t>
  </si>
  <si>
    <t xml:space="preserve">2026-08-17 s/d 2026-08-21</t>
  </si>
  <si>
    <t xml:space="preserve">Agu 2026 - M4</t>
  </si>
  <si>
    <t xml:space="preserve">2026-08-24 s/d 2026-08-28</t>
  </si>
  <si>
    <t xml:space="preserve">Agu 2026 - M5</t>
  </si>
  <si>
    <t xml:space="preserve">2026-08-31 s/d 2026-08-31</t>
  </si>
  <si>
    <t xml:space="preserve">Sep 2026 - M1</t>
  </si>
  <si>
    <t xml:space="preserve">2026-08-31 s/d 2026-09-04</t>
  </si>
  <si>
    <t xml:space="preserve">Sep 2026 - M2</t>
  </si>
  <si>
    <t xml:space="preserve">2026-09-07 s/d 2026-09-11</t>
  </si>
  <si>
    <t xml:space="preserve">Sep 2026 - M3</t>
  </si>
  <si>
    <t xml:space="preserve">2026-09-14 s/d 2026-09-18</t>
  </si>
  <si>
    <t xml:space="preserve">Sep 2026 - M4</t>
  </si>
  <si>
    <t xml:space="preserve">2026-09-21 s/d 2026-09-25</t>
  </si>
  <si>
    <t xml:space="preserve">Sep 2026 - M5</t>
  </si>
  <si>
    <t xml:space="preserve">2026-09-28 s/d 2026-09-30</t>
  </si>
  <si>
    <t xml:space="preserve">PERHITUNGAN IPH MINGGUAN JANUARI - AGUSTUS 2026 (39 minggu) - PASAR PON JOMBANG</t>
  </si>
  <si>
    <t xml:space="preserve">Formula: Andil_i(Mt) = Bobot_i x [(P̄Mt,i - P̄bulan sebelumnya,i)/P̄bulan sebelumnya,i] x 100% ; Growth IPH(Mt) = Σ Andil_i(Mt). Acuan m-1 tiap minggu = rata-rata bulan kalender sebelumnya (mis. minggu2 Jan 2026 acuan = rata2 Des 2025).</t>
  </si>
  <si>
    <t xml:space="preserve">Jan 2026 - M1 (01-02)</t>
  </si>
  <si>
    <t xml:space="preserve">Jan 2026 - M2 (05-09)</t>
  </si>
  <si>
    <t xml:space="preserve">Jan 2026 - M3 (12-16)</t>
  </si>
  <si>
    <t xml:space="preserve">Jan 2026 - M4 (19-23)</t>
  </si>
  <si>
    <t xml:space="preserve">Jan 2026 - M5 (26-30)</t>
  </si>
  <si>
    <t xml:space="preserve">Feb 2026 - M1 (02-06)</t>
  </si>
  <si>
    <t xml:space="preserve">Feb 2026 - M2 (09-13)</t>
  </si>
  <si>
    <t xml:space="preserve">Feb 2026 - M3 (16-20)</t>
  </si>
  <si>
    <t xml:space="preserve">Feb 2026 - M4 (23-27)</t>
  </si>
  <si>
    <t xml:space="preserve">Mar 2026 - M1 (02-06)</t>
  </si>
  <si>
    <t xml:space="preserve">Mar 2026 - M2 (09-13)</t>
  </si>
  <si>
    <t xml:space="preserve">Mar 2026 - M3 (16-20)</t>
  </si>
  <si>
    <t xml:space="preserve">Mar 2026 - M4 (23-27)</t>
  </si>
  <si>
    <t xml:space="preserve">Mar 2026 - M5 (30-31)</t>
  </si>
  <si>
    <t xml:space="preserve">Apr 2026 - M1 (01-03)</t>
  </si>
  <si>
    <t xml:space="preserve">Apr 2026 - M2 (06-10)</t>
  </si>
  <si>
    <t xml:space="preserve">Apr 2026 - M3 (13-17)</t>
  </si>
  <si>
    <t xml:space="preserve">Apr 2026 - M4 (20-24)</t>
  </si>
  <si>
    <t xml:space="preserve">Apr 2026 - M5 (27-30)</t>
  </si>
  <si>
    <t xml:space="preserve">Mei 2026 - M1 (01-01)</t>
  </si>
  <si>
    <t xml:space="preserve">Mei 2026 - M2 (04-08)</t>
  </si>
  <si>
    <t xml:space="preserve">Mei 2026 - M3 (11-15)</t>
  </si>
  <si>
    <t xml:space="preserve">Mei 2026 - M4 (18-22)</t>
  </si>
  <si>
    <t xml:space="preserve">Mei 2026 - M5 (25-29)</t>
  </si>
  <si>
    <t xml:space="preserve">Jun 2026 - M1 (01-05)</t>
  </si>
  <si>
    <t xml:space="preserve">Jun 2026 - M2 (08-12)</t>
  </si>
  <si>
    <t xml:space="preserve">Jun 2026 - M3 (15-19)</t>
  </si>
  <si>
    <t xml:space="preserve">Jun 2026 - M4 (22-26)</t>
  </si>
  <si>
    <t xml:space="preserve">Jun 2026 - M5 (29-30)</t>
  </si>
  <si>
    <t xml:space="preserve">Jul 2026 - M1 (01-03)</t>
  </si>
  <si>
    <t xml:space="preserve">Jul 2026 - M2 (06-10)</t>
  </si>
  <si>
    <t xml:space="preserve">Jul 2026 - M3 (13-17)</t>
  </si>
  <si>
    <t xml:space="preserve">Jul 2026 - M4 (20-24)</t>
  </si>
  <si>
    <t xml:space="preserve">Jul 2026 - M5 (27-31)</t>
  </si>
  <si>
    <t xml:space="preserve">Agu 2026 - M1 (03-07)</t>
  </si>
  <si>
    <t xml:space="preserve">Agu 2026 - M2 (10-14)</t>
  </si>
  <si>
    <t xml:space="preserve">Agu 2026 - M3 (17-21)</t>
  </si>
  <si>
    <t xml:space="preserve">Agu 2026 - M4 (24-28)</t>
  </si>
  <si>
    <t xml:space="preserve">Agu 2026 - M5 (31-31)</t>
  </si>
  <si>
    <t xml:space="preserve">Sep 2026 - M1 (31-04)</t>
  </si>
  <si>
    <t xml:space="preserve">Sep 2026 - M2 (07-11)</t>
  </si>
  <si>
    <t xml:space="preserve">Sep 2026 - M3 (14-18)</t>
  </si>
  <si>
    <t xml:space="preserve">Sep 2026 - M4 (21-25)</t>
  </si>
  <si>
    <t xml:space="preserve">Sep 2026 - M5 (28-30)</t>
  </si>
  <si>
    <t xml:space="preserve">Komoditas (standar IPH)</t>
  </si>
  <si>
    <t xml:space="preserve">Bobot (wi)</t>
  </si>
  <si>
    <t xml:space="preserve">P̄</t>
  </si>
  <si>
    <t xml:space="preserve">Growth%</t>
  </si>
  <si>
    <t xml:space="preserve">Andil%</t>
  </si>
  <si>
    <t xml:space="preserve">ABS[Jan 2026-M1]</t>
  </si>
  <si>
    <t xml:space="preserve">ABS[Jan 2026-M2]</t>
  </si>
  <si>
    <t xml:space="preserve">ABS[Jan 2026-M3]</t>
  </si>
  <si>
    <t xml:space="preserve">ABS[Jan 2026-M4]</t>
  </si>
  <si>
    <t xml:space="preserve">ABS[Jan 2026-M5]</t>
  </si>
  <si>
    <t xml:space="preserve">ABS[Feb 2026-M1]</t>
  </si>
  <si>
    <t xml:space="preserve">ABS[Feb 2026-M2]</t>
  </si>
  <si>
    <t xml:space="preserve">ABS[Feb 2026-M3]</t>
  </si>
  <si>
    <t xml:space="preserve">ABS[Feb 2026-M4]</t>
  </si>
  <si>
    <t xml:space="preserve">ABS[Mar 2026-M1]</t>
  </si>
  <si>
    <t xml:space="preserve">ABS[Mar 2026-M2]</t>
  </si>
  <si>
    <t xml:space="preserve">ABS[Mar 2026-M3]</t>
  </si>
  <si>
    <t xml:space="preserve">ABS[Mar 2026-M4]</t>
  </si>
  <si>
    <t xml:space="preserve">ABS[Mar 2026-M5]</t>
  </si>
  <si>
    <t xml:space="preserve">ABS[Apr 2026-M1]</t>
  </si>
  <si>
    <t xml:space="preserve">ABS[Apr 2026-M2]</t>
  </si>
  <si>
    <t xml:space="preserve">ABS[Apr 2026-M3]</t>
  </si>
  <si>
    <t xml:space="preserve">ABS[Apr 2026-M4]</t>
  </si>
  <si>
    <t xml:space="preserve">ABS[Apr 2026-M5]</t>
  </si>
  <si>
    <t xml:space="preserve">ABS[Mei 2026-M1]</t>
  </si>
  <si>
    <t xml:space="preserve">ABS[Mei 2026-M2]</t>
  </si>
  <si>
    <t xml:space="preserve">ABS[Mei 2026-M3]</t>
  </si>
  <si>
    <t xml:space="preserve">ABS[Mei 2026-M4]</t>
  </si>
  <si>
    <t xml:space="preserve">ABS[Mei 2026-M5]</t>
  </si>
  <si>
    <t xml:space="preserve">ABS[Jun 2026-M1]</t>
  </si>
  <si>
    <t xml:space="preserve">ABS[Jun 2026-M2]</t>
  </si>
  <si>
    <t xml:space="preserve">ABS[Jun 2026-M3]</t>
  </si>
  <si>
    <t xml:space="preserve">ABS[Jun 2026-M4]</t>
  </si>
  <si>
    <t xml:space="preserve">ABS[Jun 2026-M5]</t>
  </si>
  <si>
    <t xml:space="preserve">ABS[Jul 2026-M1]</t>
  </si>
  <si>
    <t xml:space="preserve">ABS[Jul 2026-M2]</t>
  </si>
  <si>
    <t xml:space="preserve">ABS[Jul 2026-M3]</t>
  </si>
  <si>
    <t xml:space="preserve">ABS[Jul 2026-M4]</t>
  </si>
  <si>
    <t xml:space="preserve">ABS[Jul 2026-M5]</t>
  </si>
  <si>
    <t xml:space="preserve">ABS[Agu 2026-M1]</t>
  </si>
  <si>
    <t xml:space="preserve">ABS[Agu 2026-M2]</t>
  </si>
  <si>
    <t xml:space="preserve">ABS[Agu 2026-M3]</t>
  </si>
  <si>
    <t xml:space="preserve">ABS[Agu 2026-M4]</t>
  </si>
  <si>
    <t xml:space="preserve">ABS[Agu 2026-M5]</t>
  </si>
  <si>
    <t xml:space="preserve">ABS[Sep 2026-M1]</t>
  </si>
  <si>
    <t xml:space="preserve">ABS[Sep 2026-M2]</t>
  </si>
  <si>
    <t xml:space="preserve">ABS[Sep 2026-M3]</t>
  </si>
  <si>
    <t xml:space="preserve">ABS[Sep 2026-M4]</t>
  </si>
  <si>
    <t xml:space="preserve">ABS[Sep 2026-M5]</t>
  </si>
  <si>
    <t xml:space="preserve">beras 1111001</t>
  </si>
  <si>
    <t xml:space="preserve">tepung terigu 01115005</t>
  </si>
  <si>
    <t xml:space="preserve">tahu mentah 1194011</t>
  </si>
  <si>
    <t xml:space="preserve">daging ayam ras 1124003</t>
  </si>
  <si>
    <t xml:space="preserve">minyak goreng 01154001/4</t>
  </si>
  <si>
    <t xml:space="preserve">udang lobster 01132004</t>
  </si>
  <si>
    <t xml:space="preserve">pisang ambon 1162001</t>
  </si>
  <si>
    <t xml:space="preserve">cabai rawit 01173013</t>
  </si>
  <si>
    <t xml:space="preserve">telur ayam ras 01147002</t>
  </si>
  <si>
    <t xml:space="preserve">gula pasir 1181001</t>
  </si>
  <si>
    <t xml:space="preserve">ikan kembung 01131028</t>
  </si>
  <si>
    <t xml:space="preserve">susu bubuk bayi 01143001/2</t>
  </si>
  <si>
    <t xml:space="preserve">bawang merah 1174006</t>
  </si>
  <si>
    <t xml:space="preserve">bawang putih 01174007</t>
  </si>
  <si>
    <t xml:space="preserve">mi instan 01115012</t>
  </si>
  <si>
    <t xml:space="preserve">susu bubuk 01143001/2</t>
  </si>
  <si>
    <t xml:space="preserve">cabai merah 01173012</t>
  </si>
  <si>
    <t xml:space="preserve">daging sapi 01121001</t>
  </si>
  <si>
    <t xml:space="preserve">tempe 01194013</t>
  </si>
  <si>
    <t xml:space="preserve">jeruk 01161001-33</t>
  </si>
  <si>
    <t xml:space="preserve">TOTAL / GROWTH IPH MINGGU INI</t>
  </si>
  <si>
    <t xml:space="preserve">5 KOMODITAS DENGAN ANDIL TERBESAR PER MINGGU - JANUARI-AGUSTUS 2026</t>
  </si>
  <si>
    <t xml:space="preserve">Diurutkan berdasarkan nilai mutlak (absolut) andil per minggu. Keterangan: KENAIKAN/PENURUNAN menunjukkan arah kontribusi komoditas terhadap IPH minggu tsb.</t>
  </si>
  <si>
    <t xml:space="preserve">JAN 2026 - M1 (01-02)</t>
  </si>
  <si>
    <t xml:space="preserve">Peringkat</t>
  </si>
  <si>
    <t xml:space="preserve">Komoditas</t>
  </si>
  <si>
    <t xml:space="preserve">Pertumbuhan Harga (%)</t>
  </si>
  <si>
    <t xml:space="preserve">Andil thd IPH (%)</t>
  </si>
  <si>
    <t xml:space="preserve">Keterangan</t>
  </si>
  <si>
    <t xml:space="preserve">JAN 2026 - M2 (05-09)</t>
  </si>
  <si>
    <t xml:space="preserve">JAN 2026 - M3 (12-16)</t>
  </si>
  <si>
    <t xml:space="preserve">JAN 2026 - M4 (19-23)</t>
  </si>
  <si>
    <t xml:space="preserve">JAN 2026 - M5 (26-30)</t>
  </si>
  <si>
    <t xml:space="preserve">FEB 2026 - M1 (02-06)</t>
  </si>
  <si>
    <t xml:space="preserve">FEB 2026 - M2 (09-13)</t>
  </si>
  <si>
    <t xml:space="preserve">FEB 2026 - M3 (16-20)</t>
  </si>
  <si>
    <t xml:space="preserve">FEB 2026 - M4 (23-27)</t>
  </si>
  <si>
    <t xml:space="preserve">MAR 2026 - M1 (02-06)</t>
  </si>
  <si>
    <t xml:space="preserve">MAR 2026 - M2 (09-13)</t>
  </si>
  <si>
    <t xml:space="preserve">MAR 2026 - M3 (16-20)</t>
  </si>
  <si>
    <t xml:space="preserve">MAR 2026 - M4 (23-27)</t>
  </si>
  <si>
    <t xml:space="preserve">MAR 2026 - M5 (30-31)</t>
  </si>
  <si>
    <t xml:space="preserve">APR 2026 - M1 (01-03)</t>
  </si>
  <si>
    <t xml:space="preserve">APR 2026 - M2 (06-10)</t>
  </si>
  <si>
    <t xml:space="preserve">APR 2026 - M3 (13-17)</t>
  </si>
  <si>
    <t xml:space="preserve">APR 2026 - M4 (20-24)</t>
  </si>
  <si>
    <t xml:space="preserve">APR 2026 - M5 (27-30)</t>
  </si>
  <si>
    <t xml:space="preserve">MEI 2026 - M1 (01-01)</t>
  </si>
  <si>
    <t xml:space="preserve">MEI 2026 - M2 (04-08)</t>
  </si>
  <si>
    <t xml:space="preserve">MEI 2026 - M3 (11-15)</t>
  </si>
  <si>
    <t xml:space="preserve">MEI 2026 - M4 (18-22)</t>
  </si>
  <si>
    <t xml:space="preserve">MEI 2026 - M5 (25-29)</t>
  </si>
  <si>
    <t xml:space="preserve">JUN 2026 - M1 (01-05)</t>
  </si>
  <si>
    <t xml:space="preserve">JUN 2026 - M2 (08-12)</t>
  </si>
  <si>
    <t xml:space="preserve">JUN 2026 - M3 (15-19)</t>
  </si>
  <si>
    <t xml:space="preserve">JUN 2026 - M4 (22-26)</t>
  </si>
  <si>
    <t xml:space="preserve">JUN 2026 - M5 (29-30)</t>
  </si>
  <si>
    <t xml:space="preserve">JUL 2026 - M1 (01-03)</t>
  </si>
  <si>
    <t xml:space="preserve">JUL 2026 - M2 (06-10)</t>
  </si>
  <si>
    <t xml:space="preserve">JUL 2026 - M3 (13-17)</t>
  </si>
  <si>
    <t xml:space="preserve">JUL 2026 - M4 (20-24)</t>
  </si>
  <si>
    <t xml:space="preserve">JUL 2026 - M5 (27-31)</t>
  </si>
  <si>
    <t xml:space="preserve">AGU 2026 - M1 (03-07)</t>
  </si>
  <si>
    <t xml:space="preserve">AGU 2026 - M2 (10-14)</t>
  </si>
  <si>
    <t xml:space="preserve">AGU 2026 - M3 (17-21)</t>
  </si>
  <si>
    <t xml:space="preserve">AGU 2026 - M4 (24-28)</t>
  </si>
  <si>
    <t xml:space="preserve">AGU 2026 - M5 (31-31)</t>
  </si>
  <si>
    <t xml:space="preserve">SEP 2026 - M1 (31-04)</t>
  </si>
  <si>
    <t xml:space="preserve">SEP 2026 - M2 (07-11)</t>
  </si>
  <si>
    <t xml:space="preserve">SEP 2026 - M3 (14-18)</t>
  </si>
  <si>
    <t xml:space="preserve">SEP 2026 - M4 (21-25)</t>
  </si>
  <si>
    <t xml:space="preserve">SEP 2026 - M5 (28-30)</t>
  </si>
  <si>
    <t xml:space="preserve">ANALISIS &amp; SARAN KEBIJAKAN UNTUK PEMERINTAH KABUPATEN JOMBANG - JANUARI-AGUSTUS 2026</t>
  </si>
  <si>
    <t xml:space="preserve">Berdasarkan hasil perhitungan IPH mingguan Januari-Agustus 2026 (39 minggu, data Pasar Pon Jombang)</t>
  </si>
  <si>
    <t xml:space="preserve">1. POLA UMUM SEPANJANG JANUARI-AGUSTUS 2026</t>
  </si>
  <si>
    <t xml:space="preserve">Dari 39 minggu yang dihitung, terdapat 2 minggu tanpa data valid (1 Mei 2026, bertepatan Hari Buruh, dan 31 Agustus 2026) karena hanya satu hari pasar dalam minggu tersebut dan tidak tercatat harga - ditandai 'Data tidak tersedia' pada sheet perhitungan. JANUARI 2026 relatif stabil (growth mingguan di kisaran -0,03% s/d +0,49%). Tekanan KENAIKAN IPH yang tajam dan konsisten terjadi mulai pertengahan FEBRUARI hingga akhir MARET 2026 (growth mingguan +4,7% s/d +7,4%), bertepatan dengan awal Ramadhan 1447H (19 Februari 2026) dan berlanjut hingga menjelang Idul Fitri (sekitar 20 Maret 2026) - pola musiman klasik lonjakan permintaan bahan pokok &amp; protein selama bulan puasa dan menjelang lebaran. Sebaliknya, APRIL-JUNI 2026 menunjukkan tren PENURUNAN IPH yang konsisten (growth mingguan -0,3% s/d -2,1%, memuncak pada akhir Juni), koreksi pasca-Lebaran yang mirip pola yang tercatat pada Mei 2025. JULI 2026 masih melanjutkan tren melemah namun mulai mendatar, dan AGUSTUS 2026 kembali stabil berfluktuasi tipis di kisaran -0,1% s/d +0,4%.</t>
  </si>
  <si>
    <t xml:space="preserve">2. KOMODITAS PALING SERING MENJADI PENYUMBANG KENAIKAN IPH</t>
  </si>
  <si>
    <t xml:space="preserve">CABAI RAWIT paling sering muncul sebagai penyumbang andil terbesar dalam nilai mutlak (13 dari 39 minggu berada di peringkat #1) dan tercatat di top-5 pada 35 dari 39 minggu - komoditas paling volatile, dengan lonjakan harga hingga +137% dalam seminggu pada puncak Ramadhan (Feb 2026 M3). DAGING AYAM RAS menyusul sebagai penyumbang andil kumulatif NET POSITIF terbesar sepanjang periode (naik pada 22 dari 39 minggu, termasuk lonjakan +35% pada minggu yang sama), diikuti oleh IKAN KEMBUNG (proksi: Ikan Tongkol) dan DAGING SAPI yang konsisten SELALU naik (13 dan 26 minggu naik, 0 minggu turun) - dua komoditas protein hewani ini tidak pernah tercatat mengalami penurunan harga sepanjang Januari-Agustus 2026, mengindikasikan tekanan struktural pada sisi pasokan, bukan sekadar fluktuasi musiman.</t>
  </si>
  <si>
    <t xml:space="preserve">3. KOMODITAS DENGAN TREN PENURUNAN NET SEPANJANG PERIODE</t>
  </si>
  <si>
    <t xml:space="preserve">TELUR AYAM RAS mencatat andil kumulatif NET NEGATIF terbesar (turun pada 28 dari 39 minggu, TIDAK PERNAH tercatat sebagai penyumbang kenaikan andil positif di top-5) - harga cenderung melemah cukup konsisten sepanjang Januari-Agustus 2026, baik menguntungkan konsumen namun perlu diwaspadai dampaknya terhadap peternak lokal. BERAS juga mencatat andil net negatif tipis, dengan pergerakan dua arah yang relatif kecil dibanding komoditas hortikultura/protein lainnya.</t>
  </si>
  <si>
    <t xml:space="preserve">4. SARAN UNTUK PEMERINTAH KABUPATEN JOMBANG</t>
  </si>
  <si>
    <t xml:space="preserve">a. CABAI RAWIT (penyumbang kenaikan andil terbesar &amp; paling sering di peringkat #1, hingga +137% dalam seminggu saat Ramadhan): perkuat program tanam cabai mandiri/pekarangan (Gerakan Tanam Cabai) menjelang bulan puasa setiap tahun, jadwalkan kerja sama pasokan dengan sentra produksi luar daerah paling lambat H-4 minggu sebelum awal Ramadhan, dan siapkan operasi pasar begitu andil mingguannya mulai naik tajam (&gt;1%) - jangan menunggu akumulasi bulanan.</t>
  </si>
  <si>
    <t xml:space="preserve">b. DAGING AYAM RAS, IKAN KEMBUNG (proksi Ikan Tongkol), &amp; DAGING SAPI (konsisten TIDAK PERNAH turun sepanjang periode, indikasi tekanan struktural): koordinasikan dengan asosiasi peternak/nelayan lokal untuk kontrak harga/pasokan yang lebih stabil, dan telusuri apakah kenaikan berasal dari harga pakan ternak, BBM distribusi, atau faktor pasokan musiman (misalnya cuaca yang memengaruhi tangkapan ikan laut).</t>
  </si>
  <si>
    <t xml:space="preserve">c. Pantau khusus periode APRIL-JUNI 2026 sebagai preseden tahunan berulang (konsisten dengan pola Mei 2025): penurunan harga pasca-Lebaran yang tajam dan berkepanjangan (mencapai puncak -2,1% pada akhir Juni) menunjukkan perlunya skema penyerapan hasil panen/ternak lokal pasca hari besar keagamaan agar produsen tidak mengalami kerugian akibat surplus pasokan/permintaan yang anjlok mendadak.</t>
  </si>
  <si>
    <t xml:space="preserve">d. Jadwalkan kesiapsiagaan TPID (Tim Pengendali Inflasi Daerah) khusus H-4 minggu sebelum Ramadhan setiap tahunnya (pola 2026 berulang dari 2025: lonjakan tajam dimulai tepat saat awal bulan puasa) - jangan menunggu laporan bulanan, karena andil mingguan cabai rawit &amp; daging ayam ras sudah melonjak signifikan sejak minggu pertama Ramadhan.</t>
  </si>
  <si>
    <t xml:space="preserve">e. Karena seluruh perhitungan ini hanya berbasis SATU pasar (Pasar Pon Jombang) dan sebagian variant (Ikan Kembung, Susu Bubuk Bayi/Dewasa) masih memakai data PROKSI (lihat sheet 'Pemetaan Variant'), lengkapi dengan data SP2KP dari pasar/kios lain di seluruh kecamatan serta variant yang lebih presisi agar IPH mingguan kabupaten merepresentasikan kondisi riil secara utuh, sesuai metodologi resmi BPS.</t>
  </si>
  <si>
    <t xml:space="preserve">f. Gunakan sheet 'Ringkasan Mingguan 2026' dan 'Top 5 Andil per Minggu 2026' sebagai bahan rutin Rapat Koordinasi Pengendalian Inflasi Daerah (TPID) mingguan - seluruh angka di file ini otomatis ter-update apabila data harga harian baru (Sep 2026 dst.) ditambahkan ke sheet 'Data [Bulan] 2026' dan 'Pemetaan Variant'.</t>
  </si>
  <si>
    <t xml:space="preserve">PEMETAAN 20 KOMODITAS STANDAR IPH KE VARIAN HARGA PASAR PON JOMBANG - 2026</t>
  </si>
  <si>
    <t xml:space="preserve">Digunakan oleh seluruh formula AVERAGEIF pada sheet 'Perhitungan IPH Mingguan 2026'. Mengikuti pemetaan resmi tahun 2025 (termasuk proksi Ikan Kembung-&gt;Ikan Tongkol, Susu Bubuk Bayi-&gt;Susu Bubuk Balita, Susu Bubuk-&gt;Susu Kental Manis).</t>
  </si>
  <si>
    <t xml:space="preserve">Variant Sumber Data</t>
  </si>
  <si>
    <t xml:space="preserve">Catatan Pemetaan</t>
  </si>
  <si>
    <t xml:space="preserve">P̄ Des 2025 (m-1)</t>
  </si>
  <si>
    <t xml:space="preserve">P̄ Jan 2026 (m-1)</t>
  </si>
  <si>
    <t xml:space="preserve">P̄ Feb 2026 (m-1)</t>
  </si>
  <si>
    <t xml:space="preserve">P̄ Mar 2026 (m-1)</t>
  </si>
  <si>
    <t xml:space="preserve">P̄ Apr 2026 (m-1)</t>
  </si>
  <si>
    <t xml:space="preserve">P̄ Mei 2026 (m-1)</t>
  </si>
  <si>
    <t xml:space="preserve">P̄ Jun 2026 (m-1)</t>
  </si>
  <si>
    <t xml:space="preserve">P̄ Jul 2026 (m-1)</t>
  </si>
  <si>
    <t xml:space="preserve">P̄ Jan 2026 M1 (01-02)</t>
  </si>
  <si>
    <t xml:space="preserve">P̄ Jan 2026 M2 (05-09)</t>
  </si>
  <si>
    <t xml:space="preserve">P̄ Jan 2026 M3 (12-16)</t>
  </si>
  <si>
    <t xml:space="preserve">P̄ Jan 2026 M4 (19-23)</t>
  </si>
  <si>
    <t xml:space="preserve">P̄ Jan 2026 M5 (26-30)</t>
  </si>
  <si>
    <t xml:space="preserve">P̄ Feb 2026 M1 (02-06)</t>
  </si>
  <si>
    <t xml:space="preserve">P̄ Feb 2026 M2 (09-13)</t>
  </si>
  <si>
    <t xml:space="preserve">P̄ Feb 2026 M3 (16-20)</t>
  </si>
  <si>
    <t xml:space="preserve">P̄ Feb 2026 M4 (23-27)</t>
  </si>
  <si>
    <t xml:space="preserve">P̄ Mar 2026 M1 (02-06)</t>
  </si>
  <si>
    <t xml:space="preserve">P̄ Mar 2026 M2 (09-13)</t>
  </si>
  <si>
    <t xml:space="preserve">P̄ Mar 2026 M3 (16-20)</t>
  </si>
  <si>
    <t xml:space="preserve">P̄ Mar 2026 M4 (23-27)</t>
  </si>
  <si>
    <t xml:space="preserve">P̄ Mar 2026 M5 (30-31)</t>
  </si>
  <si>
    <t xml:space="preserve">P̄ Apr 2026 M1 (01-03)</t>
  </si>
  <si>
    <t xml:space="preserve">P̄ Apr 2026 M2 (06-10)</t>
  </si>
  <si>
    <t xml:space="preserve">P̄ Apr 2026 M3 (13-17)</t>
  </si>
  <si>
    <t xml:space="preserve">P̄ Apr 2026 M4 (20-24)</t>
  </si>
  <si>
    <t xml:space="preserve">P̄ Apr 2026 M5 (27-30)</t>
  </si>
  <si>
    <t xml:space="preserve">P̄ Mei 2026 M1 (01-01)</t>
  </si>
  <si>
    <t xml:space="preserve">P̄ Mei 2026 M2 (04-08)</t>
  </si>
  <si>
    <t xml:space="preserve">P̄ Mei 2026 M3 (11-15)</t>
  </si>
  <si>
    <t xml:space="preserve">P̄ Mei 2026 M4 (18-22)</t>
  </si>
  <si>
    <t xml:space="preserve">P̄ Mei 2026 M5 (25-29)</t>
  </si>
  <si>
    <t xml:space="preserve">P̄ Jun 2026 M1 (01-05)</t>
  </si>
  <si>
    <t xml:space="preserve">P̄ Jun 2026 M2 (08-12)</t>
  </si>
  <si>
    <t xml:space="preserve">P̄ Jun 2026 M3 (15-19)</t>
  </si>
  <si>
    <t xml:space="preserve">P̄ Jun 2026 M4 (22-26)</t>
  </si>
  <si>
    <t xml:space="preserve">P̄ Jun 2026 M5 (29-30)</t>
  </si>
  <si>
    <t xml:space="preserve">P̄ Jul 2026 M1 (01-03)</t>
  </si>
  <si>
    <t xml:space="preserve">P̄ Jul 2026 M2 (06-10)</t>
  </si>
  <si>
    <t xml:space="preserve">P̄ Jul 2026 M3 (13-17)</t>
  </si>
  <si>
    <t xml:space="preserve">P̄ Jul 2026 M4 (20-24)</t>
  </si>
  <si>
    <t xml:space="preserve">P̄ Jul 2026 M5 (27-31)</t>
  </si>
  <si>
    <t xml:space="preserve">P̄ Agu 2026 M1 (03-07)</t>
  </si>
  <si>
    <t xml:space="preserve">P̄ Agu 2026 M2 (10-14)</t>
  </si>
  <si>
    <t xml:space="preserve">P̄ Agu 2026 M3 (17-21)</t>
  </si>
  <si>
    <t xml:space="preserve">P̄ Agu 2026 M4 (24-28)</t>
  </si>
  <si>
    <t xml:space="preserve">P̄ Agu 2026 M5 (31-31)</t>
  </si>
  <si>
    <t xml:space="preserve">P̄ Agu 2026 (m-1)</t>
  </si>
  <si>
    <t xml:space="preserve">P̄ Sep 2026 M1 (31-04)</t>
  </si>
  <si>
    <t xml:space="preserve">P̄ Sep 2026 M2 (07-11)</t>
  </si>
  <si>
    <t xml:space="preserve">P̄ Sep 2026 M3 (14-18)</t>
  </si>
  <si>
    <t xml:space="preserve">P̄ Sep 2026 M4 (21-25)</t>
  </si>
  <si>
    <t xml:space="preserve">P̄ Sep 2026 M5 (28-30)</t>
  </si>
  <si>
    <t xml:space="preserve">Beras Medium</t>
  </si>
  <si>
    <t xml:space="preserve">Beras Premium</t>
  </si>
  <si>
    <t xml:space="preserve">Beras SPHP Bulog</t>
  </si>
  <si>
    <t xml:space="preserve">Tepung Terigu</t>
  </si>
  <si>
    <t xml:space="preserve">Tahu Putih</t>
  </si>
  <si>
    <t xml:space="preserve">Daging Ayam Ras</t>
  </si>
  <si>
    <t xml:space="preserve">Minyak Goreng Sawit Curah</t>
  </si>
  <si>
    <t xml:space="preserve">Minyak Goreng Sawit Kemasan Premium</t>
  </si>
  <si>
    <t xml:space="preserve">Minyakita</t>
  </si>
  <si>
    <t xml:space="preserve">Udang Basah</t>
  </si>
  <si>
    <t xml:space="preserve">Proksi: 'Udang Basah' (tidak ada varian lobster).</t>
  </si>
  <si>
    <t xml:space="preserve">Pisang Lokal</t>
  </si>
  <si>
    <t xml:space="preserve">Proksi: 'Pisang Lokal' (tidak ada varian ambon).</t>
  </si>
  <si>
    <t xml:space="preserve">Cabai Rawit Merah</t>
  </si>
  <si>
    <t xml:space="preserve">Telur Ayam Ras</t>
  </si>
  <si>
    <t xml:space="preserve">Gula Pasir Curah</t>
  </si>
  <si>
    <t xml:space="preserve">Ikan Tongkol</t>
  </si>
  <si>
    <t xml:space="preserve">Proksi: 'Ikan Tongkol' (ikan laut sejenis).</t>
  </si>
  <si>
    <t xml:space="preserve">Susu Bubuk Balita</t>
  </si>
  <si>
    <t xml:space="preserve">Proksi: 'Susu Bubuk Balita'.</t>
  </si>
  <si>
    <t xml:space="preserve">Bawang Merah</t>
  </si>
  <si>
    <t xml:space="preserve">Bawang Putih Honan</t>
  </si>
  <si>
    <t xml:space="preserve">Bawang Putih Kating</t>
  </si>
  <si>
    <t xml:space="preserve">Mie Instan</t>
  </si>
  <si>
    <t xml:space="preserve">Susu Kental Manis</t>
  </si>
  <si>
    <t xml:space="preserve">Proksi: 'Susu Kental Manis' (tidak ada varian susu bubuk dewasa terpisah).</t>
  </si>
  <si>
    <t xml:space="preserve">Cabai Merah Keriting</t>
  </si>
  <si>
    <t xml:space="preserve">Cabai Merah Besar</t>
  </si>
  <si>
    <t xml:space="preserve">Daging Sapi Paha Belakang</t>
  </si>
  <si>
    <t xml:space="preserve">Daging Sapi Sandung Lamur</t>
  </si>
  <si>
    <t xml:space="preserve">Daging Sapi Tetelan</t>
  </si>
  <si>
    <t xml:space="preserve">Tempe Bungkus</t>
  </si>
  <si>
    <t xml:space="preserve">Jeruk Lokal</t>
  </si>
  <si>
    <t xml:space="preserve">NILAI KONSUMSI DASAR 2022 (P0i . Q0i) &amp; BOBOT - 20 KOMODITAS IPH</t>
  </si>
  <si>
    <t xml:space="preserve">Sumber: file P0Q0.xlsx. Bobot diambil langsung dari sheet 'bobot' pada file sumber (nilai resmi).</t>
  </si>
  <si>
    <t xml:space="preserve">Q0i (Volume)</t>
  </si>
  <si>
    <t xml:space="preserve">P0i (Harga dasar 2022)</t>
  </si>
  <si>
    <t xml:space="preserve">Nilai Konsumsi0</t>
  </si>
  <si>
    <t xml:space="preserve">Bobot (wi) - resmi</t>
  </si>
  <si>
    <t xml:space="preserve">TOTAL</t>
  </si>
  <si>
    <t xml:space="preserve">DATA HARGA HARIAN - PASAR PON JOMBANG - DES 2025</t>
  </si>
  <si>
    <t xml:space="preserve">Sumber: SP2KP Kementerian Perdagangan. Nilai 0 (hari libur pasar) dikecualikan dari rata-rata.</t>
  </si>
  <si>
    <t xml:space="preserve">Variant</t>
  </si>
  <si>
    <t xml:space="preserve">Unit</t>
  </si>
  <si>
    <t xml:space="preserve">2025-12-01</t>
  </si>
  <si>
    <t xml:space="preserve">2025-12-02</t>
  </si>
  <si>
    <t xml:space="preserve">2025-12-03</t>
  </si>
  <si>
    <t xml:space="preserve">2025-12-04</t>
  </si>
  <si>
    <t xml:space="preserve">2025-12-05</t>
  </si>
  <si>
    <t xml:space="preserve">2025-12-08</t>
  </si>
  <si>
    <t xml:space="preserve">2025-12-09</t>
  </si>
  <si>
    <t xml:space="preserve">2025-12-10</t>
  </si>
  <si>
    <t xml:space="preserve">2025-12-11</t>
  </si>
  <si>
    <t xml:space="preserve">2025-12-12</t>
  </si>
  <si>
    <t xml:space="preserve">2025-12-15</t>
  </si>
  <si>
    <t xml:space="preserve">2025-12-16</t>
  </si>
  <si>
    <t xml:space="preserve">2025-12-17</t>
  </si>
  <si>
    <t xml:space="preserve">2025-12-18</t>
  </si>
  <si>
    <t xml:space="preserve">2025-12-19</t>
  </si>
  <si>
    <t xml:space="preserve">2025-12-22</t>
  </si>
  <si>
    <t xml:space="preserve">2025-12-23</t>
  </si>
  <si>
    <t xml:space="preserve">2025-12-24</t>
  </si>
  <si>
    <t xml:space="preserve">2025-12-25</t>
  </si>
  <si>
    <t xml:space="preserve">2025-12-26</t>
  </si>
  <si>
    <t xml:space="preserve">2025-12-29</t>
  </si>
  <si>
    <t xml:space="preserve">2025-12-30</t>
  </si>
  <si>
    <t xml:space="preserve">2025-12-31</t>
  </si>
  <si>
    <t xml:space="preserve">Rata-rata M1 (01-05)</t>
  </si>
  <si>
    <t xml:space="preserve">Rata-rata M2 (08-12)</t>
  </si>
  <si>
    <t xml:space="preserve">Rata-rata M3 (15-19)</t>
  </si>
  <si>
    <t xml:space="preserve">Rata-rata M4 (22-26)</t>
  </si>
  <si>
    <t xml:space="preserve">Rata-rata M5 (29-31)</t>
  </si>
  <si>
    <t xml:space="preserve">Rata-rata Bulan Des 2025</t>
  </si>
  <si>
    <t xml:space="preserve">kg</t>
  </si>
  <si>
    <t xml:space="preserve">Kedelai Impor</t>
  </si>
  <si>
    <t xml:space="preserve">Ikan Bandeng</t>
  </si>
  <si>
    <t xml:space="preserve">Ikan Teri</t>
  </si>
  <si>
    <t xml:space="preserve">Bawang Bombai</t>
  </si>
  <si>
    <t xml:space="preserve">Garam Halus</t>
  </si>
  <si>
    <t xml:space="preserve">Tomat</t>
  </si>
  <si>
    <t xml:space="preserve">Kentang Sedang</t>
  </si>
  <si>
    <t xml:space="preserve">Sawi Hijau</t>
  </si>
  <si>
    <t xml:space="preserve">Kangkung</t>
  </si>
  <si>
    <t xml:space="preserve">Ketimun Sedang</t>
  </si>
  <si>
    <t xml:space="preserve">Kacang Panjang</t>
  </si>
  <si>
    <t xml:space="preserve">Ketela Pohon</t>
  </si>
  <si>
    <t xml:space="preserve">Daging Ayam Kampung</t>
  </si>
  <si>
    <t xml:space="preserve">Telur Ayam Kampung</t>
  </si>
  <si>
    <t xml:space="preserve">Kacang Tanah</t>
  </si>
  <si>
    <t xml:space="preserve">Kacang Hijau</t>
  </si>
  <si>
    <t xml:space="preserve">DATA HARGA HARIAN - PASAR PON JOMBANG - JANUARI 2026</t>
  </si>
  <si>
    <t xml:space="preserve">2026-01-01</t>
  </si>
  <si>
    <t xml:space="preserve">2026-01-02</t>
  </si>
  <si>
    <t xml:space="preserve">2026-01-05</t>
  </si>
  <si>
    <t xml:space="preserve">2026-01-06</t>
  </si>
  <si>
    <t xml:space="preserve">2026-01-07</t>
  </si>
  <si>
    <t xml:space="preserve">2026-01-08</t>
  </si>
  <si>
    <t xml:space="preserve">2026-01-09</t>
  </si>
  <si>
    <t xml:space="preserve">2026-01-12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</si>
  <si>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</si>
  <si>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</si>
  <si>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</si>
  <si>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</si>
  <si>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2026-01-19</t>
  </si>
  <si>
    <t xml:space="preserve">2026-01-20</t>
  </si>
  <si>
    <t xml:space="preserve">2026-01-21</t>
  </si>
  <si>
    <t xml:space="preserve">2026-01-22</t>
  </si>
  <si>
    <t xml:space="preserve">2026-01-23</t>
  </si>
  <si>
    <t xml:space="preserve">2026-01-26</t>
  </si>
  <si>
    <t xml:space="preserve">2026-01-27</t>
  </si>
  <si>
    <t xml:space="preserve">2026-01-28</t>
  </si>
  <si>
    <t xml:space="preserve">2026-01-29</t>
  </si>
  <si>
    <t xml:space="preserve">2026-01-30</t>
  </si>
  <si>
    <t xml:space="preserve">Rata-rata M1 (01-02)</t>
  </si>
  <si>
    <t xml:space="preserve">Rata-rata M2 (05-09)</t>
  </si>
  <si>
    <t xml:space="preserve">Rata-rata M3 (12-16)</t>
  </si>
  <si>
    <t xml:space="preserve">Rata-rata M4 (19-23)</t>
  </si>
  <si>
    <t xml:space="preserve">Rata-rata M5 (26-30)</t>
  </si>
  <si>
    <t xml:space="preserve">Rata-rata Bulan Jan 2026</t>
  </si>
  <si>
    <t xml:space="preserve">lt</t>
  </si>
  <si>
    <t xml:space="preserve">Bungkus</t>
  </si>
  <si>
    <t xml:space="preserve">370gr</t>
  </si>
  <si>
    <t xml:space="preserve">400gr</t>
  </si>
  <si>
    <t xml:space="preserve">Ekor</t>
  </si>
  <si>
    <t xml:space="preserve">DATA HARGA HARIAN - PASAR PON JOMBANG - FEBRUARI 2026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</si>
  <si>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</si>
  <si>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</si>
  <si>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</si>
  <si>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</si>
  <si>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</si>
  <si>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2026-02-09</t>
  </si>
  <si>
    <t xml:space="preserve">2026-02-10</t>
  </si>
  <si>
    <t xml:space="preserve">2026-02-11</t>
  </si>
  <si>
    <t xml:space="preserve">2026-02-12</t>
  </si>
  <si>
    <t xml:space="preserve">2026-02-13</t>
  </si>
  <si>
    <t xml:space="preserve">2026-02-16</t>
  </si>
  <si>
    <t xml:space="preserve">2026-02-17</t>
  </si>
  <si>
    <t xml:space="preserve">2026-02-18</t>
  </si>
  <si>
    <t xml:space="preserve">2026-02-19</t>
  </si>
  <si>
    <t xml:space="preserve">2026-02-20</t>
  </si>
  <si>
    <t xml:space="preserve">2026-02-23</t>
  </si>
  <si>
    <t xml:space="preserve">2026-02-24</t>
  </si>
  <si>
    <t xml:space="preserve">2026-02-25</t>
  </si>
  <si>
    <t xml:space="preserve">2026-02-26</t>
  </si>
  <si>
    <t xml:space="preserve">2026-02-27</t>
  </si>
  <si>
    <t xml:space="preserve">Rata-rata M1 (02-06)</t>
  </si>
  <si>
    <t xml:space="preserve">Rata-rata M2 (09-13)</t>
  </si>
  <si>
    <t xml:space="preserve">Rata-rata M3 (16-20)</t>
  </si>
  <si>
    <t xml:space="preserve">Rata-rata M4 (23-27)</t>
  </si>
  <si>
    <t xml:space="preserve">Rata-rata Bulan Feb 2026</t>
  </si>
  <si>
    <t xml:space="preserve">DATA HARGA HARIAN - PASAR PON JOMBANG - MARET 2026</t>
  </si>
  <si>
    <t xml:space="preserve">2026-03-02</t>
  </si>
  <si>
    <t xml:space="preserve">2026-03-03</t>
  </si>
  <si>
    <t xml:space="preserve">2026-03-04</t>
  </si>
  <si>
    <t xml:space="preserve">2026-03-05</t>
  </si>
  <si>
    <t xml:space="preserve">2026-03-06</t>
  </si>
  <si>
    <t xml:space="preserve">2026-03-09</t>
  </si>
  <si>
    <t xml:space="preserve">2026-03-10</t>
  </si>
  <si>
    <t xml:space="preserve">2026-03-11</t>
  </si>
  <si>
    <t xml:space="preserve">2026-03-12</t>
  </si>
  <si>
    <t xml:space="preserve">2026-03-13</t>
  </si>
  <si>
    <t xml:space="preserve">2026-03-16</t>
  </si>
  <si>
    <t xml:space="preserve">2026-03-17</t>
  </si>
  <si>
    <t xml:space="preserve">2026-03-18</t>
  </si>
  <si>
    <t xml:space="preserve">2026-03-19</t>
  </si>
  <si>
    <t xml:space="preserve">2026-03-20</t>
  </si>
  <si>
    <t xml:space="preserve">2026-03-23</t>
  </si>
  <si>
    <t xml:space="preserve">2026-03-24</t>
  </si>
  <si>
    <t xml:space="preserve">2026-03-25</t>
  </si>
  <si>
    <t xml:space="preserve">2026-03-26</t>
  </si>
  <si>
    <t xml:space="preserve">2026-03-27</t>
  </si>
  <si>
    <t xml:space="preserve">2026-03-30</t>
  </si>
  <si>
    <t xml:space="preserve">2026-03-31</t>
  </si>
  <si>
    <t xml:space="preserve">Rata-rata M5 (30-31)</t>
  </si>
  <si>
    <t xml:space="preserve">Rata-rata Bulan Mar 2026</t>
  </si>
  <si>
    <t xml:space="preserve">DATA HARGA HARIAN - PASAR PON JOMBANG - APRIL 2026</t>
  </si>
  <si>
    <t xml:space="preserve">2026-04-01</t>
  </si>
  <si>
    <t xml:space="preserve">2026-04-02</t>
  </si>
  <si>
    <t xml:space="preserve">2026-04-03</t>
  </si>
  <si>
    <t xml:space="preserve">2026-04-06</t>
  </si>
  <si>
    <t xml:space="preserve">2026-04-07</t>
  </si>
  <si>
    <t xml:space="preserve">2026-04-08</t>
  </si>
  <si>
    <t xml:space="preserve">2026-04-09</t>
  </si>
  <si>
    <t xml:space="preserve">2026-04-10</t>
  </si>
  <si>
    <t xml:space="preserve">2026-04-13</t>
  </si>
  <si>
    <t xml:space="preserve">2026-04-14</t>
  </si>
  <si>
    <t xml:space="preserve">2026-04-15</t>
  </si>
  <si>
    <t xml:space="preserve">2026-04-16</t>
  </si>
  <si>
    <t xml:space="preserve">2026-04-17</t>
  </si>
  <si>
    <t xml:space="preserve">2026-04-20</t>
  </si>
  <si>
    <t xml:space="preserve">2026-04-21</t>
  </si>
  <si>
    <t xml:space="preserve">2026-04-22</t>
  </si>
  <si>
    <t xml:space="preserve">2026-04-23</t>
  </si>
  <si>
    <t xml:space="preserve">2026-04-24</t>
  </si>
  <si>
    <t xml:space="preserve">2026-04-27</t>
  </si>
  <si>
    <t xml:space="preserve">2026-04-28</t>
  </si>
  <si>
    <t xml:space="preserve">2026-04-29</t>
  </si>
  <si>
    <t xml:space="preserve">2026-04-30</t>
  </si>
  <si>
    <t xml:space="preserve">Rata-rata M1 (01-03)</t>
  </si>
  <si>
    <t xml:space="preserve">Rata-rata M2 (06-10)</t>
  </si>
  <si>
    <t xml:space="preserve">Rata-rata M3 (13-17)</t>
  </si>
  <si>
    <t xml:space="preserve">Rata-rata M4 (20-24)</t>
  </si>
  <si>
    <t xml:space="preserve">Rata-rata M5 (27-30)</t>
  </si>
  <si>
    <t xml:space="preserve">Rata-rata Bulan Apr 2026</t>
  </si>
  <si>
    <t xml:space="preserve">DATA HARGA HARIAN - PASAR PON JOMBANG - MEI 2026</t>
  </si>
  <si>
    <t xml:space="preserve">2026-05-01</t>
  </si>
  <si>
    <t xml:space="preserve">2026-05-04</t>
  </si>
  <si>
    <t xml:space="preserve">2026-05-05</t>
  </si>
  <si>
    <t xml:space="preserve">2026-05-06</t>
  </si>
  <si>
    <t xml:space="preserve">2026-05-07</t>
  </si>
  <si>
    <t xml:space="preserve">2026-05-08</t>
  </si>
  <si>
    <t xml:space="preserve">2026-05-11</t>
  </si>
  <si>
    <t xml:space="preserve">2026-05-12</t>
  </si>
  <si>
    <t xml:space="preserve">2026-05-13</t>
  </si>
  <si>
    <t xml:space="preserve">2026-05-14</t>
  </si>
  <si>
    <t xml:space="preserve">2026-05-15</t>
  </si>
  <si>
    <t xml:space="preserve">2026-05-18</t>
  </si>
  <si>
    <t xml:space="preserve">2026-05-19</t>
  </si>
  <si>
    <t xml:space="preserve">2026-05-20</t>
  </si>
  <si>
    <t xml:space="preserve">2026-05-21</t>
  </si>
  <si>
    <t xml:space="preserve">2026-05-22</t>
  </si>
  <si>
    <t xml:space="preserve">2026-05-25</t>
  </si>
  <si>
    <t xml:space="preserve">2026-05-26</t>
  </si>
  <si>
    <t xml:space="preserve">2026-05-27</t>
  </si>
  <si>
    <t xml:space="preserve">2026-05-28</t>
  </si>
  <si>
    <t xml:space="preserve">2026-05-29</t>
  </si>
  <si>
    <t xml:space="preserve">Rata-rata M1 (01-01)</t>
  </si>
  <si>
    <t xml:space="preserve">Rata-rata M2 (04-08)</t>
  </si>
  <si>
    <t xml:space="preserve">Rata-rata M3 (11-15)</t>
  </si>
  <si>
    <t xml:space="preserve">Rata-rata M4 (18-22)</t>
  </si>
  <si>
    <t xml:space="preserve">Rata-rata M5 (25-29)</t>
  </si>
  <si>
    <t xml:space="preserve">Rata-rata Bulan Mei 2026</t>
  </si>
  <si>
    <t xml:space="preserve">DATA HARGA HARIAN - PASAR PON JOMBANG - JUNI 2026</t>
  </si>
  <si>
    <t xml:space="preserve">2026-06-01</t>
  </si>
  <si>
    <t xml:space="preserve">2026-06-02</t>
  </si>
  <si>
    <t xml:space="preserve">2026-06-03</t>
  </si>
  <si>
    <t xml:space="preserve">2026-06-04</t>
  </si>
  <si>
    <t xml:space="preserve">2026-06-05</t>
  </si>
  <si>
    <t xml:space="preserve">2026-06-08</t>
  </si>
  <si>
    <t xml:space="preserve">2026-06-09</t>
  </si>
  <si>
    <t xml:space="preserve">2026-06-10</t>
  </si>
  <si>
    <t xml:space="preserve">2026-06-11</t>
  </si>
  <si>
    <t xml:space="preserve">2026-06-12</t>
  </si>
  <si>
    <t xml:space="preserve">2026-06-15</t>
  </si>
  <si>
    <t xml:space="preserve">2026-06-16</t>
  </si>
  <si>
    <t xml:space="preserve">2026-06-17</t>
  </si>
  <si>
    <t xml:space="preserve">2026-06-18</t>
  </si>
  <si>
    <t xml:space="preserve">2026-06-19</t>
  </si>
  <si>
    <t xml:space="preserve">2026-06-22</t>
  </si>
  <si>
    <t xml:space="preserve">2026-06-23</t>
  </si>
  <si>
    <t xml:space="preserve">2026-06-24</t>
  </si>
  <si>
    <t xml:space="preserve">2026-06-25</t>
  </si>
  <si>
    <t xml:space="preserve">2026-06-26</t>
  </si>
  <si>
    <t xml:space="preserve">2026-06-29</t>
  </si>
  <si>
    <t xml:space="preserve">2026-06-30</t>
  </si>
  <si>
    <t xml:space="preserve">Rata-rata M5 (29-30)</t>
  </si>
  <si>
    <t xml:space="preserve">Rata-rata Bulan Jun 2026</t>
  </si>
  <si>
    <t xml:space="preserve">DATA HARGA HARIAN - PASAR PON JOMBANG - JULI 2026</t>
  </si>
  <si>
    <t xml:space="preserve">2026-07-01</t>
  </si>
  <si>
    <t xml:space="preserve">2026-07-02</t>
  </si>
  <si>
    <t xml:space="preserve">2026-07-03</t>
  </si>
  <si>
    <t xml:space="preserve">2026-07-06</t>
  </si>
  <si>
    <t xml:space="preserve">2026-07-07</t>
  </si>
  <si>
    <t xml:space="preserve">2026-07-08</t>
  </si>
  <si>
    <t xml:space="preserve">2026-07-09</t>
  </si>
  <si>
    <t xml:space="preserve">2026-07-10</t>
  </si>
  <si>
    <t xml:space="preserve">2026-07-13</t>
  </si>
  <si>
    <t xml:space="preserve">2026-07-14</t>
  </si>
  <si>
    <t xml:space="preserve">2026-07-15</t>
  </si>
  <si>
    <t xml:space="preserve">2026-07-16</t>
  </si>
  <si>
    <t xml:space="preserve">2026-07-17</t>
  </si>
  <si>
    <t xml:space="preserve">2026-07-20</t>
  </si>
  <si>
    <t xml:space="preserve">2026-07-21</t>
  </si>
  <si>
    <t xml:space="preserve">2026-07-22</t>
  </si>
  <si>
    <t xml:space="preserve">2026-07-23</t>
  </si>
  <si>
    <t xml:space="preserve">2026-07-24</t>
  </si>
  <si>
    <t xml:space="preserve">2026-07-27</t>
  </si>
  <si>
    <t xml:space="preserve">2026-07-28</t>
  </si>
  <si>
    <t xml:space="preserve">2026-07-29</t>
  </si>
  <si>
    <t xml:space="preserve">2026-07-30</t>
  </si>
  <si>
    <t xml:space="preserve">2026-07-31</t>
  </si>
  <si>
    <t xml:space="preserve">Rata-rata M5 (27-31)</t>
  </si>
  <si>
    <t xml:space="preserve">Rata-rata Bulan Jul 2026</t>
  </si>
  <si>
    <t xml:space="preserve">DATA HARGA HARIAN - PASAR PON JOMBANG - AGUSTUS 2026</t>
  </si>
  <si>
    <t xml:space="preserve">2026-08-03</t>
  </si>
  <si>
    <t xml:space="preserve">2026-08-04</t>
  </si>
  <si>
    <t xml:space="preserve">2026-08-05</t>
  </si>
  <si>
    <t xml:space="preserve">2026-08-06</t>
  </si>
  <si>
    <t xml:space="preserve">2026-08-07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</si>
  <si>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</si>
  <si>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</si>
  <si>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</si>
  <si>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</si>
  <si>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</si>
  <si>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</si>
  <si>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</si>
  <si>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</si>
  <si>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</si>
  <si>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</si>
  <si>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</si>
  <si>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</si>
  <si>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</si>
  <si>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</si>
  <si>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</si>
  <si>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2026-08-31</t>
  </si>
  <si>
    <t xml:space="preserve">Rata-rata M1 (03-07)</t>
  </si>
  <si>
    <t xml:space="preserve">Rata-rata M2 (10-14)</t>
  </si>
  <si>
    <t xml:space="preserve">Rata-rata M3 (17-21)</t>
  </si>
  <si>
    <t xml:space="preserve">Rata-rata M4 (24-28)</t>
  </si>
  <si>
    <t xml:space="preserve">Rata-rata M5 (31-31)</t>
  </si>
  <si>
    <t xml:space="preserve">Rata-rata Bulan Agu 2026</t>
  </si>
  <si>
    <t xml:space="preserve">DATA HARGA HARIAN - PASAR PON JOMBANG - SEPTEMBER 2026 (mencakup 31 Agustus s/d 30 September, mengikuti minggu kalender Senin-Jumat)</t>
  </si>
  <si>
    <t xml:space="preserve">Sumber: SP2KP Kementerian Perdagangan. Nilai 0 (hari libur pasar) dikecualikan dari rata-rata. Minggu ke-1 mencakup 31 Agustus 2026 (Senin) karena satu minggu kalender dengan awal September.</t>
  </si>
  <si>
    <t xml:space="preserve">2026-09-01</t>
  </si>
  <si>
    <t xml:space="preserve">2026-09-02</t>
  </si>
  <si>
    <t xml:space="preserve">2026-09-03</t>
  </si>
  <si>
    <t xml:space="preserve">2026-09-04</t>
  </si>
  <si>
    <t xml:space="preserve">2026-09-07</t>
  </si>
  <si>
    <t xml:space="preserve">2026-09-08</t>
  </si>
  <si>
    <t xml:space="preserve">2026-09-09</t>
  </si>
  <si>
    <t xml:space="preserve">2026-09-10</t>
  </si>
  <si>
    <t xml:space="preserve">2026-09-11</t>
  </si>
  <si>
    <t xml:space="preserve">2026-09-14</t>
  </si>
  <si>
    <t xml:space="preserve">2026-09-15</t>
  </si>
  <si>
    <t xml:space="preserve">2026-09-16</t>
  </si>
  <si>
    <t xml:space="preserve">2026-09-17</t>
  </si>
  <si>
    <t xml:space="preserve">2026-09-18</t>
  </si>
  <si>
    <t xml:space="preserve">2026-09-21</t>
  </si>
  <si>
    <t xml:space="preserve">2026-09-22</t>
  </si>
  <si>
    <t xml:space="preserve">2026-09-23</t>
  </si>
  <si>
    <t xml:space="preserve">2026-09-24</t>
  </si>
  <si>
    <t xml:space="preserve">2026-09-25</t>
  </si>
  <si>
    <t xml:space="preserve">2026-09-28</t>
  </si>
  <si>
    <t xml:space="preserve">2026-09-29</t>
  </si>
  <si>
    <t xml:space="preserve">2026-09-30</t>
  </si>
  <si>
    <t xml:space="preserve">Rata-rata M1 (08/31-09/04)</t>
  </si>
  <si>
    <t xml:space="preserve">Rata-rata M2 (09/07-09/11)</t>
  </si>
  <si>
    <t xml:space="preserve">Rata-rata M3 (09/14-09/18)</t>
  </si>
  <si>
    <t xml:space="preserve">Rata-rata M4 (09/21-09/25)</t>
  </si>
  <si>
    <t xml:space="preserve">Rata-rata M5 (09/28-09/30)</t>
  </si>
  <si>
    <t xml:space="preserve">Rata-rata Bulan Sep 2026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</si>
</sst>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#,##0.00"/>
    <numFmt numFmtId="167" formatCode="0.00"/>
    <numFmt numFmtId="168" formatCode="#,##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8"/>
      <color rgb="FF80808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8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6F78"/>
        <bgColor rgb="FF008080"/>
      </patternFill>
    </fill>
    <fill>
      <patternFill patternType="solid">
        <fgColor rgb="FFD9E1E2"/>
        <bgColor rgb="FFD9D9D9"/>
      </patternFill>
    </fill>
    <fill>
      <patternFill patternType="solid">
        <fgColor rgb="FFFFE699"/>
        <bgColor rgb="FFFFF2CC"/>
      </patternFill>
    </fill>
    <fill>
      <patternFill patternType="solid">
        <fgColor rgb="FF2E8B94"/>
        <bgColor rgb="FF1F6F78"/>
      </patternFill>
    </fill>
    <fill>
      <patternFill patternType="solid">
        <fgColor rgb="FFFFF2CC"/>
        <bgColor rgb="FFFFE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F78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1E2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3B3B3"/>
      <rgbColor rgb="FF003366"/>
      <rgbColor rgb="FF2E8B9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Growth IPH Mingguan - Januari s/d September 2026 (Pasar Pon Jombang)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'Ringkasan Mingguan 2026'!F3</c:f>
              <c:strCache>
                <c:ptCount val="1"/>
                <c:pt idx="0">
                  <c:v>Growth IPH (%) [utk grafik]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circle"/>
            <c:size val="5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'Ringkasan Mingguan 2026'!$B$4:$B$47</c:f>
              <c:strCache>
                <c:ptCount val="44"/>
                <c:pt idx="0">
                  <c:v>Jan 2026 - M1</c:v>
                </c:pt>
                <c:pt idx="1">
                  <c:v>Jan 2026 - M2</c:v>
                </c:pt>
                <c:pt idx="2">
                  <c:v>Jan 2026 - M3</c:v>
                </c:pt>
                <c:pt idx="3">
                  <c:v>Jan 2026 - M4</c:v>
                </c:pt>
                <c:pt idx="4">
                  <c:v>Jan 2026 - M5</c:v>
                </c:pt>
                <c:pt idx="5">
                  <c:v>Feb 2026 - M1</c:v>
                </c:pt>
                <c:pt idx="6">
                  <c:v>Feb 2026 - M2</c:v>
                </c:pt>
                <c:pt idx="7">
                  <c:v>Feb 2026 - M3</c:v>
                </c:pt>
                <c:pt idx="8">
                  <c:v>Feb 2026 - M4</c:v>
                </c:pt>
                <c:pt idx="9">
                  <c:v>Mar 2026 - M1</c:v>
                </c:pt>
                <c:pt idx="10">
                  <c:v>Mar 2026 - M2</c:v>
                </c:pt>
                <c:pt idx="11">
                  <c:v>Mar 2026 - M3</c:v>
                </c:pt>
                <c:pt idx="12">
                  <c:v>Mar 2026 - M4</c:v>
                </c:pt>
                <c:pt idx="13">
                  <c:v>Mar 2026 - M5</c:v>
                </c:pt>
                <c:pt idx="14">
                  <c:v>Apr 2026 - M1</c:v>
                </c:pt>
                <c:pt idx="15">
                  <c:v>Apr 2026 - M2</c:v>
                </c:pt>
                <c:pt idx="16">
                  <c:v>Apr 2026 - M3</c:v>
                </c:pt>
                <c:pt idx="17">
                  <c:v>Apr 2026 - M4</c:v>
                </c:pt>
                <c:pt idx="18">
                  <c:v>Apr 2026 - M5</c:v>
                </c:pt>
                <c:pt idx="19">
                  <c:v>Mei 2026 - M1</c:v>
                </c:pt>
                <c:pt idx="20">
                  <c:v>Mei 2026 - M2</c:v>
                </c:pt>
                <c:pt idx="21">
                  <c:v>Mei 2026 - M3</c:v>
                </c:pt>
                <c:pt idx="22">
                  <c:v>Mei 2026 - M4</c:v>
                </c:pt>
                <c:pt idx="23">
                  <c:v>Mei 2026 - M5</c:v>
                </c:pt>
                <c:pt idx="24">
                  <c:v>Jun 2026 - M1</c:v>
                </c:pt>
                <c:pt idx="25">
                  <c:v>Jun 2026 - M2</c:v>
                </c:pt>
                <c:pt idx="26">
                  <c:v>Jun 2026 - M3</c:v>
                </c:pt>
                <c:pt idx="27">
                  <c:v>Jun 2026 - M4</c:v>
                </c:pt>
                <c:pt idx="28">
                  <c:v>Jun 2026 - M5</c:v>
                </c:pt>
                <c:pt idx="29">
                  <c:v>Jul 2026 - M1</c:v>
                </c:pt>
                <c:pt idx="30">
                  <c:v>Jul 2026 - M2</c:v>
                </c:pt>
                <c:pt idx="31">
                  <c:v>Jul 2026 - M3</c:v>
                </c:pt>
                <c:pt idx="32">
                  <c:v>Jul 2026 - M4</c:v>
                </c:pt>
                <c:pt idx="33">
                  <c:v>Jul 2026 - M5</c:v>
                </c:pt>
                <c:pt idx="34">
                  <c:v>Agu 2026 - M1</c:v>
                </c:pt>
                <c:pt idx="35">
                  <c:v>Agu 2026 - M2</c:v>
                </c:pt>
                <c:pt idx="36">
                  <c:v>Agu 2026 - M3</c:v>
                </c:pt>
                <c:pt idx="37">
                  <c:v>Agu 2026 - M4</c:v>
                </c:pt>
                <c:pt idx="38">
                  <c:v>Agu 2026 - M5</c:v>
                </c:pt>
                <c:pt idx="39">
                  <c:v>Sep 2026 - M1</c:v>
                </c:pt>
                <c:pt idx="40">
                  <c:v>Sep 2026 - M2</c:v>
                </c:pt>
                <c:pt idx="41">
                  <c:v>Sep 2026 - M3</c:v>
                </c:pt>
                <c:pt idx="42">
                  <c:v>Sep 2026 - M4</c:v>
                </c:pt>
                <c:pt idx="43">
                  <c:v>Sep 2026 - M5</c:v>
                </c:pt>
              </c:strCache>
            </c:strRef>
          </c:cat>
          <c:val>
            <c:numRef>
              <c:f>'Ringkasan Mingguan 2026'!$F$4:$F$47</c:f>
              <c:numCache>
                <c:formatCode>0.0000</c:formatCode>
                <c:ptCount val="44"/>
                <c:pt idx="0">
                  <c:v>0.00741471161197305</c:v>
                </c:pt>
                <c:pt idx="1">
                  <c:v>0.00741471161197305</c:v>
                </c:pt>
                <c:pt idx="2">
                  <c:v>-0.025212905308741</c:v>
                </c:pt>
                <c:pt idx="3">
                  <c:v>0.247011787139353</c:v>
                </c:pt>
                <c:pt idx="4">
                  <c:v>0.49375014927951</c:v>
                </c:pt>
                <c:pt idx="5">
                  <c:v>2.19694772907459</c:v>
                </c:pt>
                <c:pt idx="6">
                  <c:v>0.681398883585881</c:v>
                </c:pt>
                <c:pt idx="7">
                  <c:v>7.18531986623712</c:v>
                </c:pt>
                <c:pt idx="8">
                  <c:v>6.79365011537317</c:v>
                </c:pt>
                <c:pt idx="9">
                  <c:v>4.68836401247295</c:v>
                </c:pt>
                <c:pt idx="10">
                  <c:v>5.32673203844406</c:v>
                </c:pt>
                <c:pt idx="11">
                  <c:v>7.44130938606695</c:v>
                </c:pt>
                <c:pt idx="12">
                  <c:v>6.36688182494029</c:v>
                </c:pt>
                <c:pt idx="13">
                  <c:v>5.99914949346896</c:v>
                </c:pt>
                <c:pt idx="14">
                  <c:v>-0.384649264090947</c:v>
                </c:pt>
                <c:pt idx="15">
                  <c:v>-0.755038370066223</c:v>
                </c:pt>
                <c:pt idx="16">
                  <c:v>-0.920146145660062</c:v>
                </c:pt>
                <c:pt idx="17">
                  <c:v>-0.323462232616148</c:v>
                </c:pt>
                <c:pt idx="18">
                  <c:v>-0.267179134114271</c:v>
                </c:pt>
                <c:pt idx="20">
                  <c:v>1.40090854210373</c:v>
                </c:pt>
                <c:pt idx="21">
                  <c:v>1.71512163181641</c:v>
                </c:pt>
                <c:pt idx="22">
                  <c:v>1.561620868828</c:v>
                </c:pt>
                <c:pt idx="23">
                  <c:v>1.26149875908524</c:v>
                </c:pt>
                <c:pt idx="24">
                  <c:v>-1.10353008272993</c:v>
                </c:pt>
                <c:pt idx="25">
                  <c:v>-1.54453778789781</c:v>
                </c:pt>
                <c:pt idx="26">
                  <c:v>-1.49257610987972</c:v>
                </c:pt>
                <c:pt idx="27">
                  <c:v>-1.99408191443139</c:v>
                </c:pt>
                <c:pt idx="28">
                  <c:v>-2.07535923021486</c:v>
                </c:pt>
                <c:pt idx="29">
                  <c:v>-0.665533966367144</c:v>
                </c:pt>
                <c:pt idx="30">
                  <c:v>-0.728633841930944</c:v>
                </c:pt>
                <c:pt idx="31">
                  <c:v>-0.728633841930944</c:v>
                </c:pt>
                <c:pt idx="32">
                  <c:v>-0.65824272080091</c:v>
                </c:pt>
                <c:pt idx="33">
                  <c:v>-0.391499947223847</c:v>
                </c:pt>
                <c:pt idx="34">
                  <c:v>0.00279175474360373</c:v>
                </c:pt>
                <c:pt idx="35">
                  <c:v>-0.0986186565254684</c:v>
                </c:pt>
                <c:pt idx="36">
                  <c:v>0.138246812295891</c:v>
                </c:pt>
                <c:pt idx="37">
                  <c:v>0.358008829432327</c:v>
                </c:pt>
                <c:pt idx="39">
                  <c:v>0.30409181434486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6066978"/>
        <c:axId val="96013096"/>
      </c:lineChart>
      <c:catAx>
        <c:axId val="4606697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Minggu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013096"/>
        <c:crosses val="autoZero"/>
        <c:auto val="1"/>
        <c:lblAlgn val="ctr"/>
        <c:lblOffset val="100"/>
        <c:noMultiLvlLbl val="0"/>
      </c:catAx>
      <c:valAx>
        <c:axId val="9601309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Growth IPH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0669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0</xdr:rowOff>
    </xdr:from>
    <xdr:to>
      <xdr:col>25</xdr:col>
      <xdr:colOff>511920</xdr:colOff>
      <xdr:row>22</xdr:row>
      <xdr:rowOff>151200</xdr:rowOff>
    </xdr:to>
    <xdr:graphicFrame>
      <xdr:nvGraphicFramePr>
        <xdr:cNvPr id="0" name="Chart 1"/>
        <xdr:cNvGraphicFramePr/>
      </xdr:nvGraphicFramePr>
      <xdr:xfrm>
        <a:off x="6814080" y="523800"/>
        <a:ext cx="11519280" cy="35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8"/>
    <col collapsed="false" customWidth="true" hidden="false" outlineLevel="0" max="3" min="3" style="1" width="24"/>
    <col collapsed="false" customWidth="true" hidden="false" outlineLevel="0" max="4" min="4" style="1" width="15"/>
    <col collapsed="false" customWidth="true" hidden="false" outlineLevel="0" max="5" min="5" style="1" width="10"/>
    <col collapsed="false" customWidth="true" hidden="false" outlineLevel="0" max="6" min="6" style="1" width="16"/>
  </cols>
  <sheetData>
    <row r="1" customFormat="false" ht="26.25" hidden="false" customHeight="true" outlineLevel="0" collapsed="false">
      <c r="A1" s="2" t="s">
        <v>0</v>
      </c>
      <c r="B1" s="2"/>
      <c r="C1" s="2"/>
      <c r="D1" s="2"/>
      <c r="E1" s="2"/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4" t="s">
        <v>6</v>
      </c>
    </row>
    <row r="4" customFormat="false" ht="13.5" hidden="false" customHeight="true" outlineLevel="0" collapsed="false">
      <c r="A4" s="5" t="n">
        <v>1</v>
      </c>
      <c r="B4" s="6" t="s">
        <v>7</v>
      </c>
      <c r="C4" s="5" t="s">
        <v>8</v>
      </c>
      <c r="D4" s="7" t="n">
        <f aca="false">'Perhitungan IPH Mingguan 2026'!F26</f>
        <v>0.00741471161197305</v>
      </c>
      <c r="E4" s="5" t="str">
        <f aca="false">IF(ISNUMBER(D4),IF(D4&gt;0,"Naik",IF(D4&lt;0,"Turun","Tetap")),"-")</f>
        <v>Naik</v>
      </c>
      <c r="F4" s="8" t="n">
        <f aca="false">IFERROR(IF(ISNUMBER(D4),D4,NA()),NA())</f>
        <v>0.00741471161197305</v>
      </c>
    </row>
    <row r="5" customFormat="false" ht="13.5" hidden="false" customHeight="true" outlineLevel="0" collapsed="false">
      <c r="A5" s="5" t="n">
        <v>2</v>
      </c>
      <c r="B5" s="6" t="s">
        <v>9</v>
      </c>
      <c r="C5" s="5" t="s">
        <v>10</v>
      </c>
      <c r="D5" s="7" t="n">
        <f aca="false">'Perhitungan IPH Mingguan 2026'!I26</f>
        <v>0.00741471161197305</v>
      </c>
      <c r="E5" s="5" t="str">
        <f aca="false">IF(ISNUMBER(D5),IF(D5&gt;0,"Naik",IF(D5&lt;0,"Turun","Tetap")),"-")</f>
        <v>Naik</v>
      </c>
      <c r="F5" s="8" t="n">
        <f aca="false">IFERROR(IF(ISNUMBER(D5),D5,NA()),NA())</f>
        <v>0.00741471161197305</v>
      </c>
    </row>
    <row r="6" customFormat="false" ht="13.5" hidden="false" customHeight="true" outlineLevel="0" collapsed="false">
      <c r="A6" s="5" t="n">
        <v>3</v>
      </c>
      <c r="B6" s="6" t="s">
        <v>11</v>
      </c>
      <c r="C6" s="5" t="s">
        <v>12</v>
      </c>
      <c r="D6" s="7" t="n">
        <f aca="false">'Perhitungan IPH Mingguan 2026'!L26</f>
        <v>-0.025212905308741</v>
      </c>
      <c r="E6" s="5" t="str">
        <f aca="false">IF(ISNUMBER(D6),IF(D6&gt;0,"Naik",IF(D6&lt;0,"Turun","Tetap")),"-")</f>
        <v>Turun</v>
      </c>
      <c r="F6" s="8" t="n">
        <f aca="false">IFERROR(IF(ISNUMBER(D6),D6,NA()),NA())</f>
        <v>-0.025212905308741</v>
      </c>
    </row>
    <row r="7" customFormat="false" ht="13.5" hidden="false" customHeight="true" outlineLevel="0" collapsed="false">
      <c r="A7" s="5" t="n">
        <v>4</v>
      </c>
      <c r="B7" s="6" t="s">
        <v>13</v>
      </c>
      <c r="C7" s="5" t="s">
        <v>14</v>
      </c>
      <c r="D7" s="7" t="n">
        <f aca="false">'Perhitungan IPH Mingguan 2026'!O26</f>
        <v>0.247011787139353</v>
      </c>
      <c r="E7" s="5" t="str">
        <f aca="false">IF(ISNUMBER(D7),IF(D7&gt;0,"Naik",IF(D7&lt;0,"Turun","Tetap")),"-")</f>
        <v>Naik</v>
      </c>
      <c r="F7" s="8" t="n">
        <f aca="false">IFERROR(IF(ISNUMBER(D7),D7,NA()),NA())</f>
        <v>0.247011787139353</v>
      </c>
    </row>
    <row r="8" customFormat="false" ht="13.5" hidden="false" customHeight="true" outlineLevel="0" collapsed="false">
      <c r="A8" s="5" t="n">
        <v>5</v>
      </c>
      <c r="B8" s="6" t="s">
        <v>15</v>
      </c>
      <c r="C8" s="5" t="s">
        <v>16</v>
      </c>
      <c r="D8" s="7" t="n">
        <f aca="false">'Perhitungan IPH Mingguan 2026'!R26</f>
        <v>0.49375014927951</v>
      </c>
      <c r="E8" s="5" t="str">
        <f aca="false">IF(ISNUMBER(D8),IF(D8&gt;0,"Naik",IF(D8&lt;0,"Turun","Tetap")),"-")</f>
        <v>Naik</v>
      </c>
      <c r="F8" s="8" t="n">
        <f aca="false">IFERROR(IF(ISNUMBER(D8),D8,NA()),NA())</f>
        <v>0.49375014927951</v>
      </c>
    </row>
    <row r="9" customFormat="false" ht="13.5" hidden="false" customHeight="true" outlineLevel="0" collapsed="false">
      <c r="A9" s="5" t="n">
        <v>6</v>
      </c>
      <c r="B9" s="6" t="s">
        <v>17</v>
      </c>
      <c r="C9" s="5" t="s">
        <v>18</v>
      </c>
      <c r="D9" s="7" t="n">
        <f aca="false">'Perhitungan IPH Mingguan 2026'!U26</f>
        <v>2.19694772907459</v>
      </c>
      <c r="E9" s="5" t="str">
        <f aca="false">IF(ISNUMBER(D9),IF(D9&gt;0,"Naik",IF(D9&lt;0,"Turun","Tetap")),"-")</f>
        <v>Naik</v>
      </c>
      <c r="F9" s="8" t="n">
        <f aca="false">IFERROR(IF(ISNUMBER(D9),D9,NA()),NA())</f>
        <v>2.19694772907459</v>
      </c>
    </row>
    <row r="10" customFormat="false" ht="13.5" hidden="false" customHeight="true" outlineLevel="0" collapsed="false">
      <c r="A10" s="5" t="n">
        <v>7</v>
      </c>
      <c r="B10" s="6" t="s">
        <v>19</v>
      </c>
      <c r="C10" s="5" t="s">
        <v>20</v>
      </c>
      <c r="D10" s="7" t="n">
        <f aca="false">'Perhitungan IPH Mingguan 2026'!X26</f>
        <v>0.681398883585881</v>
      </c>
      <c r="E10" s="5" t="str">
        <f aca="false">IF(ISNUMBER(D10),IF(D10&gt;0,"Naik",IF(D10&lt;0,"Turun","Tetap")),"-")</f>
        <v>Naik</v>
      </c>
      <c r="F10" s="8" t="n">
        <f aca="false">IFERROR(IF(ISNUMBER(D10),D10,NA()),NA())</f>
        <v>0.681398883585881</v>
      </c>
    </row>
    <row r="11" customFormat="false" ht="13.5" hidden="false" customHeight="true" outlineLevel="0" collapsed="false">
      <c r="A11" s="5" t="n">
        <v>8</v>
      </c>
      <c r="B11" s="6" t="s">
        <v>21</v>
      </c>
      <c r="C11" s="5" t="s">
        <v>22</v>
      </c>
      <c r="D11" s="7" t="n">
        <f aca="false">'Perhitungan IPH Mingguan 2026'!AA26</f>
        <v>7.18531986623712</v>
      </c>
      <c r="E11" s="5" t="str">
        <f aca="false">IF(ISNUMBER(D11),IF(D11&gt;0,"Naik",IF(D11&lt;0,"Turun","Tetap")),"-")</f>
        <v>Naik</v>
      </c>
      <c r="F11" s="8" t="n">
        <f aca="false">IFERROR(IF(ISNUMBER(D11),D11,NA()),NA())</f>
        <v>7.18531986623712</v>
      </c>
    </row>
    <row r="12" customFormat="false" ht="13.5" hidden="false" customHeight="true" outlineLevel="0" collapsed="false">
      <c r="A12" s="5" t="n">
        <v>9</v>
      </c>
      <c r="B12" s="6" t="s">
        <v>23</v>
      </c>
      <c r="C12" s="5" t="s">
        <v>24</v>
      </c>
      <c r="D12" s="7" t="n">
        <f aca="false">'Perhitungan IPH Mingguan 2026'!AD26</f>
        <v>6.79365011537317</v>
      </c>
      <c r="E12" s="5" t="str">
        <f aca="false">IF(ISNUMBER(D12),IF(D12&gt;0,"Naik",IF(D12&lt;0,"Turun","Tetap")),"-")</f>
        <v>Naik</v>
      </c>
      <c r="F12" s="8" t="n">
        <f aca="false">IFERROR(IF(ISNUMBER(D12),D12,NA()),NA())</f>
        <v>6.79365011537317</v>
      </c>
    </row>
    <row r="13" customFormat="false" ht="13.5" hidden="false" customHeight="true" outlineLevel="0" collapsed="false">
      <c r="A13" s="5" t="n">
        <v>10</v>
      </c>
      <c r="B13" s="6" t="s">
        <v>25</v>
      </c>
      <c r="C13" s="5" t="s">
        <v>26</v>
      </c>
      <c r="D13" s="7" t="n">
        <f aca="false">'Perhitungan IPH Mingguan 2026'!AG26</f>
        <v>4.68836401247295</v>
      </c>
      <c r="E13" s="5" t="str">
        <f aca="false">IF(ISNUMBER(D13),IF(D13&gt;0,"Naik",IF(D13&lt;0,"Turun","Tetap")),"-")</f>
        <v>Naik</v>
      </c>
      <c r="F13" s="8" t="n">
        <f aca="false">IFERROR(IF(ISNUMBER(D13),D13,NA()),NA())</f>
        <v>4.68836401247295</v>
      </c>
    </row>
    <row r="14" customFormat="false" ht="13.5" hidden="false" customHeight="true" outlineLevel="0" collapsed="false">
      <c r="A14" s="5" t="n">
        <v>11</v>
      </c>
      <c r="B14" s="6" t="s">
        <v>27</v>
      </c>
      <c r="C14" s="5" t="s">
        <v>28</v>
      </c>
      <c r="D14" s="7" t="n">
        <f aca="false">'Perhitungan IPH Mingguan 2026'!AJ26</f>
        <v>5.32673203844406</v>
      </c>
      <c r="E14" s="5" t="str">
        <f aca="false">IF(ISNUMBER(D14),IF(D14&gt;0,"Naik",IF(D14&lt;0,"Turun","Tetap")),"-")</f>
        <v>Naik</v>
      </c>
      <c r="F14" s="8" t="n">
        <f aca="false">IFERROR(IF(ISNUMBER(D14),D14,NA()),NA())</f>
        <v>5.32673203844406</v>
      </c>
    </row>
    <row r="15" customFormat="false" ht="13.5" hidden="false" customHeight="true" outlineLevel="0" collapsed="false">
      <c r="A15" s="5" t="n">
        <v>12</v>
      </c>
      <c r="B15" s="6" t="s">
        <v>29</v>
      </c>
      <c r="C15" s="5" t="s">
        <v>30</v>
      </c>
      <c r="D15" s="7" t="n">
        <f aca="false">'Perhitungan IPH Mingguan 2026'!AM26</f>
        <v>7.44130938606695</v>
      </c>
      <c r="E15" s="5" t="str">
        <f aca="false">IF(ISNUMBER(D15),IF(D15&gt;0,"Naik",IF(D15&lt;0,"Turun","Tetap")),"-")</f>
        <v>Naik</v>
      </c>
      <c r="F15" s="8" t="n">
        <f aca="false">IFERROR(IF(ISNUMBER(D15),D15,NA()),NA())</f>
        <v>7.44130938606695</v>
      </c>
    </row>
    <row r="16" customFormat="false" ht="13.5" hidden="false" customHeight="true" outlineLevel="0" collapsed="false">
      <c r="A16" s="5" t="n">
        <v>13</v>
      </c>
      <c r="B16" s="6" t="s">
        <v>31</v>
      </c>
      <c r="C16" s="5" t="s">
        <v>32</v>
      </c>
      <c r="D16" s="7" t="n">
        <f aca="false">'Perhitungan IPH Mingguan 2026'!AP26</f>
        <v>6.36688182494029</v>
      </c>
      <c r="E16" s="5" t="str">
        <f aca="false">IF(ISNUMBER(D16),IF(D16&gt;0,"Naik",IF(D16&lt;0,"Turun","Tetap")),"-")</f>
        <v>Naik</v>
      </c>
      <c r="F16" s="8" t="n">
        <f aca="false">IFERROR(IF(ISNUMBER(D16),D16,NA()),NA())</f>
        <v>6.36688182494029</v>
      </c>
    </row>
    <row r="17" customFormat="false" ht="13.5" hidden="false" customHeight="true" outlineLevel="0" collapsed="false">
      <c r="A17" s="5" t="n">
        <v>14</v>
      </c>
      <c r="B17" s="6" t="s">
        <v>33</v>
      </c>
      <c r="C17" s="5" t="s">
        <v>34</v>
      </c>
      <c r="D17" s="7" t="n">
        <f aca="false">'Perhitungan IPH Mingguan 2026'!AS26</f>
        <v>5.99914949346896</v>
      </c>
      <c r="E17" s="5" t="str">
        <f aca="false">IF(ISNUMBER(D17),IF(D17&gt;0,"Naik",IF(D17&lt;0,"Turun","Tetap")),"-")</f>
        <v>Naik</v>
      </c>
      <c r="F17" s="8" t="n">
        <f aca="false">IFERROR(IF(ISNUMBER(D17),D17,NA()),NA())</f>
        <v>5.99914949346896</v>
      </c>
    </row>
    <row r="18" customFormat="false" ht="13.5" hidden="false" customHeight="true" outlineLevel="0" collapsed="false">
      <c r="A18" s="5" t="n">
        <v>15</v>
      </c>
      <c r="B18" s="6" t="s">
        <v>35</v>
      </c>
      <c r="C18" s="5" t="s">
        <v>36</v>
      </c>
      <c r="D18" s="7" t="n">
        <f aca="false">'Perhitungan IPH Mingguan 2026'!AV26</f>
        <v>-0.384649264090947</v>
      </c>
      <c r="E18" s="5" t="str">
        <f aca="false">IF(ISNUMBER(D18),IF(D18&gt;0,"Naik",IF(D18&lt;0,"Turun","Tetap")),"-")</f>
        <v>Turun</v>
      </c>
      <c r="F18" s="8" t="n">
        <f aca="false">IFERROR(IF(ISNUMBER(D18),D18,NA()),NA())</f>
        <v>-0.384649264090947</v>
      </c>
    </row>
    <row r="19" customFormat="false" ht="13.5" hidden="false" customHeight="true" outlineLevel="0" collapsed="false">
      <c r="A19" s="5" t="n">
        <v>16</v>
      </c>
      <c r="B19" s="6" t="s">
        <v>37</v>
      </c>
      <c r="C19" s="5" t="s">
        <v>38</v>
      </c>
      <c r="D19" s="7" t="n">
        <f aca="false">'Perhitungan IPH Mingguan 2026'!AY26</f>
        <v>-0.755038370066223</v>
      </c>
      <c r="E19" s="5" t="str">
        <f aca="false">IF(ISNUMBER(D19),IF(D19&gt;0,"Naik",IF(D19&lt;0,"Turun","Tetap")),"-")</f>
        <v>Turun</v>
      </c>
      <c r="F19" s="8" t="n">
        <f aca="false">IFERROR(IF(ISNUMBER(D19),D19,NA()),NA())</f>
        <v>-0.755038370066223</v>
      </c>
    </row>
    <row r="20" customFormat="false" ht="13.5" hidden="false" customHeight="true" outlineLevel="0" collapsed="false">
      <c r="A20" s="5" t="n">
        <v>17</v>
      </c>
      <c r="B20" s="6" t="s">
        <v>39</v>
      </c>
      <c r="C20" s="5" t="s">
        <v>40</v>
      </c>
      <c r="D20" s="7" t="n">
        <f aca="false">'Perhitungan IPH Mingguan 2026'!BB26</f>
        <v>-0.920146145660062</v>
      </c>
      <c r="E20" s="5" t="str">
        <f aca="false">IF(ISNUMBER(D20),IF(D20&gt;0,"Naik",IF(D20&lt;0,"Turun","Tetap")),"-")</f>
        <v>Turun</v>
      </c>
      <c r="F20" s="8" t="n">
        <f aca="false">IFERROR(IF(ISNUMBER(D20),D20,NA()),NA())</f>
        <v>-0.920146145660062</v>
      </c>
    </row>
    <row r="21" customFormat="false" ht="13.5" hidden="false" customHeight="true" outlineLevel="0" collapsed="false">
      <c r="A21" s="5" t="n">
        <v>18</v>
      </c>
      <c r="B21" s="6" t="s">
        <v>41</v>
      </c>
      <c r="C21" s="5" t="s">
        <v>42</v>
      </c>
      <c r="D21" s="7" t="n">
        <f aca="false">'Perhitungan IPH Mingguan 2026'!BE26</f>
        <v>-0.323462232616148</v>
      </c>
      <c r="E21" s="5" t="str">
        <f aca="false">IF(ISNUMBER(D21),IF(D21&gt;0,"Naik",IF(D21&lt;0,"Turun","Tetap")),"-")</f>
        <v>Turun</v>
      </c>
      <c r="F21" s="8" t="n">
        <f aca="false">IFERROR(IF(ISNUMBER(D21),D21,NA()),NA())</f>
        <v>-0.323462232616148</v>
      </c>
    </row>
    <row r="22" customFormat="false" ht="13.5" hidden="false" customHeight="true" outlineLevel="0" collapsed="false">
      <c r="A22" s="5" t="n">
        <v>19</v>
      </c>
      <c r="B22" s="6" t="s">
        <v>43</v>
      </c>
      <c r="C22" s="5" t="s">
        <v>44</v>
      </c>
      <c r="D22" s="7" t="n">
        <f aca="false">'Perhitungan IPH Mingguan 2026'!BH26</f>
        <v>-0.267179134114271</v>
      </c>
      <c r="E22" s="5" t="str">
        <f aca="false">IF(ISNUMBER(D22),IF(D22&gt;0,"Naik",IF(D22&lt;0,"Turun","Tetap")),"-")</f>
        <v>Turun</v>
      </c>
      <c r="F22" s="8" t="n">
        <f aca="false">IFERROR(IF(ISNUMBER(D22),D22,NA()),NA())</f>
        <v>-0.267179134114271</v>
      </c>
    </row>
    <row r="23" customFormat="false" ht="13.5" hidden="false" customHeight="true" outlineLevel="0" collapsed="false">
      <c r="A23" s="5" t="n">
        <v>20</v>
      </c>
      <c r="B23" s="6" t="s">
        <v>45</v>
      </c>
      <c r="C23" s="5" t="s">
        <v>46</v>
      </c>
      <c r="D23" s="7" t="str">
        <f aca="false">'Perhitungan IPH Mingguan 2026'!BK26</f>
        <v>Data tidak tersedia</v>
      </c>
      <c r="E23" s="5" t="str">
        <f aca="false">IF(ISNUMBER(D23),IF(D23&gt;0,"Naik",IF(D23&lt;0,"Turun","Tetap")),"-")</f>
        <v>-</v>
      </c>
      <c r="F23" s="8" t="e">
        <f aca="false">IFERROR(IF(ISNUMBER(D23),D23,NA()),NA())</f>
        <v>#N/A</v>
      </c>
    </row>
    <row r="24" customFormat="false" ht="13.5" hidden="false" customHeight="true" outlineLevel="0" collapsed="false">
      <c r="A24" s="5" t="n">
        <v>21</v>
      </c>
      <c r="B24" s="6" t="s">
        <v>47</v>
      </c>
      <c r="C24" s="5" t="s">
        <v>48</v>
      </c>
      <c r="D24" s="7" t="n">
        <f aca="false">'Perhitungan IPH Mingguan 2026'!BN26</f>
        <v>1.40090854210373</v>
      </c>
      <c r="E24" s="5" t="str">
        <f aca="false">IF(ISNUMBER(D24),IF(D24&gt;0,"Naik",IF(D24&lt;0,"Turun","Tetap")),"-")</f>
        <v>Naik</v>
      </c>
      <c r="F24" s="8" t="n">
        <f aca="false">IFERROR(IF(ISNUMBER(D24),D24,NA()),NA())</f>
        <v>1.40090854210373</v>
      </c>
    </row>
    <row r="25" customFormat="false" ht="13.5" hidden="false" customHeight="true" outlineLevel="0" collapsed="false">
      <c r="A25" s="5" t="n">
        <v>22</v>
      </c>
      <c r="B25" s="6" t="s">
        <v>49</v>
      </c>
      <c r="C25" s="5" t="s">
        <v>50</v>
      </c>
      <c r="D25" s="7" t="n">
        <f aca="false">'Perhitungan IPH Mingguan 2026'!BQ26</f>
        <v>1.71512163181641</v>
      </c>
      <c r="E25" s="5" t="str">
        <f aca="false">IF(ISNUMBER(D25),IF(D25&gt;0,"Naik",IF(D25&lt;0,"Turun","Tetap")),"-")</f>
        <v>Naik</v>
      </c>
      <c r="F25" s="8" t="n">
        <f aca="false">IFERROR(IF(ISNUMBER(D25),D25,NA()),NA())</f>
        <v>1.71512163181641</v>
      </c>
    </row>
    <row r="26" customFormat="false" ht="13.5" hidden="false" customHeight="true" outlineLevel="0" collapsed="false">
      <c r="A26" s="5" t="n">
        <v>23</v>
      </c>
      <c r="B26" s="6" t="s">
        <v>51</v>
      </c>
      <c r="C26" s="5" t="s">
        <v>52</v>
      </c>
      <c r="D26" s="7" t="n">
        <f aca="false">'Perhitungan IPH Mingguan 2026'!BT26</f>
        <v>1.561620868828</v>
      </c>
      <c r="E26" s="5" t="str">
        <f aca="false">IF(ISNUMBER(D26),IF(D26&gt;0,"Naik",IF(D26&lt;0,"Turun","Tetap")),"-")</f>
        <v>Naik</v>
      </c>
      <c r="F26" s="8" t="n">
        <f aca="false">IFERROR(IF(ISNUMBER(D26),D26,NA()),NA())</f>
        <v>1.561620868828</v>
      </c>
    </row>
    <row r="27" customFormat="false" ht="13.5" hidden="false" customHeight="true" outlineLevel="0" collapsed="false">
      <c r="A27" s="5" t="n">
        <v>24</v>
      </c>
      <c r="B27" s="6" t="s">
        <v>53</v>
      </c>
      <c r="C27" s="5" t="s">
        <v>54</v>
      </c>
      <c r="D27" s="7" t="n">
        <f aca="false">'Perhitungan IPH Mingguan 2026'!BW26</f>
        <v>1.26149875908524</v>
      </c>
      <c r="E27" s="5" t="str">
        <f aca="false">IF(ISNUMBER(D27),IF(D27&gt;0,"Naik",IF(D27&lt;0,"Turun","Tetap")),"-")</f>
        <v>Naik</v>
      </c>
      <c r="F27" s="8" t="n">
        <f aca="false">IFERROR(IF(ISNUMBER(D27),D27,NA()),NA())</f>
        <v>1.26149875908524</v>
      </c>
    </row>
    <row r="28" customFormat="false" ht="13.5" hidden="false" customHeight="true" outlineLevel="0" collapsed="false">
      <c r="A28" s="5" t="n">
        <v>25</v>
      </c>
      <c r="B28" s="6" t="s">
        <v>55</v>
      </c>
      <c r="C28" s="5" t="s">
        <v>56</v>
      </c>
      <c r="D28" s="7" t="n">
        <f aca="false">'Perhitungan IPH Mingguan 2026'!BZ26</f>
        <v>-1.10353008272993</v>
      </c>
      <c r="E28" s="5" t="str">
        <f aca="false">IF(ISNUMBER(D28),IF(D28&gt;0,"Naik",IF(D28&lt;0,"Turun","Tetap")),"-")</f>
        <v>Turun</v>
      </c>
      <c r="F28" s="8" t="n">
        <f aca="false">IFERROR(IF(ISNUMBER(D28),D28,NA()),NA())</f>
        <v>-1.10353008272993</v>
      </c>
    </row>
    <row r="29" customFormat="false" ht="13.5" hidden="false" customHeight="true" outlineLevel="0" collapsed="false">
      <c r="A29" s="5" t="n">
        <v>26</v>
      </c>
      <c r="B29" s="6" t="s">
        <v>57</v>
      </c>
      <c r="C29" s="5" t="s">
        <v>58</v>
      </c>
      <c r="D29" s="7" t="n">
        <f aca="false">'Perhitungan IPH Mingguan 2026'!CC26</f>
        <v>-1.54453778789781</v>
      </c>
      <c r="E29" s="5" t="str">
        <f aca="false">IF(ISNUMBER(D29),IF(D29&gt;0,"Naik",IF(D29&lt;0,"Turun","Tetap")),"-")</f>
        <v>Turun</v>
      </c>
      <c r="F29" s="8" t="n">
        <f aca="false">IFERROR(IF(ISNUMBER(D29),D29,NA()),NA())</f>
        <v>-1.54453778789781</v>
      </c>
    </row>
    <row r="30" customFormat="false" ht="13.5" hidden="false" customHeight="true" outlineLevel="0" collapsed="false">
      <c r="A30" s="5" t="n">
        <v>27</v>
      </c>
      <c r="B30" s="6" t="s">
        <v>59</v>
      </c>
      <c r="C30" s="5" t="s">
        <v>60</v>
      </c>
      <c r="D30" s="7" t="n">
        <f aca="false">'Perhitungan IPH Mingguan 2026'!CF26</f>
        <v>-1.49257610987972</v>
      </c>
      <c r="E30" s="5" t="str">
        <f aca="false">IF(ISNUMBER(D30),IF(D30&gt;0,"Naik",IF(D30&lt;0,"Turun","Tetap")),"-")</f>
        <v>Turun</v>
      </c>
      <c r="F30" s="8" t="n">
        <f aca="false">IFERROR(IF(ISNUMBER(D30),D30,NA()),NA())</f>
        <v>-1.49257610987972</v>
      </c>
    </row>
    <row r="31" customFormat="false" ht="13.5" hidden="false" customHeight="true" outlineLevel="0" collapsed="false">
      <c r="A31" s="5" t="n">
        <v>28</v>
      </c>
      <c r="B31" s="6" t="s">
        <v>61</v>
      </c>
      <c r="C31" s="5" t="s">
        <v>62</v>
      </c>
      <c r="D31" s="7" t="n">
        <f aca="false">'Perhitungan IPH Mingguan 2026'!CI26</f>
        <v>-1.99408191443139</v>
      </c>
      <c r="E31" s="5" t="str">
        <f aca="false">IF(ISNUMBER(D31),IF(D31&gt;0,"Naik",IF(D31&lt;0,"Turun","Tetap")),"-")</f>
        <v>Turun</v>
      </c>
      <c r="F31" s="8" t="n">
        <f aca="false">IFERROR(IF(ISNUMBER(D31),D31,NA()),NA())</f>
        <v>-1.99408191443139</v>
      </c>
    </row>
    <row r="32" customFormat="false" ht="13.5" hidden="false" customHeight="true" outlineLevel="0" collapsed="false">
      <c r="A32" s="5" t="n">
        <v>29</v>
      </c>
      <c r="B32" s="6" t="s">
        <v>63</v>
      </c>
      <c r="C32" s="5" t="s">
        <v>64</v>
      </c>
      <c r="D32" s="7" t="n">
        <f aca="false">'Perhitungan IPH Mingguan 2026'!CL26</f>
        <v>-2.07535923021486</v>
      </c>
      <c r="E32" s="5" t="str">
        <f aca="false">IF(ISNUMBER(D32),IF(D32&gt;0,"Naik",IF(D32&lt;0,"Turun","Tetap")),"-")</f>
        <v>Turun</v>
      </c>
      <c r="F32" s="8" t="n">
        <f aca="false">IFERROR(IF(ISNUMBER(D32),D32,NA()),NA())</f>
        <v>-2.07535923021486</v>
      </c>
    </row>
    <row r="33" customFormat="false" ht="13.5" hidden="false" customHeight="true" outlineLevel="0" collapsed="false">
      <c r="A33" s="5" t="n">
        <v>30</v>
      </c>
      <c r="B33" s="6" t="s">
        <v>65</v>
      </c>
      <c r="C33" s="5" t="s">
        <v>66</v>
      </c>
      <c r="D33" s="7" t="n">
        <f aca="false">'Perhitungan IPH Mingguan 2026'!CO26</f>
        <v>-0.665533966367144</v>
      </c>
      <c r="E33" s="5" t="str">
        <f aca="false">IF(ISNUMBER(D33),IF(D33&gt;0,"Naik",IF(D33&lt;0,"Turun","Tetap")),"-")</f>
        <v>Turun</v>
      </c>
      <c r="F33" s="8" t="n">
        <f aca="false">IFERROR(IF(ISNUMBER(D33),D33,NA()),NA())</f>
        <v>-0.665533966367144</v>
      </c>
    </row>
    <row r="34" customFormat="false" ht="13.5" hidden="false" customHeight="true" outlineLevel="0" collapsed="false">
      <c r="A34" s="5" t="n">
        <v>31</v>
      </c>
      <c r="B34" s="6" t="s">
        <v>67</v>
      </c>
      <c r="C34" s="5" t="s">
        <v>68</v>
      </c>
      <c r="D34" s="7" t="n">
        <f aca="false">'Perhitungan IPH Mingguan 2026'!CR26</f>
        <v>-0.728633841930944</v>
      </c>
      <c r="E34" s="5" t="str">
        <f aca="false">IF(ISNUMBER(D34),IF(D34&gt;0,"Naik",IF(D34&lt;0,"Turun","Tetap")),"-")</f>
        <v>Turun</v>
      </c>
      <c r="F34" s="8" t="n">
        <f aca="false">IFERROR(IF(ISNUMBER(D34),D34,NA()),NA())</f>
        <v>-0.728633841930944</v>
      </c>
    </row>
    <row r="35" customFormat="false" ht="13.5" hidden="false" customHeight="true" outlineLevel="0" collapsed="false">
      <c r="A35" s="5" t="n">
        <v>32</v>
      </c>
      <c r="B35" s="6" t="s">
        <v>69</v>
      </c>
      <c r="C35" s="5" t="s">
        <v>70</v>
      </c>
      <c r="D35" s="7" t="n">
        <f aca="false">'Perhitungan IPH Mingguan 2026'!CU26</f>
        <v>-0.728633841930944</v>
      </c>
      <c r="E35" s="5" t="str">
        <f aca="false">IF(ISNUMBER(D35),IF(D35&gt;0,"Naik",IF(D35&lt;0,"Turun","Tetap")),"-")</f>
        <v>Turun</v>
      </c>
      <c r="F35" s="8" t="n">
        <f aca="false">IFERROR(IF(ISNUMBER(D35),D35,NA()),NA())</f>
        <v>-0.728633841930944</v>
      </c>
    </row>
    <row r="36" customFormat="false" ht="13.5" hidden="false" customHeight="true" outlineLevel="0" collapsed="false">
      <c r="A36" s="5" t="n">
        <v>33</v>
      </c>
      <c r="B36" s="6" t="s">
        <v>71</v>
      </c>
      <c r="C36" s="5" t="s">
        <v>72</v>
      </c>
      <c r="D36" s="7" t="n">
        <f aca="false">'Perhitungan IPH Mingguan 2026'!CX26</f>
        <v>-0.65824272080091</v>
      </c>
      <c r="E36" s="5" t="str">
        <f aca="false">IF(ISNUMBER(D36),IF(D36&gt;0,"Naik",IF(D36&lt;0,"Turun","Tetap")),"-")</f>
        <v>Turun</v>
      </c>
      <c r="F36" s="8" t="n">
        <f aca="false">IFERROR(IF(ISNUMBER(D36),D36,NA()),NA())</f>
        <v>-0.65824272080091</v>
      </c>
    </row>
    <row r="37" customFormat="false" ht="13.5" hidden="false" customHeight="true" outlineLevel="0" collapsed="false">
      <c r="A37" s="5" t="n">
        <v>34</v>
      </c>
      <c r="B37" s="6" t="s">
        <v>73</v>
      </c>
      <c r="C37" s="5" t="s">
        <v>74</v>
      </c>
      <c r="D37" s="7" t="n">
        <f aca="false">'Perhitungan IPH Mingguan 2026'!DA26</f>
        <v>-0.391499947223847</v>
      </c>
      <c r="E37" s="5" t="str">
        <f aca="false">IF(ISNUMBER(D37),IF(D37&gt;0,"Naik",IF(D37&lt;0,"Turun","Tetap")),"-")</f>
        <v>Turun</v>
      </c>
      <c r="F37" s="8" t="n">
        <f aca="false">IFERROR(IF(ISNUMBER(D37),D37,NA()),NA())</f>
        <v>-0.391499947223847</v>
      </c>
    </row>
    <row r="38" customFormat="false" ht="13.5" hidden="false" customHeight="true" outlineLevel="0" collapsed="false">
      <c r="A38" s="5" t="n">
        <v>35</v>
      </c>
      <c r="B38" s="6" t="s">
        <v>75</v>
      </c>
      <c r="C38" s="5" t="s">
        <v>76</v>
      </c>
      <c r="D38" s="7" t="n">
        <f aca="false">'Perhitungan IPH Mingguan 2026'!DD26</f>
        <v>0.00279175474360373</v>
      </c>
      <c r="E38" s="5" t="str">
        <f aca="false">IF(ISNUMBER(D38),IF(D38&gt;0,"Naik",IF(D38&lt;0,"Turun","Tetap")),"-")</f>
        <v>Naik</v>
      </c>
      <c r="F38" s="8" t="n">
        <f aca="false">IFERROR(IF(ISNUMBER(D38),D38,NA()),NA())</f>
        <v>0.00279175474360373</v>
      </c>
    </row>
    <row r="39" customFormat="false" ht="13.5" hidden="false" customHeight="true" outlineLevel="0" collapsed="false">
      <c r="A39" s="5" t="n">
        <v>36</v>
      </c>
      <c r="B39" s="6" t="s">
        <v>77</v>
      </c>
      <c r="C39" s="5" t="s">
        <v>78</v>
      </c>
      <c r="D39" s="7" t="n">
        <f aca="false">'Perhitungan IPH Mingguan 2026'!DG26</f>
        <v>-0.0986186565254684</v>
      </c>
      <c r="E39" s="5" t="str">
        <f aca="false">IF(ISNUMBER(D39),IF(D39&gt;0,"Naik",IF(D39&lt;0,"Turun","Tetap")),"-")</f>
        <v>Turun</v>
      </c>
      <c r="F39" s="8" t="n">
        <f aca="false">IFERROR(IF(ISNUMBER(D39),D39,NA()),NA())</f>
        <v>-0.0986186565254684</v>
      </c>
    </row>
    <row r="40" customFormat="false" ht="13.5" hidden="false" customHeight="true" outlineLevel="0" collapsed="false">
      <c r="A40" s="5" t="n">
        <v>37</v>
      </c>
      <c r="B40" s="6" t="s">
        <v>79</v>
      </c>
      <c r="C40" s="5" t="s">
        <v>80</v>
      </c>
      <c r="D40" s="7" t="n">
        <f aca="false">'Perhitungan IPH Mingguan 2026'!DJ26</f>
        <v>0.138246812295891</v>
      </c>
      <c r="E40" s="5" t="str">
        <f aca="false">IF(ISNUMBER(D40),IF(D40&gt;0,"Naik",IF(D40&lt;0,"Turun","Tetap")),"-")</f>
        <v>Naik</v>
      </c>
      <c r="F40" s="8" t="n">
        <f aca="false">IFERROR(IF(ISNUMBER(D40),D40,NA()),NA())</f>
        <v>0.138246812295891</v>
      </c>
    </row>
    <row r="41" customFormat="false" ht="13.5" hidden="false" customHeight="true" outlineLevel="0" collapsed="false">
      <c r="A41" s="5" t="n">
        <v>38</v>
      </c>
      <c r="B41" s="6" t="s">
        <v>81</v>
      </c>
      <c r="C41" s="5" t="s">
        <v>82</v>
      </c>
      <c r="D41" s="7" t="n">
        <f aca="false">'Perhitungan IPH Mingguan 2026'!DM26</f>
        <v>0.358008829432327</v>
      </c>
      <c r="E41" s="5" t="str">
        <f aca="false">IF(ISNUMBER(D41),IF(D41&gt;0,"Naik",IF(D41&lt;0,"Turun","Tetap")),"-")</f>
        <v>Naik</v>
      </c>
      <c r="F41" s="8" t="n">
        <f aca="false">IFERROR(IF(ISNUMBER(D41),D41,NA()),NA())</f>
        <v>0.358008829432327</v>
      </c>
    </row>
    <row r="42" customFormat="false" ht="13.5" hidden="false" customHeight="true" outlineLevel="0" collapsed="false">
      <c r="A42" s="5" t="n">
        <v>39</v>
      </c>
      <c r="B42" s="6" t="s">
        <v>83</v>
      </c>
      <c r="C42" s="5" t="s">
        <v>84</v>
      </c>
      <c r="D42" s="7" t="str">
        <f aca="false">'Perhitungan IPH Mingguan 2026'!DP26</f>
        <v>Data tidak tersedia</v>
      </c>
      <c r="E42" s="5" t="str">
        <f aca="false">IF(ISNUMBER(D42),IF(D42&gt;0,"Naik",IF(D42&lt;0,"Turun","Tetap")),"-")</f>
        <v>-</v>
      </c>
      <c r="F42" s="8" t="e">
        <f aca="false">IFERROR(IF(ISNUMBER(D42),D42,NA()),NA())</f>
        <v>#N/A</v>
      </c>
    </row>
    <row r="43" customFormat="false" ht="13.5" hidden="false" customHeight="true" outlineLevel="0" collapsed="false">
      <c r="A43" s="9" t="n">
        <v>40</v>
      </c>
      <c r="B43" s="10" t="s">
        <v>85</v>
      </c>
      <c r="C43" s="9" t="s">
        <v>86</v>
      </c>
      <c r="D43" s="11" t="n">
        <f aca="false">'Perhitungan IPH Mingguan 2026'!DS26</f>
        <v>0.30409181434486</v>
      </c>
      <c r="E43" s="9" t="str">
        <f aca="false">IF(ISNUMBER(D43),IF(D43&gt;0,"Naik",IF(D43&lt;0,"Turun","Tetap")),"-")</f>
        <v>Naik</v>
      </c>
      <c r="F43" s="11" t="n">
        <f aca="false">IFERROR(IF(ISNUMBER(D43),D43,NA()),NA())</f>
        <v>0.30409181434486</v>
      </c>
    </row>
    <row r="44" customFormat="false" ht="13.5" hidden="false" customHeight="true" outlineLevel="0" collapsed="false">
      <c r="A44" s="9" t="n">
        <v>41</v>
      </c>
      <c r="B44" s="10" t="s">
        <v>87</v>
      </c>
      <c r="C44" s="9" t="s">
        <v>88</v>
      </c>
      <c r="D44" s="11" t="str">
        <f aca="false">'Perhitungan IPH Mingguan 2026'!DV26</f>
        <v>Data tidak tersedia</v>
      </c>
      <c r="E44" s="9" t="str">
        <f aca="false">IF(ISNUMBER(D44),IF(D44&gt;0,"Naik",IF(D44&lt;0,"Turun","Tetap")),"-")</f>
        <v>-</v>
      </c>
      <c r="F44" s="11" t="e">
        <f aca="false">IFERROR(IF(ISNUMBER(D44),D44,NA()),NA())</f>
        <v>#N/A</v>
      </c>
    </row>
    <row r="45" customFormat="false" ht="13.5" hidden="false" customHeight="true" outlineLevel="0" collapsed="false">
      <c r="A45" s="9" t="n">
        <v>42</v>
      </c>
      <c r="B45" s="10" t="s">
        <v>89</v>
      </c>
      <c r="C45" s="9" t="s">
        <v>90</v>
      </c>
      <c r="D45" s="11" t="str">
        <f aca="false">'Perhitungan IPH Mingguan 2026'!DY26</f>
        <v>Data tidak tersedia</v>
      </c>
      <c r="E45" s="9" t="str">
        <f aca="false">IF(ISNUMBER(D45),IF(D45&gt;0,"Naik",IF(D45&lt;0,"Turun","Tetap")),"-")</f>
        <v>-</v>
      </c>
      <c r="F45" s="11" t="e">
        <f aca="false">IFERROR(IF(ISNUMBER(D45),D45,NA()),NA())</f>
        <v>#N/A</v>
      </c>
    </row>
    <row r="46" customFormat="false" ht="13.5" hidden="false" customHeight="true" outlineLevel="0" collapsed="false">
      <c r="A46" s="9" t="n">
        <v>43</v>
      </c>
      <c r="B46" s="10" t="s">
        <v>91</v>
      </c>
      <c r="C46" s="9" t="s">
        <v>92</v>
      </c>
      <c r="D46" s="11" t="str">
        <f aca="false">'Perhitungan IPH Mingguan 2026'!EB26</f>
        <v>Data tidak tersedia</v>
      </c>
      <c r="E46" s="9" t="str">
        <f aca="false">IF(ISNUMBER(D46),IF(D46&gt;0,"Naik",IF(D46&lt;0,"Turun","Tetap")),"-")</f>
        <v>-</v>
      </c>
      <c r="F46" s="11" t="e">
        <f aca="false">IFERROR(IF(ISNUMBER(D46),D46,NA()),NA())</f>
        <v>#N/A</v>
      </c>
    </row>
    <row r="47" customFormat="false" ht="13.5" hidden="false" customHeight="true" outlineLevel="0" collapsed="false">
      <c r="A47" s="9" t="n">
        <v>44</v>
      </c>
      <c r="B47" s="10" t="s">
        <v>93</v>
      </c>
      <c r="C47" s="9" t="s">
        <v>94</v>
      </c>
      <c r="D47" s="11" t="str">
        <f aca="false">'Perhitungan IPH Mingguan 2026'!EE26</f>
        <v>Data tidak tersedia</v>
      </c>
      <c r="E47" s="9" t="str">
        <f aca="false">IF(ISNUMBER(D47),IF(D47&gt;0,"Naik",IF(D47&lt;0,"Turun","Tetap")),"-")</f>
        <v>-</v>
      </c>
      <c r="F47" s="11" t="e">
        <f aca="false">IFERROR(IF(ISNUMBER(D47),D47,NA()),NA())</f>
        <v>#N/A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X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10"/>
    <col collapsed="false" customWidth="true" hidden="false" outlineLevel="0" max="160" min="4" style="1" width="9"/>
    <col collapsed="false" customWidth="true" hidden="false" outlineLevel="0" max="180" min="176" style="1" width="9"/>
  </cols>
  <sheetData>
    <row r="1" customFormat="false" ht="26.25" hidden="false" customHeight="true" outlineLevel="0" collapsed="false">
      <c r="A1" s="2" t="s">
        <v>95</v>
      </c>
      <c r="B1" s="2"/>
      <c r="C1" s="2"/>
      <c r="D1" s="2"/>
      <c r="E1" s="2"/>
      <c r="F1" s="2"/>
    </row>
    <row r="2" customFormat="false" ht="27.75" hidden="false" customHeight="true" outlineLevel="0" collapsed="false">
      <c r="A2" s="12" t="s">
        <v>96</v>
      </c>
      <c r="B2" s="12"/>
      <c r="C2" s="12"/>
      <c r="D2" s="12"/>
      <c r="E2" s="12"/>
      <c r="F2" s="12"/>
    </row>
    <row r="4" customFormat="false" ht="19.5" hidden="false" customHeight="true" outlineLevel="0" collapsed="false">
      <c r="D4" s="13" t="s">
        <v>97</v>
      </c>
      <c r="E4" s="13"/>
      <c r="F4" s="13"/>
      <c r="G4" s="13" t="s">
        <v>98</v>
      </c>
      <c r="H4" s="13"/>
      <c r="I4" s="13"/>
      <c r="J4" s="13" t="s">
        <v>99</v>
      </c>
      <c r="K4" s="13"/>
      <c r="L4" s="13"/>
      <c r="M4" s="13" t="s">
        <v>100</v>
      </c>
      <c r="N4" s="13"/>
      <c r="O4" s="13"/>
      <c r="P4" s="13" t="s">
        <v>101</v>
      </c>
      <c r="Q4" s="13"/>
      <c r="R4" s="13"/>
      <c r="S4" s="13" t="s">
        <v>102</v>
      </c>
      <c r="T4" s="13"/>
      <c r="U4" s="13"/>
      <c r="V4" s="13" t="s">
        <v>103</v>
      </c>
      <c r="W4" s="13"/>
      <c r="X4" s="13"/>
      <c r="Y4" s="13" t="s">
        <v>104</v>
      </c>
      <c r="Z4" s="13"/>
      <c r="AA4" s="13"/>
      <c r="AB4" s="13" t="s">
        <v>105</v>
      </c>
      <c r="AC4" s="13"/>
      <c r="AD4" s="13"/>
      <c r="AE4" s="13" t="s">
        <v>106</v>
      </c>
      <c r="AF4" s="13"/>
      <c r="AG4" s="13"/>
      <c r="AH4" s="13" t="s">
        <v>107</v>
      </c>
      <c r="AI4" s="13"/>
      <c r="AJ4" s="13"/>
      <c r="AK4" s="13" t="s">
        <v>108</v>
      </c>
      <c r="AL4" s="13"/>
      <c r="AM4" s="13"/>
      <c r="AN4" s="13" t="s">
        <v>109</v>
      </c>
      <c r="AO4" s="13"/>
      <c r="AP4" s="13"/>
      <c r="AQ4" s="13" t="s">
        <v>110</v>
      </c>
      <c r="AR4" s="13"/>
      <c r="AS4" s="13"/>
      <c r="AT4" s="13" t="s">
        <v>111</v>
      </c>
      <c r="AU4" s="13"/>
      <c r="AV4" s="13"/>
      <c r="AW4" s="13" t="s">
        <v>112</v>
      </c>
      <c r="AX4" s="13"/>
      <c r="AY4" s="13"/>
      <c r="AZ4" s="13" t="s">
        <v>113</v>
      </c>
      <c r="BA4" s="13"/>
      <c r="BB4" s="13"/>
      <c r="BC4" s="13" t="s">
        <v>114</v>
      </c>
      <c r="BD4" s="13"/>
      <c r="BE4" s="13"/>
      <c r="BF4" s="13" t="s">
        <v>115</v>
      </c>
      <c r="BG4" s="13"/>
      <c r="BH4" s="13"/>
      <c r="BI4" s="13" t="s">
        <v>116</v>
      </c>
      <c r="BJ4" s="13"/>
      <c r="BK4" s="13"/>
      <c r="BL4" s="13" t="s">
        <v>117</v>
      </c>
      <c r="BM4" s="13"/>
      <c r="BN4" s="13"/>
      <c r="BO4" s="13" t="s">
        <v>118</v>
      </c>
      <c r="BP4" s="13"/>
      <c r="BQ4" s="13"/>
      <c r="BR4" s="13" t="s">
        <v>119</v>
      </c>
      <c r="BS4" s="13"/>
      <c r="BT4" s="13"/>
      <c r="BU4" s="13" t="s">
        <v>120</v>
      </c>
      <c r="BV4" s="13"/>
      <c r="BW4" s="13"/>
      <c r="BX4" s="13" t="s">
        <v>121</v>
      </c>
      <c r="BY4" s="13"/>
      <c r="BZ4" s="13"/>
      <c r="CA4" s="13" t="s">
        <v>122</v>
      </c>
      <c r="CB4" s="13"/>
      <c r="CC4" s="13"/>
      <c r="CD4" s="13" t="s">
        <v>123</v>
      </c>
      <c r="CE4" s="13"/>
      <c r="CF4" s="13"/>
      <c r="CG4" s="13" t="s">
        <v>124</v>
      </c>
      <c r="CH4" s="13"/>
      <c r="CI4" s="13"/>
      <c r="CJ4" s="13" t="s">
        <v>125</v>
      </c>
      <c r="CK4" s="13"/>
      <c r="CL4" s="13"/>
      <c r="CM4" s="13" t="s">
        <v>126</v>
      </c>
      <c r="CN4" s="13"/>
      <c r="CO4" s="13"/>
      <c r="CP4" s="13" t="s">
        <v>127</v>
      </c>
      <c r="CQ4" s="13"/>
      <c r="CR4" s="13"/>
      <c r="CS4" s="13" t="s">
        <v>128</v>
      </c>
      <c r="CT4" s="13"/>
      <c r="CU4" s="13"/>
      <c r="CV4" s="13" t="s">
        <v>129</v>
      </c>
      <c r="CW4" s="13"/>
      <c r="CX4" s="13"/>
      <c r="CY4" s="13" t="s">
        <v>130</v>
      </c>
      <c r="CZ4" s="13"/>
      <c r="DA4" s="13"/>
      <c r="DB4" s="13" t="s">
        <v>131</v>
      </c>
      <c r="DC4" s="13"/>
      <c r="DD4" s="13"/>
      <c r="DE4" s="13" t="s">
        <v>132</v>
      </c>
      <c r="DF4" s="13"/>
      <c r="DG4" s="13"/>
      <c r="DH4" s="13" t="s">
        <v>133</v>
      </c>
      <c r="DI4" s="13"/>
      <c r="DJ4" s="13"/>
      <c r="DK4" s="13" t="s">
        <v>134</v>
      </c>
      <c r="DL4" s="13"/>
      <c r="DM4" s="13"/>
      <c r="DN4" s="13" t="s">
        <v>135</v>
      </c>
      <c r="DO4" s="13"/>
      <c r="DP4" s="13"/>
      <c r="DQ4" s="13" t="s">
        <v>136</v>
      </c>
      <c r="DR4" s="13"/>
      <c r="DS4" s="13"/>
      <c r="DT4" s="13" t="s">
        <v>137</v>
      </c>
      <c r="DU4" s="13"/>
      <c r="DV4" s="13"/>
      <c r="DW4" s="13" t="s">
        <v>138</v>
      </c>
      <c r="DX4" s="13"/>
      <c r="DY4" s="13"/>
      <c r="DZ4" s="13" t="s">
        <v>139</v>
      </c>
      <c r="EA4" s="13"/>
      <c r="EB4" s="13"/>
      <c r="EC4" s="13" t="s">
        <v>140</v>
      </c>
      <c r="ED4" s="13"/>
      <c r="EE4" s="13"/>
    </row>
    <row r="5" customFormat="false" ht="18" hidden="false" customHeight="true" outlineLevel="0" collapsed="false">
      <c r="A5" s="14" t="s">
        <v>1</v>
      </c>
      <c r="B5" s="14" t="s">
        <v>141</v>
      </c>
      <c r="C5" s="14" t="s">
        <v>142</v>
      </c>
      <c r="D5" s="14" t="s">
        <v>143</v>
      </c>
      <c r="E5" s="14" t="s">
        <v>144</v>
      </c>
      <c r="F5" s="14" t="s">
        <v>145</v>
      </c>
      <c r="G5" s="14" t="s">
        <v>143</v>
      </c>
      <c r="H5" s="14" t="s">
        <v>144</v>
      </c>
      <c r="I5" s="14" t="s">
        <v>145</v>
      </c>
      <c r="J5" s="14" t="s">
        <v>143</v>
      </c>
      <c r="K5" s="14" t="s">
        <v>144</v>
      </c>
      <c r="L5" s="14" t="s">
        <v>145</v>
      </c>
      <c r="M5" s="14" t="s">
        <v>143</v>
      </c>
      <c r="N5" s="14" t="s">
        <v>144</v>
      </c>
      <c r="O5" s="14" t="s">
        <v>145</v>
      </c>
      <c r="P5" s="14" t="s">
        <v>143</v>
      </c>
      <c r="Q5" s="14" t="s">
        <v>144</v>
      </c>
      <c r="R5" s="14" t="s">
        <v>145</v>
      </c>
      <c r="S5" s="14" t="s">
        <v>143</v>
      </c>
      <c r="T5" s="14" t="s">
        <v>144</v>
      </c>
      <c r="U5" s="14" t="s">
        <v>145</v>
      </c>
      <c r="V5" s="14" t="s">
        <v>143</v>
      </c>
      <c r="W5" s="14" t="s">
        <v>144</v>
      </c>
      <c r="X5" s="14" t="s">
        <v>145</v>
      </c>
      <c r="Y5" s="14" t="s">
        <v>143</v>
      </c>
      <c r="Z5" s="14" t="s">
        <v>144</v>
      </c>
      <c r="AA5" s="14" t="s">
        <v>145</v>
      </c>
      <c r="AB5" s="14" t="s">
        <v>143</v>
      </c>
      <c r="AC5" s="14" t="s">
        <v>144</v>
      </c>
      <c r="AD5" s="14" t="s">
        <v>145</v>
      </c>
      <c r="AE5" s="14" t="s">
        <v>143</v>
      </c>
      <c r="AF5" s="14" t="s">
        <v>144</v>
      </c>
      <c r="AG5" s="14" t="s">
        <v>145</v>
      </c>
      <c r="AH5" s="14" t="s">
        <v>143</v>
      </c>
      <c r="AI5" s="14" t="s">
        <v>144</v>
      </c>
      <c r="AJ5" s="14" t="s">
        <v>145</v>
      </c>
      <c r="AK5" s="14" t="s">
        <v>143</v>
      </c>
      <c r="AL5" s="14" t="s">
        <v>144</v>
      </c>
      <c r="AM5" s="14" t="s">
        <v>145</v>
      </c>
      <c r="AN5" s="14" t="s">
        <v>143</v>
      </c>
      <c r="AO5" s="14" t="s">
        <v>144</v>
      </c>
      <c r="AP5" s="14" t="s">
        <v>145</v>
      </c>
      <c r="AQ5" s="14" t="s">
        <v>143</v>
      </c>
      <c r="AR5" s="14" t="s">
        <v>144</v>
      </c>
      <c r="AS5" s="14" t="s">
        <v>145</v>
      </c>
      <c r="AT5" s="14" t="s">
        <v>143</v>
      </c>
      <c r="AU5" s="14" t="s">
        <v>144</v>
      </c>
      <c r="AV5" s="14" t="s">
        <v>145</v>
      </c>
      <c r="AW5" s="14" t="s">
        <v>143</v>
      </c>
      <c r="AX5" s="14" t="s">
        <v>144</v>
      </c>
      <c r="AY5" s="14" t="s">
        <v>145</v>
      </c>
      <c r="AZ5" s="14" t="s">
        <v>143</v>
      </c>
      <c r="BA5" s="14" t="s">
        <v>144</v>
      </c>
      <c r="BB5" s="14" t="s">
        <v>145</v>
      </c>
      <c r="BC5" s="14" t="s">
        <v>143</v>
      </c>
      <c r="BD5" s="14" t="s">
        <v>144</v>
      </c>
      <c r="BE5" s="14" t="s">
        <v>145</v>
      </c>
      <c r="BF5" s="14" t="s">
        <v>143</v>
      </c>
      <c r="BG5" s="14" t="s">
        <v>144</v>
      </c>
      <c r="BH5" s="14" t="s">
        <v>145</v>
      </c>
      <c r="BI5" s="14" t="s">
        <v>143</v>
      </c>
      <c r="BJ5" s="14" t="s">
        <v>144</v>
      </c>
      <c r="BK5" s="14" t="s">
        <v>145</v>
      </c>
      <c r="BL5" s="14" t="s">
        <v>143</v>
      </c>
      <c r="BM5" s="14" t="s">
        <v>144</v>
      </c>
      <c r="BN5" s="14" t="s">
        <v>145</v>
      </c>
      <c r="BO5" s="14" t="s">
        <v>143</v>
      </c>
      <c r="BP5" s="14" t="s">
        <v>144</v>
      </c>
      <c r="BQ5" s="14" t="s">
        <v>145</v>
      </c>
      <c r="BR5" s="14" t="s">
        <v>143</v>
      </c>
      <c r="BS5" s="14" t="s">
        <v>144</v>
      </c>
      <c r="BT5" s="14" t="s">
        <v>145</v>
      </c>
      <c r="BU5" s="14" t="s">
        <v>143</v>
      </c>
      <c r="BV5" s="14" t="s">
        <v>144</v>
      </c>
      <c r="BW5" s="14" t="s">
        <v>145</v>
      </c>
      <c r="BX5" s="14" t="s">
        <v>143</v>
      </c>
      <c r="BY5" s="14" t="s">
        <v>144</v>
      </c>
      <c r="BZ5" s="14" t="s">
        <v>145</v>
      </c>
      <c r="CA5" s="14" t="s">
        <v>143</v>
      </c>
      <c r="CB5" s="14" t="s">
        <v>144</v>
      </c>
      <c r="CC5" s="14" t="s">
        <v>145</v>
      </c>
      <c r="CD5" s="14" t="s">
        <v>143</v>
      </c>
      <c r="CE5" s="14" t="s">
        <v>144</v>
      </c>
      <c r="CF5" s="14" t="s">
        <v>145</v>
      </c>
      <c r="CG5" s="14" t="s">
        <v>143</v>
      </c>
      <c r="CH5" s="14" t="s">
        <v>144</v>
      </c>
      <c r="CI5" s="14" t="s">
        <v>145</v>
      </c>
      <c r="CJ5" s="14" t="s">
        <v>143</v>
      </c>
      <c r="CK5" s="14" t="s">
        <v>144</v>
      </c>
      <c r="CL5" s="14" t="s">
        <v>145</v>
      </c>
      <c r="CM5" s="14" t="s">
        <v>143</v>
      </c>
      <c r="CN5" s="14" t="s">
        <v>144</v>
      </c>
      <c r="CO5" s="14" t="s">
        <v>145</v>
      </c>
      <c r="CP5" s="14" t="s">
        <v>143</v>
      </c>
      <c r="CQ5" s="14" t="s">
        <v>144</v>
      </c>
      <c r="CR5" s="14" t="s">
        <v>145</v>
      </c>
      <c r="CS5" s="14" t="s">
        <v>143</v>
      </c>
      <c r="CT5" s="14" t="s">
        <v>144</v>
      </c>
      <c r="CU5" s="14" t="s">
        <v>145</v>
      </c>
      <c r="CV5" s="14" t="s">
        <v>143</v>
      </c>
      <c r="CW5" s="14" t="s">
        <v>144</v>
      </c>
      <c r="CX5" s="14" t="s">
        <v>145</v>
      </c>
      <c r="CY5" s="14" t="s">
        <v>143</v>
      </c>
      <c r="CZ5" s="14" t="s">
        <v>144</v>
      </c>
      <c r="DA5" s="14" t="s">
        <v>145</v>
      </c>
      <c r="DB5" s="14" t="s">
        <v>143</v>
      </c>
      <c r="DC5" s="14" t="s">
        <v>144</v>
      </c>
      <c r="DD5" s="14" t="s">
        <v>145</v>
      </c>
      <c r="DE5" s="14" t="s">
        <v>143</v>
      </c>
      <c r="DF5" s="14" t="s">
        <v>144</v>
      </c>
      <c r="DG5" s="14" t="s">
        <v>145</v>
      </c>
      <c r="DH5" s="14" t="s">
        <v>143</v>
      </c>
      <c r="DI5" s="14" t="s">
        <v>144</v>
      </c>
      <c r="DJ5" s="14" t="s">
        <v>145</v>
      </c>
      <c r="DK5" s="14" t="s">
        <v>143</v>
      </c>
      <c r="DL5" s="14" t="s">
        <v>144</v>
      </c>
      <c r="DM5" s="14" t="s">
        <v>145</v>
      </c>
      <c r="DN5" s="14" t="s">
        <v>143</v>
      </c>
      <c r="DO5" s="14" t="s">
        <v>144</v>
      </c>
      <c r="DP5" s="14" t="s">
        <v>145</v>
      </c>
      <c r="DQ5" s="15" t="s">
        <v>143</v>
      </c>
      <c r="DR5" s="15" t="s">
        <v>144</v>
      </c>
      <c r="DS5" s="15" t="s">
        <v>145</v>
      </c>
      <c r="DT5" s="15" t="s">
        <v>143</v>
      </c>
      <c r="DU5" s="15" t="s">
        <v>144</v>
      </c>
      <c r="DV5" s="15" t="s">
        <v>145</v>
      </c>
      <c r="DW5" s="15" t="s">
        <v>143</v>
      </c>
      <c r="DX5" s="15" t="s">
        <v>144</v>
      </c>
      <c r="DY5" s="15" t="s">
        <v>145</v>
      </c>
      <c r="DZ5" s="15" t="s">
        <v>143</v>
      </c>
      <c r="EA5" s="15" t="s">
        <v>144</v>
      </c>
      <c r="EB5" s="15" t="s">
        <v>145</v>
      </c>
      <c r="EC5" s="15" t="s">
        <v>143</v>
      </c>
      <c r="ED5" s="15" t="s">
        <v>144</v>
      </c>
      <c r="EE5" s="15" t="s">
        <v>145</v>
      </c>
      <c r="EF5" s="16"/>
      <c r="EG5" s="9" t="s">
        <v>146</v>
      </c>
      <c r="EH5" s="9" t="s">
        <v>147</v>
      </c>
      <c r="EI5" s="9" t="s">
        <v>148</v>
      </c>
      <c r="EJ5" s="9" t="s">
        <v>149</v>
      </c>
      <c r="EK5" s="9" t="s">
        <v>150</v>
      </c>
      <c r="EL5" s="9" t="s">
        <v>151</v>
      </c>
      <c r="EM5" s="9" t="s">
        <v>152</v>
      </c>
      <c r="EN5" s="9" t="s">
        <v>153</v>
      </c>
      <c r="EO5" s="9" t="s">
        <v>154</v>
      </c>
      <c r="EP5" s="9" t="s">
        <v>155</v>
      </c>
      <c r="EQ5" s="9" t="s">
        <v>156</v>
      </c>
      <c r="ER5" s="9" t="s">
        <v>157</v>
      </c>
      <c r="ES5" s="9" t="s">
        <v>158</v>
      </c>
      <c r="ET5" s="9" t="s">
        <v>159</v>
      </c>
      <c r="EU5" s="9" t="s">
        <v>160</v>
      </c>
      <c r="EV5" s="9" t="s">
        <v>161</v>
      </c>
      <c r="EW5" s="9" t="s">
        <v>162</v>
      </c>
      <c r="EX5" s="9" t="s">
        <v>163</v>
      </c>
      <c r="EY5" s="9" t="s">
        <v>164</v>
      </c>
      <c r="EZ5" s="9" t="s">
        <v>165</v>
      </c>
      <c r="FA5" s="9" t="s">
        <v>166</v>
      </c>
      <c r="FB5" s="9" t="s">
        <v>167</v>
      </c>
      <c r="FC5" s="9" t="s">
        <v>168</v>
      </c>
      <c r="FD5" s="9" t="s">
        <v>169</v>
      </c>
      <c r="FE5" s="9" t="s">
        <v>170</v>
      </c>
      <c r="FF5" s="9" t="s">
        <v>171</v>
      </c>
      <c r="FG5" s="9" t="s">
        <v>172</v>
      </c>
      <c r="FH5" s="9" t="s">
        <v>173</v>
      </c>
      <c r="FI5" s="9" t="s">
        <v>174</v>
      </c>
      <c r="FJ5" s="9" t="s">
        <v>175</v>
      </c>
      <c r="FK5" s="9" t="s">
        <v>176</v>
      </c>
      <c r="FL5" s="9" t="s">
        <v>177</v>
      </c>
      <c r="FM5" s="9" t="s">
        <v>178</v>
      </c>
      <c r="FN5" s="9" t="s">
        <v>179</v>
      </c>
      <c r="FO5" s="9" t="s">
        <v>180</v>
      </c>
      <c r="FP5" s="9" t="s">
        <v>181</v>
      </c>
      <c r="FQ5" s="9" t="s">
        <v>182</v>
      </c>
      <c r="FR5" s="9" t="s">
        <v>183</v>
      </c>
      <c r="FS5" s="9" t="s">
        <v>184</v>
      </c>
      <c r="FT5" s="9" t="s">
        <v>185</v>
      </c>
      <c r="FU5" s="9" t="s">
        <v>186</v>
      </c>
      <c r="FV5" s="9" t="s">
        <v>187</v>
      </c>
      <c r="FW5" s="9" t="s">
        <v>188</v>
      </c>
      <c r="FX5" s="9" t="s">
        <v>189</v>
      </c>
    </row>
    <row r="6" customFormat="false" ht="12.75" hidden="false" customHeight="true" outlineLevel="0" collapsed="false">
      <c r="A6" s="5" t="n">
        <v>1</v>
      </c>
      <c r="B6" s="6" t="s">
        <v>190</v>
      </c>
      <c r="C6" s="7" t="n">
        <f aca="false">'P0Q0 Dasar 2022'!F5</f>
        <v>0.125089056759346</v>
      </c>
      <c r="D6" s="17" t="n">
        <f aca="false">IFERROR(AVERAGEIF('Pemetaan Variant'!$A$5:$A$32,$B6,'Pemetaan Variant'!$L$5:$L$32),"n/a")</f>
        <v>13000</v>
      </c>
      <c r="E6" s="7" t="n">
        <f aca="false">IFERROR(IF(ISNUMBER(D6),(D6-AVERAGEIF('Pemetaan Variant'!$A$5:$A$32,$B6,'Pemetaan Variant'!$D$5:$D$32))/AVERAGEIF('Pemetaan Variant'!$A$5:$A$32,$B6,'Pemetaan Variant'!$D$5:$D$32)*100,"n/a"),"n/a")</f>
        <v>0</v>
      </c>
      <c r="F6" s="7" t="n">
        <f aca="false">IFERROR(IF(ISNUMBER(E6),$C6*E6,"n/a"),"n/a")</f>
        <v>0</v>
      </c>
      <c r="G6" s="17" t="n">
        <f aca="false">IFERROR(AVERAGEIF('Pemetaan Variant'!$A$5:$A$32,$B6,'Pemetaan Variant'!$M$5:$M$32),"n/a")</f>
        <v>13000</v>
      </c>
      <c r="H6" s="7" t="n">
        <f aca="false">IFERROR(IF(ISNUMBER(G6),(G6-AVERAGEIF('Pemetaan Variant'!$A$5:$A$32,$B6,'Pemetaan Variant'!$D$5:$D$32))/AVERAGEIF('Pemetaan Variant'!$A$5:$A$32,$B6,'Pemetaan Variant'!$D$5:$D$32)*100,"n/a"),"n/a")</f>
        <v>0</v>
      </c>
      <c r="I6" s="7" t="n">
        <f aca="false">IFERROR(IF(ISNUMBER(H6),$C6*H6,"n/a"),"n/a")</f>
        <v>0</v>
      </c>
      <c r="J6" s="17" t="n">
        <f aca="false">IFERROR(AVERAGEIF('Pemetaan Variant'!$A$5:$A$32,$B6,'Pemetaan Variant'!$N$5:$N$32),"n/a")</f>
        <v>13000</v>
      </c>
      <c r="K6" s="7" t="n">
        <f aca="false">IFERROR(IF(ISNUMBER(J6),(J6-AVERAGEIF('Pemetaan Variant'!$A$5:$A$32,$B6,'Pemetaan Variant'!$D$5:$D$32))/AVERAGEIF('Pemetaan Variant'!$A$5:$A$32,$B6,'Pemetaan Variant'!$D$5:$D$32)*100,"n/a"),"n/a")</f>
        <v>0</v>
      </c>
      <c r="L6" s="7" t="n">
        <f aca="false">IFERROR(IF(ISNUMBER(K6),$C6*K6,"n/a"),"n/a")</f>
        <v>0</v>
      </c>
      <c r="M6" s="17" t="n">
        <f aca="false">IFERROR(AVERAGEIF('Pemetaan Variant'!$A$5:$A$32,$B6,'Pemetaan Variant'!$O$5:$O$32),"n/a")</f>
        <v>13000</v>
      </c>
      <c r="N6" s="7" t="n">
        <f aca="false">IFERROR(IF(ISNUMBER(M6),(M6-AVERAGEIF('Pemetaan Variant'!$A$5:$A$32,$B6,'Pemetaan Variant'!$D$5:$D$32))/AVERAGEIF('Pemetaan Variant'!$A$5:$A$32,$B6,'Pemetaan Variant'!$D$5:$D$32)*100,"n/a"),"n/a")</f>
        <v>0</v>
      </c>
      <c r="O6" s="7" t="n">
        <f aca="false">IFERROR(IF(ISNUMBER(N6),$C6*N6,"n/a"),"n/a")</f>
        <v>0</v>
      </c>
      <c r="P6" s="17" t="n">
        <f aca="false">IFERROR(AVERAGEIF('Pemetaan Variant'!$A$5:$A$32,$B6,'Pemetaan Variant'!$P$5:$P$32),"n/a")</f>
        <v>13000</v>
      </c>
      <c r="Q6" s="7" t="n">
        <f aca="false">IFERROR(IF(ISNUMBER(P6),(P6-AVERAGEIF('Pemetaan Variant'!$A$5:$A$32,$B6,'Pemetaan Variant'!$D$5:$D$32))/AVERAGEIF('Pemetaan Variant'!$A$5:$A$32,$B6,'Pemetaan Variant'!$D$5:$D$32)*100,"n/a"),"n/a")</f>
        <v>0</v>
      </c>
      <c r="R6" s="7" t="n">
        <f aca="false">IFERROR(IF(ISNUMBER(Q6),$C6*Q6,"n/a"),"n/a")</f>
        <v>0</v>
      </c>
      <c r="S6" s="17" t="n">
        <f aca="false">IFERROR(AVERAGEIF('Pemetaan Variant'!$A$5:$A$32,$B6,'Pemetaan Variant'!$Q$5:$Q$32),"n/a")</f>
        <v>13000</v>
      </c>
      <c r="T6" s="7" t="n">
        <f aca="false">IFERROR(IF(ISNUMBER(S6),(S6-AVERAGEIF('Pemetaan Variant'!$A$5:$A$32,$B6,'Pemetaan Variant'!$E$5:$E$32))/AVERAGEIF('Pemetaan Variant'!$A$5:$A$32,$B6,'Pemetaan Variant'!$E$5:$E$32)*100,"n/a"),"n/a")</f>
        <v>0</v>
      </c>
      <c r="U6" s="7" t="n">
        <f aca="false">IFERROR(IF(ISNUMBER(T6),$C6*T6,"n/a"),"n/a")</f>
        <v>0</v>
      </c>
      <c r="V6" s="17" t="n">
        <f aca="false">IFERROR(AVERAGEIF('Pemetaan Variant'!$A$5:$A$32,$B6,'Pemetaan Variant'!$R$5:$R$32),"n/a")</f>
        <v>13000</v>
      </c>
      <c r="W6" s="7" t="n">
        <f aca="false">IFERROR(IF(ISNUMBER(V6),(V6-AVERAGEIF('Pemetaan Variant'!$A$5:$A$32,$B6,'Pemetaan Variant'!$E$5:$E$32))/AVERAGEIF('Pemetaan Variant'!$A$5:$A$32,$B6,'Pemetaan Variant'!$E$5:$E$32)*100,"n/a"),"n/a")</f>
        <v>0</v>
      </c>
      <c r="X6" s="7" t="n">
        <f aca="false">IFERROR(IF(ISNUMBER(W6),$C6*W6,"n/a"),"n/a")</f>
        <v>0</v>
      </c>
      <c r="Y6" s="17" t="n">
        <f aca="false">IFERROR(AVERAGEIF('Pemetaan Variant'!$A$5:$A$32,$B6,'Pemetaan Variant'!$S$5:$S$32),"n/a")</f>
        <v>13000</v>
      </c>
      <c r="Z6" s="7" t="n">
        <f aca="false">IFERROR(IF(ISNUMBER(Y6),(Y6-AVERAGEIF('Pemetaan Variant'!$A$5:$A$32,$B6,'Pemetaan Variant'!$E$5:$E$32))/AVERAGEIF('Pemetaan Variant'!$A$5:$A$32,$B6,'Pemetaan Variant'!$E$5:$E$32)*100,"n/a"),"n/a")</f>
        <v>0</v>
      </c>
      <c r="AA6" s="7" t="n">
        <f aca="false">IFERROR(IF(ISNUMBER(Z6),$C6*Z6,"n/a"),"n/a")</f>
        <v>0</v>
      </c>
      <c r="AB6" s="17" t="n">
        <f aca="false">IFERROR(AVERAGEIF('Pemetaan Variant'!$A$5:$A$32,$B6,'Pemetaan Variant'!$T$5:$T$32),"n/a")</f>
        <v>13000</v>
      </c>
      <c r="AC6" s="7" t="n">
        <f aca="false">IFERROR(IF(ISNUMBER(AB6),(AB6-AVERAGEIF('Pemetaan Variant'!$A$5:$A$32,$B6,'Pemetaan Variant'!$E$5:$E$32))/AVERAGEIF('Pemetaan Variant'!$A$5:$A$32,$B6,'Pemetaan Variant'!$E$5:$E$32)*100,"n/a"),"n/a")</f>
        <v>0</v>
      </c>
      <c r="AD6" s="7" t="n">
        <f aca="false">IFERROR(IF(ISNUMBER(AC6),$C6*AC6,"n/a"),"n/a")</f>
        <v>0</v>
      </c>
      <c r="AE6" s="17" t="n">
        <f aca="false">IFERROR(AVERAGEIF('Pemetaan Variant'!$A$5:$A$32,$B6,'Pemetaan Variant'!$U$5:$U$32),"n/a")</f>
        <v>13000</v>
      </c>
      <c r="AF6" s="7" t="n">
        <f aca="false">IFERROR(IF(ISNUMBER(AE6),(AE6-AVERAGEIF('Pemetaan Variant'!$A$5:$A$32,$B6,'Pemetaan Variant'!$F$5:$F$32))/AVERAGEIF('Pemetaan Variant'!$A$5:$A$32,$B6,'Pemetaan Variant'!$F$5:$F$32)*100,"n/a"),"n/a")</f>
        <v>0</v>
      </c>
      <c r="AG6" s="7" t="n">
        <f aca="false">IFERROR(IF(ISNUMBER(AF6),$C6*AF6,"n/a"),"n/a")</f>
        <v>0</v>
      </c>
      <c r="AH6" s="17" t="n">
        <f aca="false">IFERROR(AVERAGEIF('Pemetaan Variant'!$A$5:$A$32,$B6,'Pemetaan Variant'!$V$5:$V$32),"n/a")</f>
        <v>13000</v>
      </c>
      <c r="AI6" s="7" t="n">
        <f aca="false">IFERROR(IF(ISNUMBER(AH6),(AH6-AVERAGEIF('Pemetaan Variant'!$A$5:$A$32,$B6,'Pemetaan Variant'!$F$5:$F$32))/AVERAGEIF('Pemetaan Variant'!$A$5:$A$32,$B6,'Pemetaan Variant'!$F$5:$F$32)*100,"n/a"),"n/a")</f>
        <v>0</v>
      </c>
      <c r="AJ6" s="7" t="n">
        <f aca="false">IFERROR(IF(ISNUMBER(AI6),$C6*AI6,"n/a"),"n/a")</f>
        <v>0</v>
      </c>
      <c r="AK6" s="17" t="n">
        <f aca="false">IFERROR(AVERAGEIF('Pemetaan Variant'!$A$5:$A$32,$B6,'Pemetaan Variant'!$W$5:$W$32),"n/a")</f>
        <v>13000</v>
      </c>
      <c r="AL6" s="7" t="n">
        <f aca="false">IFERROR(IF(ISNUMBER(AK6),(AK6-AVERAGEIF('Pemetaan Variant'!$A$5:$A$32,$B6,'Pemetaan Variant'!$F$5:$F$32))/AVERAGEIF('Pemetaan Variant'!$A$5:$A$32,$B6,'Pemetaan Variant'!$F$5:$F$32)*100,"n/a"),"n/a")</f>
        <v>0</v>
      </c>
      <c r="AM6" s="7" t="n">
        <f aca="false">IFERROR(IF(ISNUMBER(AL6),$C6*AL6,"n/a"),"n/a")</f>
        <v>0</v>
      </c>
      <c r="AN6" s="17" t="n">
        <f aca="false">IFERROR(AVERAGEIF('Pemetaan Variant'!$A$5:$A$32,$B6,'Pemetaan Variant'!$X$5:$X$32),"n/a")</f>
        <v>13000</v>
      </c>
      <c r="AO6" s="7" t="n">
        <f aca="false">IFERROR(IF(ISNUMBER(AN6),(AN6-AVERAGEIF('Pemetaan Variant'!$A$5:$A$32,$B6,'Pemetaan Variant'!$F$5:$F$32))/AVERAGEIF('Pemetaan Variant'!$A$5:$A$32,$B6,'Pemetaan Variant'!$F$5:$F$32)*100,"n/a"),"n/a")</f>
        <v>0</v>
      </c>
      <c r="AP6" s="7" t="n">
        <f aca="false">IFERROR(IF(ISNUMBER(AO6),$C6*AO6,"n/a"),"n/a")</f>
        <v>0</v>
      </c>
      <c r="AQ6" s="17" t="n">
        <f aca="false">IFERROR(AVERAGEIF('Pemetaan Variant'!$A$5:$A$32,$B6,'Pemetaan Variant'!$Y$5:$Y$32),"n/a")</f>
        <v>13000</v>
      </c>
      <c r="AR6" s="7" t="n">
        <f aca="false">IFERROR(IF(ISNUMBER(AQ6),(AQ6-AVERAGEIF('Pemetaan Variant'!$A$5:$A$32,$B6,'Pemetaan Variant'!$F$5:$F$32))/AVERAGEIF('Pemetaan Variant'!$A$5:$A$32,$B6,'Pemetaan Variant'!$F$5:$F$32)*100,"n/a"),"n/a")</f>
        <v>0</v>
      </c>
      <c r="AS6" s="7" t="n">
        <f aca="false">IFERROR(IF(ISNUMBER(AR6),$C6*AR6,"n/a"),"n/a")</f>
        <v>0</v>
      </c>
      <c r="AT6" s="17" t="n">
        <f aca="false">IFERROR(AVERAGEIF('Pemetaan Variant'!$A$5:$A$32,$B6,'Pemetaan Variant'!$Z$5:$Z$32),"n/a")</f>
        <v>13000</v>
      </c>
      <c r="AU6" s="7" t="n">
        <f aca="false">IFERROR(IF(ISNUMBER(AT6),(AT6-AVERAGEIF('Pemetaan Variant'!$A$5:$A$32,$B6,'Pemetaan Variant'!$G$5:$G$32))/AVERAGEIF('Pemetaan Variant'!$A$5:$A$32,$B6,'Pemetaan Variant'!$G$5:$G$32)*100,"n/a"),"n/a")</f>
        <v>0</v>
      </c>
      <c r="AV6" s="7" t="n">
        <f aca="false">IFERROR(IF(ISNUMBER(AU6),$C6*AU6,"n/a"),"n/a")</f>
        <v>0</v>
      </c>
      <c r="AW6" s="17" t="n">
        <f aca="false">IFERROR(AVERAGEIF('Pemetaan Variant'!$A$5:$A$32,$B6,'Pemetaan Variant'!$AA$5:$AA$32),"n/a")</f>
        <v>13000</v>
      </c>
      <c r="AX6" s="7" t="n">
        <f aca="false">IFERROR(IF(ISNUMBER(AW6),(AW6-AVERAGEIF('Pemetaan Variant'!$A$5:$A$32,$B6,'Pemetaan Variant'!$G$5:$G$32))/AVERAGEIF('Pemetaan Variant'!$A$5:$A$32,$B6,'Pemetaan Variant'!$G$5:$G$32)*100,"n/a"),"n/a")</f>
        <v>0</v>
      </c>
      <c r="AY6" s="7" t="n">
        <f aca="false">IFERROR(IF(ISNUMBER(AX6),$C6*AX6,"n/a"),"n/a")</f>
        <v>0</v>
      </c>
      <c r="AZ6" s="17" t="n">
        <f aca="false">IFERROR(AVERAGEIF('Pemetaan Variant'!$A$5:$A$32,$B6,'Pemetaan Variant'!$AB$5:$AB$32),"n/a")</f>
        <v>13000</v>
      </c>
      <c r="BA6" s="7" t="n">
        <f aca="false">IFERROR(IF(ISNUMBER(AZ6),(AZ6-AVERAGEIF('Pemetaan Variant'!$A$5:$A$32,$B6,'Pemetaan Variant'!$G$5:$G$32))/AVERAGEIF('Pemetaan Variant'!$A$5:$A$32,$B6,'Pemetaan Variant'!$G$5:$G$32)*100,"n/a"),"n/a")</f>
        <v>0</v>
      </c>
      <c r="BB6" s="7" t="n">
        <f aca="false">IFERROR(IF(ISNUMBER(BA6),$C6*BA6,"n/a"),"n/a")</f>
        <v>0</v>
      </c>
      <c r="BC6" s="17" t="n">
        <f aca="false">IFERROR(AVERAGEIF('Pemetaan Variant'!$A$5:$A$32,$B6,'Pemetaan Variant'!$AC$5:$AC$32),"n/a")</f>
        <v>13633.3333333333</v>
      </c>
      <c r="BD6" s="7" t="n">
        <f aca="false">IFERROR(IF(ISNUMBER(BC6),(BC6-AVERAGEIF('Pemetaan Variant'!$A$5:$A$32,$B6,'Pemetaan Variant'!$G$5:$G$32))/AVERAGEIF('Pemetaan Variant'!$A$5:$A$32,$B6,'Pemetaan Variant'!$G$5:$G$32)*100,"n/a"),"n/a")</f>
        <v>4.87179487179488</v>
      </c>
      <c r="BE6" s="7" t="n">
        <f aca="false">IFERROR(IF(ISNUMBER(BD6),$C6*BD6,"n/a"),"n/a")</f>
        <v>0.60940822523784</v>
      </c>
      <c r="BF6" s="17" t="n">
        <f aca="false">IFERROR(AVERAGEIF('Pemetaan Variant'!$A$5:$A$32,$B6,'Pemetaan Variant'!$AD$5:$AD$32),"n/a")</f>
        <v>13633.3333333333</v>
      </c>
      <c r="BG6" s="7" t="n">
        <f aca="false">IFERROR(IF(ISNUMBER(BF6),(BF6-AVERAGEIF('Pemetaan Variant'!$A$5:$A$32,$B6,'Pemetaan Variant'!$G$5:$G$32))/AVERAGEIF('Pemetaan Variant'!$A$5:$A$32,$B6,'Pemetaan Variant'!$G$5:$G$32)*100,"n/a"),"n/a")</f>
        <v>4.87179487179488</v>
      </c>
      <c r="BH6" s="7" t="n">
        <f aca="false">IFERROR(IF(ISNUMBER(BG6),$C6*BG6,"n/a"),"n/a")</f>
        <v>0.60940822523784</v>
      </c>
      <c r="BI6" s="17" t="str">
        <f aca="false">IFERROR(AVERAGEIF('Pemetaan Variant'!$A$5:$A$32,$B6,'Pemetaan Variant'!$AE$5:$AE$32),"n/a")</f>
        <v>n/a</v>
      </c>
      <c r="BJ6" s="7" t="str">
        <f aca="false">IFERROR(IF(ISNUMBER(BI6),(BI6-AVERAGEIF('Pemetaan Variant'!$A$5:$A$32,$B6,'Pemetaan Variant'!$H$5:$H$32))/AVERAGEIF('Pemetaan Variant'!$A$5:$A$32,$B6,'Pemetaan Variant'!$H$5:$H$32)*100,"n/a"),"n/a")</f>
        <v>n/a</v>
      </c>
      <c r="BK6" s="7" t="str">
        <f aca="false">IFERROR(IF(ISNUMBER(BJ6),$C6*BJ6,"n/a"),"n/a")</f>
        <v>n/a</v>
      </c>
      <c r="BL6" s="17" t="n">
        <f aca="false">IFERROR(AVERAGEIF('Pemetaan Variant'!$A$5:$A$32,$B6,'Pemetaan Variant'!$AF$5:$AF$32),"n/a")</f>
        <v>13633.3333333333</v>
      </c>
      <c r="BM6" s="7" t="n">
        <f aca="false">IFERROR(IF(ISNUMBER(BL6),(BL6-AVERAGEIF('Pemetaan Variant'!$A$5:$A$32,$B6,'Pemetaan Variant'!$H$5:$H$32))/AVERAGEIF('Pemetaan Variant'!$A$5:$A$32,$B6,'Pemetaan Variant'!$H$5:$H$32)*100,"n/a"),"n/a")</f>
        <v>2.72694653749551</v>
      </c>
      <c r="BN6" s="7" t="n">
        <f aca="false">IFERROR(IF(ISNUMBER(BM6),$C6*BM6,"n/a"),"n/a")</f>
        <v>0.341111170208478</v>
      </c>
      <c r="BO6" s="17" t="n">
        <f aca="false">IFERROR(AVERAGEIF('Pemetaan Variant'!$A$5:$A$32,$B6,'Pemetaan Variant'!$AG$5:$AG$32),"n/a")</f>
        <v>13608.3333333333</v>
      </c>
      <c r="BP6" s="7" t="n">
        <f aca="false">IFERROR(IF(ISNUMBER(BO6),(BO6-AVERAGEIF('Pemetaan Variant'!$A$5:$A$32,$B6,'Pemetaan Variant'!$H$5:$H$32))/AVERAGEIF('Pemetaan Variant'!$A$5:$A$32,$B6,'Pemetaan Variant'!$H$5:$H$32)*100,"n/a"),"n/a")</f>
        <v>2.53857194115536</v>
      </c>
      <c r="BQ6" s="7" t="n">
        <f aca="false">IFERROR(IF(ISNUMBER(BP6),$C6*BP6,"n/a"),"n/a")</f>
        <v>0.317547569634866</v>
      </c>
      <c r="BR6" s="17" t="n">
        <f aca="false">IFERROR(AVERAGEIF('Pemetaan Variant'!$A$5:$A$32,$B6,'Pemetaan Variant'!$AH$5:$AH$32),"n/a")</f>
        <v>13586.6666666667</v>
      </c>
      <c r="BS6" s="7" t="n">
        <f aca="false">IFERROR(IF(ISNUMBER(BR6),(BR6-AVERAGEIF('Pemetaan Variant'!$A$5:$A$32,$B6,'Pemetaan Variant'!$H$5:$H$32))/AVERAGEIF('Pemetaan Variant'!$A$5:$A$32,$B6,'Pemetaan Variant'!$H$5:$H$32)*100,"n/a"),"n/a")</f>
        <v>2.37531395766055</v>
      </c>
      <c r="BT6" s="7" t="n">
        <f aca="false">IFERROR(IF(ISNUMBER(BS6),$C6*BS6,"n/a"),"n/a")</f>
        <v>0.297125782471068</v>
      </c>
      <c r="BU6" s="17" t="n">
        <f aca="false">IFERROR(AVERAGEIF('Pemetaan Variant'!$A$5:$A$32,$B6,'Pemetaan Variant'!$AI$5:$AI$32),"n/a")</f>
        <v>13233.3333333333</v>
      </c>
      <c r="BV6" s="7" t="n">
        <f aca="false">IFERROR(IF(ISNUMBER(BU6),(BU6-AVERAGEIF('Pemetaan Variant'!$A$5:$A$32,$B6,'Pemetaan Variant'!$H$5:$H$32))/AVERAGEIF('Pemetaan Variant'!$A$5:$A$32,$B6,'Pemetaan Variant'!$H$5:$H$32)*100,"n/a"),"n/a")</f>
        <v>-0.2870470039469</v>
      </c>
      <c r="BW6" s="7" t="n">
        <f aca="false">IFERROR(IF(ISNUMBER(BV6),$C6*BV6,"n/a"),"n/a")</f>
        <v>-0.0359064389693139</v>
      </c>
      <c r="BX6" s="17" t="n">
        <f aca="false">IFERROR(AVERAGEIF('Pemetaan Variant'!$A$5:$A$32,$B6,'Pemetaan Variant'!$AJ$5:$AJ$32),"n/a")</f>
        <v>12933.3333333333</v>
      </c>
      <c r="BY6" s="7" t="n">
        <f aca="false">IFERROR(IF(ISNUMBER(BX6),(BX6-AVERAGEIF('Pemetaan Variant'!$A$5:$A$32,$B6,'Pemetaan Variant'!$I$5:$I$32))/AVERAGEIF('Pemetaan Variant'!$A$5:$A$32,$B6,'Pemetaan Variant'!$I$5:$I$32)*100,"n/a"),"n/a")</f>
        <v>-4.47393729563377</v>
      </c>
      <c r="BZ6" s="7" t="n">
        <f aca="false">IFERROR(IF(ISNUMBER(BY6),$C6*BY6,"n/a"),"n/a")</f>
        <v>-0.559640596311288</v>
      </c>
      <c r="CA6" s="17" t="n">
        <f aca="false">IFERROR(AVERAGEIF('Pemetaan Variant'!$A$5:$A$32,$B6,'Pemetaan Variant'!$AK$5:$AK$32),"n/a")</f>
        <v>12860</v>
      </c>
      <c r="CB6" s="7" t="n">
        <f aca="false">IFERROR(IF(ISNUMBER(CA6),(CA6-AVERAGEIF('Pemetaan Variant'!$A$5:$A$32,$B6,'Pemetaan Variant'!$I$5:$I$32))/AVERAGEIF('Pemetaan Variant'!$A$5:$A$32,$B6,'Pemetaan Variant'!$I$5:$I$32)*100,"n/a"),"n/a")</f>
        <v>-5.01557991921523</v>
      </c>
      <c r="CC6" s="7" t="n">
        <f aca="false">IFERROR(IF(ISNUMBER(CB6),$C6*CB6,"n/a"),"n/a")</f>
        <v>-0.62739416119575</v>
      </c>
      <c r="CD6" s="17" t="n">
        <f aca="false">IFERROR(AVERAGEIF('Pemetaan Variant'!$A$5:$A$32,$B6,'Pemetaan Variant'!$AL$5:$AL$32),"n/a")</f>
        <v>12925</v>
      </c>
      <c r="CE6" s="7" t="n">
        <f aca="false">IFERROR(IF(ISNUMBER(CD6),(CD6-AVERAGEIF('Pemetaan Variant'!$A$5:$A$32,$B6,'Pemetaan Variant'!$I$5:$I$32))/AVERAGEIF('Pemetaan Variant'!$A$5:$A$32,$B6,'Pemetaan Variant'!$I$5:$I$32)*100,"n/a"),"n/a")</f>
        <v>-4.53548759376803</v>
      </c>
      <c r="CF6" s="7" t="n">
        <f aca="false">IFERROR(IF(ISNUMBER(CE6),$C6*CE6,"n/a"),"n/a")</f>
        <v>-0.567339865048159</v>
      </c>
      <c r="CG6" s="17" t="n">
        <f aca="false">IFERROR(AVERAGEIF('Pemetaan Variant'!$A$5:$A$32,$B6,'Pemetaan Variant'!$AM$5:$AM$32),"n/a")</f>
        <v>12866.6666666667</v>
      </c>
      <c r="CH6" s="7" t="n">
        <f aca="false">IFERROR(IF(ISNUMBER(CG6),(CG6-AVERAGEIF('Pemetaan Variant'!$A$5:$A$32,$B6,'Pemetaan Variant'!$I$5:$I$32))/AVERAGEIF('Pemetaan Variant'!$A$5:$A$32,$B6,'Pemetaan Variant'!$I$5:$I$32)*100,"n/a"),"n/a")</f>
        <v>-4.96633968070783</v>
      </c>
      <c r="CI6" s="7" t="n">
        <f aca="false">IFERROR(IF(ISNUMBER(CH6),$C6*CH6,"n/a"),"n/a")</f>
        <v>-0.621234746206254</v>
      </c>
      <c r="CJ6" s="17" t="n">
        <f aca="false">IFERROR(AVERAGEIF('Pemetaan Variant'!$A$5:$A$32,$B6,'Pemetaan Variant'!$AN$5:$AN$32),"n/a")</f>
        <v>12866.6666666667</v>
      </c>
      <c r="CK6" s="7" t="n">
        <f aca="false">IFERROR(IF(ISNUMBER(CJ6),(CJ6-AVERAGEIF('Pemetaan Variant'!$A$5:$A$32,$B6,'Pemetaan Variant'!$I$5:$I$32))/AVERAGEIF('Pemetaan Variant'!$A$5:$A$32,$B6,'Pemetaan Variant'!$I$5:$I$32)*100,"n/a"),"n/a")</f>
        <v>-4.96633968070783</v>
      </c>
      <c r="CL6" s="7" t="n">
        <f aca="false">IFERROR(IF(ISNUMBER(CK6),$C6*CK6,"n/a"),"n/a")</f>
        <v>-0.621234746206254</v>
      </c>
      <c r="CM6" s="17" t="n">
        <f aca="false">IFERROR(AVERAGEIF('Pemetaan Variant'!$A$5:$A$32,$B6,'Pemetaan Variant'!$AO$5:$AO$32),"n/a")</f>
        <v>12866.6666666667</v>
      </c>
      <c r="CN6" s="7" t="n">
        <f aca="false">IFERROR(IF(ISNUMBER(CM6),(CM6-AVERAGEIF('Pemetaan Variant'!$A$5:$A$32,$B6,'Pemetaan Variant'!$J$5:$J$32))/AVERAGEIF('Pemetaan Variant'!$A$5:$A$32,$B6,'Pemetaan Variant'!$J$5:$J$32)*100,"n/a"),"n/a")</f>
        <v>-0.181018877682963</v>
      </c>
      <c r="CO6" s="7" t="n">
        <f aca="false">IFERROR(IF(ISNUMBER(CN6),$C6*CN6,"n/a"),"n/a")</f>
        <v>-0.0226434806649973</v>
      </c>
      <c r="CP6" s="17" t="n">
        <f aca="false">IFERROR(AVERAGEIF('Pemetaan Variant'!$A$5:$A$32,$B6,'Pemetaan Variant'!$AP$5:$AP$32),"n/a")</f>
        <v>12866.6666666667</v>
      </c>
      <c r="CQ6" s="7" t="n">
        <f aca="false">IFERROR(IF(ISNUMBER(CP6),(CP6-AVERAGEIF('Pemetaan Variant'!$A$5:$A$32,$B6,'Pemetaan Variant'!$J$5:$J$32))/AVERAGEIF('Pemetaan Variant'!$A$5:$A$32,$B6,'Pemetaan Variant'!$J$5:$J$32)*100,"n/a"),"n/a")</f>
        <v>-0.181018877682963</v>
      </c>
      <c r="CR6" s="7" t="n">
        <f aca="false">IFERROR(IF(ISNUMBER(CQ6),$C6*CQ6,"n/a"),"n/a")</f>
        <v>-0.0226434806649973</v>
      </c>
      <c r="CS6" s="17" t="n">
        <f aca="false">IFERROR(AVERAGEIF('Pemetaan Variant'!$A$5:$A$32,$B6,'Pemetaan Variant'!$AQ$5:$AQ$32),"n/a")</f>
        <v>12866.6666666667</v>
      </c>
      <c r="CT6" s="7" t="n">
        <f aca="false">IFERROR(IF(ISNUMBER(CS6),(CS6-AVERAGEIF('Pemetaan Variant'!$A$5:$A$32,$B6,'Pemetaan Variant'!$J$5:$J$32))/AVERAGEIF('Pemetaan Variant'!$A$5:$A$32,$B6,'Pemetaan Variant'!$J$5:$J$32)*100,"n/a"),"n/a")</f>
        <v>-0.181018877682963</v>
      </c>
      <c r="CU6" s="7" t="n">
        <f aca="false">IFERROR(IF(ISNUMBER(CT6),$C6*CT6,"n/a"),"n/a")</f>
        <v>-0.0226434806649973</v>
      </c>
      <c r="CV6" s="17" t="n">
        <f aca="false">IFERROR(AVERAGEIF('Pemetaan Variant'!$A$5:$A$32,$B6,'Pemetaan Variant'!$AR$5:$AR$32),"n/a")</f>
        <v>12866.6666666667</v>
      </c>
      <c r="CW6" s="7" t="n">
        <f aca="false">IFERROR(IF(ISNUMBER(CV6),(CV6-AVERAGEIF('Pemetaan Variant'!$A$5:$A$32,$B6,'Pemetaan Variant'!$J$5:$J$32))/AVERAGEIF('Pemetaan Variant'!$A$5:$A$32,$B6,'Pemetaan Variant'!$J$5:$J$32)*100,"n/a"),"n/a")</f>
        <v>-0.181018877682963</v>
      </c>
      <c r="CX6" s="7" t="n">
        <f aca="false">IFERROR(IF(ISNUMBER(CW6),$C6*CW6,"n/a"),"n/a")</f>
        <v>-0.0226434806649973</v>
      </c>
      <c r="CY6" s="17" t="n">
        <f aca="false">IFERROR(AVERAGEIF('Pemetaan Variant'!$A$5:$A$32,$B6,'Pemetaan Variant'!$AS$5:$AS$32),"n/a")</f>
        <v>12866.6666666667</v>
      </c>
      <c r="CZ6" s="7" t="n">
        <f aca="false">IFERROR(IF(ISNUMBER(CY6),(CY6-AVERAGEIF('Pemetaan Variant'!$A$5:$A$32,$B6,'Pemetaan Variant'!$J$5:$J$32))/AVERAGEIF('Pemetaan Variant'!$A$5:$A$32,$B6,'Pemetaan Variant'!$J$5:$J$32)*100,"n/a"),"n/a")</f>
        <v>-0.181018877682963</v>
      </c>
      <c r="DA6" s="7" t="n">
        <f aca="false">IFERROR(IF(ISNUMBER(CZ6),$C6*CZ6,"n/a"),"n/a")</f>
        <v>-0.0226434806649973</v>
      </c>
      <c r="DB6" s="17" t="n">
        <f aca="false">IFERROR(AVERAGEIF('Pemetaan Variant'!$A$5:$A$32,$B6,'Pemetaan Variant'!$AT$5:$AT$32),"n/a")</f>
        <v>12866.6666666667</v>
      </c>
      <c r="DC6" s="7" t="n">
        <f aca="false">IFERROR(IF(ISNUMBER(DB6),(DB6-AVERAGEIF('Pemetaan Variant'!$A$5:$A$32,$B6,'Pemetaan Variant'!$K$5:$K$32))/AVERAGEIF('Pemetaan Variant'!$A$5:$A$32,$B6,'Pemetaan Variant'!$K$5:$K$32)*100,"n/a"),"n/a")</f>
        <v>0</v>
      </c>
      <c r="DD6" s="7" t="n">
        <f aca="false">IFERROR(IF(ISNUMBER(DC6),$C6*DC6,"n/a"),"n/a")</f>
        <v>0</v>
      </c>
      <c r="DE6" s="17" t="n">
        <f aca="false">IFERROR(AVERAGEIF('Pemetaan Variant'!$A$5:$A$32,$B6,'Pemetaan Variant'!$AU$5:$AU$32),"n/a")</f>
        <v>12866.6666666667</v>
      </c>
      <c r="DF6" s="7" t="n">
        <f aca="false">IFERROR(IF(ISNUMBER(DE6),(DE6-AVERAGEIF('Pemetaan Variant'!$A$5:$A$32,$B6,'Pemetaan Variant'!$K$5:$K$32))/AVERAGEIF('Pemetaan Variant'!$A$5:$A$32,$B6,'Pemetaan Variant'!$K$5:$K$32)*100,"n/a"),"n/a")</f>
        <v>0</v>
      </c>
      <c r="DG6" s="7" t="n">
        <f aca="false">IFERROR(IF(ISNUMBER(DF6),$C6*DF6,"n/a"),"n/a")</f>
        <v>0</v>
      </c>
      <c r="DH6" s="17" t="n">
        <f aca="false">IFERROR(AVERAGEIF('Pemetaan Variant'!$A$5:$A$32,$B6,'Pemetaan Variant'!$AV$5:$AV$32),"n/a")</f>
        <v>12866.6666666667</v>
      </c>
      <c r="DI6" s="7" t="n">
        <f aca="false">IFERROR(IF(ISNUMBER(DH6),(DH6-AVERAGEIF('Pemetaan Variant'!$A$5:$A$32,$B6,'Pemetaan Variant'!$K$5:$K$32))/AVERAGEIF('Pemetaan Variant'!$A$5:$A$32,$B6,'Pemetaan Variant'!$K$5:$K$32)*100,"n/a"),"n/a")</f>
        <v>0</v>
      </c>
      <c r="DJ6" s="7" t="n">
        <f aca="false">IFERROR(IF(ISNUMBER(DI6),$C6*DI6,"n/a"),"n/a")</f>
        <v>0</v>
      </c>
      <c r="DK6" s="17" t="n">
        <f aca="false">IFERROR(AVERAGEIF('Pemetaan Variant'!$A$5:$A$32,$B6,'Pemetaan Variant'!$AW$5:$AW$32),"n/a")</f>
        <v>12879.1666666667</v>
      </c>
      <c r="DL6" s="7" t="n">
        <f aca="false">IFERROR(IF(ISNUMBER(DK6),(DK6-AVERAGEIF('Pemetaan Variant'!$A$5:$A$32,$B6,'Pemetaan Variant'!$K$5:$K$32))/AVERAGEIF('Pemetaan Variant'!$A$5:$A$32,$B6,'Pemetaan Variant'!$K$5:$K$32)*100,"n/a"),"n/a")</f>
        <v>0.0971502590673575</v>
      </c>
      <c r="DM6" s="7" t="n">
        <f aca="false">IFERROR(IF(ISNUMBER(DL6),$C6*DL6,"n/a"),"n/a")</f>
        <v>0.0121524342706619</v>
      </c>
      <c r="DN6" s="17" t="str">
        <f aca="false">IFERROR(AVERAGEIF('Pemetaan Variant'!$A$5:$A$32,$B6,'Pemetaan Variant'!$AX$5:$AX$32),"n/a")</f>
        <v>n/a</v>
      </c>
      <c r="DO6" s="7" t="str">
        <f aca="false">IFERROR(IF(ISNUMBER(DN6),(DN6-AVERAGEIF('Pemetaan Variant'!$A$5:$A$32,$B6,'Pemetaan Variant'!$K$5:$K$32))/AVERAGEIF('Pemetaan Variant'!$A$5:$A$32,$B6,'Pemetaan Variant'!$K$5:$K$32)*100,"n/a"),"n/a")</f>
        <v>n/a</v>
      </c>
      <c r="DP6" s="7" t="str">
        <f aca="false">IFERROR(IF(ISNUMBER(DO6),$C6*DO6,"n/a"),"n/a")</f>
        <v>n/a</v>
      </c>
      <c r="DQ6" s="18" t="n">
        <f aca="false">IFERROR(AVERAGEIF('Pemetaan Variant'!$A$5:$A$32,$B6,'Pemetaan Variant'!$AZ$5:$AZ$32),"n/a")</f>
        <v>12883.3333333333</v>
      </c>
      <c r="DR6" s="11" t="n">
        <f aca="false">IFERROR(IF(ISNUMBER(DQ6),(DQ6-AVERAGEIF('Pemetaan Variant'!$A$5:$A$32,$B6,'Pemetaan Variant'!$AY$5:$AY$32))/AVERAGEIF('Pemetaan Variant'!$A$5:$A$32,$B6,'Pemetaan Variant'!$AY$5:$AY$32)*100,"n/a"),"n/a")</f>
        <v>0.107921433196645</v>
      </c>
      <c r="DS6" s="11" t="n">
        <f aca="false">IFERROR(IF(ISNUMBER(DR6),$C6*DR6,"n/a"),"n/a")</f>
        <v>0.0134997902826851</v>
      </c>
      <c r="DT6" s="18" t="str">
        <f aca="false">IFERROR(AVERAGEIF('Pemetaan Variant'!$A$5:$A$32,$B6,'Pemetaan Variant'!$BA$5:$BA$32),"n/a")</f>
        <v>n/a</v>
      </c>
      <c r="DU6" s="11" t="str">
        <f aca="false">IFERROR(IF(ISNUMBER(DT6),(DT6-AVERAGEIF('Pemetaan Variant'!$A$5:$A$32,$B6,'Pemetaan Variant'!$AY$5:$AY$32))/AVERAGEIF('Pemetaan Variant'!$A$5:$A$32,$B6,'Pemetaan Variant'!$AY$5:$AY$32)*100,"n/a"),"n/a")</f>
        <v>n/a</v>
      </c>
      <c r="DV6" s="11" t="str">
        <f aca="false">IFERROR(IF(ISNUMBER(DU6),$C6*DU6,"n/a"),"n/a")</f>
        <v>n/a</v>
      </c>
      <c r="DW6" s="18" t="str">
        <f aca="false">IFERROR(AVERAGEIF('Pemetaan Variant'!$A$5:$A$32,$B6,'Pemetaan Variant'!$BB$5:$BB$32),"n/a")</f>
        <v>n/a</v>
      </c>
      <c r="DX6" s="11" t="str">
        <f aca="false">IFERROR(IF(ISNUMBER(DW6),(DW6-AVERAGEIF('Pemetaan Variant'!$A$5:$A$32,$B6,'Pemetaan Variant'!$AY$5:$AY$32))/AVERAGEIF('Pemetaan Variant'!$A$5:$A$32,$B6,'Pemetaan Variant'!$AY$5:$AY$32)*100,"n/a"),"n/a")</f>
        <v>n/a</v>
      </c>
      <c r="DY6" s="11" t="str">
        <f aca="false">IFERROR(IF(ISNUMBER(DX6),$C6*DX6,"n/a"),"n/a")</f>
        <v>n/a</v>
      </c>
      <c r="DZ6" s="18" t="str">
        <f aca="false">IFERROR(AVERAGEIF('Pemetaan Variant'!$A$5:$A$32,$B6,'Pemetaan Variant'!$BC$5:$BC$32),"n/a")</f>
        <v>n/a</v>
      </c>
      <c r="EA6" s="11" t="str">
        <f aca="false">IFERROR(IF(ISNUMBER(DZ6),(DZ6-AVERAGEIF('Pemetaan Variant'!$A$5:$A$32,$B6,'Pemetaan Variant'!$AY$5:$AY$32))/AVERAGEIF('Pemetaan Variant'!$A$5:$A$32,$B6,'Pemetaan Variant'!$AY$5:$AY$32)*100,"n/a"),"n/a")</f>
        <v>n/a</v>
      </c>
      <c r="EB6" s="11" t="str">
        <f aca="false">IFERROR(IF(ISNUMBER(EA6),$C6*EA6,"n/a"),"n/a")</f>
        <v>n/a</v>
      </c>
      <c r="EC6" s="18" t="str">
        <f aca="false">IFERROR(AVERAGEIF('Pemetaan Variant'!$A$5:$A$32,$B6,'Pemetaan Variant'!$BD$5:$BD$32),"n/a")</f>
        <v>n/a</v>
      </c>
      <c r="ED6" s="11" t="str">
        <f aca="false">IFERROR(IF(ISNUMBER(EC6),(EC6-AVERAGEIF('Pemetaan Variant'!$A$5:$A$32,$B6,'Pemetaan Variant'!$AY$5:$AY$32))/AVERAGEIF('Pemetaan Variant'!$A$5:$A$32,$B6,'Pemetaan Variant'!$AY$5:$AY$32)*100,"n/a"),"n/a")</f>
        <v>n/a</v>
      </c>
      <c r="EE6" s="11" t="str">
        <f aca="false">IFERROR(IF(ISNUMBER(ED6),$C6*ED6,"n/a"),"n/a")</f>
        <v>n/a</v>
      </c>
      <c r="EG6" s="11" t="n">
        <f aca="false">IFERROR(ABS(F6),0)</f>
        <v>0</v>
      </c>
      <c r="EH6" s="11" t="n">
        <f aca="false">IFERROR(ABS(I6),0)</f>
        <v>0</v>
      </c>
      <c r="EI6" s="11" t="n">
        <f aca="false">IFERROR(ABS(L6),0)</f>
        <v>0</v>
      </c>
      <c r="EJ6" s="11" t="n">
        <f aca="false">IFERROR(ABS(O6),0)</f>
        <v>0</v>
      </c>
      <c r="EK6" s="11" t="n">
        <f aca="false">IFERROR(ABS(R6),0)</f>
        <v>0</v>
      </c>
      <c r="EL6" s="11" t="n">
        <f aca="false">IFERROR(ABS(U6),0)</f>
        <v>0</v>
      </c>
      <c r="EM6" s="11" t="n">
        <f aca="false">IFERROR(ABS(X6),0)</f>
        <v>0</v>
      </c>
      <c r="EN6" s="11" t="n">
        <f aca="false">IFERROR(ABS(AA6),0)</f>
        <v>0</v>
      </c>
      <c r="EO6" s="11" t="n">
        <f aca="false">IFERROR(ABS(AD6),0)</f>
        <v>0</v>
      </c>
      <c r="EP6" s="11" t="n">
        <f aca="false">IFERROR(ABS(AG6),0)</f>
        <v>0</v>
      </c>
      <c r="EQ6" s="11" t="n">
        <f aca="false">IFERROR(ABS(AJ6),0)</f>
        <v>0</v>
      </c>
      <c r="ER6" s="11" t="n">
        <f aca="false">IFERROR(ABS(AM6),0)</f>
        <v>0</v>
      </c>
      <c r="ES6" s="11" t="n">
        <f aca="false">IFERROR(ABS(AP6),0)</f>
        <v>0</v>
      </c>
      <c r="ET6" s="11" t="n">
        <f aca="false">IFERROR(ABS(AS6),0)</f>
        <v>0</v>
      </c>
      <c r="EU6" s="11" t="n">
        <f aca="false">IFERROR(ABS(AV6),0)</f>
        <v>0</v>
      </c>
      <c r="EV6" s="11" t="n">
        <f aca="false">IFERROR(ABS(AY6),0)</f>
        <v>0</v>
      </c>
      <c r="EW6" s="11" t="n">
        <f aca="false">IFERROR(ABS(BB6),0)</f>
        <v>0</v>
      </c>
      <c r="EX6" s="11" t="n">
        <f aca="false">IFERROR(ABS(BE6),0)</f>
        <v>0.60940822523784</v>
      </c>
      <c r="EY6" s="11" t="n">
        <f aca="false">IFERROR(ABS(BH6),0)</f>
        <v>0.60940822523784</v>
      </c>
      <c r="EZ6" s="11" t="n">
        <f aca="false">IFERROR(ABS(BK6),0)</f>
        <v>0</v>
      </c>
      <c r="FA6" s="11" t="n">
        <f aca="false">IFERROR(ABS(BN6),0)</f>
        <v>0.341111170208478</v>
      </c>
      <c r="FB6" s="11" t="n">
        <f aca="false">IFERROR(ABS(BQ6),0)</f>
        <v>0.317547569634866</v>
      </c>
      <c r="FC6" s="11" t="n">
        <f aca="false">IFERROR(ABS(BT6),0)</f>
        <v>0.297125782471068</v>
      </c>
      <c r="FD6" s="11" t="n">
        <f aca="false">IFERROR(ABS(BW6),0)</f>
        <v>0.0359064389693139</v>
      </c>
      <c r="FE6" s="11" t="n">
        <f aca="false">IFERROR(ABS(BZ6),0)</f>
        <v>0.559640596311288</v>
      </c>
      <c r="FF6" s="11" t="n">
        <f aca="false">IFERROR(ABS(CC6),0)</f>
        <v>0.62739416119575</v>
      </c>
      <c r="FG6" s="11" t="n">
        <f aca="false">IFERROR(ABS(CF6),0)</f>
        <v>0.567339865048159</v>
      </c>
      <c r="FH6" s="11" t="n">
        <f aca="false">IFERROR(ABS(CI6),0)</f>
        <v>0.621234746206254</v>
      </c>
      <c r="FI6" s="11" t="n">
        <f aca="false">IFERROR(ABS(CL6),0)</f>
        <v>0.621234746206254</v>
      </c>
      <c r="FJ6" s="11" t="n">
        <f aca="false">IFERROR(ABS(CO6),0)</f>
        <v>0.0226434806649973</v>
      </c>
      <c r="FK6" s="11" t="n">
        <f aca="false">IFERROR(ABS(CR6),0)</f>
        <v>0.0226434806649973</v>
      </c>
      <c r="FL6" s="11" t="n">
        <f aca="false">IFERROR(ABS(CU6),0)</f>
        <v>0.0226434806649973</v>
      </c>
      <c r="FM6" s="11" t="n">
        <f aca="false">IFERROR(ABS(CX6),0)</f>
        <v>0.0226434806649973</v>
      </c>
      <c r="FN6" s="11" t="n">
        <f aca="false">IFERROR(ABS(DA6),0)</f>
        <v>0.0226434806649973</v>
      </c>
      <c r="FO6" s="11" t="n">
        <f aca="false">IFERROR(ABS(DD6),0)</f>
        <v>0</v>
      </c>
      <c r="FP6" s="11" t="n">
        <f aca="false">IFERROR(ABS(DG6),0)</f>
        <v>0</v>
      </c>
      <c r="FQ6" s="11" t="n">
        <f aca="false">IFERROR(ABS(DJ6),0)</f>
        <v>0</v>
      </c>
      <c r="FR6" s="11" t="n">
        <f aca="false">IFERROR(ABS(DM6),0)</f>
        <v>0.0121524342706619</v>
      </c>
      <c r="FS6" s="11" t="n">
        <f aca="false">IFERROR(ABS(DP6),0)</f>
        <v>0</v>
      </c>
      <c r="FT6" s="11" t="n">
        <f aca="false">IFERROR(ABS(DS6),0)</f>
        <v>0.0134997902826851</v>
      </c>
      <c r="FU6" s="11" t="n">
        <f aca="false">IFERROR(ABS(DV6),0)</f>
        <v>0</v>
      </c>
      <c r="FV6" s="11" t="n">
        <f aca="false">IFERROR(ABS(DY6),0)</f>
        <v>0</v>
      </c>
      <c r="FW6" s="11" t="n">
        <f aca="false">IFERROR(ABS(EB6),0)</f>
        <v>0</v>
      </c>
      <c r="FX6" s="11" t="n">
        <f aca="false">IFERROR(ABS(EE6),0)</f>
        <v>0</v>
      </c>
    </row>
    <row r="7" customFormat="false" ht="12.75" hidden="false" customHeight="true" outlineLevel="0" collapsed="false">
      <c r="A7" s="5" t="n">
        <v>2</v>
      </c>
      <c r="B7" s="6" t="s">
        <v>191</v>
      </c>
      <c r="C7" s="7" t="n">
        <f aca="false">'P0Q0 Dasar 2022'!F6</f>
        <v>0.00793664049050366</v>
      </c>
      <c r="D7" s="17" t="n">
        <f aca="false">IFERROR(AVERAGEIF('Pemetaan Variant'!$A$5:$A$32,$B7,'Pemetaan Variant'!$L$5:$L$32),"n/a")</f>
        <v>11000</v>
      </c>
      <c r="E7" s="7" t="n">
        <f aca="false">IFERROR(IF(ISNUMBER(D7),(D7-AVERAGEIF('Pemetaan Variant'!$A$5:$A$32,$B7,'Pemetaan Variant'!$D$5:$D$32))/AVERAGEIF('Pemetaan Variant'!$A$5:$A$32,$B7,'Pemetaan Variant'!$D$5:$D$32)*100,"n/a"),"n/a")</f>
        <v>0</v>
      </c>
      <c r="F7" s="7" t="n">
        <f aca="false">IFERROR(IF(ISNUMBER(E7),$C7*E7,"n/a"),"n/a")</f>
        <v>0</v>
      </c>
      <c r="G7" s="17" t="n">
        <f aca="false">IFERROR(AVERAGEIF('Pemetaan Variant'!$A$5:$A$32,$B7,'Pemetaan Variant'!$M$5:$M$32),"n/a")</f>
        <v>11000</v>
      </c>
      <c r="H7" s="7" t="n">
        <f aca="false">IFERROR(IF(ISNUMBER(G7),(G7-AVERAGEIF('Pemetaan Variant'!$A$5:$A$32,$B7,'Pemetaan Variant'!$D$5:$D$32))/AVERAGEIF('Pemetaan Variant'!$A$5:$A$32,$B7,'Pemetaan Variant'!$D$5:$D$32)*100,"n/a"),"n/a")</f>
        <v>0</v>
      </c>
      <c r="I7" s="7" t="n">
        <f aca="false">IFERROR(IF(ISNUMBER(H7),$C7*H7,"n/a"),"n/a")</f>
        <v>0</v>
      </c>
      <c r="J7" s="17" t="n">
        <f aca="false">IFERROR(AVERAGEIF('Pemetaan Variant'!$A$5:$A$32,$B7,'Pemetaan Variant'!$N$5:$N$32),"n/a")</f>
        <v>11000</v>
      </c>
      <c r="K7" s="7" t="n">
        <f aca="false">IFERROR(IF(ISNUMBER(J7),(J7-AVERAGEIF('Pemetaan Variant'!$A$5:$A$32,$B7,'Pemetaan Variant'!$D$5:$D$32))/AVERAGEIF('Pemetaan Variant'!$A$5:$A$32,$B7,'Pemetaan Variant'!$D$5:$D$32)*100,"n/a"),"n/a")</f>
        <v>0</v>
      </c>
      <c r="L7" s="7" t="n">
        <f aca="false">IFERROR(IF(ISNUMBER(K7),$C7*K7,"n/a"),"n/a")</f>
        <v>0</v>
      </c>
      <c r="M7" s="17" t="n">
        <f aca="false">IFERROR(AVERAGEIF('Pemetaan Variant'!$A$5:$A$32,$B7,'Pemetaan Variant'!$O$5:$O$32),"n/a")</f>
        <v>11000</v>
      </c>
      <c r="N7" s="7" t="n">
        <f aca="false">IFERROR(IF(ISNUMBER(M7),(M7-AVERAGEIF('Pemetaan Variant'!$A$5:$A$32,$B7,'Pemetaan Variant'!$D$5:$D$32))/AVERAGEIF('Pemetaan Variant'!$A$5:$A$32,$B7,'Pemetaan Variant'!$D$5:$D$32)*100,"n/a"),"n/a")</f>
        <v>0</v>
      </c>
      <c r="O7" s="7" t="n">
        <f aca="false">IFERROR(IF(ISNUMBER(N7),$C7*N7,"n/a"),"n/a")</f>
        <v>0</v>
      </c>
      <c r="P7" s="17" t="n">
        <f aca="false">IFERROR(AVERAGEIF('Pemetaan Variant'!$A$5:$A$32,$B7,'Pemetaan Variant'!$P$5:$P$32),"n/a")</f>
        <v>11000</v>
      </c>
      <c r="Q7" s="7" t="n">
        <f aca="false">IFERROR(IF(ISNUMBER(P7),(P7-AVERAGEIF('Pemetaan Variant'!$A$5:$A$32,$B7,'Pemetaan Variant'!$D$5:$D$32))/AVERAGEIF('Pemetaan Variant'!$A$5:$A$32,$B7,'Pemetaan Variant'!$D$5:$D$32)*100,"n/a"),"n/a")</f>
        <v>0</v>
      </c>
      <c r="R7" s="7" t="n">
        <f aca="false">IFERROR(IF(ISNUMBER(Q7),$C7*Q7,"n/a"),"n/a")</f>
        <v>0</v>
      </c>
      <c r="S7" s="17" t="n">
        <f aca="false">IFERROR(AVERAGEIF('Pemetaan Variant'!$A$5:$A$32,$B7,'Pemetaan Variant'!$Q$5:$Q$32),"n/a")</f>
        <v>11000</v>
      </c>
      <c r="T7" s="7" t="n">
        <f aca="false">IFERROR(IF(ISNUMBER(S7),(S7-AVERAGEIF('Pemetaan Variant'!$A$5:$A$32,$B7,'Pemetaan Variant'!$E$5:$E$32))/AVERAGEIF('Pemetaan Variant'!$A$5:$A$32,$B7,'Pemetaan Variant'!$E$5:$E$32)*100,"n/a"),"n/a")</f>
        <v>0</v>
      </c>
      <c r="U7" s="7" t="n">
        <f aca="false">IFERROR(IF(ISNUMBER(T7),$C7*T7,"n/a"),"n/a")</f>
        <v>0</v>
      </c>
      <c r="V7" s="17" t="n">
        <f aca="false">IFERROR(AVERAGEIF('Pemetaan Variant'!$A$5:$A$32,$B7,'Pemetaan Variant'!$R$5:$R$32),"n/a")</f>
        <v>11000</v>
      </c>
      <c r="W7" s="7" t="n">
        <f aca="false">IFERROR(IF(ISNUMBER(V7),(V7-AVERAGEIF('Pemetaan Variant'!$A$5:$A$32,$B7,'Pemetaan Variant'!$E$5:$E$32))/AVERAGEIF('Pemetaan Variant'!$A$5:$A$32,$B7,'Pemetaan Variant'!$E$5:$E$32)*100,"n/a"),"n/a")</f>
        <v>0</v>
      </c>
      <c r="X7" s="7" t="n">
        <f aca="false">IFERROR(IF(ISNUMBER(W7),$C7*W7,"n/a"),"n/a")</f>
        <v>0</v>
      </c>
      <c r="Y7" s="17" t="n">
        <f aca="false">IFERROR(AVERAGEIF('Pemetaan Variant'!$A$5:$A$32,$B7,'Pemetaan Variant'!$S$5:$S$32),"n/a")</f>
        <v>11000</v>
      </c>
      <c r="Z7" s="7" t="n">
        <f aca="false">IFERROR(IF(ISNUMBER(Y7),(Y7-AVERAGEIF('Pemetaan Variant'!$A$5:$A$32,$B7,'Pemetaan Variant'!$E$5:$E$32))/AVERAGEIF('Pemetaan Variant'!$A$5:$A$32,$B7,'Pemetaan Variant'!$E$5:$E$32)*100,"n/a"),"n/a")</f>
        <v>0</v>
      </c>
      <c r="AA7" s="7" t="n">
        <f aca="false">IFERROR(IF(ISNUMBER(Z7),$C7*Z7,"n/a"),"n/a")</f>
        <v>0</v>
      </c>
      <c r="AB7" s="17" t="n">
        <f aca="false">IFERROR(AVERAGEIF('Pemetaan Variant'!$A$5:$A$32,$B7,'Pemetaan Variant'!$T$5:$T$32),"n/a")</f>
        <v>11000</v>
      </c>
      <c r="AC7" s="7" t="n">
        <f aca="false">IFERROR(IF(ISNUMBER(AB7),(AB7-AVERAGEIF('Pemetaan Variant'!$A$5:$A$32,$B7,'Pemetaan Variant'!$E$5:$E$32))/AVERAGEIF('Pemetaan Variant'!$A$5:$A$32,$B7,'Pemetaan Variant'!$E$5:$E$32)*100,"n/a"),"n/a")</f>
        <v>0</v>
      </c>
      <c r="AD7" s="7" t="n">
        <f aca="false">IFERROR(IF(ISNUMBER(AC7),$C7*AC7,"n/a"),"n/a")</f>
        <v>0</v>
      </c>
      <c r="AE7" s="17" t="n">
        <f aca="false">IFERROR(AVERAGEIF('Pemetaan Variant'!$A$5:$A$32,$B7,'Pemetaan Variant'!$U$5:$U$32),"n/a")</f>
        <v>11000</v>
      </c>
      <c r="AF7" s="7" t="n">
        <f aca="false">IFERROR(IF(ISNUMBER(AE7),(AE7-AVERAGEIF('Pemetaan Variant'!$A$5:$A$32,$B7,'Pemetaan Variant'!$F$5:$F$32))/AVERAGEIF('Pemetaan Variant'!$A$5:$A$32,$B7,'Pemetaan Variant'!$F$5:$F$32)*100,"n/a"),"n/a")</f>
        <v>0</v>
      </c>
      <c r="AG7" s="7" t="n">
        <f aca="false">IFERROR(IF(ISNUMBER(AF7),$C7*AF7,"n/a"),"n/a")</f>
        <v>0</v>
      </c>
      <c r="AH7" s="17" t="n">
        <f aca="false">IFERROR(AVERAGEIF('Pemetaan Variant'!$A$5:$A$32,$B7,'Pemetaan Variant'!$V$5:$V$32),"n/a")</f>
        <v>11000</v>
      </c>
      <c r="AI7" s="7" t="n">
        <f aca="false">IFERROR(IF(ISNUMBER(AH7),(AH7-AVERAGEIF('Pemetaan Variant'!$A$5:$A$32,$B7,'Pemetaan Variant'!$F$5:$F$32))/AVERAGEIF('Pemetaan Variant'!$A$5:$A$32,$B7,'Pemetaan Variant'!$F$5:$F$32)*100,"n/a"),"n/a")</f>
        <v>0</v>
      </c>
      <c r="AJ7" s="7" t="n">
        <f aca="false">IFERROR(IF(ISNUMBER(AI7),$C7*AI7,"n/a"),"n/a")</f>
        <v>0</v>
      </c>
      <c r="AK7" s="17" t="n">
        <f aca="false">IFERROR(AVERAGEIF('Pemetaan Variant'!$A$5:$A$32,$B7,'Pemetaan Variant'!$W$5:$W$32),"n/a")</f>
        <v>11000</v>
      </c>
      <c r="AL7" s="7" t="n">
        <f aca="false">IFERROR(IF(ISNUMBER(AK7),(AK7-AVERAGEIF('Pemetaan Variant'!$A$5:$A$32,$B7,'Pemetaan Variant'!$F$5:$F$32))/AVERAGEIF('Pemetaan Variant'!$A$5:$A$32,$B7,'Pemetaan Variant'!$F$5:$F$32)*100,"n/a"),"n/a")</f>
        <v>0</v>
      </c>
      <c r="AM7" s="7" t="n">
        <f aca="false">IFERROR(IF(ISNUMBER(AL7),$C7*AL7,"n/a"),"n/a")</f>
        <v>0</v>
      </c>
      <c r="AN7" s="17" t="n">
        <f aca="false">IFERROR(AVERAGEIF('Pemetaan Variant'!$A$5:$A$32,$B7,'Pemetaan Variant'!$X$5:$X$32),"n/a")</f>
        <v>11000</v>
      </c>
      <c r="AO7" s="7" t="n">
        <f aca="false">IFERROR(IF(ISNUMBER(AN7),(AN7-AVERAGEIF('Pemetaan Variant'!$A$5:$A$32,$B7,'Pemetaan Variant'!$F$5:$F$32))/AVERAGEIF('Pemetaan Variant'!$A$5:$A$32,$B7,'Pemetaan Variant'!$F$5:$F$32)*100,"n/a"),"n/a")</f>
        <v>0</v>
      </c>
      <c r="AP7" s="7" t="n">
        <f aca="false">IFERROR(IF(ISNUMBER(AO7),$C7*AO7,"n/a"),"n/a")</f>
        <v>0</v>
      </c>
      <c r="AQ7" s="17" t="n">
        <f aca="false">IFERROR(AVERAGEIF('Pemetaan Variant'!$A$5:$A$32,$B7,'Pemetaan Variant'!$Y$5:$Y$32),"n/a")</f>
        <v>11000</v>
      </c>
      <c r="AR7" s="7" t="n">
        <f aca="false">IFERROR(IF(ISNUMBER(AQ7),(AQ7-AVERAGEIF('Pemetaan Variant'!$A$5:$A$32,$B7,'Pemetaan Variant'!$F$5:$F$32))/AVERAGEIF('Pemetaan Variant'!$A$5:$A$32,$B7,'Pemetaan Variant'!$F$5:$F$32)*100,"n/a"),"n/a")</f>
        <v>0</v>
      </c>
      <c r="AS7" s="7" t="n">
        <f aca="false">IFERROR(IF(ISNUMBER(AR7),$C7*AR7,"n/a"),"n/a")</f>
        <v>0</v>
      </c>
      <c r="AT7" s="17" t="n">
        <f aca="false">IFERROR(AVERAGEIF('Pemetaan Variant'!$A$5:$A$32,$B7,'Pemetaan Variant'!$Z$5:$Z$32),"n/a")</f>
        <v>11000</v>
      </c>
      <c r="AU7" s="7" t="n">
        <f aca="false">IFERROR(IF(ISNUMBER(AT7),(AT7-AVERAGEIF('Pemetaan Variant'!$A$5:$A$32,$B7,'Pemetaan Variant'!$G$5:$G$32))/AVERAGEIF('Pemetaan Variant'!$A$5:$A$32,$B7,'Pemetaan Variant'!$G$5:$G$32)*100,"n/a"),"n/a")</f>
        <v>0</v>
      </c>
      <c r="AV7" s="7" t="n">
        <f aca="false">IFERROR(IF(ISNUMBER(AU7),$C7*AU7,"n/a"),"n/a")</f>
        <v>0</v>
      </c>
      <c r="AW7" s="17" t="n">
        <f aca="false">IFERROR(AVERAGEIF('Pemetaan Variant'!$A$5:$A$32,$B7,'Pemetaan Variant'!$AA$5:$AA$32),"n/a")</f>
        <v>11000</v>
      </c>
      <c r="AX7" s="7" t="n">
        <f aca="false">IFERROR(IF(ISNUMBER(AW7),(AW7-AVERAGEIF('Pemetaan Variant'!$A$5:$A$32,$B7,'Pemetaan Variant'!$G$5:$G$32))/AVERAGEIF('Pemetaan Variant'!$A$5:$A$32,$B7,'Pemetaan Variant'!$G$5:$G$32)*100,"n/a"),"n/a")</f>
        <v>0</v>
      </c>
      <c r="AY7" s="7" t="n">
        <f aca="false">IFERROR(IF(ISNUMBER(AX7),$C7*AX7,"n/a"),"n/a")</f>
        <v>0</v>
      </c>
      <c r="AZ7" s="17" t="n">
        <f aca="false">IFERROR(AVERAGEIF('Pemetaan Variant'!$A$5:$A$32,$B7,'Pemetaan Variant'!$AB$5:$AB$32),"n/a")</f>
        <v>11000</v>
      </c>
      <c r="BA7" s="7" t="n">
        <f aca="false">IFERROR(IF(ISNUMBER(AZ7),(AZ7-AVERAGEIF('Pemetaan Variant'!$A$5:$A$32,$B7,'Pemetaan Variant'!$G$5:$G$32))/AVERAGEIF('Pemetaan Variant'!$A$5:$A$32,$B7,'Pemetaan Variant'!$G$5:$G$32)*100,"n/a"),"n/a")</f>
        <v>0</v>
      </c>
      <c r="BB7" s="7" t="n">
        <f aca="false">IFERROR(IF(ISNUMBER(BA7),$C7*BA7,"n/a"),"n/a")</f>
        <v>0</v>
      </c>
      <c r="BC7" s="17" t="n">
        <f aca="false">IFERROR(AVERAGEIF('Pemetaan Variant'!$A$5:$A$32,$B7,'Pemetaan Variant'!$AC$5:$AC$32),"n/a")</f>
        <v>11000</v>
      </c>
      <c r="BD7" s="7" t="n">
        <f aca="false">IFERROR(IF(ISNUMBER(BC7),(BC7-AVERAGEIF('Pemetaan Variant'!$A$5:$A$32,$B7,'Pemetaan Variant'!$G$5:$G$32))/AVERAGEIF('Pemetaan Variant'!$A$5:$A$32,$B7,'Pemetaan Variant'!$G$5:$G$32)*100,"n/a"),"n/a")</f>
        <v>0</v>
      </c>
      <c r="BE7" s="7" t="n">
        <f aca="false">IFERROR(IF(ISNUMBER(BD7),$C7*BD7,"n/a"),"n/a")</f>
        <v>0</v>
      </c>
      <c r="BF7" s="17" t="n">
        <f aca="false">IFERROR(AVERAGEIF('Pemetaan Variant'!$A$5:$A$32,$B7,'Pemetaan Variant'!$AD$5:$AD$32),"n/a")</f>
        <v>11000</v>
      </c>
      <c r="BG7" s="7" t="n">
        <f aca="false">IFERROR(IF(ISNUMBER(BF7),(BF7-AVERAGEIF('Pemetaan Variant'!$A$5:$A$32,$B7,'Pemetaan Variant'!$G$5:$G$32))/AVERAGEIF('Pemetaan Variant'!$A$5:$A$32,$B7,'Pemetaan Variant'!$G$5:$G$32)*100,"n/a"),"n/a")</f>
        <v>0</v>
      </c>
      <c r="BH7" s="7" t="n">
        <f aca="false">IFERROR(IF(ISNUMBER(BG7),$C7*BG7,"n/a"),"n/a")</f>
        <v>0</v>
      </c>
      <c r="BI7" s="17" t="str">
        <f aca="false">IFERROR(AVERAGEIF('Pemetaan Variant'!$A$5:$A$32,$B7,'Pemetaan Variant'!$AE$5:$AE$32),"n/a")</f>
        <v>n/a</v>
      </c>
      <c r="BJ7" s="7" t="str">
        <f aca="false">IFERROR(IF(ISNUMBER(BI7),(BI7-AVERAGEIF('Pemetaan Variant'!$A$5:$A$32,$B7,'Pemetaan Variant'!$H$5:$H$32))/AVERAGEIF('Pemetaan Variant'!$A$5:$A$32,$B7,'Pemetaan Variant'!$H$5:$H$32)*100,"n/a"),"n/a")</f>
        <v>n/a</v>
      </c>
      <c r="BK7" s="7" t="str">
        <f aca="false">IFERROR(IF(ISNUMBER(BJ7),$C7*BJ7,"n/a"),"n/a")</f>
        <v>n/a</v>
      </c>
      <c r="BL7" s="17" t="n">
        <f aca="false">IFERROR(AVERAGEIF('Pemetaan Variant'!$A$5:$A$32,$B7,'Pemetaan Variant'!$AF$5:$AF$32),"n/a")</f>
        <v>11000</v>
      </c>
      <c r="BM7" s="7" t="n">
        <f aca="false">IFERROR(IF(ISNUMBER(BL7),(BL7-AVERAGEIF('Pemetaan Variant'!$A$5:$A$32,$B7,'Pemetaan Variant'!$H$5:$H$32))/AVERAGEIF('Pemetaan Variant'!$A$5:$A$32,$B7,'Pemetaan Variant'!$H$5:$H$32)*100,"n/a"),"n/a")</f>
        <v>0</v>
      </c>
      <c r="BN7" s="7" t="n">
        <f aca="false">IFERROR(IF(ISNUMBER(BM7),$C7*BM7,"n/a"),"n/a")</f>
        <v>0</v>
      </c>
      <c r="BO7" s="17" t="n">
        <f aca="false">IFERROR(AVERAGEIF('Pemetaan Variant'!$A$5:$A$32,$B7,'Pemetaan Variant'!$AG$5:$AG$32),"n/a")</f>
        <v>11000</v>
      </c>
      <c r="BP7" s="7" t="n">
        <f aca="false">IFERROR(IF(ISNUMBER(BO7),(BO7-AVERAGEIF('Pemetaan Variant'!$A$5:$A$32,$B7,'Pemetaan Variant'!$H$5:$H$32))/AVERAGEIF('Pemetaan Variant'!$A$5:$A$32,$B7,'Pemetaan Variant'!$H$5:$H$32)*100,"n/a"),"n/a")</f>
        <v>0</v>
      </c>
      <c r="BQ7" s="7" t="n">
        <f aca="false">IFERROR(IF(ISNUMBER(BP7),$C7*BP7,"n/a"),"n/a")</f>
        <v>0</v>
      </c>
      <c r="BR7" s="17" t="n">
        <f aca="false">IFERROR(AVERAGEIF('Pemetaan Variant'!$A$5:$A$32,$B7,'Pemetaan Variant'!$AH$5:$AH$32),"n/a")</f>
        <v>11000</v>
      </c>
      <c r="BS7" s="7" t="n">
        <f aca="false">IFERROR(IF(ISNUMBER(BR7),(BR7-AVERAGEIF('Pemetaan Variant'!$A$5:$A$32,$B7,'Pemetaan Variant'!$H$5:$H$32))/AVERAGEIF('Pemetaan Variant'!$A$5:$A$32,$B7,'Pemetaan Variant'!$H$5:$H$32)*100,"n/a"),"n/a")</f>
        <v>0</v>
      </c>
      <c r="BT7" s="7" t="n">
        <f aca="false">IFERROR(IF(ISNUMBER(BS7),$C7*BS7,"n/a"),"n/a")</f>
        <v>0</v>
      </c>
      <c r="BU7" s="17" t="n">
        <f aca="false">IFERROR(AVERAGEIF('Pemetaan Variant'!$A$5:$A$32,$B7,'Pemetaan Variant'!$AI$5:$AI$32),"n/a")</f>
        <v>11000</v>
      </c>
      <c r="BV7" s="7" t="n">
        <f aca="false">IFERROR(IF(ISNUMBER(BU7),(BU7-AVERAGEIF('Pemetaan Variant'!$A$5:$A$32,$B7,'Pemetaan Variant'!$H$5:$H$32))/AVERAGEIF('Pemetaan Variant'!$A$5:$A$32,$B7,'Pemetaan Variant'!$H$5:$H$32)*100,"n/a"),"n/a")</f>
        <v>0</v>
      </c>
      <c r="BW7" s="7" t="n">
        <f aca="false">IFERROR(IF(ISNUMBER(BV7),$C7*BV7,"n/a"),"n/a")</f>
        <v>0</v>
      </c>
      <c r="BX7" s="17" t="n">
        <f aca="false">IFERROR(AVERAGEIF('Pemetaan Variant'!$A$5:$A$32,$B7,'Pemetaan Variant'!$AJ$5:$AJ$32),"n/a")</f>
        <v>11000</v>
      </c>
      <c r="BY7" s="7" t="n">
        <f aca="false">IFERROR(IF(ISNUMBER(BX7),(BX7-AVERAGEIF('Pemetaan Variant'!$A$5:$A$32,$B7,'Pemetaan Variant'!$I$5:$I$32))/AVERAGEIF('Pemetaan Variant'!$A$5:$A$32,$B7,'Pemetaan Variant'!$I$5:$I$32)*100,"n/a"),"n/a")</f>
        <v>0</v>
      </c>
      <c r="BZ7" s="7" t="n">
        <f aca="false">IFERROR(IF(ISNUMBER(BY7),$C7*BY7,"n/a"),"n/a")</f>
        <v>0</v>
      </c>
      <c r="CA7" s="17" t="n">
        <f aca="false">IFERROR(AVERAGEIF('Pemetaan Variant'!$A$5:$A$32,$B7,'Pemetaan Variant'!$AK$5:$AK$32),"n/a")</f>
        <v>11000</v>
      </c>
      <c r="CB7" s="7" t="n">
        <f aca="false">IFERROR(IF(ISNUMBER(CA7),(CA7-AVERAGEIF('Pemetaan Variant'!$A$5:$A$32,$B7,'Pemetaan Variant'!$I$5:$I$32))/AVERAGEIF('Pemetaan Variant'!$A$5:$A$32,$B7,'Pemetaan Variant'!$I$5:$I$32)*100,"n/a"),"n/a")</f>
        <v>0</v>
      </c>
      <c r="CC7" s="7" t="n">
        <f aca="false">IFERROR(IF(ISNUMBER(CB7),$C7*CB7,"n/a"),"n/a")</f>
        <v>0</v>
      </c>
      <c r="CD7" s="17" t="n">
        <f aca="false">IFERROR(AVERAGEIF('Pemetaan Variant'!$A$5:$A$32,$B7,'Pemetaan Variant'!$AL$5:$AL$32),"n/a")</f>
        <v>11000</v>
      </c>
      <c r="CE7" s="7" t="n">
        <f aca="false">IFERROR(IF(ISNUMBER(CD7),(CD7-AVERAGEIF('Pemetaan Variant'!$A$5:$A$32,$B7,'Pemetaan Variant'!$I$5:$I$32))/AVERAGEIF('Pemetaan Variant'!$A$5:$A$32,$B7,'Pemetaan Variant'!$I$5:$I$32)*100,"n/a"),"n/a")</f>
        <v>0</v>
      </c>
      <c r="CF7" s="7" t="n">
        <f aca="false">IFERROR(IF(ISNUMBER(CE7),$C7*CE7,"n/a"),"n/a")</f>
        <v>0</v>
      </c>
      <c r="CG7" s="17" t="n">
        <f aca="false">IFERROR(AVERAGEIF('Pemetaan Variant'!$A$5:$A$32,$B7,'Pemetaan Variant'!$AM$5:$AM$32),"n/a")</f>
        <v>11000</v>
      </c>
      <c r="CH7" s="7" t="n">
        <f aca="false">IFERROR(IF(ISNUMBER(CG7),(CG7-AVERAGEIF('Pemetaan Variant'!$A$5:$A$32,$B7,'Pemetaan Variant'!$I$5:$I$32))/AVERAGEIF('Pemetaan Variant'!$A$5:$A$32,$B7,'Pemetaan Variant'!$I$5:$I$32)*100,"n/a"),"n/a")</f>
        <v>0</v>
      </c>
      <c r="CI7" s="7" t="n">
        <f aca="false">IFERROR(IF(ISNUMBER(CH7),$C7*CH7,"n/a"),"n/a")</f>
        <v>0</v>
      </c>
      <c r="CJ7" s="17" t="n">
        <f aca="false">IFERROR(AVERAGEIF('Pemetaan Variant'!$A$5:$A$32,$B7,'Pemetaan Variant'!$AN$5:$AN$32),"n/a")</f>
        <v>11000</v>
      </c>
      <c r="CK7" s="7" t="n">
        <f aca="false">IFERROR(IF(ISNUMBER(CJ7),(CJ7-AVERAGEIF('Pemetaan Variant'!$A$5:$A$32,$B7,'Pemetaan Variant'!$I$5:$I$32))/AVERAGEIF('Pemetaan Variant'!$A$5:$A$32,$B7,'Pemetaan Variant'!$I$5:$I$32)*100,"n/a"),"n/a")</f>
        <v>0</v>
      </c>
      <c r="CL7" s="7" t="n">
        <f aca="false">IFERROR(IF(ISNUMBER(CK7),$C7*CK7,"n/a"),"n/a")</f>
        <v>0</v>
      </c>
      <c r="CM7" s="17" t="n">
        <f aca="false">IFERROR(AVERAGEIF('Pemetaan Variant'!$A$5:$A$32,$B7,'Pemetaan Variant'!$AO$5:$AO$32),"n/a")</f>
        <v>11000</v>
      </c>
      <c r="CN7" s="7" t="n">
        <f aca="false">IFERROR(IF(ISNUMBER(CM7),(CM7-AVERAGEIF('Pemetaan Variant'!$A$5:$A$32,$B7,'Pemetaan Variant'!$J$5:$J$32))/AVERAGEIF('Pemetaan Variant'!$A$5:$A$32,$B7,'Pemetaan Variant'!$J$5:$J$32)*100,"n/a"),"n/a")</f>
        <v>0</v>
      </c>
      <c r="CO7" s="7" t="n">
        <f aca="false">IFERROR(IF(ISNUMBER(CN7),$C7*CN7,"n/a"),"n/a")</f>
        <v>0</v>
      </c>
      <c r="CP7" s="17" t="n">
        <f aca="false">IFERROR(AVERAGEIF('Pemetaan Variant'!$A$5:$A$32,$B7,'Pemetaan Variant'!$AP$5:$AP$32),"n/a")</f>
        <v>11000</v>
      </c>
      <c r="CQ7" s="7" t="n">
        <f aca="false">IFERROR(IF(ISNUMBER(CP7),(CP7-AVERAGEIF('Pemetaan Variant'!$A$5:$A$32,$B7,'Pemetaan Variant'!$J$5:$J$32))/AVERAGEIF('Pemetaan Variant'!$A$5:$A$32,$B7,'Pemetaan Variant'!$J$5:$J$32)*100,"n/a"),"n/a")</f>
        <v>0</v>
      </c>
      <c r="CR7" s="7" t="n">
        <f aca="false">IFERROR(IF(ISNUMBER(CQ7),$C7*CQ7,"n/a"),"n/a")</f>
        <v>0</v>
      </c>
      <c r="CS7" s="17" t="n">
        <f aca="false">IFERROR(AVERAGEIF('Pemetaan Variant'!$A$5:$A$32,$B7,'Pemetaan Variant'!$AQ$5:$AQ$32),"n/a")</f>
        <v>11000</v>
      </c>
      <c r="CT7" s="7" t="n">
        <f aca="false">IFERROR(IF(ISNUMBER(CS7),(CS7-AVERAGEIF('Pemetaan Variant'!$A$5:$A$32,$B7,'Pemetaan Variant'!$J$5:$J$32))/AVERAGEIF('Pemetaan Variant'!$A$5:$A$32,$B7,'Pemetaan Variant'!$J$5:$J$32)*100,"n/a"),"n/a")</f>
        <v>0</v>
      </c>
      <c r="CU7" s="7" t="n">
        <f aca="false">IFERROR(IF(ISNUMBER(CT7),$C7*CT7,"n/a"),"n/a")</f>
        <v>0</v>
      </c>
      <c r="CV7" s="17" t="n">
        <f aca="false">IFERROR(AVERAGEIF('Pemetaan Variant'!$A$5:$A$32,$B7,'Pemetaan Variant'!$AR$5:$AR$32),"n/a")</f>
        <v>11000</v>
      </c>
      <c r="CW7" s="7" t="n">
        <f aca="false">IFERROR(IF(ISNUMBER(CV7),(CV7-AVERAGEIF('Pemetaan Variant'!$A$5:$A$32,$B7,'Pemetaan Variant'!$J$5:$J$32))/AVERAGEIF('Pemetaan Variant'!$A$5:$A$32,$B7,'Pemetaan Variant'!$J$5:$J$32)*100,"n/a"),"n/a")</f>
        <v>0</v>
      </c>
      <c r="CX7" s="7" t="n">
        <f aca="false">IFERROR(IF(ISNUMBER(CW7),$C7*CW7,"n/a"),"n/a")</f>
        <v>0</v>
      </c>
      <c r="CY7" s="17" t="n">
        <f aca="false">IFERROR(AVERAGEIF('Pemetaan Variant'!$A$5:$A$32,$B7,'Pemetaan Variant'!$AS$5:$AS$32),"n/a")</f>
        <v>11000</v>
      </c>
      <c r="CZ7" s="7" t="n">
        <f aca="false">IFERROR(IF(ISNUMBER(CY7),(CY7-AVERAGEIF('Pemetaan Variant'!$A$5:$A$32,$B7,'Pemetaan Variant'!$J$5:$J$32))/AVERAGEIF('Pemetaan Variant'!$A$5:$A$32,$B7,'Pemetaan Variant'!$J$5:$J$32)*100,"n/a"),"n/a")</f>
        <v>0</v>
      </c>
      <c r="DA7" s="7" t="n">
        <f aca="false">IFERROR(IF(ISNUMBER(CZ7),$C7*CZ7,"n/a"),"n/a")</f>
        <v>0</v>
      </c>
      <c r="DB7" s="17" t="n">
        <f aca="false">IFERROR(AVERAGEIF('Pemetaan Variant'!$A$5:$A$32,$B7,'Pemetaan Variant'!$AT$5:$AT$32),"n/a")</f>
        <v>11000</v>
      </c>
      <c r="DC7" s="7" t="n">
        <f aca="false">IFERROR(IF(ISNUMBER(DB7),(DB7-AVERAGEIF('Pemetaan Variant'!$A$5:$A$32,$B7,'Pemetaan Variant'!$K$5:$K$32))/AVERAGEIF('Pemetaan Variant'!$A$5:$A$32,$B7,'Pemetaan Variant'!$K$5:$K$32)*100,"n/a"),"n/a")</f>
        <v>0</v>
      </c>
      <c r="DD7" s="7" t="n">
        <f aca="false">IFERROR(IF(ISNUMBER(DC7),$C7*DC7,"n/a"),"n/a")</f>
        <v>0</v>
      </c>
      <c r="DE7" s="17" t="n">
        <f aca="false">IFERROR(AVERAGEIF('Pemetaan Variant'!$A$5:$A$32,$B7,'Pemetaan Variant'!$AU$5:$AU$32),"n/a")</f>
        <v>11000</v>
      </c>
      <c r="DF7" s="7" t="n">
        <f aca="false">IFERROR(IF(ISNUMBER(DE7),(DE7-AVERAGEIF('Pemetaan Variant'!$A$5:$A$32,$B7,'Pemetaan Variant'!$K$5:$K$32))/AVERAGEIF('Pemetaan Variant'!$A$5:$A$32,$B7,'Pemetaan Variant'!$K$5:$K$32)*100,"n/a"),"n/a")</f>
        <v>0</v>
      </c>
      <c r="DG7" s="7" t="n">
        <f aca="false">IFERROR(IF(ISNUMBER(DF7),$C7*DF7,"n/a"),"n/a")</f>
        <v>0</v>
      </c>
      <c r="DH7" s="17" t="n">
        <f aca="false">IFERROR(AVERAGEIF('Pemetaan Variant'!$A$5:$A$32,$B7,'Pemetaan Variant'!$AV$5:$AV$32),"n/a")</f>
        <v>11000</v>
      </c>
      <c r="DI7" s="7" t="n">
        <f aca="false">IFERROR(IF(ISNUMBER(DH7),(DH7-AVERAGEIF('Pemetaan Variant'!$A$5:$A$32,$B7,'Pemetaan Variant'!$K$5:$K$32))/AVERAGEIF('Pemetaan Variant'!$A$5:$A$32,$B7,'Pemetaan Variant'!$K$5:$K$32)*100,"n/a"),"n/a")</f>
        <v>0</v>
      </c>
      <c r="DJ7" s="7" t="n">
        <f aca="false">IFERROR(IF(ISNUMBER(DI7),$C7*DI7,"n/a"),"n/a")</f>
        <v>0</v>
      </c>
      <c r="DK7" s="17" t="n">
        <f aca="false">IFERROR(AVERAGEIF('Pemetaan Variant'!$A$5:$A$32,$B7,'Pemetaan Variant'!$AW$5:$AW$32),"n/a")</f>
        <v>11000</v>
      </c>
      <c r="DL7" s="7" t="n">
        <f aca="false">IFERROR(IF(ISNUMBER(DK7),(DK7-AVERAGEIF('Pemetaan Variant'!$A$5:$A$32,$B7,'Pemetaan Variant'!$K$5:$K$32))/AVERAGEIF('Pemetaan Variant'!$A$5:$A$32,$B7,'Pemetaan Variant'!$K$5:$K$32)*100,"n/a"),"n/a")</f>
        <v>0</v>
      </c>
      <c r="DM7" s="7" t="n">
        <f aca="false">IFERROR(IF(ISNUMBER(DL7),$C7*DL7,"n/a"),"n/a")</f>
        <v>0</v>
      </c>
      <c r="DN7" s="17" t="str">
        <f aca="false">IFERROR(AVERAGEIF('Pemetaan Variant'!$A$5:$A$32,$B7,'Pemetaan Variant'!$AX$5:$AX$32),"n/a")</f>
        <v>n/a</v>
      </c>
      <c r="DO7" s="7" t="str">
        <f aca="false">IFERROR(IF(ISNUMBER(DN7),(DN7-AVERAGEIF('Pemetaan Variant'!$A$5:$A$32,$B7,'Pemetaan Variant'!$K$5:$K$32))/AVERAGEIF('Pemetaan Variant'!$A$5:$A$32,$B7,'Pemetaan Variant'!$K$5:$K$32)*100,"n/a"),"n/a")</f>
        <v>n/a</v>
      </c>
      <c r="DP7" s="7" t="str">
        <f aca="false">IFERROR(IF(ISNUMBER(DO7),$C7*DO7,"n/a"),"n/a")</f>
        <v>n/a</v>
      </c>
      <c r="DQ7" s="18" t="n">
        <f aca="false">IFERROR(AVERAGEIF('Pemetaan Variant'!$A$5:$A$32,$B7,'Pemetaan Variant'!$AZ$5:$AZ$32),"n/a")</f>
        <v>11000</v>
      </c>
      <c r="DR7" s="11" t="n">
        <f aca="false">IFERROR(IF(ISNUMBER(DQ7),(DQ7-AVERAGEIF('Pemetaan Variant'!$A$5:$A$32,$B7,'Pemetaan Variant'!$AY$5:$AY$32))/AVERAGEIF('Pemetaan Variant'!$A$5:$A$32,$B7,'Pemetaan Variant'!$AY$5:$AY$32)*100,"n/a"),"n/a")</f>
        <v>0</v>
      </c>
      <c r="DS7" s="11" t="n">
        <f aca="false">IFERROR(IF(ISNUMBER(DR7),$C7*DR7,"n/a"),"n/a")</f>
        <v>0</v>
      </c>
      <c r="DT7" s="18" t="str">
        <f aca="false">IFERROR(AVERAGEIF('Pemetaan Variant'!$A$5:$A$32,$B7,'Pemetaan Variant'!$BA$5:$BA$32),"n/a")</f>
        <v>n/a</v>
      </c>
      <c r="DU7" s="11" t="str">
        <f aca="false">IFERROR(IF(ISNUMBER(DT7),(DT7-AVERAGEIF('Pemetaan Variant'!$A$5:$A$32,$B7,'Pemetaan Variant'!$AY$5:$AY$32))/AVERAGEIF('Pemetaan Variant'!$A$5:$A$32,$B7,'Pemetaan Variant'!$AY$5:$AY$32)*100,"n/a"),"n/a")</f>
        <v>n/a</v>
      </c>
      <c r="DV7" s="11" t="str">
        <f aca="false">IFERROR(IF(ISNUMBER(DU7),$C7*DU7,"n/a"),"n/a")</f>
        <v>n/a</v>
      </c>
      <c r="DW7" s="18" t="str">
        <f aca="false">IFERROR(AVERAGEIF('Pemetaan Variant'!$A$5:$A$32,$B7,'Pemetaan Variant'!$BB$5:$BB$32),"n/a")</f>
        <v>n/a</v>
      </c>
      <c r="DX7" s="11" t="str">
        <f aca="false">IFERROR(IF(ISNUMBER(DW7),(DW7-AVERAGEIF('Pemetaan Variant'!$A$5:$A$32,$B7,'Pemetaan Variant'!$AY$5:$AY$32))/AVERAGEIF('Pemetaan Variant'!$A$5:$A$32,$B7,'Pemetaan Variant'!$AY$5:$AY$32)*100,"n/a"),"n/a")</f>
        <v>n/a</v>
      </c>
      <c r="DY7" s="11" t="str">
        <f aca="false">IFERROR(IF(ISNUMBER(DX7),$C7*DX7,"n/a"),"n/a")</f>
        <v>n/a</v>
      </c>
      <c r="DZ7" s="18" t="str">
        <f aca="false">IFERROR(AVERAGEIF('Pemetaan Variant'!$A$5:$A$32,$B7,'Pemetaan Variant'!$BC$5:$BC$32),"n/a")</f>
        <v>n/a</v>
      </c>
      <c r="EA7" s="11" t="str">
        <f aca="false">IFERROR(IF(ISNUMBER(DZ7),(DZ7-AVERAGEIF('Pemetaan Variant'!$A$5:$A$32,$B7,'Pemetaan Variant'!$AY$5:$AY$32))/AVERAGEIF('Pemetaan Variant'!$A$5:$A$32,$B7,'Pemetaan Variant'!$AY$5:$AY$32)*100,"n/a"),"n/a")</f>
        <v>n/a</v>
      </c>
      <c r="EB7" s="11" t="str">
        <f aca="false">IFERROR(IF(ISNUMBER(EA7),$C7*EA7,"n/a"),"n/a")</f>
        <v>n/a</v>
      </c>
      <c r="EC7" s="18" t="str">
        <f aca="false">IFERROR(AVERAGEIF('Pemetaan Variant'!$A$5:$A$32,$B7,'Pemetaan Variant'!$BD$5:$BD$32),"n/a")</f>
        <v>n/a</v>
      </c>
      <c r="ED7" s="11" t="str">
        <f aca="false">IFERROR(IF(ISNUMBER(EC7),(EC7-AVERAGEIF('Pemetaan Variant'!$A$5:$A$32,$B7,'Pemetaan Variant'!$AY$5:$AY$32))/AVERAGEIF('Pemetaan Variant'!$A$5:$A$32,$B7,'Pemetaan Variant'!$AY$5:$AY$32)*100,"n/a"),"n/a")</f>
        <v>n/a</v>
      </c>
      <c r="EE7" s="11" t="str">
        <f aca="false">IFERROR(IF(ISNUMBER(ED7),$C7*ED7,"n/a"),"n/a")</f>
        <v>n/a</v>
      </c>
      <c r="EG7" s="11" t="n">
        <f aca="false">IFERROR(ABS(F7),0)</f>
        <v>0</v>
      </c>
      <c r="EH7" s="11" t="n">
        <f aca="false">IFERROR(ABS(I7),0)</f>
        <v>0</v>
      </c>
      <c r="EI7" s="11" t="n">
        <f aca="false">IFERROR(ABS(L7),0)</f>
        <v>0</v>
      </c>
      <c r="EJ7" s="11" t="n">
        <f aca="false">IFERROR(ABS(O7),0)</f>
        <v>0</v>
      </c>
      <c r="EK7" s="11" t="n">
        <f aca="false">IFERROR(ABS(R7),0)</f>
        <v>0</v>
      </c>
      <c r="EL7" s="11" t="n">
        <f aca="false">IFERROR(ABS(U7),0)</f>
        <v>0</v>
      </c>
      <c r="EM7" s="11" t="n">
        <f aca="false">IFERROR(ABS(X7),0)</f>
        <v>0</v>
      </c>
      <c r="EN7" s="11" t="n">
        <f aca="false">IFERROR(ABS(AA7),0)</f>
        <v>0</v>
      </c>
      <c r="EO7" s="11" t="n">
        <f aca="false">IFERROR(ABS(AD7),0)</f>
        <v>0</v>
      </c>
      <c r="EP7" s="11" t="n">
        <f aca="false">IFERROR(ABS(AG7),0)</f>
        <v>0</v>
      </c>
      <c r="EQ7" s="11" t="n">
        <f aca="false">IFERROR(ABS(AJ7),0)</f>
        <v>0</v>
      </c>
      <c r="ER7" s="11" t="n">
        <f aca="false">IFERROR(ABS(AM7),0)</f>
        <v>0</v>
      </c>
      <c r="ES7" s="11" t="n">
        <f aca="false">IFERROR(ABS(AP7),0)</f>
        <v>0</v>
      </c>
      <c r="ET7" s="11" t="n">
        <f aca="false">IFERROR(ABS(AS7),0)</f>
        <v>0</v>
      </c>
      <c r="EU7" s="11" t="n">
        <f aca="false">IFERROR(ABS(AV7),0)</f>
        <v>0</v>
      </c>
      <c r="EV7" s="11" t="n">
        <f aca="false">IFERROR(ABS(AY7),0)</f>
        <v>0</v>
      </c>
      <c r="EW7" s="11" t="n">
        <f aca="false">IFERROR(ABS(BB7),0)</f>
        <v>0</v>
      </c>
      <c r="EX7" s="11" t="n">
        <f aca="false">IFERROR(ABS(BE7),0)</f>
        <v>0</v>
      </c>
      <c r="EY7" s="11" t="n">
        <f aca="false">IFERROR(ABS(BH7),0)</f>
        <v>0</v>
      </c>
      <c r="EZ7" s="11" t="n">
        <f aca="false">IFERROR(ABS(BK7),0)</f>
        <v>0</v>
      </c>
      <c r="FA7" s="11" t="n">
        <f aca="false">IFERROR(ABS(BN7),0)</f>
        <v>0</v>
      </c>
      <c r="FB7" s="11" t="n">
        <f aca="false">IFERROR(ABS(BQ7),0)</f>
        <v>0</v>
      </c>
      <c r="FC7" s="11" t="n">
        <f aca="false">IFERROR(ABS(BT7),0)</f>
        <v>0</v>
      </c>
      <c r="FD7" s="11" t="n">
        <f aca="false">IFERROR(ABS(BW7),0)</f>
        <v>0</v>
      </c>
      <c r="FE7" s="11" t="n">
        <f aca="false">IFERROR(ABS(BZ7),0)</f>
        <v>0</v>
      </c>
      <c r="FF7" s="11" t="n">
        <f aca="false">IFERROR(ABS(CC7),0)</f>
        <v>0</v>
      </c>
      <c r="FG7" s="11" t="n">
        <f aca="false">IFERROR(ABS(CF7),0)</f>
        <v>0</v>
      </c>
      <c r="FH7" s="11" t="n">
        <f aca="false">IFERROR(ABS(CI7),0)</f>
        <v>0</v>
      </c>
      <c r="FI7" s="11" t="n">
        <f aca="false">IFERROR(ABS(CL7),0)</f>
        <v>0</v>
      </c>
      <c r="FJ7" s="11" t="n">
        <f aca="false">IFERROR(ABS(CO7),0)</f>
        <v>0</v>
      </c>
      <c r="FK7" s="11" t="n">
        <f aca="false">IFERROR(ABS(CR7),0)</f>
        <v>0</v>
      </c>
      <c r="FL7" s="11" t="n">
        <f aca="false">IFERROR(ABS(CU7),0)</f>
        <v>0</v>
      </c>
      <c r="FM7" s="11" t="n">
        <f aca="false">IFERROR(ABS(CX7),0)</f>
        <v>0</v>
      </c>
      <c r="FN7" s="11" t="n">
        <f aca="false">IFERROR(ABS(DA7),0)</f>
        <v>0</v>
      </c>
      <c r="FO7" s="11" t="n">
        <f aca="false">IFERROR(ABS(DD7),0)</f>
        <v>0</v>
      </c>
      <c r="FP7" s="11" t="n">
        <f aca="false">IFERROR(ABS(DG7),0)</f>
        <v>0</v>
      </c>
      <c r="FQ7" s="11" t="n">
        <f aca="false">IFERROR(ABS(DJ7),0)</f>
        <v>0</v>
      </c>
      <c r="FR7" s="11" t="n">
        <f aca="false">IFERROR(ABS(DM7),0)</f>
        <v>0</v>
      </c>
      <c r="FS7" s="11" t="n">
        <f aca="false">IFERROR(ABS(DP7),0)</f>
        <v>0</v>
      </c>
      <c r="FT7" s="11" t="n">
        <f aca="false">IFERROR(ABS(DS7),0)</f>
        <v>0</v>
      </c>
      <c r="FU7" s="11" t="n">
        <f aca="false">IFERROR(ABS(DV7),0)</f>
        <v>0</v>
      </c>
      <c r="FV7" s="11" t="n">
        <f aca="false">IFERROR(ABS(DY7),0)</f>
        <v>0</v>
      </c>
      <c r="FW7" s="11" t="n">
        <f aca="false">IFERROR(ABS(EB7),0)</f>
        <v>0</v>
      </c>
      <c r="FX7" s="11" t="n">
        <f aca="false">IFERROR(ABS(EE7),0)</f>
        <v>0</v>
      </c>
    </row>
    <row r="8" customFormat="false" ht="12.75" hidden="false" customHeight="true" outlineLevel="0" collapsed="false">
      <c r="A8" s="5" t="n">
        <v>3</v>
      </c>
      <c r="B8" s="6" t="s">
        <v>192</v>
      </c>
      <c r="C8" s="7" t="n">
        <f aca="false">'P0Q0 Dasar 2022'!F7</f>
        <v>0.0213321576646518</v>
      </c>
      <c r="D8" s="17" t="n">
        <f aca="false">IFERROR(AVERAGEIF('Pemetaan Variant'!$A$5:$A$32,$B8,'Pemetaan Variant'!$L$5:$L$32),"n/a")</f>
        <v>6000</v>
      </c>
      <c r="E8" s="7" t="n">
        <f aca="false">IFERROR(IF(ISNUMBER(D8),(D8-AVERAGEIF('Pemetaan Variant'!$A$5:$A$32,$B8,'Pemetaan Variant'!$D$5:$D$32))/AVERAGEIF('Pemetaan Variant'!$A$5:$A$32,$B8,'Pemetaan Variant'!$D$5:$D$32)*100,"n/a"),"n/a")</f>
        <v>0</v>
      </c>
      <c r="F8" s="7" t="n">
        <f aca="false">IFERROR(IF(ISNUMBER(E8),$C8*E8,"n/a"),"n/a")</f>
        <v>0</v>
      </c>
      <c r="G8" s="17" t="n">
        <f aca="false">IFERROR(AVERAGEIF('Pemetaan Variant'!$A$5:$A$32,$B8,'Pemetaan Variant'!$M$5:$M$32),"n/a")</f>
        <v>6000</v>
      </c>
      <c r="H8" s="7" t="n">
        <f aca="false">IFERROR(IF(ISNUMBER(G8),(G8-AVERAGEIF('Pemetaan Variant'!$A$5:$A$32,$B8,'Pemetaan Variant'!$D$5:$D$32))/AVERAGEIF('Pemetaan Variant'!$A$5:$A$32,$B8,'Pemetaan Variant'!$D$5:$D$32)*100,"n/a"),"n/a")</f>
        <v>0</v>
      </c>
      <c r="I8" s="7" t="n">
        <f aca="false">IFERROR(IF(ISNUMBER(H8),$C8*H8,"n/a"),"n/a")</f>
        <v>0</v>
      </c>
      <c r="J8" s="17" t="n">
        <f aca="false">IFERROR(AVERAGEIF('Pemetaan Variant'!$A$5:$A$32,$B8,'Pemetaan Variant'!$N$5:$N$32),"n/a")</f>
        <v>6000</v>
      </c>
      <c r="K8" s="7" t="n">
        <f aca="false">IFERROR(IF(ISNUMBER(J8),(J8-AVERAGEIF('Pemetaan Variant'!$A$5:$A$32,$B8,'Pemetaan Variant'!$D$5:$D$32))/AVERAGEIF('Pemetaan Variant'!$A$5:$A$32,$B8,'Pemetaan Variant'!$D$5:$D$32)*100,"n/a"),"n/a")</f>
        <v>0</v>
      </c>
      <c r="L8" s="7" t="n">
        <f aca="false">IFERROR(IF(ISNUMBER(K8),$C8*K8,"n/a"),"n/a")</f>
        <v>0</v>
      </c>
      <c r="M8" s="17" t="n">
        <f aca="false">IFERROR(AVERAGEIF('Pemetaan Variant'!$A$5:$A$32,$B8,'Pemetaan Variant'!$O$5:$O$32),"n/a")</f>
        <v>6000</v>
      </c>
      <c r="N8" s="7" t="n">
        <f aca="false">IFERROR(IF(ISNUMBER(M8),(M8-AVERAGEIF('Pemetaan Variant'!$A$5:$A$32,$B8,'Pemetaan Variant'!$D$5:$D$32))/AVERAGEIF('Pemetaan Variant'!$A$5:$A$32,$B8,'Pemetaan Variant'!$D$5:$D$32)*100,"n/a"),"n/a")</f>
        <v>0</v>
      </c>
      <c r="O8" s="7" t="n">
        <f aca="false">IFERROR(IF(ISNUMBER(N8),$C8*N8,"n/a"),"n/a")</f>
        <v>0</v>
      </c>
      <c r="P8" s="17" t="n">
        <f aca="false">IFERROR(AVERAGEIF('Pemetaan Variant'!$A$5:$A$32,$B8,'Pemetaan Variant'!$P$5:$P$32),"n/a")</f>
        <v>6000</v>
      </c>
      <c r="Q8" s="7" t="n">
        <f aca="false">IFERROR(IF(ISNUMBER(P8),(P8-AVERAGEIF('Pemetaan Variant'!$A$5:$A$32,$B8,'Pemetaan Variant'!$D$5:$D$32))/AVERAGEIF('Pemetaan Variant'!$A$5:$A$32,$B8,'Pemetaan Variant'!$D$5:$D$32)*100,"n/a"),"n/a")</f>
        <v>0</v>
      </c>
      <c r="R8" s="7" t="n">
        <f aca="false">IFERROR(IF(ISNUMBER(Q8),$C8*Q8,"n/a"),"n/a")</f>
        <v>0</v>
      </c>
      <c r="S8" s="17" t="n">
        <f aca="false">IFERROR(AVERAGEIF('Pemetaan Variant'!$A$5:$A$32,$B8,'Pemetaan Variant'!$Q$5:$Q$32),"n/a")</f>
        <v>6000</v>
      </c>
      <c r="T8" s="7" t="n">
        <f aca="false">IFERROR(IF(ISNUMBER(S8),(S8-AVERAGEIF('Pemetaan Variant'!$A$5:$A$32,$B8,'Pemetaan Variant'!$E$5:$E$32))/AVERAGEIF('Pemetaan Variant'!$A$5:$A$32,$B8,'Pemetaan Variant'!$E$5:$E$32)*100,"n/a"),"n/a")</f>
        <v>0</v>
      </c>
      <c r="U8" s="7" t="n">
        <f aca="false">IFERROR(IF(ISNUMBER(T8),$C8*T8,"n/a"),"n/a")</f>
        <v>0</v>
      </c>
      <c r="V8" s="17" t="n">
        <f aca="false">IFERROR(AVERAGEIF('Pemetaan Variant'!$A$5:$A$32,$B8,'Pemetaan Variant'!$R$5:$R$32),"n/a")</f>
        <v>6000</v>
      </c>
      <c r="W8" s="7" t="n">
        <f aca="false">IFERROR(IF(ISNUMBER(V8),(V8-AVERAGEIF('Pemetaan Variant'!$A$5:$A$32,$B8,'Pemetaan Variant'!$E$5:$E$32))/AVERAGEIF('Pemetaan Variant'!$A$5:$A$32,$B8,'Pemetaan Variant'!$E$5:$E$32)*100,"n/a"),"n/a")</f>
        <v>0</v>
      </c>
      <c r="X8" s="7" t="n">
        <f aca="false">IFERROR(IF(ISNUMBER(W8),$C8*W8,"n/a"),"n/a")</f>
        <v>0</v>
      </c>
      <c r="Y8" s="17" t="n">
        <f aca="false">IFERROR(AVERAGEIF('Pemetaan Variant'!$A$5:$A$32,$B8,'Pemetaan Variant'!$S$5:$S$32),"n/a")</f>
        <v>6000</v>
      </c>
      <c r="Z8" s="7" t="n">
        <f aca="false">IFERROR(IF(ISNUMBER(Y8),(Y8-AVERAGEIF('Pemetaan Variant'!$A$5:$A$32,$B8,'Pemetaan Variant'!$E$5:$E$32))/AVERAGEIF('Pemetaan Variant'!$A$5:$A$32,$B8,'Pemetaan Variant'!$E$5:$E$32)*100,"n/a"),"n/a")</f>
        <v>0</v>
      </c>
      <c r="AA8" s="7" t="n">
        <f aca="false">IFERROR(IF(ISNUMBER(Z8),$C8*Z8,"n/a"),"n/a")</f>
        <v>0</v>
      </c>
      <c r="AB8" s="17" t="n">
        <f aca="false">IFERROR(AVERAGEIF('Pemetaan Variant'!$A$5:$A$32,$B8,'Pemetaan Variant'!$T$5:$T$32),"n/a")</f>
        <v>6000</v>
      </c>
      <c r="AC8" s="7" t="n">
        <f aca="false">IFERROR(IF(ISNUMBER(AB8),(AB8-AVERAGEIF('Pemetaan Variant'!$A$5:$A$32,$B8,'Pemetaan Variant'!$E$5:$E$32))/AVERAGEIF('Pemetaan Variant'!$A$5:$A$32,$B8,'Pemetaan Variant'!$E$5:$E$32)*100,"n/a"),"n/a")</f>
        <v>0</v>
      </c>
      <c r="AD8" s="7" t="n">
        <f aca="false">IFERROR(IF(ISNUMBER(AC8),$C8*AC8,"n/a"),"n/a")</f>
        <v>0</v>
      </c>
      <c r="AE8" s="17" t="n">
        <f aca="false">IFERROR(AVERAGEIF('Pemetaan Variant'!$A$5:$A$32,$B8,'Pemetaan Variant'!$U$5:$U$32),"n/a")</f>
        <v>6000</v>
      </c>
      <c r="AF8" s="7" t="n">
        <f aca="false">IFERROR(IF(ISNUMBER(AE8),(AE8-AVERAGEIF('Pemetaan Variant'!$A$5:$A$32,$B8,'Pemetaan Variant'!$F$5:$F$32))/AVERAGEIF('Pemetaan Variant'!$A$5:$A$32,$B8,'Pemetaan Variant'!$F$5:$F$32)*100,"n/a"),"n/a")</f>
        <v>0</v>
      </c>
      <c r="AG8" s="7" t="n">
        <f aca="false">IFERROR(IF(ISNUMBER(AF8),$C8*AF8,"n/a"),"n/a")</f>
        <v>0</v>
      </c>
      <c r="AH8" s="17" t="n">
        <f aca="false">IFERROR(AVERAGEIF('Pemetaan Variant'!$A$5:$A$32,$B8,'Pemetaan Variant'!$V$5:$V$32),"n/a")</f>
        <v>6000</v>
      </c>
      <c r="AI8" s="7" t="n">
        <f aca="false">IFERROR(IF(ISNUMBER(AH8),(AH8-AVERAGEIF('Pemetaan Variant'!$A$5:$A$32,$B8,'Pemetaan Variant'!$F$5:$F$32))/AVERAGEIF('Pemetaan Variant'!$A$5:$A$32,$B8,'Pemetaan Variant'!$F$5:$F$32)*100,"n/a"),"n/a")</f>
        <v>0</v>
      </c>
      <c r="AJ8" s="7" t="n">
        <f aca="false">IFERROR(IF(ISNUMBER(AI8),$C8*AI8,"n/a"),"n/a")</f>
        <v>0</v>
      </c>
      <c r="AK8" s="17" t="n">
        <f aca="false">IFERROR(AVERAGEIF('Pemetaan Variant'!$A$5:$A$32,$B8,'Pemetaan Variant'!$W$5:$W$32),"n/a")</f>
        <v>6000</v>
      </c>
      <c r="AL8" s="7" t="n">
        <f aca="false">IFERROR(IF(ISNUMBER(AK8),(AK8-AVERAGEIF('Pemetaan Variant'!$A$5:$A$32,$B8,'Pemetaan Variant'!$F$5:$F$32))/AVERAGEIF('Pemetaan Variant'!$A$5:$A$32,$B8,'Pemetaan Variant'!$F$5:$F$32)*100,"n/a"),"n/a")</f>
        <v>0</v>
      </c>
      <c r="AM8" s="7" t="n">
        <f aca="false">IFERROR(IF(ISNUMBER(AL8),$C8*AL8,"n/a"),"n/a")</f>
        <v>0</v>
      </c>
      <c r="AN8" s="17" t="n">
        <f aca="false">IFERROR(AVERAGEIF('Pemetaan Variant'!$A$5:$A$32,$B8,'Pemetaan Variant'!$X$5:$X$32),"n/a")</f>
        <v>6000</v>
      </c>
      <c r="AO8" s="7" t="n">
        <f aca="false">IFERROR(IF(ISNUMBER(AN8),(AN8-AVERAGEIF('Pemetaan Variant'!$A$5:$A$32,$B8,'Pemetaan Variant'!$F$5:$F$32))/AVERAGEIF('Pemetaan Variant'!$A$5:$A$32,$B8,'Pemetaan Variant'!$F$5:$F$32)*100,"n/a"),"n/a")</f>
        <v>0</v>
      </c>
      <c r="AP8" s="7" t="n">
        <f aca="false">IFERROR(IF(ISNUMBER(AO8),$C8*AO8,"n/a"),"n/a")</f>
        <v>0</v>
      </c>
      <c r="AQ8" s="17" t="n">
        <f aca="false">IFERROR(AVERAGEIF('Pemetaan Variant'!$A$5:$A$32,$B8,'Pemetaan Variant'!$Y$5:$Y$32),"n/a")</f>
        <v>6000</v>
      </c>
      <c r="AR8" s="7" t="n">
        <f aca="false">IFERROR(IF(ISNUMBER(AQ8),(AQ8-AVERAGEIF('Pemetaan Variant'!$A$5:$A$32,$B8,'Pemetaan Variant'!$F$5:$F$32))/AVERAGEIF('Pemetaan Variant'!$A$5:$A$32,$B8,'Pemetaan Variant'!$F$5:$F$32)*100,"n/a"),"n/a")</f>
        <v>0</v>
      </c>
      <c r="AS8" s="7" t="n">
        <f aca="false">IFERROR(IF(ISNUMBER(AR8),$C8*AR8,"n/a"),"n/a")</f>
        <v>0</v>
      </c>
      <c r="AT8" s="17" t="n">
        <f aca="false">IFERROR(AVERAGEIF('Pemetaan Variant'!$A$5:$A$32,$B8,'Pemetaan Variant'!$Z$5:$Z$32),"n/a")</f>
        <v>6000</v>
      </c>
      <c r="AU8" s="7" t="n">
        <f aca="false">IFERROR(IF(ISNUMBER(AT8),(AT8-AVERAGEIF('Pemetaan Variant'!$A$5:$A$32,$B8,'Pemetaan Variant'!$G$5:$G$32))/AVERAGEIF('Pemetaan Variant'!$A$5:$A$32,$B8,'Pemetaan Variant'!$G$5:$G$32)*100,"n/a"),"n/a")</f>
        <v>0</v>
      </c>
      <c r="AV8" s="7" t="n">
        <f aca="false">IFERROR(IF(ISNUMBER(AU8),$C8*AU8,"n/a"),"n/a")</f>
        <v>0</v>
      </c>
      <c r="AW8" s="17" t="n">
        <f aca="false">IFERROR(AVERAGEIF('Pemetaan Variant'!$A$5:$A$32,$B8,'Pemetaan Variant'!$AA$5:$AA$32),"n/a")</f>
        <v>6000</v>
      </c>
      <c r="AX8" s="7" t="n">
        <f aca="false">IFERROR(IF(ISNUMBER(AW8),(AW8-AVERAGEIF('Pemetaan Variant'!$A$5:$A$32,$B8,'Pemetaan Variant'!$G$5:$G$32))/AVERAGEIF('Pemetaan Variant'!$A$5:$A$32,$B8,'Pemetaan Variant'!$G$5:$G$32)*100,"n/a"),"n/a")</f>
        <v>0</v>
      </c>
      <c r="AY8" s="7" t="n">
        <f aca="false">IFERROR(IF(ISNUMBER(AX8),$C8*AX8,"n/a"),"n/a")</f>
        <v>0</v>
      </c>
      <c r="AZ8" s="17" t="n">
        <f aca="false">IFERROR(AVERAGEIF('Pemetaan Variant'!$A$5:$A$32,$B8,'Pemetaan Variant'!$AB$5:$AB$32),"n/a")</f>
        <v>6000</v>
      </c>
      <c r="BA8" s="7" t="n">
        <f aca="false">IFERROR(IF(ISNUMBER(AZ8),(AZ8-AVERAGEIF('Pemetaan Variant'!$A$5:$A$32,$B8,'Pemetaan Variant'!$G$5:$G$32))/AVERAGEIF('Pemetaan Variant'!$A$5:$A$32,$B8,'Pemetaan Variant'!$G$5:$G$32)*100,"n/a"),"n/a")</f>
        <v>0</v>
      </c>
      <c r="BB8" s="7" t="n">
        <f aca="false">IFERROR(IF(ISNUMBER(BA8),$C8*BA8,"n/a"),"n/a")</f>
        <v>0</v>
      </c>
      <c r="BC8" s="17" t="n">
        <f aca="false">IFERROR(AVERAGEIF('Pemetaan Variant'!$A$5:$A$32,$B8,'Pemetaan Variant'!$AC$5:$AC$32),"n/a")</f>
        <v>6000</v>
      </c>
      <c r="BD8" s="7" t="n">
        <f aca="false">IFERROR(IF(ISNUMBER(BC8),(BC8-AVERAGEIF('Pemetaan Variant'!$A$5:$A$32,$B8,'Pemetaan Variant'!$G$5:$G$32))/AVERAGEIF('Pemetaan Variant'!$A$5:$A$32,$B8,'Pemetaan Variant'!$G$5:$G$32)*100,"n/a"),"n/a")</f>
        <v>0</v>
      </c>
      <c r="BE8" s="7" t="n">
        <f aca="false">IFERROR(IF(ISNUMBER(BD8),$C8*BD8,"n/a"),"n/a")</f>
        <v>0</v>
      </c>
      <c r="BF8" s="17" t="n">
        <f aca="false">IFERROR(AVERAGEIF('Pemetaan Variant'!$A$5:$A$32,$B8,'Pemetaan Variant'!$AD$5:$AD$32),"n/a")</f>
        <v>6000</v>
      </c>
      <c r="BG8" s="7" t="n">
        <f aca="false">IFERROR(IF(ISNUMBER(BF8),(BF8-AVERAGEIF('Pemetaan Variant'!$A$5:$A$32,$B8,'Pemetaan Variant'!$G$5:$G$32))/AVERAGEIF('Pemetaan Variant'!$A$5:$A$32,$B8,'Pemetaan Variant'!$G$5:$G$32)*100,"n/a"),"n/a")</f>
        <v>0</v>
      </c>
      <c r="BH8" s="7" t="n">
        <f aca="false">IFERROR(IF(ISNUMBER(BG8),$C8*BG8,"n/a"),"n/a")</f>
        <v>0</v>
      </c>
      <c r="BI8" s="17" t="str">
        <f aca="false">IFERROR(AVERAGEIF('Pemetaan Variant'!$A$5:$A$32,$B8,'Pemetaan Variant'!$AE$5:$AE$32),"n/a")</f>
        <v>n/a</v>
      </c>
      <c r="BJ8" s="7" t="str">
        <f aca="false">IFERROR(IF(ISNUMBER(BI8),(BI8-AVERAGEIF('Pemetaan Variant'!$A$5:$A$32,$B8,'Pemetaan Variant'!$H$5:$H$32))/AVERAGEIF('Pemetaan Variant'!$A$5:$A$32,$B8,'Pemetaan Variant'!$H$5:$H$32)*100,"n/a"),"n/a")</f>
        <v>n/a</v>
      </c>
      <c r="BK8" s="7" t="str">
        <f aca="false">IFERROR(IF(ISNUMBER(BJ8),$C8*BJ8,"n/a"),"n/a")</f>
        <v>n/a</v>
      </c>
      <c r="BL8" s="17" t="n">
        <f aca="false">IFERROR(AVERAGEIF('Pemetaan Variant'!$A$5:$A$32,$B8,'Pemetaan Variant'!$AF$5:$AF$32),"n/a")</f>
        <v>6000</v>
      </c>
      <c r="BM8" s="7" t="n">
        <f aca="false">IFERROR(IF(ISNUMBER(BL8),(BL8-AVERAGEIF('Pemetaan Variant'!$A$5:$A$32,$B8,'Pemetaan Variant'!$H$5:$H$32))/AVERAGEIF('Pemetaan Variant'!$A$5:$A$32,$B8,'Pemetaan Variant'!$H$5:$H$32)*100,"n/a"),"n/a")</f>
        <v>0</v>
      </c>
      <c r="BN8" s="7" t="n">
        <f aca="false">IFERROR(IF(ISNUMBER(BM8),$C8*BM8,"n/a"),"n/a")</f>
        <v>0</v>
      </c>
      <c r="BO8" s="17" t="n">
        <f aca="false">IFERROR(AVERAGEIF('Pemetaan Variant'!$A$5:$A$32,$B8,'Pemetaan Variant'!$AG$5:$AG$32),"n/a")</f>
        <v>6000</v>
      </c>
      <c r="BP8" s="7" t="n">
        <f aca="false">IFERROR(IF(ISNUMBER(BO8),(BO8-AVERAGEIF('Pemetaan Variant'!$A$5:$A$32,$B8,'Pemetaan Variant'!$H$5:$H$32))/AVERAGEIF('Pemetaan Variant'!$A$5:$A$32,$B8,'Pemetaan Variant'!$H$5:$H$32)*100,"n/a"),"n/a")</f>
        <v>0</v>
      </c>
      <c r="BQ8" s="7" t="n">
        <f aca="false">IFERROR(IF(ISNUMBER(BP8),$C8*BP8,"n/a"),"n/a")</f>
        <v>0</v>
      </c>
      <c r="BR8" s="17" t="n">
        <f aca="false">IFERROR(AVERAGEIF('Pemetaan Variant'!$A$5:$A$32,$B8,'Pemetaan Variant'!$AH$5:$AH$32),"n/a")</f>
        <v>6000</v>
      </c>
      <c r="BS8" s="7" t="n">
        <f aca="false">IFERROR(IF(ISNUMBER(BR8),(BR8-AVERAGEIF('Pemetaan Variant'!$A$5:$A$32,$B8,'Pemetaan Variant'!$H$5:$H$32))/AVERAGEIF('Pemetaan Variant'!$A$5:$A$32,$B8,'Pemetaan Variant'!$H$5:$H$32)*100,"n/a"),"n/a")</f>
        <v>0</v>
      </c>
      <c r="BT8" s="7" t="n">
        <f aca="false">IFERROR(IF(ISNUMBER(BS8),$C8*BS8,"n/a"),"n/a")</f>
        <v>0</v>
      </c>
      <c r="BU8" s="17" t="n">
        <f aca="false">IFERROR(AVERAGEIF('Pemetaan Variant'!$A$5:$A$32,$B8,'Pemetaan Variant'!$AI$5:$AI$32),"n/a")</f>
        <v>6000</v>
      </c>
      <c r="BV8" s="7" t="n">
        <f aca="false">IFERROR(IF(ISNUMBER(BU8),(BU8-AVERAGEIF('Pemetaan Variant'!$A$5:$A$32,$B8,'Pemetaan Variant'!$H$5:$H$32))/AVERAGEIF('Pemetaan Variant'!$A$5:$A$32,$B8,'Pemetaan Variant'!$H$5:$H$32)*100,"n/a"),"n/a")</f>
        <v>0</v>
      </c>
      <c r="BW8" s="7" t="n">
        <f aca="false">IFERROR(IF(ISNUMBER(BV8),$C8*BV8,"n/a"),"n/a")</f>
        <v>0</v>
      </c>
      <c r="BX8" s="17" t="n">
        <f aca="false">IFERROR(AVERAGEIF('Pemetaan Variant'!$A$5:$A$32,$B8,'Pemetaan Variant'!$AJ$5:$AJ$32),"n/a")</f>
        <v>6000</v>
      </c>
      <c r="BY8" s="7" t="n">
        <f aca="false">IFERROR(IF(ISNUMBER(BX8),(BX8-AVERAGEIF('Pemetaan Variant'!$A$5:$A$32,$B8,'Pemetaan Variant'!$I$5:$I$32))/AVERAGEIF('Pemetaan Variant'!$A$5:$A$32,$B8,'Pemetaan Variant'!$I$5:$I$32)*100,"n/a"),"n/a")</f>
        <v>0</v>
      </c>
      <c r="BZ8" s="7" t="n">
        <f aca="false">IFERROR(IF(ISNUMBER(BY8),$C8*BY8,"n/a"),"n/a")</f>
        <v>0</v>
      </c>
      <c r="CA8" s="17" t="n">
        <f aca="false">IFERROR(AVERAGEIF('Pemetaan Variant'!$A$5:$A$32,$B8,'Pemetaan Variant'!$AK$5:$AK$32),"n/a")</f>
        <v>6000</v>
      </c>
      <c r="CB8" s="7" t="n">
        <f aca="false">IFERROR(IF(ISNUMBER(CA8),(CA8-AVERAGEIF('Pemetaan Variant'!$A$5:$A$32,$B8,'Pemetaan Variant'!$I$5:$I$32))/AVERAGEIF('Pemetaan Variant'!$A$5:$A$32,$B8,'Pemetaan Variant'!$I$5:$I$32)*100,"n/a"),"n/a")</f>
        <v>0</v>
      </c>
      <c r="CC8" s="7" t="n">
        <f aca="false">IFERROR(IF(ISNUMBER(CB8),$C8*CB8,"n/a"),"n/a")</f>
        <v>0</v>
      </c>
      <c r="CD8" s="17" t="n">
        <f aca="false">IFERROR(AVERAGEIF('Pemetaan Variant'!$A$5:$A$32,$B8,'Pemetaan Variant'!$AL$5:$AL$32),"n/a")</f>
        <v>6000</v>
      </c>
      <c r="CE8" s="7" t="n">
        <f aca="false">IFERROR(IF(ISNUMBER(CD8),(CD8-AVERAGEIF('Pemetaan Variant'!$A$5:$A$32,$B8,'Pemetaan Variant'!$I$5:$I$32))/AVERAGEIF('Pemetaan Variant'!$A$5:$A$32,$B8,'Pemetaan Variant'!$I$5:$I$32)*100,"n/a"),"n/a")</f>
        <v>0</v>
      </c>
      <c r="CF8" s="7" t="n">
        <f aca="false">IFERROR(IF(ISNUMBER(CE8),$C8*CE8,"n/a"),"n/a")</f>
        <v>0</v>
      </c>
      <c r="CG8" s="17" t="n">
        <f aca="false">IFERROR(AVERAGEIF('Pemetaan Variant'!$A$5:$A$32,$B8,'Pemetaan Variant'!$AM$5:$AM$32),"n/a")</f>
        <v>6000</v>
      </c>
      <c r="CH8" s="7" t="n">
        <f aca="false">IFERROR(IF(ISNUMBER(CG8),(CG8-AVERAGEIF('Pemetaan Variant'!$A$5:$A$32,$B8,'Pemetaan Variant'!$I$5:$I$32))/AVERAGEIF('Pemetaan Variant'!$A$5:$A$32,$B8,'Pemetaan Variant'!$I$5:$I$32)*100,"n/a"),"n/a")</f>
        <v>0</v>
      </c>
      <c r="CI8" s="7" t="n">
        <f aca="false">IFERROR(IF(ISNUMBER(CH8),$C8*CH8,"n/a"),"n/a")</f>
        <v>0</v>
      </c>
      <c r="CJ8" s="17" t="n">
        <f aca="false">IFERROR(AVERAGEIF('Pemetaan Variant'!$A$5:$A$32,$B8,'Pemetaan Variant'!$AN$5:$AN$32),"n/a")</f>
        <v>6000</v>
      </c>
      <c r="CK8" s="7" t="n">
        <f aca="false">IFERROR(IF(ISNUMBER(CJ8),(CJ8-AVERAGEIF('Pemetaan Variant'!$A$5:$A$32,$B8,'Pemetaan Variant'!$I$5:$I$32))/AVERAGEIF('Pemetaan Variant'!$A$5:$A$32,$B8,'Pemetaan Variant'!$I$5:$I$32)*100,"n/a"),"n/a")</f>
        <v>0</v>
      </c>
      <c r="CL8" s="7" t="n">
        <f aca="false">IFERROR(IF(ISNUMBER(CK8),$C8*CK8,"n/a"),"n/a")</f>
        <v>0</v>
      </c>
      <c r="CM8" s="17" t="n">
        <f aca="false">IFERROR(AVERAGEIF('Pemetaan Variant'!$A$5:$A$32,$B8,'Pemetaan Variant'!$AO$5:$AO$32),"n/a")</f>
        <v>6000</v>
      </c>
      <c r="CN8" s="7" t="n">
        <f aca="false">IFERROR(IF(ISNUMBER(CM8),(CM8-AVERAGEIF('Pemetaan Variant'!$A$5:$A$32,$B8,'Pemetaan Variant'!$J$5:$J$32))/AVERAGEIF('Pemetaan Variant'!$A$5:$A$32,$B8,'Pemetaan Variant'!$J$5:$J$32)*100,"n/a"),"n/a")</f>
        <v>0</v>
      </c>
      <c r="CO8" s="7" t="n">
        <f aca="false">IFERROR(IF(ISNUMBER(CN8),$C8*CN8,"n/a"),"n/a")</f>
        <v>0</v>
      </c>
      <c r="CP8" s="17" t="n">
        <f aca="false">IFERROR(AVERAGEIF('Pemetaan Variant'!$A$5:$A$32,$B8,'Pemetaan Variant'!$AP$5:$AP$32),"n/a")</f>
        <v>6000</v>
      </c>
      <c r="CQ8" s="7" t="n">
        <f aca="false">IFERROR(IF(ISNUMBER(CP8),(CP8-AVERAGEIF('Pemetaan Variant'!$A$5:$A$32,$B8,'Pemetaan Variant'!$J$5:$J$32))/AVERAGEIF('Pemetaan Variant'!$A$5:$A$32,$B8,'Pemetaan Variant'!$J$5:$J$32)*100,"n/a"),"n/a")</f>
        <v>0</v>
      </c>
      <c r="CR8" s="7" t="n">
        <f aca="false">IFERROR(IF(ISNUMBER(CQ8),$C8*CQ8,"n/a"),"n/a")</f>
        <v>0</v>
      </c>
      <c r="CS8" s="17" t="n">
        <f aca="false">IFERROR(AVERAGEIF('Pemetaan Variant'!$A$5:$A$32,$B8,'Pemetaan Variant'!$AQ$5:$AQ$32),"n/a")</f>
        <v>6000</v>
      </c>
      <c r="CT8" s="7" t="n">
        <f aca="false">IFERROR(IF(ISNUMBER(CS8),(CS8-AVERAGEIF('Pemetaan Variant'!$A$5:$A$32,$B8,'Pemetaan Variant'!$J$5:$J$32))/AVERAGEIF('Pemetaan Variant'!$A$5:$A$32,$B8,'Pemetaan Variant'!$J$5:$J$32)*100,"n/a"),"n/a")</f>
        <v>0</v>
      </c>
      <c r="CU8" s="7" t="n">
        <f aca="false">IFERROR(IF(ISNUMBER(CT8),$C8*CT8,"n/a"),"n/a")</f>
        <v>0</v>
      </c>
      <c r="CV8" s="17" t="n">
        <f aca="false">IFERROR(AVERAGEIF('Pemetaan Variant'!$A$5:$A$32,$B8,'Pemetaan Variant'!$AR$5:$AR$32),"n/a")</f>
        <v>6000</v>
      </c>
      <c r="CW8" s="7" t="n">
        <f aca="false">IFERROR(IF(ISNUMBER(CV8),(CV8-AVERAGEIF('Pemetaan Variant'!$A$5:$A$32,$B8,'Pemetaan Variant'!$J$5:$J$32))/AVERAGEIF('Pemetaan Variant'!$A$5:$A$32,$B8,'Pemetaan Variant'!$J$5:$J$32)*100,"n/a"),"n/a")</f>
        <v>0</v>
      </c>
      <c r="CX8" s="7" t="n">
        <f aca="false">IFERROR(IF(ISNUMBER(CW8),$C8*CW8,"n/a"),"n/a")</f>
        <v>0</v>
      </c>
      <c r="CY8" s="17" t="n">
        <f aca="false">IFERROR(AVERAGEIF('Pemetaan Variant'!$A$5:$A$32,$B8,'Pemetaan Variant'!$AS$5:$AS$32),"n/a")</f>
        <v>6000</v>
      </c>
      <c r="CZ8" s="7" t="n">
        <f aca="false">IFERROR(IF(ISNUMBER(CY8),(CY8-AVERAGEIF('Pemetaan Variant'!$A$5:$A$32,$B8,'Pemetaan Variant'!$J$5:$J$32))/AVERAGEIF('Pemetaan Variant'!$A$5:$A$32,$B8,'Pemetaan Variant'!$J$5:$J$32)*100,"n/a"),"n/a")</f>
        <v>0</v>
      </c>
      <c r="DA8" s="7" t="n">
        <f aca="false">IFERROR(IF(ISNUMBER(CZ8),$C8*CZ8,"n/a"),"n/a")</f>
        <v>0</v>
      </c>
      <c r="DB8" s="17" t="n">
        <f aca="false">IFERROR(AVERAGEIF('Pemetaan Variant'!$A$5:$A$32,$B8,'Pemetaan Variant'!$AT$5:$AT$32),"n/a")</f>
        <v>6000</v>
      </c>
      <c r="DC8" s="7" t="n">
        <f aca="false">IFERROR(IF(ISNUMBER(DB8),(DB8-AVERAGEIF('Pemetaan Variant'!$A$5:$A$32,$B8,'Pemetaan Variant'!$K$5:$K$32))/AVERAGEIF('Pemetaan Variant'!$A$5:$A$32,$B8,'Pemetaan Variant'!$K$5:$K$32)*100,"n/a"),"n/a")</f>
        <v>0</v>
      </c>
      <c r="DD8" s="7" t="n">
        <f aca="false">IFERROR(IF(ISNUMBER(DC8),$C8*DC8,"n/a"),"n/a")</f>
        <v>0</v>
      </c>
      <c r="DE8" s="17" t="n">
        <f aca="false">IFERROR(AVERAGEIF('Pemetaan Variant'!$A$5:$A$32,$B8,'Pemetaan Variant'!$AU$5:$AU$32),"n/a")</f>
        <v>6000</v>
      </c>
      <c r="DF8" s="7" t="n">
        <f aca="false">IFERROR(IF(ISNUMBER(DE8),(DE8-AVERAGEIF('Pemetaan Variant'!$A$5:$A$32,$B8,'Pemetaan Variant'!$K$5:$K$32))/AVERAGEIF('Pemetaan Variant'!$A$5:$A$32,$B8,'Pemetaan Variant'!$K$5:$K$32)*100,"n/a"),"n/a")</f>
        <v>0</v>
      </c>
      <c r="DG8" s="7" t="n">
        <f aca="false">IFERROR(IF(ISNUMBER(DF8),$C8*DF8,"n/a"),"n/a")</f>
        <v>0</v>
      </c>
      <c r="DH8" s="17" t="n">
        <f aca="false">IFERROR(AVERAGEIF('Pemetaan Variant'!$A$5:$A$32,$B8,'Pemetaan Variant'!$AV$5:$AV$32),"n/a")</f>
        <v>6000</v>
      </c>
      <c r="DI8" s="7" t="n">
        <f aca="false">IFERROR(IF(ISNUMBER(DH8),(DH8-AVERAGEIF('Pemetaan Variant'!$A$5:$A$32,$B8,'Pemetaan Variant'!$K$5:$K$32))/AVERAGEIF('Pemetaan Variant'!$A$5:$A$32,$B8,'Pemetaan Variant'!$K$5:$K$32)*100,"n/a"),"n/a")</f>
        <v>0</v>
      </c>
      <c r="DJ8" s="7" t="n">
        <f aca="false">IFERROR(IF(ISNUMBER(DI8),$C8*DI8,"n/a"),"n/a")</f>
        <v>0</v>
      </c>
      <c r="DK8" s="17" t="n">
        <f aca="false">IFERROR(AVERAGEIF('Pemetaan Variant'!$A$5:$A$32,$B8,'Pemetaan Variant'!$AW$5:$AW$32),"n/a")</f>
        <v>6000</v>
      </c>
      <c r="DL8" s="7" t="n">
        <f aca="false">IFERROR(IF(ISNUMBER(DK8),(DK8-AVERAGEIF('Pemetaan Variant'!$A$5:$A$32,$B8,'Pemetaan Variant'!$K$5:$K$32))/AVERAGEIF('Pemetaan Variant'!$A$5:$A$32,$B8,'Pemetaan Variant'!$K$5:$K$32)*100,"n/a"),"n/a")</f>
        <v>0</v>
      </c>
      <c r="DM8" s="7" t="n">
        <f aca="false">IFERROR(IF(ISNUMBER(DL8),$C8*DL8,"n/a"),"n/a")</f>
        <v>0</v>
      </c>
      <c r="DN8" s="17" t="str">
        <f aca="false">IFERROR(AVERAGEIF('Pemetaan Variant'!$A$5:$A$32,$B8,'Pemetaan Variant'!$AX$5:$AX$32),"n/a")</f>
        <v>n/a</v>
      </c>
      <c r="DO8" s="7" t="str">
        <f aca="false">IFERROR(IF(ISNUMBER(DN8),(DN8-AVERAGEIF('Pemetaan Variant'!$A$5:$A$32,$B8,'Pemetaan Variant'!$K$5:$K$32))/AVERAGEIF('Pemetaan Variant'!$A$5:$A$32,$B8,'Pemetaan Variant'!$K$5:$K$32)*100,"n/a"),"n/a")</f>
        <v>n/a</v>
      </c>
      <c r="DP8" s="7" t="str">
        <f aca="false">IFERROR(IF(ISNUMBER(DO8),$C8*DO8,"n/a"),"n/a")</f>
        <v>n/a</v>
      </c>
      <c r="DQ8" s="18" t="n">
        <f aca="false">IFERROR(AVERAGEIF('Pemetaan Variant'!$A$5:$A$32,$B8,'Pemetaan Variant'!$AZ$5:$AZ$32),"n/a")</f>
        <v>6000</v>
      </c>
      <c r="DR8" s="11" t="n">
        <f aca="false">IFERROR(IF(ISNUMBER(DQ8),(DQ8-AVERAGEIF('Pemetaan Variant'!$A$5:$A$32,$B8,'Pemetaan Variant'!$AY$5:$AY$32))/AVERAGEIF('Pemetaan Variant'!$A$5:$A$32,$B8,'Pemetaan Variant'!$AY$5:$AY$32)*100,"n/a"),"n/a")</f>
        <v>0</v>
      </c>
      <c r="DS8" s="11" t="n">
        <f aca="false">IFERROR(IF(ISNUMBER(DR8),$C8*DR8,"n/a"),"n/a")</f>
        <v>0</v>
      </c>
      <c r="DT8" s="18" t="str">
        <f aca="false">IFERROR(AVERAGEIF('Pemetaan Variant'!$A$5:$A$32,$B8,'Pemetaan Variant'!$BA$5:$BA$32),"n/a")</f>
        <v>n/a</v>
      </c>
      <c r="DU8" s="11" t="str">
        <f aca="false">IFERROR(IF(ISNUMBER(DT8),(DT8-AVERAGEIF('Pemetaan Variant'!$A$5:$A$32,$B8,'Pemetaan Variant'!$AY$5:$AY$32))/AVERAGEIF('Pemetaan Variant'!$A$5:$A$32,$B8,'Pemetaan Variant'!$AY$5:$AY$32)*100,"n/a"),"n/a")</f>
        <v>n/a</v>
      </c>
      <c r="DV8" s="11" t="str">
        <f aca="false">IFERROR(IF(ISNUMBER(DU8),$C8*DU8,"n/a"),"n/a")</f>
        <v>n/a</v>
      </c>
      <c r="DW8" s="18" t="str">
        <f aca="false">IFERROR(AVERAGEIF('Pemetaan Variant'!$A$5:$A$32,$B8,'Pemetaan Variant'!$BB$5:$BB$32),"n/a")</f>
        <v>n/a</v>
      </c>
      <c r="DX8" s="11" t="str">
        <f aca="false">IFERROR(IF(ISNUMBER(DW8),(DW8-AVERAGEIF('Pemetaan Variant'!$A$5:$A$32,$B8,'Pemetaan Variant'!$AY$5:$AY$32))/AVERAGEIF('Pemetaan Variant'!$A$5:$A$32,$B8,'Pemetaan Variant'!$AY$5:$AY$32)*100,"n/a"),"n/a")</f>
        <v>n/a</v>
      </c>
      <c r="DY8" s="11" t="str">
        <f aca="false">IFERROR(IF(ISNUMBER(DX8),$C8*DX8,"n/a"),"n/a")</f>
        <v>n/a</v>
      </c>
      <c r="DZ8" s="18" t="str">
        <f aca="false">IFERROR(AVERAGEIF('Pemetaan Variant'!$A$5:$A$32,$B8,'Pemetaan Variant'!$BC$5:$BC$32),"n/a")</f>
        <v>n/a</v>
      </c>
      <c r="EA8" s="11" t="str">
        <f aca="false">IFERROR(IF(ISNUMBER(DZ8),(DZ8-AVERAGEIF('Pemetaan Variant'!$A$5:$A$32,$B8,'Pemetaan Variant'!$AY$5:$AY$32))/AVERAGEIF('Pemetaan Variant'!$A$5:$A$32,$B8,'Pemetaan Variant'!$AY$5:$AY$32)*100,"n/a"),"n/a")</f>
        <v>n/a</v>
      </c>
      <c r="EB8" s="11" t="str">
        <f aca="false">IFERROR(IF(ISNUMBER(EA8),$C8*EA8,"n/a"),"n/a")</f>
        <v>n/a</v>
      </c>
      <c r="EC8" s="18" t="str">
        <f aca="false">IFERROR(AVERAGEIF('Pemetaan Variant'!$A$5:$A$32,$B8,'Pemetaan Variant'!$BD$5:$BD$32),"n/a")</f>
        <v>n/a</v>
      </c>
      <c r="ED8" s="11" t="str">
        <f aca="false">IFERROR(IF(ISNUMBER(EC8),(EC8-AVERAGEIF('Pemetaan Variant'!$A$5:$A$32,$B8,'Pemetaan Variant'!$AY$5:$AY$32))/AVERAGEIF('Pemetaan Variant'!$A$5:$A$32,$B8,'Pemetaan Variant'!$AY$5:$AY$32)*100,"n/a"),"n/a")</f>
        <v>n/a</v>
      </c>
      <c r="EE8" s="11" t="str">
        <f aca="false">IFERROR(IF(ISNUMBER(ED8),$C8*ED8,"n/a"),"n/a")</f>
        <v>n/a</v>
      </c>
      <c r="EG8" s="11" t="n">
        <f aca="false">IFERROR(ABS(F8),0)</f>
        <v>0</v>
      </c>
      <c r="EH8" s="11" t="n">
        <f aca="false">IFERROR(ABS(I8),0)</f>
        <v>0</v>
      </c>
      <c r="EI8" s="11" t="n">
        <f aca="false">IFERROR(ABS(L8),0)</f>
        <v>0</v>
      </c>
      <c r="EJ8" s="11" t="n">
        <f aca="false">IFERROR(ABS(O8),0)</f>
        <v>0</v>
      </c>
      <c r="EK8" s="11" t="n">
        <f aca="false">IFERROR(ABS(R8),0)</f>
        <v>0</v>
      </c>
      <c r="EL8" s="11" t="n">
        <f aca="false">IFERROR(ABS(U8),0)</f>
        <v>0</v>
      </c>
      <c r="EM8" s="11" t="n">
        <f aca="false">IFERROR(ABS(X8),0)</f>
        <v>0</v>
      </c>
      <c r="EN8" s="11" t="n">
        <f aca="false">IFERROR(ABS(AA8),0)</f>
        <v>0</v>
      </c>
      <c r="EO8" s="11" t="n">
        <f aca="false">IFERROR(ABS(AD8),0)</f>
        <v>0</v>
      </c>
      <c r="EP8" s="11" t="n">
        <f aca="false">IFERROR(ABS(AG8),0)</f>
        <v>0</v>
      </c>
      <c r="EQ8" s="11" t="n">
        <f aca="false">IFERROR(ABS(AJ8),0)</f>
        <v>0</v>
      </c>
      <c r="ER8" s="11" t="n">
        <f aca="false">IFERROR(ABS(AM8),0)</f>
        <v>0</v>
      </c>
      <c r="ES8" s="11" t="n">
        <f aca="false">IFERROR(ABS(AP8),0)</f>
        <v>0</v>
      </c>
      <c r="ET8" s="11" t="n">
        <f aca="false">IFERROR(ABS(AS8),0)</f>
        <v>0</v>
      </c>
      <c r="EU8" s="11" t="n">
        <f aca="false">IFERROR(ABS(AV8),0)</f>
        <v>0</v>
      </c>
      <c r="EV8" s="11" t="n">
        <f aca="false">IFERROR(ABS(AY8),0)</f>
        <v>0</v>
      </c>
      <c r="EW8" s="11" t="n">
        <f aca="false">IFERROR(ABS(BB8),0)</f>
        <v>0</v>
      </c>
      <c r="EX8" s="11" t="n">
        <f aca="false">IFERROR(ABS(BE8),0)</f>
        <v>0</v>
      </c>
      <c r="EY8" s="11" t="n">
        <f aca="false">IFERROR(ABS(BH8),0)</f>
        <v>0</v>
      </c>
      <c r="EZ8" s="11" t="n">
        <f aca="false">IFERROR(ABS(BK8),0)</f>
        <v>0</v>
      </c>
      <c r="FA8" s="11" t="n">
        <f aca="false">IFERROR(ABS(BN8),0)</f>
        <v>0</v>
      </c>
      <c r="FB8" s="11" t="n">
        <f aca="false">IFERROR(ABS(BQ8),0)</f>
        <v>0</v>
      </c>
      <c r="FC8" s="11" t="n">
        <f aca="false">IFERROR(ABS(BT8),0)</f>
        <v>0</v>
      </c>
      <c r="FD8" s="11" t="n">
        <f aca="false">IFERROR(ABS(BW8),0)</f>
        <v>0</v>
      </c>
      <c r="FE8" s="11" t="n">
        <f aca="false">IFERROR(ABS(BZ8),0)</f>
        <v>0</v>
      </c>
      <c r="FF8" s="11" t="n">
        <f aca="false">IFERROR(ABS(CC8),0)</f>
        <v>0</v>
      </c>
      <c r="FG8" s="11" t="n">
        <f aca="false">IFERROR(ABS(CF8),0)</f>
        <v>0</v>
      </c>
      <c r="FH8" s="11" t="n">
        <f aca="false">IFERROR(ABS(CI8),0)</f>
        <v>0</v>
      </c>
      <c r="FI8" s="11" t="n">
        <f aca="false">IFERROR(ABS(CL8),0)</f>
        <v>0</v>
      </c>
      <c r="FJ8" s="11" t="n">
        <f aca="false">IFERROR(ABS(CO8),0)</f>
        <v>0</v>
      </c>
      <c r="FK8" s="11" t="n">
        <f aca="false">IFERROR(ABS(CR8),0)</f>
        <v>0</v>
      </c>
      <c r="FL8" s="11" t="n">
        <f aca="false">IFERROR(ABS(CU8),0)</f>
        <v>0</v>
      </c>
      <c r="FM8" s="11" t="n">
        <f aca="false">IFERROR(ABS(CX8),0)</f>
        <v>0</v>
      </c>
      <c r="FN8" s="11" t="n">
        <f aca="false">IFERROR(ABS(DA8),0)</f>
        <v>0</v>
      </c>
      <c r="FO8" s="11" t="n">
        <f aca="false">IFERROR(ABS(DD8),0)</f>
        <v>0</v>
      </c>
      <c r="FP8" s="11" t="n">
        <f aca="false">IFERROR(ABS(DG8),0)</f>
        <v>0</v>
      </c>
      <c r="FQ8" s="11" t="n">
        <f aca="false">IFERROR(ABS(DJ8),0)</f>
        <v>0</v>
      </c>
      <c r="FR8" s="11" t="n">
        <f aca="false">IFERROR(ABS(DM8),0)</f>
        <v>0</v>
      </c>
      <c r="FS8" s="11" t="n">
        <f aca="false">IFERROR(ABS(DP8),0)</f>
        <v>0</v>
      </c>
      <c r="FT8" s="11" t="n">
        <f aca="false">IFERROR(ABS(DS8),0)</f>
        <v>0</v>
      </c>
      <c r="FU8" s="11" t="n">
        <f aca="false">IFERROR(ABS(DV8),0)</f>
        <v>0</v>
      </c>
      <c r="FV8" s="11" t="n">
        <f aca="false">IFERROR(ABS(DY8),0)</f>
        <v>0</v>
      </c>
      <c r="FW8" s="11" t="n">
        <f aca="false">IFERROR(ABS(EB8),0)</f>
        <v>0</v>
      </c>
      <c r="FX8" s="11" t="n">
        <f aca="false">IFERROR(ABS(EE8),0)</f>
        <v>0</v>
      </c>
    </row>
    <row r="9" customFormat="false" ht="12.75" hidden="false" customHeight="true" outlineLevel="0" collapsed="false">
      <c r="A9" s="5" t="n">
        <v>4</v>
      </c>
      <c r="B9" s="6" t="s">
        <v>193</v>
      </c>
      <c r="C9" s="7" t="n">
        <f aca="false">'P0Q0 Dasar 2022'!F8</f>
        <v>0.0479107777850277</v>
      </c>
      <c r="D9" s="17" t="n">
        <f aca="false">IFERROR(AVERAGEIF('Pemetaan Variant'!$A$5:$A$32,$B9,'Pemetaan Variant'!$L$5:$L$32),"n/a")</f>
        <v>26000</v>
      </c>
      <c r="E9" s="7" t="n">
        <f aca="false">IFERROR(IF(ISNUMBER(D9),(D9-AVERAGEIF('Pemetaan Variant'!$A$5:$A$32,$B9,'Pemetaan Variant'!$D$5:$D$32))/AVERAGEIF('Pemetaan Variant'!$A$5:$A$32,$B9,'Pemetaan Variant'!$D$5:$D$32)*100,"n/a"),"n/a")</f>
        <v>2.15154349859681</v>
      </c>
      <c r="F9" s="7" t="n">
        <f aca="false">IFERROR(IF(ISNUMBER(E9),$C9*E9,"n/a"),"n/a")</f>
        <v>0.103082122456093</v>
      </c>
      <c r="G9" s="17" t="n">
        <f aca="false">IFERROR(AVERAGEIF('Pemetaan Variant'!$A$5:$A$32,$B9,'Pemetaan Variant'!$M$5:$M$32),"n/a")</f>
        <v>26000</v>
      </c>
      <c r="H9" s="7" t="n">
        <f aca="false">IFERROR(IF(ISNUMBER(G9),(G9-AVERAGEIF('Pemetaan Variant'!$A$5:$A$32,$B9,'Pemetaan Variant'!$D$5:$D$32))/AVERAGEIF('Pemetaan Variant'!$A$5:$A$32,$B9,'Pemetaan Variant'!$D$5:$D$32)*100,"n/a"),"n/a")</f>
        <v>2.15154349859681</v>
      </c>
      <c r="I9" s="7" t="n">
        <f aca="false">IFERROR(IF(ISNUMBER(H9),$C9*H9,"n/a"),"n/a")</f>
        <v>0.103082122456093</v>
      </c>
      <c r="J9" s="17" t="n">
        <f aca="false">IFERROR(AVERAGEIF('Pemetaan Variant'!$A$5:$A$32,$B9,'Pemetaan Variant'!$N$5:$N$32),"n/a")</f>
        <v>26000</v>
      </c>
      <c r="K9" s="7" t="n">
        <f aca="false">IFERROR(IF(ISNUMBER(J9),(J9-AVERAGEIF('Pemetaan Variant'!$A$5:$A$32,$B9,'Pemetaan Variant'!$D$5:$D$32))/AVERAGEIF('Pemetaan Variant'!$A$5:$A$32,$B9,'Pemetaan Variant'!$D$5:$D$32)*100,"n/a"),"n/a")</f>
        <v>2.15154349859681</v>
      </c>
      <c r="L9" s="7" t="n">
        <f aca="false">IFERROR(IF(ISNUMBER(K9),$C9*K9,"n/a"),"n/a")</f>
        <v>0.103082122456093</v>
      </c>
      <c r="M9" s="17" t="n">
        <f aca="false">IFERROR(AVERAGEIF('Pemetaan Variant'!$A$5:$A$32,$B9,'Pemetaan Variant'!$O$5:$O$32),"n/a")</f>
        <v>26000</v>
      </c>
      <c r="N9" s="7" t="n">
        <f aca="false">IFERROR(IF(ISNUMBER(M9),(M9-AVERAGEIF('Pemetaan Variant'!$A$5:$A$32,$B9,'Pemetaan Variant'!$D$5:$D$32))/AVERAGEIF('Pemetaan Variant'!$A$5:$A$32,$B9,'Pemetaan Variant'!$D$5:$D$32)*100,"n/a"),"n/a")</f>
        <v>2.15154349859681</v>
      </c>
      <c r="O9" s="7" t="n">
        <f aca="false">IFERROR(IF(ISNUMBER(N9),$C9*N9,"n/a"),"n/a")</f>
        <v>0.103082122456093</v>
      </c>
      <c r="P9" s="17" t="n">
        <f aca="false">IFERROR(AVERAGEIF('Pemetaan Variant'!$A$5:$A$32,$B9,'Pemetaan Variant'!$P$5:$P$32),"n/a")</f>
        <v>26000</v>
      </c>
      <c r="Q9" s="7" t="n">
        <f aca="false">IFERROR(IF(ISNUMBER(P9),(P9-AVERAGEIF('Pemetaan Variant'!$A$5:$A$32,$B9,'Pemetaan Variant'!$D$5:$D$32))/AVERAGEIF('Pemetaan Variant'!$A$5:$A$32,$B9,'Pemetaan Variant'!$D$5:$D$32)*100,"n/a"),"n/a")</f>
        <v>2.15154349859681</v>
      </c>
      <c r="R9" s="7" t="n">
        <f aca="false">IFERROR(IF(ISNUMBER(Q9),$C9*Q9,"n/a"),"n/a")</f>
        <v>0.103082122456093</v>
      </c>
      <c r="S9" s="17" t="n">
        <f aca="false">IFERROR(AVERAGEIF('Pemetaan Variant'!$A$5:$A$32,$B9,'Pemetaan Variant'!$Q$5:$Q$32),"n/a")</f>
        <v>28200</v>
      </c>
      <c r="T9" s="7" t="n">
        <f aca="false">IFERROR(IF(ISNUMBER(S9),(S9-AVERAGEIF('Pemetaan Variant'!$A$5:$A$32,$B9,'Pemetaan Variant'!$E$5:$E$32))/AVERAGEIF('Pemetaan Variant'!$A$5:$A$32,$B9,'Pemetaan Variant'!$E$5:$E$32)*100,"n/a"),"n/a")</f>
        <v>8.46153846153846</v>
      </c>
      <c r="U9" s="7" t="n">
        <f aca="false">IFERROR(IF(ISNUMBER(T9),$C9*T9,"n/a"),"n/a")</f>
        <v>0.405398888950234</v>
      </c>
      <c r="V9" s="17" t="n">
        <f aca="false">IFERROR(AVERAGEIF('Pemetaan Variant'!$A$5:$A$32,$B9,'Pemetaan Variant'!$R$5:$R$32),"n/a")</f>
        <v>26400</v>
      </c>
      <c r="W9" s="7" t="n">
        <f aca="false">IFERROR(IF(ISNUMBER(V9),(V9-AVERAGEIF('Pemetaan Variant'!$A$5:$A$32,$B9,'Pemetaan Variant'!$E$5:$E$32))/AVERAGEIF('Pemetaan Variant'!$A$5:$A$32,$B9,'Pemetaan Variant'!$E$5:$E$32)*100,"n/a"),"n/a")</f>
        <v>1.53846153846154</v>
      </c>
      <c r="X9" s="7" t="n">
        <f aca="false">IFERROR(IF(ISNUMBER(W9),$C9*W9,"n/a"),"n/a")</f>
        <v>0.0737088889000426</v>
      </c>
      <c r="Y9" s="17" t="n">
        <f aca="false">IFERROR(AVERAGEIF('Pemetaan Variant'!$A$5:$A$32,$B9,'Pemetaan Variant'!$S$5:$S$32),"n/a")</f>
        <v>35000</v>
      </c>
      <c r="Z9" s="7" t="n">
        <f aca="false">IFERROR(IF(ISNUMBER(Y9),(Y9-AVERAGEIF('Pemetaan Variant'!$A$5:$A$32,$B9,'Pemetaan Variant'!$E$5:$E$32))/AVERAGEIF('Pemetaan Variant'!$A$5:$A$32,$B9,'Pemetaan Variant'!$E$5:$E$32)*100,"n/a"),"n/a")</f>
        <v>34.6153846153846</v>
      </c>
      <c r="AA9" s="7" t="n">
        <f aca="false">IFERROR(IF(ISNUMBER(Z9),$C9*Z9,"n/a"),"n/a")</f>
        <v>1.65845000025096</v>
      </c>
      <c r="AB9" s="17" t="n">
        <f aca="false">IFERROR(AVERAGEIF('Pemetaan Variant'!$A$5:$A$32,$B9,'Pemetaan Variant'!$T$5:$T$32),"n/a")</f>
        <v>34600</v>
      </c>
      <c r="AC9" s="7" t="n">
        <f aca="false">IFERROR(IF(ISNUMBER(AB9),(AB9-AVERAGEIF('Pemetaan Variant'!$A$5:$A$32,$B9,'Pemetaan Variant'!$E$5:$E$32))/AVERAGEIF('Pemetaan Variant'!$A$5:$A$32,$B9,'Pemetaan Variant'!$E$5:$E$32)*100,"n/a"),"n/a")</f>
        <v>33.0769230769231</v>
      </c>
      <c r="AD9" s="7" t="n">
        <f aca="false">IFERROR(IF(ISNUMBER(AC9),$C9*AC9,"n/a"),"n/a")</f>
        <v>1.58474111135092</v>
      </c>
      <c r="AE9" s="17" t="n">
        <f aca="false">IFERROR(AVERAGEIF('Pemetaan Variant'!$A$5:$A$32,$B9,'Pemetaan Variant'!$U$5:$U$32),"n/a")</f>
        <v>37000</v>
      </c>
      <c r="AF9" s="7" t="n">
        <f aca="false">IFERROR(IF(ISNUMBER(AE9),(AE9-AVERAGEIF('Pemetaan Variant'!$A$5:$A$32,$B9,'Pemetaan Variant'!$F$5:$F$32))/AVERAGEIF('Pemetaan Variant'!$A$5:$A$32,$B9,'Pemetaan Variant'!$F$5:$F$32)*100,"n/a"),"n/a")</f>
        <v>20.8711433756806</v>
      </c>
      <c r="AG9" s="7" t="n">
        <f aca="false">IFERROR(IF(ISNUMBER(AF9),$C9*AF9,"n/a"),"n/a")</f>
        <v>0.999952712391685</v>
      </c>
      <c r="AH9" s="17" t="n">
        <f aca="false">IFERROR(AVERAGEIF('Pemetaan Variant'!$A$5:$A$32,$B9,'Pemetaan Variant'!$V$5:$V$32),"n/a")</f>
        <v>37600</v>
      </c>
      <c r="AI9" s="7" t="n">
        <f aca="false">IFERROR(IF(ISNUMBER(AH9),(AH9-AVERAGEIF('Pemetaan Variant'!$A$5:$A$32,$B9,'Pemetaan Variant'!$F$5:$F$32))/AVERAGEIF('Pemetaan Variant'!$A$5:$A$32,$B9,'Pemetaan Variant'!$F$5:$F$32)*100,"n/a"),"n/a")</f>
        <v>22.8312159709619</v>
      </c>
      <c r="AJ9" s="7" t="n">
        <f aca="false">IFERROR(IF(ISNUMBER(AI9),$C9*AI9,"n/a"),"n/a")</f>
        <v>1.09386131494673</v>
      </c>
      <c r="AK9" s="17" t="n">
        <f aca="false">IFERROR(AVERAGEIF('Pemetaan Variant'!$A$5:$A$32,$B9,'Pemetaan Variant'!$W$5:$W$32),"n/a")</f>
        <v>40000</v>
      </c>
      <c r="AL9" s="7" t="n">
        <f aca="false">IFERROR(IF(ISNUMBER(AK9),(AK9-AVERAGEIF('Pemetaan Variant'!$A$5:$A$32,$B9,'Pemetaan Variant'!$F$5:$F$32))/AVERAGEIF('Pemetaan Variant'!$A$5:$A$32,$B9,'Pemetaan Variant'!$F$5:$F$32)*100,"n/a"),"n/a")</f>
        <v>30.6715063520871</v>
      </c>
      <c r="AM9" s="7" t="n">
        <f aca="false">IFERROR(IF(ISNUMBER(AL9),$C9*AL9,"n/a"),"n/a")</f>
        <v>1.46949572516691</v>
      </c>
      <c r="AN9" s="17" t="n">
        <f aca="false">IFERROR(AVERAGEIF('Pemetaan Variant'!$A$5:$A$32,$B9,'Pemetaan Variant'!$X$5:$X$32),"n/a")</f>
        <v>40000</v>
      </c>
      <c r="AO9" s="7" t="n">
        <f aca="false">IFERROR(IF(ISNUMBER(AN9),(AN9-AVERAGEIF('Pemetaan Variant'!$A$5:$A$32,$B9,'Pemetaan Variant'!$F$5:$F$32))/AVERAGEIF('Pemetaan Variant'!$A$5:$A$32,$B9,'Pemetaan Variant'!$F$5:$F$32)*100,"n/a"),"n/a")</f>
        <v>30.6715063520871</v>
      </c>
      <c r="AP9" s="7" t="n">
        <f aca="false">IFERROR(IF(ISNUMBER(AO9),$C9*AO9,"n/a"),"n/a")</f>
        <v>1.46949572516691</v>
      </c>
      <c r="AQ9" s="17" t="n">
        <f aca="false">IFERROR(AVERAGEIF('Pemetaan Variant'!$A$5:$A$32,$B9,'Pemetaan Variant'!$Y$5:$Y$32),"n/a")</f>
        <v>36000</v>
      </c>
      <c r="AR9" s="7" t="n">
        <f aca="false">IFERROR(IF(ISNUMBER(AQ9),(AQ9-AVERAGEIF('Pemetaan Variant'!$A$5:$A$32,$B9,'Pemetaan Variant'!$F$5:$F$32))/AVERAGEIF('Pemetaan Variant'!$A$5:$A$32,$B9,'Pemetaan Variant'!$F$5:$F$32)*100,"n/a"),"n/a")</f>
        <v>17.6043557168784</v>
      </c>
      <c r="AS9" s="7" t="n">
        <f aca="false">IFERROR(IF(ISNUMBER(AR9),$C9*AR9,"n/a"),"n/a")</f>
        <v>0.843438374799943</v>
      </c>
      <c r="AT9" s="17" t="n">
        <f aca="false">IFERROR(AVERAGEIF('Pemetaan Variant'!$A$5:$A$32,$B9,'Pemetaan Variant'!$Z$5:$Z$32),"n/a")</f>
        <v>35000</v>
      </c>
      <c r="AU9" s="7" t="n">
        <f aca="false">IFERROR(IF(ISNUMBER(AT9),(AT9-AVERAGEIF('Pemetaan Variant'!$A$5:$A$32,$B9,'Pemetaan Variant'!$G$5:$G$32))/AVERAGEIF('Pemetaan Variant'!$A$5:$A$32,$B9,'Pemetaan Variant'!$G$5:$G$32)*100,"n/a"),"n/a")</f>
        <v>-8.49673202614379</v>
      </c>
      <c r="AV9" s="7" t="n">
        <f aca="false">IFERROR(IF(ISNUMBER(AU9),$C9*AU9,"n/a"),"n/a")</f>
        <v>-0.407085040003503</v>
      </c>
      <c r="AW9" s="17" t="n">
        <f aca="false">IFERROR(AVERAGEIF('Pemetaan Variant'!$A$5:$A$32,$B9,'Pemetaan Variant'!$AA$5:$AA$32),"n/a")</f>
        <v>32400</v>
      </c>
      <c r="AX9" s="7" t="n">
        <f aca="false">IFERROR(IF(ISNUMBER(AW9),(AW9-AVERAGEIF('Pemetaan Variant'!$A$5:$A$32,$B9,'Pemetaan Variant'!$G$5:$G$32))/AVERAGEIF('Pemetaan Variant'!$A$5:$A$32,$B9,'Pemetaan Variant'!$G$5:$G$32)*100,"n/a"),"n/a")</f>
        <v>-15.2941176470588</v>
      </c>
      <c r="AY9" s="7" t="n">
        <f aca="false">IFERROR(IF(ISNUMBER(AX9),$C9*AX9,"n/a"),"n/a")</f>
        <v>-0.732753072006306</v>
      </c>
      <c r="AZ9" s="17" t="n">
        <f aca="false">IFERROR(AVERAGEIF('Pemetaan Variant'!$A$5:$A$32,$B9,'Pemetaan Variant'!$AB$5:$AB$32),"n/a")</f>
        <v>33000</v>
      </c>
      <c r="BA9" s="7" t="n">
        <f aca="false">IFERROR(IF(ISNUMBER(AZ9),(AZ9-AVERAGEIF('Pemetaan Variant'!$A$5:$A$32,$B9,'Pemetaan Variant'!$G$5:$G$32))/AVERAGEIF('Pemetaan Variant'!$A$5:$A$32,$B9,'Pemetaan Variant'!$G$5:$G$32)*100,"n/a"),"n/a")</f>
        <v>-13.7254901960784</v>
      </c>
      <c r="BB9" s="7" t="n">
        <f aca="false">IFERROR(IF(ISNUMBER(BA9),$C9*BA9,"n/a"),"n/a")</f>
        <v>-0.65759891077489</v>
      </c>
      <c r="BC9" s="17" t="n">
        <f aca="false">IFERROR(AVERAGEIF('Pemetaan Variant'!$A$5:$A$32,$B9,'Pemetaan Variant'!$AC$5:$AC$32),"n/a")</f>
        <v>32600</v>
      </c>
      <c r="BD9" s="7" t="n">
        <f aca="false">IFERROR(IF(ISNUMBER(BC9),(BC9-AVERAGEIF('Pemetaan Variant'!$A$5:$A$32,$B9,'Pemetaan Variant'!$G$5:$G$32))/AVERAGEIF('Pemetaan Variant'!$A$5:$A$32,$B9,'Pemetaan Variant'!$G$5:$G$32)*100,"n/a"),"n/a")</f>
        <v>-14.7712418300654</v>
      </c>
      <c r="BE9" s="7" t="n">
        <f aca="false">IFERROR(IF(ISNUMBER(BD9),$C9*BD9,"n/a"),"n/a")</f>
        <v>-0.707701684929167</v>
      </c>
      <c r="BF9" s="17" t="n">
        <f aca="false">IFERROR(AVERAGEIF('Pemetaan Variant'!$A$5:$A$32,$B9,'Pemetaan Variant'!$AD$5:$AD$32),"n/a")</f>
        <v>32500</v>
      </c>
      <c r="BG9" s="7" t="n">
        <f aca="false">IFERROR(IF(ISNUMBER(BF9),(BF9-AVERAGEIF('Pemetaan Variant'!$A$5:$A$32,$B9,'Pemetaan Variant'!$G$5:$G$32))/AVERAGEIF('Pemetaan Variant'!$A$5:$A$32,$B9,'Pemetaan Variant'!$G$5:$G$32)*100,"n/a"),"n/a")</f>
        <v>-15.0326797385621</v>
      </c>
      <c r="BH9" s="7" t="n">
        <f aca="false">IFERROR(IF(ISNUMBER(BG9),$C9*BG9,"n/a"),"n/a")</f>
        <v>-0.720227378467737</v>
      </c>
      <c r="BI9" s="17" t="str">
        <f aca="false">IFERROR(AVERAGEIF('Pemetaan Variant'!$A$5:$A$32,$B9,'Pemetaan Variant'!$AE$5:$AE$32),"n/a")</f>
        <v>n/a</v>
      </c>
      <c r="BJ9" s="7" t="str">
        <f aca="false">IFERROR(IF(ISNUMBER(BI9),(BI9-AVERAGEIF('Pemetaan Variant'!$A$5:$A$32,$B9,'Pemetaan Variant'!$H$5:$H$32))/AVERAGEIF('Pemetaan Variant'!$A$5:$A$32,$B9,'Pemetaan Variant'!$H$5:$H$32)*100,"n/a"),"n/a")</f>
        <v>n/a</v>
      </c>
      <c r="BK9" s="7" t="str">
        <f aca="false">IFERROR(IF(ISNUMBER(BJ9),$C9*BJ9,"n/a"),"n/a")</f>
        <v>n/a</v>
      </c>
      <c r="BL9" s="17" t="n">
        <f aca="false">IFERROR(AVERAGEIF('Pemetaan Variant'!$A$5:$A$32,$B9,'Pemetaan Variant'!$AF$5:$AF$32),"n/a")</f>
        <v>34000</v>
      </c>
      <c r="BM9" s="7" t="n">
        <f aca="false">IFERROR(IF(ISNUMBER(BL9),(BL9-AVERAGEIF('Pemetaan Variant'!$A$5:$A$32,$B9,'Pemetaan Variant'!$H$5:$H$32))/AVERAGEIF('Pemetaan Variant'!$A$5:$A$32,$B9,'Pemetaan Variant'!$H$5:$H$32)*100,"n/a"),"n/a")</f>
        <v>3.47826086956522</v>
      </c>
      <c r="BN9" s="7" t="n">
        <f aca="false">IFERROR(IF(ISNUMBER(BM9),$C9*BM9,"n/a"),"n/a")</f>
        <v>0.166646183600097</v>
      </c>
      <c r="BO9" s="17" t="n">
        <f aca="false">IFERROR(AVERAGEIF('Pemetaan Variant'!$A$5:$A$32,$B9,'Pemetaan Variant'!$AG$5:$AG$32),"n/a")</f>
        <v>33666.6666666667</v>
      </c>
      <c r="BP9" s="7" t="n">
        <f aca="false">IFERROR(IF(ISNUMBER(BO9),(BO9-AVERAGEIF('Pemetaan Variant'!$A$5:$A$32,$B9,'Pemetaan Variant'!$H$5:$H$32))/AVERAGEIF('Pemetaan Variant'!$A$5:$A$32,$B9,'Pemetaan Variant'!$H$5:$H$32)*100,"n/a"),"n/a")</f>
        <v>2.46376811594203</v>
      </c>
      <c r="BQ9" s="7" t="n">
        <f aca="false">IFERROR(IF(ISNUMBER(BP9),$C9*BP9,"n/a"),"n/a")</f>
        <v>0.118041046716735</v>
      </c>
      <c r="BR9" s="17" t="n">
        <f aca="false">IFERROR(AVERAGEIF('Pemetaan Variant'!$A$5:$A$32,$B9,'Pemetaan Variant'!$AH$5:$AH$32),"n/a")</f>
        <v>32000</v>
      </c>
      <c r="BS9" s="7" t="n">
        <f aca="false">IFERROR(IF(ISNUMBER(BR9),(BR9-AVERAGEIF('Pemetaan Variant'!$A$5:$A$32,$B9,'Pemetaan Variant'!$H$5:$H$32))/AVERAGEIF('Pemetaan Variant'!$A$5:$A$32,$B9,'Pemetaan Variant'!$H$5:$H$32)*100,"n/a"),"n/a")</f>
        <v>-2.60869565217391</v>
      </c>
      <c r="BT9" s="7" t="n">
        <f aca="false">IFERROR(IF(ISNUMBER(BS9),$C9*BS9,"n/a"),"n/a")</f>
        <v>-0.124984637700072</v>
      </c>
      <c r="BU9" s="17" t="n">
        <f aca="false">IFERROR(AVERAGEIF('Pemetaan Variant'!$A$5:$A$32,$B9,'Pemetaan Variant'!$AI$5:$AI$32),"n/a")</f>
        <v>32000</v>
      </c>
      <c r="BV9" s="7" t="n">
        <f aca="false">IFERROR(IF(ISNUMBER(BU9),(BU9-AVERAGEIF('Pemetaan Variant'!$A$5:$A$32,$B9,'Pemetaan Variant'!$H$5:$H$32))/AVERAGEIF('Pemetaan Variant'!$A$5:$A$32,$B9,'Pemetaan Variant'!$H$5:$H$32)*100,"n/a"),"n/a")</f>
        <v>-2.60869565217391</v>
      </c>
      <c r="BW9" s="7" t="n">
        <f aca="false">IFERROR(IF(ISNUMBER(BV9),$C9*BV9,"n/a"),"n/a")</f>
        <v>-0.124984637700072</v>
      </c>
      <c r="BX9" s="17" t="n">
        <f aca="false">IFERROR(AVERAGEIF('Pemetaan Variant'!$A$5:$A$32,$B9,'Pemetaan Variant'!$AJ$5:$AJ$32),"n/a")</f>
        <v>31750</v>
      </c>
      <c r="BY9" s="7" t="n">
        <f aca="false">IFERROR(IF(ISNUMBER(BX9),(BX9-AVERAGEIF('Pemetaan Variant'!$A$5:$A$32,$B9,'Pemetaan Variant'!$I$5:$I$32))/AVERAGEIF('Pemetaan Variant'!$A$5:$A$32,$B9,'Pemetaan Variant'!$I$5:$I$32)*100,"n/a"),"n/a")</f>
        <v>-3.60531309297913</v>
      </c>
      <c r="BZ9" s="7" t="n">
        <f aca="false">IFERROR(IF(ISNUMBER(BY9),$C9*BY9,"n/a"),"n/a")</f>
        <v>-0.172733354443174</v>
      </c>
      <c r="CA9" s="17" t="n">
        <f aca="false">IFERROR(AVERAGEIF('Pemetaan Variant'!$A$5:$A$32,$B9,'Pemetaan Variant'!$AK$5:$AK$32),"n/a")</f>
        <v>29200</v>
      </c>
      <c r="CB9" s="7" t="n">
        <f aca="false">IFERROR(IF(ISNUMBER(CA9),(CA9-AVERAGEIF('Pemetaan Variant'!$A$5:$A$32,$B9,'Pemetaan Variant'!$I$5:$I$32))/AVERAGEIF('Pemetaan Variant'!$A$5:$A$32,$B9,'Pemetaan Variant'!$I$5:$I$32)*100,"n/a"),"n/a")</f>
        <v>-11.3472485768501</v>
      </c>
      <c r="CC9" s="7" t="n">
        <f aca="false">IFERROR(IF(ISNUMBER(CB9),$C9*CB9,"n/a"),"n/a")</f>
        <v>-0.543655505036937</v>
      </c>
      <c r="CD9" s="17" t="n">
        <f aca="false">IFERROR(AVERAGEIF('Pemetaan Variant'!$A$5:$A$32,$B9,'Pemetaan Variant'!$AL$5:$AL$32),"n/a")</f>
        <v>29750</v>
      </c>
      <c r="CE9" s="7" t="n">
        <f aca="false">IFERROR(IF(ISNUMBER(CD9),(CD9-AVERAGEIF('Pemetaan Variant'!$A$5:$A$32,$B9,'Pemetaan Variant'!$I$5:$I$32))/AVERAGEIF('Pemetaan Variant'!$A$5:$A$32,$B9,'Pemetaan Variant'!$I$5:$I$32)*100,"n/a"),"n/a")</f>
        <v>-9.67741935483871</v>
      </c>
      <c r="CF9" s="7" t="n">
        <f aca="false">IFERROR(IF(ISNUMBER(CE9),$C9*CE9,"n/a"),"n/a")</f>
        <v>-0.463652688242204</v>
      </c>
      <c r="CG9" s="17" t="n">
        <f aca="false">IFERROR(AVERAGEIF('Pemetaan Variant'!$A$5:$A$32,$B9,'Pemetaan Variant'!$AM$5:$AM$32),"n/a")</f>
        <v>30000</v>
      </c>
      <c r="CH9" s="7" t="n">
        <f aca="false">IFERROR(IF(ISNUMBER(CG9),(CG9-AVERAGEIF('Pemetaan Variant'!$A$5:$A$32,$B9,'Pemetaan Variant'!$I$5:$I$32))/AVERAGEIF('Pemetaan Variant'!$A$5:$A$32,$B9,'Pemetaan Variant'!$I$5:$I$32)*100,"n/a"),"n/a")</f>
        <v>-8.91840607210626</v>
      </c>
      <c r="CI9" s="7" t="n">
        <f aca="false">IFERROR(IF(ISNUMBER(CH9),$C9*CH9,"n/a"),"n/a")</f>
        <v>-0.427287771517325</v>
      </c>
      <c r="CJ9" s="17" t="n">
        <f aca="false">IFERROR(AVERAGEIF('Pemetaan Variant'!$A$5:$A$32,$B9,'Pemetaan Variant'!$AN$5:$AN$32),"n/a")</f>
        <v>30000</v>
      </c>
      <c r="CK9" s="7" t="n">
        <f aca="false">IFERROR(IF(ISNUMBER(CJ9),(CJ9-AVERAGEIF('Pemetaan Variant'!$A$5:$A$32,$B9,'Pemetaan Variant'!$I$5:$I$32))/AVERAGEIF('Pemetaan Variant'!$A$5:$A$32,$B9,'Pemetaan Variant'!$I$5:$I$32)*100,"n/a"),"n/a")</f>
        <v>-8.91840607210626</v>
      </c>
      <c r="CL9" s="7" t="n">
        <f aca="false">IFERROR(IF(ISNUMBER(CK9),$C9*CK9,"n/a"),"n/a")</f>
        <v>-0.427287771517325</v>
      </c>
      <c r="CM9" s="17" t="n">
        <f aca="false">IFERROR(AVERAGEIF('Pemetaan Variant'!$A$5:$A$32,$B9,'Pemetaan Variant'!$AO$5:$AO$32),"n/a")</f>
        <v>30000</v>
      </c>
      <c r="CN9" s="7" t="n">
        <f aca="false">IFERROR(IF(ISNUMBER(CM9),(CM9-AVERAGEIF('Pemetaan Variant'!$A$5:$A$32,$B9,'Pemetaan Variant'!$J$5:$J$32))/AVERAGEIF('Pemetaan Variant'!$A$5:$A$32,$B9,'Pemetaan Variant'!$J$5:$J$32)*100,"n/a"),"n/a")</f>
        <v>-0.332225913621262</v>
      </c>
      <c r="CO9" s="7" t="n">
        <f aca="false">IFERROR(IF(ISNUMBER(CN9),$C9*CN9,"n/a"),"n/a")</f>
        <v>-0.0159172019219361</v>
      </c>
      <c r="CP9" s="17" t="n">
        <f aca="false">IFERROR(AVERAGEIF('Pemetaan Variant'!$A$5:$A$32,$B9,'Pemetaan Variant'!$AP$5:$AP$32),"n/a")</f>
        <v>30000</v>
      </c>
      <c r="CQ9" s="7" t="n">
        <f aca="false">IFERROR(IF(ISNUMBER(CP9),(CP9-AVERAGEIF('Pemetaan Variant'!$A$5:$A$32,$B9,'Pemetaan Variant'!$J$5:$J$32))/AVERAGEIF('Pemetaan Variant'!$A$5:$A$32,$B9,'Pemetaan Variant'!$J$5:$J$32)*100,"n/a"),"n/a")</f>
        <v>-0.332225913621262</v>
      </c>
      <c r="CR9" s="7" t="n">
        <f aca="false">IFERROR(IF(ISNUMBER(CQ9),$C9*CQ9,"n/a"),"n/a")</f>
        <v>-0.0159172019219361</v>
      </c>
      <c r="CS9" s="17" t="n">
        <f aca="false">IFERROR(AVERAGEIF('Pemetaan Variant'!$A$5:$A$32,$B9,'Pemetaan Variant'!$AQ$5:$AQ$32),"n/a")</f>
        <v>30000</v>
      </c>
      <c r="CT9" s="7" t="n">
        <f aca="false">IFERROR(IF(ISNUMBER(CS9),(CS9-AVERAGEIF('Pemetaan Variant'!$A$5:$A$32,$B9,'Pemetaan Variant'!$J$5:$J$32))/AVERAGEIF('Pemetaan Variant'!$A$5:$A$32,$B9,'Pemetaan Variant'!$J$5:$J$32)*100,"n/a"),"n/a")</f>
        <v>-0.332225913621262</v>
      </c>
      <c r="CU9" s="7" t="n">
        <f aca="false">IFERROR(IF(ISNUMBER(CT9),$C9*CT9,"n/a"),"n/a")</f>
        <v>-0.0159172019219361</v>
      </c>
      <c r="CV9" s="17" t="n">
        <f aca="false">IFERROR(AVERAGEIF('Pemetaan Variant'!$A$5:$A$32,$B9,'Pemetaan Variant'!$AR$5:$AR$32),"n/a")</f>
        <v>30400</v>
      </c>
      <c r="CW9" s="7" t="n">
        <f aca="false">IFERROR(IF(ISNUMBER(CV9),(CV9-AVERAGEIF('Pemetaan Variant'!$A$5:$A$32,$B9,'Pemetaan Variant'!$J$5:$J$32))/AVERAGEIF('Pemetaan Variant'!$A$5:$A$32,$B9,'Pemetaan Variant'!$J$5:$J$32)*100,"n/a"),"n/a")</f>
        <v>0.996677740863787</v>
      </c>
      <c r="CX9" s="7" t="n">
        <f aca="false">IFERROR(IF(ISNUMBER(CW9),$C9*CW9,"n/a"),"n/a")</f>
        <v>0.0477516057658083</v>
      </c>
      <c r="CY9" s="17" t="n">
        <f aca="false">IFERROR(AVERAGEIF('Pemetaan Variant'!$A$5:$A$32,$B9,'Pemetaan Variant'!$AS$5:$AS$32),"n/a")</f>
        <v>33200</v>
      </c>
      <c r="CZ9" s="7" t="n">
        <f aca="false">IFERROR(IF(ISNUMBER(CY9),(CY9-AVERAGEIF('Pemetaan Variant'!$A$5:$A$32,$B9,'Pemetaan Variant'!$J$5:$J$32))/AVERAGEIF('Pemetaan Variant'!$A$5:$A$32,$B9,'Pemetaan Variant'!$J$5:$J$32)*100,"n/a"),"n/a")</f>
        <v>10.2990033222591</v>
      </c>
      <c r="DA9" s="7" t="n">
        <f aca="false">IFERROR(IF(ISNUMBER(CZ9),$C9*CZ9,"n/a"),"n/a")</f>
        <v>0.493433259580019</v>
      </c>
      <c r="DB9" s="17" t="n">
        <f aca="false">IFERROR(AVERAGEIF('Pemetaan Variant'!$A$5:$A$32,$B9,'Pemetaan Variant'!$AT$5:$AT$32),"n/a")</f>
        <v>34000</v>
      </c>
      <c r="DC9" s="7" t="n">
        <f aca="false">IFERROR(IF(ISNUMBER(DB9),(DB9-AVERAGEIF('Pemetaan Variant'!$A$5:$A$32,$B9,'Pemetaan Variant'!$K$5:$K$32))/AVERAGEIF('Pemetaan Variant'!$A$5:$A$32,$B9,'Pemetaan Variant'!$K$5:$K$32)*100,"n/a"),"n/a")</f>
        <v>10.45197740113</v>
      </c>
      <c r="DD9" s="7" t="n">
        <f aca="false">IFERROR(IF(ISNUMBER(DC9),$C9*DC9,"n/a"),"n/a")</f>
        <v>0.500762366679668</v>
      </c>
      <c r="DE9" s="17" t="n">
        <f aca="false">IFERROR(AVERAGEIF('Pemetaan Variant'!$A$5:$A$32,$B9,'Pemetaan Variant'!$AU$5:$AU$32),"n/a")</f>
        <v>34000</v>
      </c>
      <c r="DF9" s="7" t="n">
        <f aca="false">IFERROR(IF(ISNUMBER(DE9),(DE9-AVERAGEIF('Pemetaan Variant'!$A$5:$A$32,$B9,'Pemetaan Variant'!$K$5:$K$32))/AVERAGEIF('Pemetaan Variant'!$A$5:$A$32,$B9,'Pemetaan Variant'!$K$5:$K$32)*100,"n/a"),"n/a")</f>
        <v>10.45197740113</v>
      </c>
      <c r="DG9" s="7" t="n">
        <f aca="false">IFERROR(IF(ISNUMBER(DF9),$C9*DF9,"n/a"),"n/a")</f>
        <v>0.500762366679668</v>
      </c>
      <c r="DH9" s="17" t="n">
        <f aca="false">IFERROR(AVERAGEIF('Pemetaan Variant'!$A$5:$A$32,$B9,'Pemetaan Variant'!$AV$5:$AV$32),"n/a")</f>
        <v>35500</v>
      </c>
      <c r="DI9" s="7" t="n">
        <f aca="false">IFERROR(IF(ISNUMBER(DH9),(DH9-AVERAGEIF('Pemetaan Variant'!$A$5:$A$32,$B9,'Pemetaan Variant'!$K$5:$K$32))/AVERAGEIF('Pemetaan Variant'!$A$5:$A$32,$B9,'Pemetaan Variant'!$K$5:$K$32)*100,"n/a"),"n/a")</f>
        <v>15.3248587570622</v>
      </c>
      <c r="DJ9" s="7" t="n">
        <f aca="false">IFERROR(IF(ISNUMBER(DI9),$C9*DI9,"n/a"),"n/a")</f>
        <v>0.734225902496541</v>
      </c>
      <c r="DK9" s="17" t="n">
        <f aca="false">IFERROR(AVERAGEIF('Pemetaan Variant'!$A$5:$A$32,$B9,'Pemetaan Variant'!$AW$5:$AW$32),"n/a")</f>
        <v>36000</v>
      </c>
      <c r="DL9" s="7" t="n">
        <f aca="false">IFERROR(IF(ISNUMBER(DK9),(DK9-AVERAGEIF('Pemetaan Variant'!$A$5:$A$32,$B9,'Pemetaan Variant'!$K$5:$K$32))/AVERAGEIF('Pemetaan Variant'!$A$5:$A$32,$B9,'Pemetaan Variant'!$K$5:$K$32)*100,"n/a"),"n/a")</f>
        <v>16.9491525423729</v>
      </c>
      <c r="DM9" s="7" t="n">
        <f aca="false">IFERROR(IF(ISNUMBER(DL9),$C9*DL9,"n/a"),"n/a")</f>
        <v>0.812047081102165</v>
      </c>
      <c r="DN9" s="17" t="str">
        <f aca="false">IFERROR(AVERAGEIF('Pemetaan Variant'!$A$5:$A$32,$B9,'Pemetaan Variant'!$AX$5:$AX$32),"n/a")</f>
        <v>n/a</v>
      </c>
      <c r="DO9" s="7" t="str">
        <f aca="false">IFERROR(IF(ISNUMBER(DN9),(DN9-AVERAGEIF('Pemetaan Variant'!$A$5:$A$32,$B9,'Pemetaan Variant'!$K$5:$K$32))/AVERAGEIF('Pemetaan Variant'!$A$5:$A$32,$B9,'Pemetaan Variant'!$K$5:$K$32)*100,"n/a"),"n/a")</f>
        <v>n/a</v>
      </c>
      <c r="DP9" s="7" t="str">
        <f aca="false">IFERROR(IF(ISNUMBER(DO9),$C9*DO9,"n/a"),"n/a")</f>
        <v>n/a</v>
      </c>
      <c r="DQ9" s="18" t="n">
        <f aca="false">IFERROR(AVERAGEIF('Pemetaan Variant'!$A$5:$A$32,$B9,'Pemetaan Variant'!$AZ$5:$AZ$32),"n/a")</f>
        <v>36000</v>
      </c>
      <c r="DR9" s="11" t="n">
        <f aca="false">IFERROR(IF(ISNUMBER(DQ9),(DQ9-AVERAGEIF('Pemetaan Variant'!$A$5:$A$32,$B9,'Pemetaan Variant'!$AY$5:$AY$32))/AVERAGEIF('Pemetaan Variant'!$A$5:$A$32,$B9,'Pemetaan Variant'!$AY$5:$AY$32)*100,"n/a"),"n/a")</f>
        <v>3.5143769968051</v>
      </c>
      <c r="DS9" s="11" t="n">
        <f aca="false">IFERROR(IF(ISNUMBER(DR9),$C9*DR9,"n/a"),"n/a")</f>
        <v>0.168376535346742</v>
      </c>
      <c r="DT9" s="18" t="str">
        <f aca="false">IFERROR(AVERAGEIF('Pemetaan Variant'!$A$5:$A$32,$B9,'Pemetaan Variant'!$BA$5:$BA$32),"n/a")</f>
        <v>n/a</v>
      </c>
      <c r="DU9" s="11" t="str">
        <f aca="false">IFERROR(IF(ISNUMBER(DT9),(DT9-AVERAGEIF('Pemetaan Variant'!$A$5:$A$32,$B9,'Pemetaan Variant'!$AY$5:$AY$32))/AVERAGEIF('Pemetaan Variant'!$A$5:$A$32,$B9,'Pemetaan Variant'!$AY$5:$AY$32)*100,"n/a"),"n/a")</f>
        <v>n/a</v>
      </c>
      <c r="DV9" s="11" t="str">
        <f aca="false">IFERROR(IF(ISNUMBER(DU9),$C9*DU9,"n/a"),"n/a")</f>
        <v>n/a</v>
      </c>
      <c r="DW9" s="18" t="str">
        <f aca="false">IFERROR(AVERAGEIF('Pemetaan Variant'!$A$5:$A$32,$B9,'Pemetaan Variant'!$BB$5:$BB$32),"n/a")</f>
        <v>n/a</v>
      </c>
      <c r="DX9" s="11" t="str">
        <f aca="false">IFERROR(IF(ISNUMBER(DW9),(DW9-AVERAGEIF('Pemetaan Variant'!$A$5:$A$32,$B9,'Pemetaan Variant'!$AY$5:$AY$32))/AVERAGEIF('Pemetaan Variant'!$A$5:$A$32,$B9,'Pemetaan Variant'!$AY$5:$AY$32)*100,"n/a"),"n/a")</f>
        <v>n/a</v>
      </c>
      <c r="DY9" s="11" t="str">
        <f aca="false">IFERROR(IF(ISNUMBER(DX9),$C9*DX9,"n/a"),"n/a")</f>
        <v>n/a</v>
      </c>
      <c r="DZ9" s="18" t="str">
        <f aca="false">IFERROR(AVERAGEIF('Pemetaan Variant'!$A$5:$A$32,$B9,'Pemetaan Variant'!$BC$5:$BC$32),"n/a")</f>
        <v>n/a</v>
      </c>
      <c r="EA9" s="11" t="str">
        <f aca="false">IFERROR(IF(ISNUMBER(DZ9),(DZ9-AVERAGEIF('Pemetaan Variant'!$A$5:$A$32,$B9,'Pemetaan Variant'!$AY$5:$AY$32))/AVERAGEIF('Pemetaan Variant'!$A$5:$A$32,$B9,'Pemetaan Variant'!$AY$5:$AY$32)*100,"n/a"),"n/a")</f>
        <v>n/a</v>
      </c>
      <c r="EB9" s="11" t="str">
        <f aca="false">IFERROR(IF(ISNUMBER(EA9),$C9*EA9,"n/a"),"n/a")</f>
        <v>n/a</v>
      </c>
      <c r="EC9" s="18" t="str">
        <f aca="false">IFERROR(AVERAGEIF('Pemetaan Variant'!$A$5:$A$32,$B9,'Pemetaan Variant'!$BD$5:$BD$32),"n/a")</f>
        <v>n/a</v>
      </c>
      <c r="ED9" s="11" t="str">
        <f aca="false">IFERROR(IF(ISNUMBER(EC9),(EC9-AVERAGEIF('Pemetaan Variant'!$A$5:$A$32,$B9,'Pemetaan Variant'!$AY$5:$AY$32))/AVERAGEIF('Pemetaan Variant'!$A$5:$A$32,$B9,'Pemetaan Variant'!$AY$5:$AY$32)*100,"n/a"),"n/a")</f>
        <v>n/a</v>
      </c>
      <c r="EE9" s="11" t="str">
        <f aca="false">IFERROR(IF(ISNUMBER(ED9),$C9*ED9,"n/a"),"n/a")</f>
        <v>n/a</v>
      </c>
      <c r="EG9" s="11" t="n">
        <f aca="false">IFERROR(ABS(F9),0)</f>
        <v>0.103082122456093</v>
      </c>
      <c r="EH9" s="11" t="n">
        <f aca="false">IFERROR(ABS(I9),0)</f>
        <v>0.103082122456093</v>
      </c>
      <c r="EI9" s="11" t="n">
        <f aca="false">IFERROR(ABS(L9),0)</f>
        <v>0.103082122456093</v>
      </c>
      <c r="EJ9" s="11" t="n">
        <f aca="false">IFERROR(ABS(O9),0)</f>
        <v>0.103082122456093</v>
      </c>
      <c r="EK9" s="11" t="n">
        <f aca="false">IFERROR(ABS(R9),0)</f>
        <v>0.103082122456093</v>
      </c>
      <c r="EL9" s="11" t="n">
        <f aca="false">IFERROR(ABS(U9),0)</f>
        <v>0.405398888950234</v>
      </c>
      <c r="EM9" s="11" t="n">
        <f aca="false">IFERROR(ABS(X9),0)</f>
        <v>0.0737088889000426</v>
      </c>
      <c r="EN9" s="11" t="n">
        <f aca="false">IFERROR(ABS(AA9),0)</f>
        <v>1.65845000025096</v>
      </c>
      <c r="EO9" s="11" t="n">
        <f aca="false">IFERROR(ABS(AD9),0)</f>
        <v>1.58474111135092</v>
      </c>
      <c r="EP9" s="11" t="n">
        <f aca="false">IFERROR(ABS(AG9),0)</f>
        <v>0.999952712391685</v>
      </c>
      <c r="EQ9" s="11" t="n">
        <f aca="false">IFERROR(ABS(AJ9),0)</f>
        <v>1.09386131494673</v>
      </c>
      <c r="ER9" s="11" t="n">
        <f aca="false">IFERROR(ABS(AM9),0)</f>
        <v>1.46949572516691</v>
      </c>
      <c r="ES9" s="11" t="n">
        <f aca="false">IFERROR(ABS(AP9),0)</f>
        <v>1.46949572516691</v>
      </c>
      <c r="ET9" s="11" t="n">
        <f aca="false">IFERROR(ABS(AS9),0)</f>
        <v>0.843438374799943</v>
      </c>
      <c r="EU9" s="11" t="n">
        <f aca="false">IFERROR(ABS(AV9),0)</f>
        <v>0.407085040003503</v>
      </c>
      <c r="EV9" s="11" t="n">
        <f aca="false">IFERROR(ABS(AY9),0)</f>
        <v>0.732753072006306</v>
      </c>
      <c r="EW9" s="11" t="n">
        <f aca="false">IFERROR(ABS(BB9),0)</f>
        <v>0.65759891077489</v>
      </c>
      <c r="EX9" s="11" t="n">
        <f aca="false">IFERROR(ABS(BE9),0)</f>
        <v>0.707701684929167</v>
      </c>
      <c r="EY9" s="11" t="n">
        <f aca="false">IFERROR(ABS(BH9),0)</f>
        <v>0.720227378467737</v>
      </c>
      <c r="EZ9" s="11" t="n">
        <f aca="false">IFERROR(ABS(BK9),0)</f>
        <v>0</v>
      </c>
      <c r="FA9" s="11" t="n">
        <f aca="false">IFERROR(ABS(BN9),0)</f>
        <v>0.166646183600097</v>
      </c>
      <c r="FB9" s="11" t="n">
        <f aca="false">IFERROR(ABS(BQ9),0)</f>
        <v>0.118041046716735</v>
      </c>
      <c r="FC9" s="11" t="n">
        <f aca="false">IFERROR(ABS(BT9),0)</f>
        <v>0.124984637700072</v>
      </c>
      <c r="FD9" s="11" t="n">
        <f aca="false">IFERROR(ABS(BW9),0)</f>
        <v>0.124984637700072</v>
      </c>
      <c r="FE9" s="11" t="n">
        <f aca="false">IFERROR(ABS(BZ9),0)</f>
        <v>0.172733354443174</v>
      </c>
      <c r="FF9" s="11" t="n">
        <f aca="false">IFERROR(ABS(CC9),0)</f>
        <v>0.543655505036937</v>
      </c>
      <c r="FG9" s="11" t="n">
        <f aca="false">IFERROR(ABS(CF9),0)</f>
        <v>0.463652688242204</v>
      </c>
      <c r="FH9" s="11" t="n">
        <f aca="false">IFERROR(ABS(CI9),0)</f>
        <v>0.427287771517325</v>
      </c>
      <c r="FI9" s="11" t="n">
        <f aca="false">IFERROR(ABS(CL9),0)</f>
        <v>0.427287771517325</v>
      </c>
      <c r="FJ9" s="11" t="n">
        <f aca="false">IFERROR(ABS(CO9),0)</f>
        <v>0.0159172019219361</v>
      </c>
      <c r="FK9" s="11" t="n">
        <f aca="false">IFERROR(ABS(CR9),0)</f>
        <v>0.0159172019219361</v>
      </c>
      <c r="FL9" s="11" t="n">
        <f aca="false">IFERROR(ABS(CU9),0)</f>
        <v>0.0159172019219361</v>
      </c>
      <c r="FM9" s="11" t="n">
        <f aca="false">IFERROR(ABS(CX9),0)</f>
        <v>0.0477516057658083</v>
      </c>
      <c r="FN9" s="11" t="n">
        <f aca="false">IFERROR(ABS(DA9),0)</f>
        <v>0.493433259580019</v>
      </c>
      <c r="FO9" s="11" t="n">
        <f aca="false">IFERROR(ABS(DD9),0)</f>
        <v>0.500762366679668</v>
      </c>
      <c r="FP9" s="11" t="n">
        <f aca="false">IFERROR(ABS(DG9),0)</f>
        <v>0.500762366679668</v>
      </c>
      <c r="FQ9" s="11" t="n">
        <f aca="false">IFERROR(ABS(DJ9),0)</f>
        <v>0.734225902496541</v>
      </c>
      <c r="FR9" s="11" t="n">
        <f aca="false">IFERROR(ABS(DM9),0)</f>
        <v>0.812047081102165</v>
      </c>
      <c r="FS9" s="11" t="n">
        <f aca="false">IFERROR(ABS(DP9),0)</f>
        <v>0</v>
      </c>
      <c r="FT9" s="11" t="n">
        <f aca="false">IFERROR(ABS(DS9),0)</f>
        <v>0.168376535346742</v>
      </c>
      <c r="FU9" s="11" t="n">
        <f aca="false">IFERROR(ABS(DV9),0)</f>
        <v>0</v>
      </c>
      <c r="FV9" s="11" t="n">
        <f aca="false">IFERROR(ABS(DY9),0)</f>
        <v>0</v>
      </c>
      <c r="FW9" s="11" t="n">
        <f aca="false">IFERROR(ABS(EB9),0)</f>
        <v>0</v>
      </c>
      <c r="FX9" s="11" t="n">
        <f aca="false">IFERROR(ABS(EE9),0)</f>
        <v>0</v>
      </c>
    </row>
    <row r="10" customFormat="false" ht="12.75" hidden="false" customHeight="true" outlineLevel="0" collapsed="false">
      <c r="A10" s="5" t="n">
        <v>5</v>
      </c>
      <c r="B10" s="6" t="s">
        <v>194</v>
      </c>
      <c r="C10" s="7" t="n">
        <f aca="false">'P0Q0 Dasar 2022'!F9</f>
        <v>0.0451766229856385</v>
      </c>
      <c r="D10" s="17" t="n">
        <f aca="false">IFERROR(AVERAGEIF('Pemetaan Variant'!$A$5:$A$32,$B10,'Pemetaan Variant'!$L$5:$L$32),"n/a")</f>
        <v>16233.3333333333</v>
      </c>
      <c r="E10" s="7" t="n">
        <f aca="false">IFERROR(IF(ISNUMBER(D10),(D10-AVERAGEIF('Pemetaan Variant'!$A$5:$A$32,$B10,'Pemetaan Variant'!$D$5:$D$32))/AVERAGEIF('Pemetaan Variant'!$A$5:$A$32,$B10,'Pemetaan Variant'!$D$5:$D$32)*100,"n/a"),"n/a")</f>
        <v>0</v>
      </c>
      <c r="F10" s="7" t="n">
        <f aca="false">IFERROR(IF(ISNUMBER(E10),$C10*E10,"n/a"),"n/a")</f>
        <v>0</v>
      </c>
      <c r="G10" s="17" t="n">
        <f aca="false">IFERROR(AVERAGEIF('Pemetaan Variant'!$A$5:$A$32,$B10,'Pemetaan Variant'!$M$5:$M$32),"n/a")</f>
        <v>16233.3333333333</v>
      </c>
      <c r="H10" s="7" t="n">
        <f aca="false">IFERROR(IF(ISNUMBER(G10),(G10-AVERAGEIF('Pemetaan Variant'!$A$5:$A$32,$B10,'Pemetaan Variant'!$D$5:$D$32))/AVERAGEIF('Pemetaan Variant'!$A$5:$A$32,$B10,'Pemetaan Variant'!$D$5:$D$32)*100,"n/a"),"n/a")</f>
        <v>0</v>
      </c>
      <c r="I10" s="7" t="n">
        <f aca="false">IFERROR(IF(ISNUMBER(H10),$C10*H10,"n/a"),"n/a")</f>
        <v>0</v>
      </c>
      <c r="J10" s="17" t="n">
        <f aca="false">IFERROR(AVERAGEIF('Pemetaan Variant'!$A$5:$A$32,$B10,'Pemetaan Variant'!$N$5:$N$32),"n/a")</f>
        <v>16233.3333333333</v>
      </c>
      <c r="K10" s="7" t="n">
        <f aca="false">IFERROR(IF(ISNUMBER(J10),(J10-AVERAGEIF('Pemetaan Variant'!$A$5:$A$32,$B10,'Pemetaan Variant'!$D$5:$D$32))/AVERAGEIF('Pemetaan Variant'!$A$5:$A$32,$B10,'Pemetaan Variant'!$D$5:$D$32)*100,"n/a"),"n/a")</f>
        <v>0</v>
      </c>
      <c r="L10" s="7" t="n">
        <f aca="false">IFERROR(IF(ISNUMBER(K10),$C10*K10,"n/a"),"n/a")</f>
        <v>0</v>
      </c>
      <c r="M10" s="17" t="n">
        <f aca="false">IFERROR(AVERAGEIF('Pemetaan Variant'!$A$5:$A$32,$B10,'Pemetaan Variant'!$O$5:$O$32),"n/a")</f>
        <v>16233.3333333333</v>
      </c>
      <c r="N10" s="7" t="n">
        <f aca="false">IFERROR(IF(ISNUMBER(M10),(M10-AVERAGEIF('Pemetaan Variant'!$A$5:$A$32,$B10,'Pemetaan Variant'!$D$5:$D$32))/AVERAGEIF('Pemetaan Variant'!$A$5:$A$32,$B10,'Pemetaan Variant'!$D$5:$D$32)*100,"n/a"),"n/a")</f>
        <v>0</v>
      </c>
      <c r="O10" s="7" t="n">
        <f aca="false">IFERROR(IF(ISNUMBER(N10),$C10*N10,"n/a"),"n/a")</f>
        <v>0</v>
      </c>
      <c r="P10" s="17" t="n">
        <f aca="false">IFERROR(AVERAGEIF('Pemetaan Variant'!$A$5:$A$32,$B10,'Pemetaan Variant'!$P$5:$P$32),"n/a")</f>
        <v>16233.3333333333</v>
      </c>
      <c r="Q10" s="7" t="n">
        <f aca="false">IFERROR(IF(ISNUMBER(P10),(P10-AVERAGEIF('Pemetaan Variant'!$A$5:$A$32,$B10,'Pemetaan Variant'!$D$5:$D$32))/AVERAGEIF('Pemetaan Variant'!$A$5:$A$32,$B10,'Pemetaan Variant'!$D$5:$D$32)*100,"n/a"),"n/a")</f>
        <v>0</v>
      </c>
      <c r="R10" s="7" t="n">
        <f aca="false">IFERROR(IF(ISNUMBER(Q10),$C10*Q10,"n/a"),"n/a")</f>
        <v>0</v>
      </c>
      <c r="S10" s="17" t="n">
        <f aca="false">IFERROR(AVERAGEIF('Pemetaan Variant'!$A$5:$A$32,$B10,'Pemetaan Variant'!$Q$5:$Q$32),"n/a")</f>
        <v>16533.3333333333</v>
      </c>
      <c r="T10" s="7" t="n">
        <f aca="false">IFERROR(IF(ISNUMBER(S10),(S10-AVERAGEIF('Pemetaan Variant'!$A$5:$A$32,$B10,'Pemetaan Variant'!$E$5:$E$32))/AVERAGEIF('Pemetaan Variant'!$A$5:$A$32,$B10,'Pemetaan Variant'!$E$5:$E$32)*100,"n/a"),"n/a")</f>
        <v>1.84804928131416</v>
      </c>
      <c r="U10" s="7" t="n">
        <f aca="false">IFERROR(IF(ISNUMBER(T10),$C10*T10,"n/a"),"n/a")</f>
        <v>0.0834886256408099</v>
      </c>
      <c r="V10" s="17" t="n">
        <f aca="false">IFERROR(AVERAGEIF('Pemetaan Variant'!$A$5:$A$32,$B10,'Pemetaan Variant'!$R$5:$R$32),"n/a")</f>
        <v>16233.3333333333</v>
      </c>
      <c r="W10" s="7" t="n">
        <f aca="false">IFERROR(IF(ISNUMBER(V10),(V10-AVERAGEIF('Pemetaan Variant'!$A$5:$A$32,$B10,'Pemetaan Variant'!$E$5:$E$32))/AVERAGEIF('Pemetaan Variant'!$A$5:$A$32,$B10,'Pemetaan Variant'!$E$5:$E$32)*100,"n/a"),"n/a")</f>
        <v>0</v>
      </c>
      <c r="X10" s="7" t="n">
        <f aca="false">IFERROR(IF(ISNUMBER(W10),$C10*W10,"n/a"),"n/a")</f>
        <v>0</v>
      </c>
      <c r="Y10" s="17" t="n">
        <f aca="false">IFERROR(AVERAGEIF('Pemetaan Variant'!$A$5:$A$32,$B10,'Pemetaan Variant'!$S$5:$S$32),"n/a")</f>
        <v>17233.3333333333</v>
      </c>
      <c r="Z10" s="7" t="n">
        <f aca="false">IFERROR(IF(ISNUMBER(Y10),(Y10-AVERAGEIF('Pemetaan Variant'!$A$5:$A$32,$B10,'Pemetaan Variant'!$E$5:$E$32))/AVERAGEIF('Pemetaan Variant'!$A$5:$A$32,$B10,'Pemetaan Variant'!$E$5:$E$32)*100,"n/a"),"n/a")</f>
        <v>6.16016427104722</v>
      </c>
      <c r="AA10" s="7" t="n">
        <f aca="false">IFERROR(IF(ISNUMBER(Z10),$C10*Z10,"n/a"),"n/a")</f>
        <v>0.278295418802701</v>
      </c>
      <c r="AB10" s="17" t="n">
        <f aca="false">IFERROR(AVERAGEIF('Pemetaan Variant'!$A$5:$A$32,$B10,'Pemetaan Variant'!$T$5:$T$32),"n/a")</f>
        <v>17133.3333333333</v>
      </c>
      <c r="AC10" s="7" t="n">
        <f aca="false">IFERROR(IF(ISNUMBER(AB10),(AB10-AVERAGEIF('Pemetaan Variant'!$A$5:$A$32,$B10,'Pemetaan Variant'!$E$5:$E$32))/AVERAGEIF('Pemetaan Variant'!$A$5:$A$32,$B10,'Pemetaan Variant'!$E$5:$E$32)*100,"n/a"),"n/a")</f>
        <v>5.54414784394249</v>
      </c>
      <c r="AD10" s="7" t="n">
        <f aca="false">IFERROR(IF(ISNUMBER(AC10),$C10*AC10,"n/a"),"n/a")</f>
        <v>0.250465876922431</v>
      </c>
      <c r="AE10" s="17" t="n">
        <f aca="false">IFERROR(AVERAGEIF('Pemetaan Variant'!$A$5:$A$32,$B10,'Pemetaan Variant'!$U$5:$U$32),"n/a")</f>
        <v>17733.3333333333</v>
      </c>
      <c r="AF10" s="7" t="n">
        <f aca="false">IFERROR(IF(ISNUMBER(AE10),(AE10-AVERAGEIF('Pemetaan Variant'!$A$5:$A$32,$B10,'Pemetaan Variant'!$F$5:$F$32))/AVERAGEIF('Pemetaan Variant'!$A$5:$A$32,$B10,'Pemetaan Variant'!$F$5:$F$32)*100,"n/a"),"n/a")</f>
        <v>5.97609561752988</v>
      </c>
      <c r="AG10" s="7" t="n">
        <f aca="false">IFERROR(IF(ISNUMBER(AF10),$C10*AF10,"n/a"),"n/a")</f>
        <v>0.269979818639274</v>
      </c>
      <c r="AH10" s="17" t="n">
        <f aca="false">IFERROR(AVERAGEIF('Pemetaan Variant'!$A$5:$A$32,$B10,'Pemetaan Variant'!$V$5:$V$32),"n/a")</f>
        <v>17766.6666666667</v>
      </c>
      <c r="AI10" s="7" t="n">
        <f aca="false">IFERROR(IF(ISNUMBER(AH10),(AH10-AVERAGEIF('Pemetaan Variant'!$A$5:$A$32,$B10,'Pemetaan Variant'!$F$5:$F$32))/AVERAGEIF('Pemetaan Variant'!$A$5:$A$32,$B10,'Pemetaan Variant'!$F$5:$F$32)*100,"n/a"),"n/a")</f>
        <v>6.17529880478089</v>
      </c>
      <c r="AJ10" s="7" t="n">
        <f aca="false">IFERROR(IF(ISNUMBER(AI10),$C10*AI10,"n/a"),"n/a")</f>
        <v>0.27897914592725</v>
      </c>
      <c r="AK10" s="17" t="n">
        <f aca="false">IFERROR(AVERAGEIF('Pemetaan Variant'!$A$5:$A$32,$B10,'Pemetaan Variant'!$W$5:$W$32),"n/a")</f>
        <v>18930</v>
      </c>
      <c r="AL10" s="7" t="n">
        <f aca="false">IFERROR(IF(ISNUMBER(AK10),(AK10-AVERAGEIF('Pemetaan Variant'!$A$5:$A$32,$B10,'Pemetaan Variant'!$F$5:$F$32))/AVERAGEIF('Pemetaan Variant'!$A$5:$A$32,$B10,'Pemetaan Variant'!$F$5:$F$32)*100,"n/a"),"n/a")</f>
        <v>13.1274900398406</v>
      </c>
      <c r="AM10" s="7" t="n">
        <f aca="false">IFERROR(IF(ISNUMBER(AL10),$C10*AL10,"n/a"),"n/a")</f>
        <v>0.593055668277605</v>
      </c>
      <c r="AN10" s="17" t="n">
        <f aca="false">IFERROR(AVERAGEIF('Pemetaan Variant'!$A$5:$A$32,$B10,'Pemetaan Variant'!$X$5:$X$32),"n/a")</f>
        <v>19016.6666666667</v>
      </c>
      <c r="AO10" s="7" t="n">
        <f aca="false">IFERROR(IF(ISNUMBER(AN10),(AN10-AVERAGEIF('Pemetaan Variant'!$A$5:$A$32,$B10,'Pemetaan Variant'!$F$5:$F$32))/AVERAGEIF('Pemetaan Variant'!$A$5:$A$32,$B10,'Pemetaan Variant'!$F$5:$F$32)*100,"n/a"),"n/a")</f>
        <v>13.6454183266932</v>
      </c>
      <c r="AP10" s="7" t="n">
        <f aca="false">IFERROR(IF(ISNUMBER(AO10),$C10*AO10,"n/a"),"n/a")</f>
        <v>0.616453919226343</v>
      </c>
      <c r="AQ10" s="17" t="n">
        <f aca="false">IFERROR(AVERAGEIF('Pemetaan Variant'!$A$5:$A$32,$B10,'Pemetaan Variant'!$Y$5:$Y$32),"n/a")</f>
        <v>19016.6666666667</v>
      </c>
      <c r="AR10" s="7" t="n">
        <f aca="false">IFERROR(IF(ISNUMBER(AQ10),(AQ10-AVERAGEIF('Pemetaan Variant'!$A$5:$A$32,$B10,'Pemetaan Variant'!$F$5:$F$32))/AVERAGEIF('Pemetaan Variant'!$A$5:$A$32,$B10,'Pemetaan Variant'!$F$5:$F$32)*100,"n/a"),"n/a")</f>
        <v>13.6454183266932</v>
      </c>
      <c r="AS10" s="7" t="n">
        <f aca="false">IFERROR(IF(ISNUMBER(AR10),$C10*AR10,"n/a"),"n/a")</f>
        <v>0.616453919226343</v>
      </c>
      <c r="AT10" s="17" t="n">
        <f aca="false">IFERROR(AVERAGEIF('Pemetaan Variant'!$A$5:$A$32,$B10,'Pemetaan Variant'!$Z$5:$Z$32),"n/a")</f>
        <v>19016.6666666667</v>
      </c>
      <c r="AU10" s="7" t="n">
        <f aca="false">IFERROR(IF(ISNUMBER(AT10),(AT10-AVERAGEIF('Pemetaan Variant'!$A$5:$A$32,$B10,'Pemetaan Variant'!$G$5:$G$32))/AVERAGEIF('Pemetaan Variant'!$A$5:$A$32,$B10,'Pemetaan Variant'!$G$5:$G$32)*100,"n/a"),"n/a")</f>
        <v>3.56721430516475</v>
      </c>
      <c r="AV10" s="7" t="n">
        <f aca="false">IFERROR(IF(ISNUMBER(AU10),$C10*AU10,"n/a"),"n/a")</f>
        <v>0.161154695773404</v>
      </c>
      <c r="AW10" s="17" t="n">
        <f aca="false">IFERROR(AVERAGEIF('Pemetaan Variant'!$A$5:$A$32,$B10,'Pemetaan Variant'!$AA$5:$AA$32),"n/a")</f>
        <v>19016.6666666667</v>
      </c>
      <c r="AX10" s="7" t="n">
        <f aca="false">IFERROR(IF(ISNUMBER(AW10),(AW10-AVERAGEIF('Pemetaan Variant'!$A$5:$A$32,$B10,'Pemetaan Variant'!$G$5:$G$32))/AVERAGEIF('Pemetaan Variant'!$A$5:$A$32,$B10,'Pemetaan Variant'!$G$5:$G$32)*100,"n/a"),"n/a")</f>
        <v>3.56721430516475</v>
      </c>
      <c r="AY10" s="7" t="n">
        <f aca="false">IFERROR(IF(ISNUMBER(AX10),$C10*AX10,"n/a"),"n/a")</f>
        <v>0.161154695773404</v>
      </c>
      <c r="AZ10" s="17" t="n">
        <f aca="false">IFERROR(AVERAGEIF('Pemetaan Variant'!$A$5:$A$32,$B10,'Pemetaan Variant'!$AB$5:$AB$32),"n/a")</f>
        <v>19016.6666666667</v>
      </c>
      <c r="BA10" s="7" t="n">
        <f aca="false">IFERROR(IF(ISNUMBER(AZ10),(AZ10-AVERAGEIF('Pemetaan Variant'!$A$5:$A$32,$B10,'Pemetaan Variant'!$G$5:$G$32))/AVERAGEIF('Pemetaan Variant'!$A$5:$A$32,$B10,'Pemetaan Variant'!$G$5:$G$32)*100,"n/a"),"n/a")</f>
        <v>3.56721430516475</v>
      </c>
      <c r="BB10" s="7" t="n">
        <f aca="false">IFERROR(IF(ISNUMBER(BA10),$C10*BA10,"n/a"),"n/a")</f>
        <v>0.161154695773404</v>
      </c>
      <c r="BC10" s="17" t="n">
        <f aca="false">IFERROR(AVERAGEIF('Pemetaan Variant'!$A$5:$A$32,$B10,'Pemetaan Variant'!$AC$5:$AC$32),"n/a")</f>
        <v>19016.6666666667</v>
      </c>
      <c r="BD10" s="7" t="n">
        <f aca="false">IFERROR(IF(ISNUMBER(BC10),(BC10-AVERAGEIF('Pemetaan Variant'!$A$5:$A$32,$B10,'Pemetaan Variant'!$G$5:$G$32))/AVERAGEIF('Pemetaan Variant'!$A$5:$A$32,$B10,'Pemetaan Variant'!$G$5:$G$32)*100,"n/a"),"n/a")</f>
        <v>3.56721430516475</v>
      </c>
      <c r="BE10" s="7" t="n">
        <f aca="false">IFERROR(IF(ISNUMBER(BD10),$C10*BD10,"n/a"),"n/a")</f>
        <v>0.161154695773404</v>
      </c>
      <c r="BF10" s="17" t="n">
        <f aca="false">IFERROR(AVERAGEIF('Pemetaan Variant'!$A$5:$A$32,$B10,'Pemetaan Variant'!$AD$5:$AD$32),"n/a")</f>
        <v>18979.1666666667</v>
      </c>
      <c r="BG10" s="7" t="n">
        <f aca="false">IFERROR(IF(ISNUMBER(BF10),(BF10-AVERAGEIF('Pemetaan Variant'!$A$5:$A$32,$B10,'Pemetaan Variant'!$G$5:$G$32))/AVERAGEIF('Pemetaan Variant'!$A$5:$A$32,$B10,'Pemetaan Variant'!$G$5:$G$32)*100,"n/a"),"n/a")</f>
        <v>3.36298447853318</v>
      </c>
      <c r="BH10" s="7" t="n">
        <f aca="false">IFERROR(IF(ISNUMBER(BG10),$C10*BG10,"n/a"),"n/a")</f>
        <v>0.151928281893247</v>
      </c>
      <c r="BI10" s="17" t="str">
        <f aca="false">IFERROR(AVERAGEIF('Pemetaan Variant'!$A$5:$A$32,$B10,'Pemetaan Variant'!$AE$5:$AE$32),"n/a")</f>
        <v>n/a</v>
      </c>
      <c r="BJ10" s="7" t="str">
        <f aca="false">IFERROR(IF(ISNUMBER(BI10),(BI10-AVERAGEIF('Pemetaan Variant'!$A$5:$A$32,$B10,'Pemetaan Variant'!$H$5:$H$32))/AVERAGEIF('Pemetaan Variant'!$A$5:$A$32,$B10,'Pemetaan Variant'!$H$5:$H$32)*100,"n/a"),"n/a")</f>
        <v>n/a</v>
      </c>
      <c r="BK10" s="7" t="str">
        <f aca="false">IFERROR(IF(ISNUMBER(BJ10),$C10*BJ10,"n/a"),"n/a")</f>
        <v>n/a</v>
      </c>
      <c r="BL10" s="17" t="n">
        <f aca="false">IFERROR(AVERAGEIF('Pemetaan Variant'!$A$5:$A$32,$B10,'Pemetaan Variant'!$AF$5:$AF$32),"n/a")</f>
        <v>19200</v>
      </c>
      <c r="BM10" s="7" t="n">
        <f aca="false">IFERROR(IF(ISNUMBER(BL10),(BL10-AVERAGEIF('Pemetaan Variant'!$A$5:$A$32,$B10,'Pemetaan Variant'!$H$5:$H$32))/AVERAGEIF('Pemetaan Variant'!$A$5:$A$32,$B10,'Pemetaan Variant'!$H$5:$H$32)*100,"n/a"),"n/a")</f>
        <v>1.00200400801603</v>
      </c>
      <c r="BN10" s="7" t="n">
        <f aca="false">IFERROR(IF(ISNUMBER(BM10),$C10*BM10,"n/a"),"n/a")</f>
        <v>0.0452671573002391</v>
      </c>
      <c r="BO10" s="17" t="n">
        <f aca="false">IFERROR(AVERAGEIF('Pemetaan Variant'!$A$5:$A$32,$B10,'Pemetaan Variant'!$AG$5:$AG$32),"n/a")</f>
        <v>19200</v>
      </c>
      <c r="BP10" s="7" t="n">
        <f aca="false">IFERROR(IF(ISNUMBER(BO10),(BO10-AVERAGEIF('Pemetaan Variant'!$A$5:$A$32,$B10,'Pemetaan Variant'!$H$5:$H$32))/AVERAGEIF('Pemetaan Variant'!$A$5:$A$32,$B10,'Pemetaan Variant'!$H$5:$H$32)*100,"n/a"),"n/a")</f>
        <v>1.00200400801603</v>
      </c>
      <c r="BQ10" s="7" t="n">
        <f aca="false">IFERROR(IF(ISNUMBER(BP10),$C10*BP10,"n/a"),"n/a")</f>
        <v>0.0452671573002391</v>
      </c>
      <c r="BR10" s="17" t="n">
        <f aca="false">IFERROR(AVERAGEIF('Pemetaan Variant'!$A$5:$A$32,$B10,'Pemetaan Variant'!$AH$5:$AH$32),"n/a")</f>
        <v>18983.3333333333</v>
      </c>
      <c r="BS10" s="7" t="n">
        <f aca="false">IFERROR(IF(ISNUMBER(BR10),(BR10-AVERAGEIF('Pemetaan Variant'!$A$5:$A$32,$B10,'Pemetaan Variant'!$H$5:$H$32))/AVERAGEIF('Pemetaan Variant'!$A$5:$A$32,$B10,'Pemetaan Variant'!$H$5:$H$32)*100,"n/a"),"n/a")</f>
        <v>-0.137775551102209</v>
      </c>
      <c r="BT10" s="7" t="n">
        <f aca="false">IFERROR(IF(ISNUMBER(BS10),$C10*BS10,"n/a"),"n/a")</f>
        <v>-0.00622423412878307</v>
      </c>
      <c r="BU10" s="17" t="n">
        <f aca="false">IFERROR(AVERAGEIF('Pemetaan Variant'!$A$5:$A$32,$B10,'Pemetaan Variant'!$AI$5:$AI$32),"n/a")</f>
        <v>18983.3333333333</v>
      </c>
      <c r="BV10" s="7" t="n">
        <f aca="false">IFERROR(IF(ISNUMBER(BU10),(BU10-AVERAGEIF('Pemetaan Variant'!$A$5:$A$32,$B10,'Pemetaan Variant'!$H$5:$H$32))/AVERAGEIF('Pemetaan Variant'!$A$5:$A$32,$B10,'Pemetaan Variant'!$H$5:$H$32)*100,"n/a"),"n/a")</f>
        <v>-0.137775551102209</v>
      </c>
      <c r="BW10" s="7" t="n">
        <f aca="false">IFERROR(IF(ISNUMBER(BV10),$C10*BV10,"n/a"),"n/a")</f>
        <v>-0.00622423412878307</v>
      </c>
      <c r="BX10" s="17" t="n">
        <f aca="false">IFERROR(AVERAGEIF('Pemetaan Variant'!$A$5:$A$32,$B10,'Pemetaan Variant'!$AJ$5:$AJ$32),"n/a")</f>
        <v>18983.3333333333</v>
      </c>
      <c r="BY10" s="7" t="n">
        <f aca="false">IFERROR(IF(ISNUMBER(BX10),(BX10-AVERAGEIF('Pemetaan Variant'!$A$5:$A$32,$B10,'Pemetaan Variant'!$I$5:$I$32))/AVERAGEIF('Pemetaan Variant'!$A$5:$A$32,$B10,'Pemetaan Variant'!$I$5:$I$32)*100,"n/a"),"n/a")</f>
        <v>-0.567437800087311</v>
      </c>
      <c r="BZ10" s="7" t="n">
        <f aca="false">IFERROR(IF(ISNUMBER(BY10),$C10*BY10,"n/a"),"n/a")</f>
        <v>-0.0256349235623446</v>
      </c>
      <c r="CA10" s="17" t="n">
        <f aca="false">IFERROR(AVERAGEIF('Pemetaan Variant'!$A$5:$A$32,$B10,'Pemetaan Variant'!$AK$5:$AK$32),"n/a")</f>
        <v>18983.3333333333</v>
      </c>
      <c r="CB10" s="7" t="n">
        <f aca="false">IFERROR(IF(ISNUMBER(CA10),(CA10-AVERAGEIF('Pemetaan Variant'!$A$5:$A$32,$B10,'Pemetaan Variant'!$I$5:$I$32))/AVERAGEIF('Pemetaan Variant'!$A$5:$A$32,$B10,'Pemetaan Variant'!$I$5:$I$32)*100,"n/a"),"n/a")</f>
        <v>-0.567437800087311</v>
      </c>
      <c r="CC10" s="7" t="n">
        <f aca="false">IFERROR(IF(ISNUMBER(CB10),$C10*CB10,"n/a"),"n/a")</f>
        <v>-0.0256349235623446</v>
      </c>
      <c r="CD10" s="17" t="n">
        <f aca="false">IFERROR(AVERAGEIF('Pemetaan Variant'!$A$5:$A$32,$B10,'Pemetaan Variant'!$AL$5:$AL$32),"n/a")</f>
        <v>18983.3333333333</v>
      </c>
      <c r="CE10" s="7" t="n">
        <f aca="false">IFERROR(IF(ISNUMBER(CD10),(CD10-AVERAGEIF('Pemetaan Variant'!$A$5:$A$32,$B10,'Pemetaan Variant'!$I$5:$I$32))/AVERAGEIF('Pemetaan Variant'!$A$5:$A$32,$B10,'Pemetaan Variant'!$I$5:$I$32)*100,"n/a"),"n/a")</f>
        <v>-0.567437800087311</v>
      </c>
      <c r="CF10" s="7" t="n">
        <f aca="false">IFERROR(IF(ISNUMBER(CE10),$C10*CE10,"n/a"),"n/a")</f>
        <v>-0.0256349235623446</v>
      </c>
      <c r="CG10" s="17" t="n">
        <f aca="false">IFERROR(AVERAGEIF('Pemetaan Variant'!$A$5:$A$32,$B10,'Pemetaan Variant'!$AM$5:$AM$32),"n/a")</f>
        <v>18983.3333333333</v>
      </c>
      <c r="CH10" s="7" t="n">
        <f aca="false">IFERROR(IF(ISNUMBER(CG10),(CG10-AVERAGEIF('Pemetaan Variant'!$A$5:$A$32,$B10,'Pemetaan Variant'!$I$5:$I$32))/AVERAGEIF('Pemetaan Variant'!$A$5:$A$32,$B10,'Pemetaan Variant'!$I$5:$I$32)*100,"n/a"),"n/a")</f>
        <v>-0.567437800087311</v>
      </c>
      <c r="CI10" s="7" t="n">
        <f aca="false">IFERROR(IF(ISNUMBER(CH10),$C10*CH10,"n/a"),"n/a")</f>
        <v>-0.0256349235623446</v>
      </c>
      <c r="CJ10" s="17" t="n">
        <f aca="false">IFERROR(AVERAGEIF('Pemetaan Variant'!$A$5:$A$32,$B10,'Pemetaan Variant'!$AN$5:$AN$32),"n/a")</f>
        <v>18983.3333333333</v>
      </c>
      <c r="CK10" s="7" t="n">
        <f aca="false">IFERROR(IF(ISNUMBER(CJ10),(CJ10-AVERAGEIF('Pemetaan Variant'!$A$5:$A$32,$B10,'Pemetaan Variant'!$I$5:$I$32))/AVERAGEIF('Pemetaan Variant'!$A$5:$A$32,$B10,'Pemetaan Variant'!$I$5:$I$32)*100,"n/a"),"n/a")</f>
        <v>-0.567437800087311</v>
      </c>
      <c r="CL10" s="7" t="n">
        <f aca="false">IFERROR(IF(ISNUMBER(CK10),$C10*CK10,"n/a"),"n/a")</f>
        <v>-0.0256349235623446</v>
      </c>
      <c r="CM10" s="17" t="n">
        <f aca="false">IFERROR(AVERAGEIF('Pemetaan Variant'!$A$5:$A$32,$B10,'Pemetaan Variant'!$AO$5:$AO$32),"n/a")</f>
        <v>18983.3333333333</v>
      </c>
      <c r="CN10" s="7" t="n">
        <f aca="false">IFERROR(IF(ISNUMBER(CM10),(CM10-AVERAGEIF('Pemetaan Variant'!$A$5:$A$32,$B10,'Pemetaan Variant'!$J$5:$J$32))/AVERAGEIF('Pemetaan Variant'!$A$5:$A$32,$B10,'Pemetaan Variant'!$J$5:$J$32)*100,"n/a"),"n/a")</f>
        <v>0</v>
      </c>
      <c r="CO10" s="7" t="n">
        <f aca="false">IFERROR(IF(ISNUMBER(CN10),$C10*CN10,"n/a"),"n/a")</f>
        <v>0</v>
      </c>
      <c r="CP10" s="17" t="n">
        <f aca="false">IFERROR(AVERAGEIF('Pemetaan Variant'!$A$5:$A$32,$B10,'Pemetaan Variant'!$AP$5:$AP$32),"n/a")</f>
        <v>18983.3333333333</v>
      </c>
      <c r="CQ10" s="7" t="n">
        <f aca="false">IFERROR(IF(ISNUMBER(CP10),(CP10-AVERAGEIF('Pemetaan Variant'!$A$5:$A$32,$B10,'Pemetaan Variant'!$J$5:$J$32))/AVERAGEIF('Pemetaan Variant'!$A$5:$A$32,$B10,'Pemetaan Variant'!$J$5:$J$32)*100,"n/a"),"n/a")</f>
        <v>0</v>
      </c>
      <c r="CR10" s="7" t="n">
        <f aca="false">IFERROR(IF(ISNUMBER(CQ10),$C10*CQ10,"n/a"),"n/a")</f>
        <v>0</v>
      </c>
      <c r="CS10" s="17" t="n">
        <f aca="false">IFERROR(AVERAGEIF('Pemetaan Variant'!$A$5:$A$32,$B10,'Pemetaan Variant'!$AQ$5:$AQ$32),"n/a")</f>
        <v>18983.3333333333</v>
      </c>
      <c r="CT10" s="7" t="n">
        <f aca="false">IFERROR(IF(ISNUMBER(CS10),(CS10-AVERAGEIF('Pemetaan Variant'!$A$5:$A$32,$B10,'Pemetaan Variant'!$J$5:$J$32))/AVERAGEIF('Pemetaan Variant'!$A$5:$A$32,$B10,'Pemetaan Variant'!$J$5:$J$32)*100,"n/a"),"n/a")</f>
        <v>0</v>
      </c>
      <c r="CU10" s="7" t="n">
        <f aca="false">IFERROR(IF(ISNUMBER(CT10),$C10*CT10,"n/a"),"n/a")</f>
        <v>0</v>
      </c>
      <c r="CV10" s="17" t="n">
        <f aca="false">IFERROR(AVERAGEIF('Pemetaan Variant'!$A$5:$A$32,$B10,'Pemetaan Variant'!$AR$5:$AR$32),"n/a")</f>
        <v>18983.3333333333</v>
      </c>
      <c r="CW10" s="7" t="n">
        <f aca="false">IFERROR(IF(ISNUMBER(CV10),(CV10-AVERAGEIF('Pemetaan Variant'!$A$5:$A$32,$B10,'Pemetaan Variant'!$J$5:$J$32))/AVERAGEIF('Pemetaan Variant'!$A$5:$A$32,$B10,'Pemetaan Variant'!$J$5:$J$32)*100,"n/a"),"n/a")</f>
        <v>0</v>
      </c>
      <c r="CX10" s="7" t="n">
        <f aca="false">IFERROR(IF(ISNUMBER(CW10),$C10*CW10,"n/a"),"n/a")</f>
        <v>0</v>
      </c>
      <c r="CY10" s="17" t="n">
        <f aca="false">IFERROR(AVERAGEIF('Pemetaan Variant'!$A$5:$A$32,$B10,'Pemetaan Variant'!$AS$5:$AS$32),"n/a")</f>
        <v>18983.3333333333</v>
      </c>
      <c r="CZ10" s="7" t="n">
        <f aca="false">IFERROR(IF(ISNUMBER(CY10),(CY10-AVERAGEIF('Pemetaan Variant'!$A$5:$A$32,$B10,'Pemetaan Variant'!$J$5:$J$32))/AVERAGEIF('Pemetaan Variant'!$A$5:$A$32,$B10,'Pemetaan Variant'!$J$5:$J$32)*100,"n/a"),"n/a")</f>
        <v>0</v>
      </c>
      <c r="DA10" s="7" t="n">
        <f aca="false">IFERROR(IF(ISNUMBER(CZ10),$C10*CZ10,"n/a"),"n/a")</f>
        <v>0</v>
      </c>
      <c r="DB10" s="17" t="n">
        <f aca="false">IFERROR(AVERAGEIF('Pemetaan Variant'!$A$5:$A$32,$B10,'Pemetaan Variant'!$AT$5:$AT$32),"n/a")</f>
        <v>18983.3333333333</v>
      </c>
      <c r="DC10" s="7" t="n">
        <f aca="false">IFERROR(IF(ISNUMBER(DB10),(DB10-AVERAGEIF('Pemetaan Variant'!$A$5:$A$32,$B10,'Pemetaan Variant'!$K$5:$K$32))/AVERAGEIF('Pemetaan Variant'!$A$5:$A$32,$B10,'Pemetaan Variant'!$K$5:$K$32)*100,"n/a"),"n/a")</f>
        <v>0</v>
      </c>
      <c r="DD10" s="7" t="n">
        <f aca="false">IFERROR(IF(ISNUMBER(DC10),$C10*DC10,"n/a"),"n/a")</f>
        <v>0</v>
      </c>
      <c r="DE10" s="17" t="n">
        <f aca="false">IFERROR(AVERAGEIF('Pemetaan Variant'!$A$5:$A$32,$B10,'Pemetaan Variant'!$AU$5:$AU$32),"n/a")</f>
        <v>18983.3333333333</v>
      </c>
      <c r="DF10" s="7" t="n">
        <f aca="false">IFERROR(IF(ISNUMBER(DE10),(DE10-AVERAGEIF('Pemetaan Variant'!$A$5:$A$32,$B10,'Pemetaan Variant'!$K$5:$K$32))/AVERAGEIF('Pemetaan Variant'!$A$5:$A$32,$B10,'Pemetaan Variant'!$K$5:$K$32)*100,"n/a"),"n/a")</f>
        <v>0</v>
      </c>
      <c r="DG10" s="7" t="n">
        <f aca="false">IFERROR(IF(ISNUMBER(DF10),$C10*DF10,"n/a"),"n/a")</f>
        <v>0</v>
      </c>
      <c r="DH10" s="17" t="n">
        <f aca="false">IFERROR(AVERAGEIF('Pemetaan Variant'!$A$5:$A$32,$B10,'Pemetaan Variant'!$AV$5:$AV$32),"n/a")</f>
        <v>18983.3333333333</v>
      </c>
      <c r="DI10" s="7" t="n">
        <f aca="false">IFERROR(IF(ISNUMBER(DH10),(DH10-AVERAGEIF('Pemetaan Variant'!$A$5:$A$32,$B10,'Pemetaan Variant'!$K$5:$K$32))/AVERAGEIF('Pemetaan Variant'!$A$5:$A$32,$B10,'Pemetaan Variant'!$K$5:$K$32)*100,"n/a"),"n/a")</f>
        <v>0</v>
      </c>
      <c r="DJ10" s="7" t="n">
        <f aca="false">IFERROR(IF(ISNUMBER(DI10),$C10*DI10,"n/a"),"n/a")</f>
        <v>0</v>
      </c>
      <c r="DK10" s="17" t="n">
        <f aca="false">IFERROR(AVERAGEIF('Pemetaan Variant'!$A$5:$A$32,$B10,'Pemetaan Variant'!$AW$5:$AW$32),"n/a")</f>
        <v>18983.3333333333</v>
      </c>
      <c r="DL10" s="7" t="n">
        <f aca="false">IFERROR(IF(ISNUMBER(DK10),(DK10-AVERAGEIF('Pemetaan Variant'!$A$5:$A$32,$B10,'Pemetaan Variant'!$K$5:$K$32))/AVERAGEIF('Pemetaan Variant'!$A$5:$A$32,$B10,'Pemetaan Variant'!$K$5:$K$32)*100,"n/a"),"n/a")</f>
        <v>0</v>
      </c>
      <c r="DM10" s="7" t="n">
        <f aca="false">IFERROR(IF(ISNUMBER(DL10),$C10*DL10,"n/a"),"n/a")</f>
        <v>0</v>
      </c>
      <c r="DN10" s="17" t="str">
        <f aca="false">IFERROR(AVERAGEIF('Pemetaan Variant'!$A$5:$A$32,$B10,'Pemetaan Variant'!$AX$5:$AX$32),"n/a")</f>
        <v>n/a</v>
      </c>
      <c r="DO10" s="7" t="str">
        <f aca="false">IFERROR(IF(ISNUMBER(DN10),(DN10-AVERAGEIF('Pemetaan Variant'!$A$5:$A$32,$B10,'Pemetaan Variant'!$K$5:$K$32))/AVERAGEIF('Pemetaan Variant'!$A$5:$A$32,$B10,'Pemetaan Variant'!$K$5:$K$32)*100,"n/a"),"n/a")</f>
        <v>n/a</v>
      </c>
      <c r="DP10" s="7" t="str">
        <f aca="false">IFERROR(IF(ISNUMBER(DO10),$C10*DO10,"n/a"),"n/a")</f>
        <v>n/a</v>
      </c>
      <c r="DQ10" s="18" t="n">
        <f aca="false">IFERROR(AVERAGEIF('Pemetaan Variant'!$A$5:$A$32,$B10,'Pemetaan Variant'!$AZ$5:$AZ$32),"n/a")</f>
        <v>18983.3333333333</v>
      </c>
      <c r="DR10" s="11" t="n">
        <f aca="false">IFERROR(IF(ISNUMBER(DQ10),(DQ10-AVERAGEIF('Pemetaan Variant'!$A$5:$A$32,$B10,'Pemetaan Variant'!$AY$5:$AY$32))/AVERAGEIF('Pemetaan Variant'!$A$5:$A$32,$B10,'Pemetaan Variant'!$AY$5:$AY$32)*100,"n/a"),"n/a")</f>
        <v>0</v>
      </c>
      <c r="DS10" s="11" t="n">
        <f aca="false">IFERROR(IF(ISNUMBER(DR10),$C10*DR10,"n/a"),"n/a")</f>
        <v>0</v>
      </c>
      <c r="DT10" s="18" t="str">
        <f aca="false">IFERROR(AVERAGEIF('Pemetaan Variant'!$A$5:$A$32,$B10,'Pemetaan Variant'!$BA$5:$BA$32),"n/a")</f>
        <v>n/a</v>
      </c>
      <c r="DU10" s="11" t="str">
        <f aca="false">IFERROR(IF(ISNUMBER(DT10),(DT10-AVERAGEIF('Pemetaan Variant'!$A$5:$A$32,$B10,'Pemetaan Variant'!$AY$5:$AY$32))/AVERAGEIF('Pemetaan Variant'!$A$5:$A$32,$B10,'Pemetaan Variant'!$AY$5:$AY$32)*100,"n/a"),"n/a")</f>
        <v>n/a</v>
      </c>
      <c r="DV10" s="11" t="str">
        <f aca="false">IFERROR(IF(ISNUMBER(DU10),$C10*DU10,"n/a"),"n/a")</f>
        <v>n/a</v>
      </c>
      <c r="DW10" s="18" t="str">
        <f aca="false">IFERROR(AVERAGEIF('Pemetaan Variant'!$A$5:$A$32,$B10,'Pemetaan Variant'!$BB$5:$BB$32),"n/a")</f>
        <v>n/a</v>
      </c>
      <c r="DX10" s="11" t="str">
        <f aca="false">IFERROR(IF(ISNUMBER(DW10),(DW10-AVERAGEIF('Pemetaan Variant'!$A$5:$A$32,$B10,'Pemetaan Variant'!$AY$5:$AY$32))/AVERAGEIF('Pemetaan Variant'!$A$5:$A$32,$B10,'Pemetaan Variant'!$AY$5:$AY$32)*100,"n/a"),"n/a")</f>
        <v>n/a</v>
      </c>
      <c r="DY10" s="11" t="str">
        <f aca="false">IFERROR(IF(ISNUMBER(DX10),$C10*DX10,"n/a"),"n/a")</f>
        <v>n/a</v>
      </c>
      <c r="DZ10" s="18" t="str">
        <f aca="false">IFERROR(AVERAGEIF('Pemetaan Variant'!$A$5:$A$32,$B10,'Pemetaan Variant'!$BC$5:$BC$32),"n/a")</f>
        <v>n/a</v>
      </c>
      <c r="EA10" s="11" t="str">
        <f aca="false">IFERROR(IF(ISNUMBER(DZ10),(DZ10-AVERAGEIF('Pemetaan Variant'!$A$5:$A$32,$B10,'Pemetaan Variant'!$AY$5:$AY$32))/AVERAGEIF('Pemetaan Variant'!$A$5:$A$32,$B10,'Pemetaan Variant'!$AY$5:$AY$32)*100,"n/a"),"n/a")</f>
        <v>n/a</v>
      </c>
      <c r="EB10" s="11" t="str">
        <f aca="false">IFERROR(IF(ISNUMBER(EA10),$C10*EA10,"n/a"),"n/a")</f>
        <v>n/a</v>
      </c>
      <c r="EC10" s="18" t="str">
        <f aca="false">IFERROR(AVERAGEIF('Pemetaan Variant'!$A$5:$A$32,$B10,'Pemetaan Variant'!$BD$5:$BD$32),"n/a")</f>
        <v>n/a</v>
      </c>
      <c r="ED10" s="11" t="str">
        <f aca="false">IFERROR(IF(ISNUMBER(EC10),(EC10-AVERAGEIF('Pemetaan Variant'!$A$5:$A$32,$B10,'Pemetaan Variant'!$AY$5:$AY$32))/AVERAGEIF('Pemetaan Variant'!$A$5:$A$32,$B10,'Pemetaan Variant'!$AY$5:$AY$32)*100,"n/a"),"n/a")</f>
        <v>n/a</v>
      </c>
      <c r="EE10" s="11" t="str">
        <f aca="false">IFERROR(IF(ISNUMBER(ED10),$C10*ED10,"n/a"),"n/a")</f>
        <v>n/a</v>
      </c>
      <c r="EG10" s="11" t="n">
        <f aca="false">IFERROR(ABS(F10),0)</f>
        <v>0</v>
      </c>
      <c r="EH10" s="11" t="n">
        <f aca="false">IFERROR(ABS(I10),0)</f>
        <v>0</v>
      </c>
      <c r="EI10" s="11" t="n">
        <f aca="false">IFERROR(ABS(L10),0)</f>
        <v>0</v>
      </c>
      <c r="EJ10" s="11" t="n">
        <f aca="false">IFERROR(ABS(O10),0)</f>
        <v>0</v>
      </c>
      <c r="EK10" s="11" t="n">
        <f aca="false">IFERROR(ABS(R10),0)</f>
        <v>0</v>
      </c>
      <c r="EL10" s="11" t="n">
        <f aca="false">IFERROR(ABS(U10),0)</f>
        <v>0.0834886256408099</v>
      </c>
      <c r="EM10" s="11" t="n">
        <f aca="false">IFERROR(ABS(X10),0)</f>
        <v>0</v>
      </c>
      <c r="EN10" s="11" t="n">
        <f aca="false">IFERROR(ABS(AA10),0)</f>
        <v>0.278295418802701</v>
      </c>
      <c r="EO10" s="11" t="n">
        <f aca="false">IFERROR(ABS(AD10),0)</f>
        <v>0.250465876922431</v>
      </c>
      <c r="EP10" s="11" t="n">
        <f aca="false">IFERROR(ABS(AG10),0)</f>
        <v>0.269979818639274</v>
      </c>
      <c r="EQ10" s="11" t="n">
        <f aca="false">IFERROR(ABS(AJ10),0)</f>
        <v>0.27897914592725</v>
      </c>
      <c r="ER10" s="11" t="n">
        <f aca="false">IFERROR(ABS(AM10),0)</f>
        <v>0.593055668277605</v>
      </c>
      <c r="ES10" s="11" t="n">
        <f aca="false">IFERROR(ABS(AP10),0)</f>
        <v>0.616453919226343</v>
      </c>
      <c r="ET10" s="11" t="n">
        <f aca="false">IFERROR(ABS(AS10),0)</f>
        <v>0.616453919226343</v>
      </c>
      <c r="EU10" s="11" t="n">
        <f aca="false">IFERROR(ABS(AV10),0)</f>
        <v>0.161154695773404</v>
      </c>
      <c r="EV10" s="11" t="n">
        <f aca="false">IFERROR(ABS(AY10),0)</f>
        <v>0.161154695773404</v>
      </c>
      <c r="EW10" s="11" t="n">
        <f aca="false">IFERROR(ABS(BB10),0)</f>
        <v>0.161154695773404</v>
      </c>
      <c r="EX10" s="11" t="n">
        <f aca="false">IFERROR(ABS(BE10),0)</f>
        <v>0.161154695773404</v>
      </c>
      <c r="EY10" s="11" t="n">
        <f aca="false">IFERROR(ABS(BH10),0)</f>
        <v>0.151928281893247</v>
      </c>
      <c r="EZ10" s="11" t="n">
        <f aca="false">IFERROR(ABS(BK10),0)</f>
        <v>0</v>
      </c>
      <c r="FA10" s="11" t="n">
        <f aca="false">IFERROR(ABS(BN10),0)</f>
        <v>0.0452671573002391</v>
      </c>
      <c r="FB10" s="11" t="n">
        <f aca="false">IFERROR(ABS(BQ10),0)</f>
        <v>0.0452671573002391</v>
      </c>
      <c r="FC10" s="11" t="n">
        <f aca="false">IFERROR(ABS(BT10),0)</f>
        <v>0.00622423412878307</v>
      </c>
      <c r="FD10" s="11" t="n">
        <f aca="false">IFERROR(ABS(BW10),0)</f>
        <v>0.00622423412878307</v>
      </c>
      <c r="FE10" s="11" t="n">
        <f aca="false">IFERROR(ABS(BZ10),0)</f>
        <v>0.0256349235623446</v>
      </c>
      <c r="FF10" s="11" t="n">
        <f aca="false">IFERROR(ABS(CC10),0)</f>
        <v>0.0256349235623446</v>
      </c>
      <c r="FG10" s="11" t="n">
        <f aca="false">IFERROR(ABS(CF10),0)</f>
        <v>0.0256349235623446</v>
      </c>
      <c r="FH10" s="11" t="n">
        <f aca="false">IFERROR(ABS(CI10),0)</f>
        <v>0.0256349235623446</v>
      </c>
      <c r="FI10" s="11" t="n">
        <f aca="false">IFERROR(ABS(CL10),0)</f>
        <v>0.0256349235623446</v>
      </c>
      <c r="FJ10" s="11" t="n">
        <f aca="false">IFERROR(ABS(CO10),0)</f>
        <v>0</v>
      </c>
      <c r="FK10" s="11" t="n">
        <f aca="false">IFERROR(ABS(CR10),0)</f>
        <v>0</v>
      </c>
      <c r="FL10" s="11" t="n">
        <f aca="false">IFERROR(ABS(CU10),0)</f>
        <v>0</v>
      </c>
      <c r="FM10" s="11" t="n">
        <f aca="false">IFERROR(ABS(CX10),0)</f>
        <v>0</v>
      </c>
      <c r="FN10" s="11" t="n">
        <f aca="false">IFERROR(ABS(DA10),0)</f>
        <v>0</v>
      </c>
      <c r="FO10" s="11" t="n">
        <f aca="false">IFERROR(ABS(DD10),0)</f>
        <v>0</v>
      </c>
      <c r="FP10" s="11" t="n">
        <f aca="false">IFERROR(ABS(DG10),0)</f>
        <v>0</v>
      </c>
      <c r="FQ10" s="11" t="n">
        <f aca="false">IFERROR(ABS(DJ10),0)</f>
        <v>0</v>
      </c>
      <c r="FR10" s="11" t="n">
        <f aca="false">IFERROR(ABS(DM10),0)</f>
        <v>0</v>
      </c>
      <c r="FS10" s="11" t="n">
        <f aca="false">IFERROR(ABS(DP10),0)</f>
        <v>0</v>
      </c>
      <c r="FT10" s="11" t="n">
        <f aca="false">IFERROR(ABS(DS10),0)</f>
        <v>0</v>
      </c>
      <c r="FU10" s="11" t="n">
        <f aca="false">IFERROR(ABS(DV10),0)</f>
        <v>0</v>
      </c>
      <c r="FV10" s="11" t="n">
        <f aca="false">IFERROR(ABS(DY10),0)</f>
        <v>0</v>
      </c>
      <c r="FW10" s="11" t="n">
        <f aca="false">IFERROR(ABS(EB10),0)</f>
        <v>0</v>
      </c>
      <c r="FX10" s="11" t="n">
        <f aca="false">IFERROR(ABS(EE10),0)</f>
        <v>0</v>
      </c>
    </row>
    <row r="11" customFormat="false" ht="12.75" hidden="false" customHeight="true" outlineLevel="0" collapsed="false">
      <c r="A11" s="5" t="n">
        <v>6</v>
      </c>
      <c r="B11" s="6" t="s">
        <v>195</v>
      </c>
      <c r="C11" s="7" t="n">
        <f aca="false">'P0Q0 Dasar 2022'!F10</f>
        <v>0.0370107543210236</v>
      </c>
      <c r="D11" s="17" t="n">
        <f aca="false">IFERROR(AVERAGEIF('Pemetaan Variant'!$A$5:$A$32,$B11,'Pemetaan Variant'!$L$5:$L$32),"n/a")</f>
        <v>60000</v>
      </c>
      <c r="E11" s="7" t="n">
        <f aca="false">IFERROR(IF(ISNUMBER(D11),(D11-AVERAGEIF('Pemetaan Variant'!$A$5:$A$32,$B11,'Pemetaan Variant'!$D$5:$D$32))/AVERAGEIF('Pemetaan Variant'!$A$5:$A$32,$B11,'Pemetaan Variant'!$D$5:$D$32)*100,"n/a"),"n/a")</f>
        <v>0</v>
      </c>
      <c r="F11" s="7" t="n">
        <f aca="false">IFERROR(IF(ISNUMBER(E11),$C11*E11,"n/a"),"n/a")</f>
        <v>0</v>
      </c>
      <c r="G11" s="17" t="n">
        <f aca="false">IFERROR(AVERAGEIF('Pemetaan Variant'!$A$5:$A$32,$B11,'Pemetaan Variant'!$M$5:$M$32),"n/a")</f>
        <v>60000</v>
      </c>
      <c r="H11" s="7" t="n">
        <f aca="false">IFERROR(IF(ISNUMBER(G11),(G11-AVERAGEIF('Pemetaan Variant'!$A$5:$A$32,$B11,'Pemetaan Variant'!$D$5:$D$32))/AVERAGEIF('Pemetaan Variant'!$A$5:$A$32,$B11,'Pemetaan Variant'!$D$5:$D$32)*100,"n/a"),"n/a")</f>
        <v>0</v>
      </c>
      <c r="I11" s="7" t="n">
        <f aca="false">IFERROR(IF(ISNUMBER(H11),$C11*H11,"n/a"),"n/a")</f>
        <v>0</v>
      </c>
      <c r="J11" s="17" t="n">
        <f aca="false">IFERROR(AVERAGEIF('Pemetaan Variant'!$A$5:$A$32,$B11,'Pemetaan Variant'!$N$5:$N$32),"n/a")</f>
        <v>60000</v>
      </c>
      <c r="K11" s="7" t="n">
        <f aca="false">IFERROR(IF(ISNUMBER(J11),(J11-AVERAGEIF('Pemetaan Variant'!$A$5:$A$32,$B11,'Pemetaan Variant'!$D$5:$D$32))/AVERAGEIF('Pemetaan Variant'!$A$5:$A$32,$B11,'Pemetaan Variant'!$D$5:$D$32)*100,"n/a"),"n/a")</f>
        <v>0</v>
      </c>
      <c r="L11" s="7" t="n">
        <f aca="false">IFERROR(IF(ISNUMBER(K11),$C11*K11,"n/a"),"n/a")</f>
        <v>0</v>
      </c>
      <c r="M11" s="17" t="n">
        <f aca="false">IFERROR(AVERAGEIF('Pemetaan Variant'!$A$5:$A$32,$B11,'Pemetaan Variant'!$O$5:$O$32),"n/a")</f>
        <v>66000</v>
      </c>
      <c r="N11" s="7" t="n">
        <f aca="false">IFERROR(IF(ISNUMBER(M11),(M11-AVERAGEIF('Pemetaan Variant'!$A$5:$A$32,$B11,'Pemetaan Variant'!$D$5:$D$32))/AVERAGEIF('Pemetaan Variant'!$A$5:$A$32,$B11,'Pemetaan Variant'!$D$5:$D$32)*100,"n/a"),"n/a")</f>
        <v>10</v>
      </c>
      <c r="O11" s="7" t="n">
        <f aca="false">IFERROR(IF(ISNUMBER(N11),$C11*N11,"n/a"),"n/a")</f>
        <v>0.370107543210236</v>
      </c>
      <c r="P11" s="17" t="n">
        <f aca="false">IFERROR(AVERAGEIF('Pemetaan Variant'!$A$5:$A$32,$B11,'Pemetaan Variant'!$P$5:$P$32),"n/a")</f>
        <v>70000</v>
      </c>
      <c r="Q11" s="7" t="n">
        <f aca="false">IFERROR(IF(ISNUMBER(P11),(P11-AVERAGEIF('Pemetaan Variant'!$A$5:$A$32,$B11,'Pemetaan Variant'!$D$5:$D$32))/AVERAGEIF('Pemetaan Variant'!$A$5:$A$32,$B11,'Pemetaan Variant'!$D$5:$D$32)*100,"n/a"),"n/a")</f>
        <v>16.6666666666667</v>
      </c>
      <c r="R11" s="7" t="n">
        <f aca="false">IFERROR(IF(ISNUMBER(Q11),$C11*Q11,"n/a"),"n/a")</f>
        <v>0.616845905350393</v>
      </c>
      <c r="S11" s="17" t="n">
        <f aca="false">IFERROR(AVERAGEIF('Pemetaan Variant'!$A$5:$A$32,$B11,'Pemetaan Variant'!$Q$5:$Q$32),"n/a")</f>
        <v>70000</v>
      </c>
      <c r="T11" s="7" t="n">
        <f aca="false">IFERROR(IF(ISNUMBER(S11),(S11-AVERAGEIF('Pemetaan Variant'!$A$5:$A$32,$B11,'Pemetaan Variant'!$E$5:$E$32))/AVERAGEIF('Pemetaan Variant'!$A$5:$A$32,$B11,'Pemetaan Variant'!$E$5:$E$32)*100,"n/a"),"n/a")</f>
        <v>9.375</v>
      </c>
      <c r="U11" s="7" t="n">
        <f aca="false">IFERROR(IF(ISNUMBER(T11),$C11*T11,"n/a"),"n/a")</f>
        <v>0.346975821759596</v>
      </c>
      <c r="V11" s="17" t="n">
        <f aca="false">IFERROR(AVERAGEIF('Pemetaan Variant'!$A$5:$A$32,$B11,'Pemetaan Variant'!$R$5:$R$32),"n/a")</f>
        <v>70000</v>
      </c>
      <c r="W11" s="7" t="n">
        <f aca="false">IFERROR(IF(ISNUMBER(V11),(V11-AVERAGEIF('Pemetaan Variant'!$A$5:$A$32,$B11,'Pemetaan Variant'!$E$5:$E$32))/AVERAGEIF('Pemetaan Variant'!$A$5:$A$32,$B11,'Pemetaan Variant'!$E$5:$E$32)*100,"n/a"),"n/a")</f>
        <v>9.375</v>
      </c>
      <c r="X11" s="7" t="n">
        <f aca="false">IFERROR(IF(ISNUMBER(W11),$C11*W11,"n/a"),"n/a")</f>
        <v>0.346975821759596</v>
      </c>
      <c r="Y11" s="17" t="n">
        <f aca="false">IFERROR(AVERAGEIF('Pemetaan Variant'!$A$5:$A$32,$B11,'Pemetaan Variant'!$S$5:$S$32),"n/a")</f>
        <v>70000</v>
      </c>
      <c r="Z11" s="7" t="n">
        <f aca="false">IFERROR(IF(ISNUMBER(Y11),(Y11-AVERAGEIF('Pemetaan Variant'!$A$5:$A$32,$B11,'Pemetaan Variant'!$E$5:$E$32))/AVERAGEIF('Pemetaan Variant'!$A$5:$A$32,$B11,'Pemetaan Variant'!$E$5:$E$32)*100,"n/a"),"n/a")</f>
        <v>9.375</v>
      </c>
      <c r="AA11" s="7" t="n">
        <f aca="false">IFERROR(IF(ISNUMBER(Z11),$C11*Z11,"n/a"),"n/a")</f>
        <v>0.346975821759596</v>
      </c>
      <c r="AB11" s="17" t="n">
        <f aca="false">IFERROR(AVERAGEIF('Pemetaan Variant'!$A$5:$A$32,$B11,'Pemetaan Variant'!$T$5:$T$32),"n/a")</f>
        <v>70000</v>
      </c>
      <c r="AC11" s="7" t="n">
        <f aca="false">IFERROR(IF(ISNUMBER(AB11),(AB11-AVERAGEIF('Pemetaan Variant'!$A$5:$A$32,$B11,'Pemetaan Variant'!$E$5:$E$32))/AVERAGEIF('Pemetaan Variant'!$A$5:$A$32,$B11,'Pemetaan Variant'!$E$5:$E$32)*100,"n/a"),"n/a")</f>
        <v>9.375</v>
      </c>
      <c r="AD11" s="7" t="n">
        <f aca="false">IFERROR(IF(ISNUMBER(AC11),$C11*AC11,"n/a"),"n/a")</f>
        <v>0.346975821759596</v>
      </c>
      <c r="AE11" s="17" t="n">
        <f aca="false">IFERROR(AVERAGEIF('Pemetaan Variant'!$A$5:$A$32,$B11,'Pemetaan Variant'!$U$5:$U$32),"n/a")</f>
        <v>70000</v>
      </c>
      <c r="AF11" s="7" t="n">
        <f aca="false">IFERROR(IF(ISNUMBER(AE11),(AE11-AVERAGEIF('Pemetaan Variant'!$A$5:$A$32,$B11,'Pemetaan Variant'!$F$5:$F$32))/AVERAGEIF('Pemetaan Variant'!$A$5:$A$32,$B11,'Pemetaan Variant'!$F$5:$F$32)*100,"n/a"),"n/a")</f>
        <v>0</v>
      </c>
      <c r="AG11" s="7" t="n">
        <f aca="false">IFERROR(IF(ISNUMBER(AF11),$C11*AF11,"n/a"),"n/a")</f>
        <v>0</v>
      </c>
      <c r="AH11" s="17" t="n">
        <f aca="false">IFERROR(AVERAGEIF('Pemetaan Variant'!$A$5:$A$32,$B11,'Pemetaan Variant'!$V$5:$V$32),"n/a")</f>
        <v>70000</v>
      </c>
      <c r="AI11" s="7" t="n">
        <f aca="false">IFERROR(IF(ISNUMBER(AH11),(AH11-AVERAGEIF('Pemetaan Variant'!$A$5:$A$32,$B11,'Pemetaan Variant'!$F$5:$F$32))/AVERAGEIF('Pemetaan Variant'!$A$5:$A$32,$B11,'Pemetaan Variant'!$F$5:$F$32)*100,"n/a"),"n/a")</f>
        <v>0</v>
      </c>
      <c r="AJ11" s="7" t="n">
        <f aca="false">IFERROR(IF(ISNUMBER(AI11),$C11*AI11,"n/a"),"n/a")</f>
        <v>0</v>
      </c>
      <c r="AK11" s="17" t="n">
        <f aca="false">IFERROR(AVERAGEIF('Pemetaan Variant'!$A$5:$A$32,$B11,'Pemetaan Variant'!$W$5:$W$32),"n/a")</f>
        <v>70000</v>
      </c>
      <c r="AL11" s="7" t="n">
        <f aca="false">IFERROR(IF(ISNUMBER(AK11),(AK11-AVERAGEIF('Pemetaan Variant'!$A$5:$A$32,$B11,'Pemetaan Variant'!$F$5:$F$32))/AVERAGEIF('Pemetaan Variant'!$A$5:$A$32,$B11,'Pemetaan Variant'!$F$5:$F$32)*100,"n/a"),"n/a")</f>
        <v>0</v>
      </c>
      <c r="AM11" s="7" t="n">
        <f aca="false">IFERROR(IF(ISNUMBER(AL11),$C11*AL11,"n/a"),"n/a")</f>
        <v>0</v>
      </c>
      <c r="AN11" s="17" t="n">
        <f aca="false">IFERROR(AVERAGEIF('Pemetaan Variant'!$A$5:$A$32,$B11,'Pemetaan Variant'!$X$5:$X$32),"n/a")</f>
        <v>70000</v>
      </c>
      <c r="AO11" s="7" t="n">
        <f aca="false">IFERROR(IF(ISNUMBER(AN11),(AN11-AVERAGEIF('Pemetaan Variant'!$A$5:$A$32,$B11,'Pemetaan Variant'!$F$5:$F$32))/AVERAGEIF('Pemetaan Variant'!$A$5:$A$32,$B11,'Pemetaan Variant'!$F$5:$F$32)*100,"n/a"),"n/a")</f>
        <v>0</v>
      </c>
      <c r="AP11" s="7" t="n">
        <f aca="false">IFERROR(IF(ISNUMBER(AO11),$C11*AO11,"n/a"),"n/a")</f>
        <v>0</v>
      </c>
      <c r="AQ11" s="17" t="n">
        <f aca="false">IFERROR(AVERAGEIF('Pemetaan Variant'!$A$5:$A$32,$B11,'Pemetaan Variant'!$Y$5:$Y$32),"n/a")</f>
        <v>70000</v>
      </c>
      <c r="AR11" s="7" t="n">
        <f aca="false">IFERROR(IF(ISNUMBER(AQ11),(AQ11-AVERAGEIF('Pemetaan Variant'!$A$5:$A$32,$B11,'Pemetaan Variant'!$F$5:$F$32))/AVERAGEIF('Pemetaan Variant'!$A$5:$A$32,$B11,'Pemetaan Variant'!$F$5:$F$32)*100,"n/a"),"n/a")</f>
        <v>0</v>
      </c>
      <c r="AS11" s="7" t="n">
        <f aca="false">IFERROR(IF(ISNUMBER(AR11),$C11*AR11,"n/a"),"n/a")</f>
        <v>0</v>
      </c>
      <c r="AT11" s="17" t="n">
        <f aca="false">IFERROR(AVERAGEIF('Pemetaan Variant'!$A$5:$A$32,$B11,'Pemetaan Variant'!$Z$5:$Z$32),"n/a")</f>
        <v>70000</v>
      </c>
      <c r="AU11" s="7" t="n">
        <f aca="false">IFERROR(IF(ISNUMBER(AT11),(AT11-AVERAGEIF('Pemetaan Variant'!$A$5:$A$32,$B11,'Pemetaan Variant'!$G$5:$G$32))/AVERAGEIF('Pemetaan Variant'!$A$5:$A$32,$B11,'Pemetaan Variant'!$G$5:$G$32)*100,"n/a"),"n/a")</f>
        <v>0</v>
      </c>
      <c r="AV11" s="7" t="n">
        <f aca="false">IFERROR(IF(ISNUMBER(AU11),$C11*AU11,"n/a"),"n/a")</f>
        <v>0</v>
      </c>
      <c r="AW11" s="17" t="n">
        <f aca="false">IFERROR(AVERAGEIF('Pemetaan Variant'!$A$5:$A$32,$B11,'Pemetaan Variant'!$AA$5:$AA$32),"n/a")</f>
        <v>70000</v>
      </c>
      <c r="AX11" s="7" t="n">
        <f aca="false">IFERROR(IF(ISNUMBER(AW11),(AW11-AVERAGEIF('Pemetaan Variant'!$A$5:$A$32,$B11,'Pemetaan Variant'!$G$5:$G$32))/AVERAGEIF('Pemetaan Variant'!$A$5:$A$32,$B11,'Pemetaan Variant'!$G$5:$G$32)*100,"n/a"),"n/a")</f>
        <v>0</v>
      </c>
      <c r="AY11" s="7" t="n">
        <f aca="false">IFERROR(IF(ISNUMBER(AX11),$C11*AX11,"n/a"),"n/a")</f>
        <v>0</v>
      </c>
      <c r="AZ11" s="17" t="n">
        <f aca="false">IFERROR(AVERAGEIF('Pemetaan Variant'!$A$5:$A$32,$B11,'Pemetaan Variant'!$AB$5:$AB$32),"n/a")</f>
        <v>70000</v>
      </c>
      <c r="BA11" s="7" t="n">
        <f aca="false">IFERROR(IF(ISNUMBER(AZ11),(AZ11-AVERAGEIF('Pemetaan Variant'!$A$5:$A$32,$B11,'Pemetaan Variant'!$G$5:$G$32))/AVERAGEIF('Pemetaan Variant'!$A$5:$A$32,$B11,'Pemetaan Variant'!$G$5:$G$32)*100,"n/a"),"n/a")</f>
        <v>0</v>
      </c>
      <c r="BB11" s="7" t="n">
        <f aca="false">IFERROR(IF(ISNUMBER(BA11),$C11*BA11,"n/a"),"n/a")</f>
        <v>0</v>
      </c>
      <c r="BC11" s="17" t="n">
        <f aca="false">IFERROR(AVERAGEIF('Pemetaan Variant'!$A$5:$A$32,$B11,'Pemetaan Variant'!$AC$5:$AC$32),"n/a")</f>
        <v>70000</v>
      </c>
      <c r="BD11" s="7" t="n">
        <f aca="false">IFERROR(IF(ISNUMBER(BC11),(BC11-AVERAGEIF('Pemetaan Variant'!$A$5:$A$32,$B11,'Pemetaan Variant'!$G$5:$G$32))/AVERAGEIF('Pemetaan Variant'!$A$5:$A$32,$B11,'Pemetaan Variant'!$G$5:$G$32)*100,"n/a"),"n/a")</f>
        <v>0</v>
      </c>
      <c r="BE11" s="7" t="n">
        <f aca="false">IFERROR(IF(ISNUMBER(BD11),$C11*BD11,"n/a"),"n/a")</f>
        <v>0</v>
      </c>
      <c r="BF11" s="17" t="n">
        <f aca="false">IFERROR(AVERAGEIF('Pemetaan Variant'!$A$5:$A$32,$B11,'Pemetaan Variant'!$AD$5:$AD$32),"n/a")</f>
        <v>70000</v>
      </c>
      <c r="BG11" s="7" t="n">
        <f aca="false">IFERROR(IF(ISNUMBER(BF11),(BF11-AVERAGEIF('Pemetaan Variant'!$A$5:$A$32,$B11,'Pemetaan Variant'!$G$5:$G$32))/AVERAGEIF('Pemetaan Variant'!$A$5:$A$32,$B11,'Pemetaan Variant'!$G$5:$G$32)*100,"n/a"),"n/a")</f>
        <v>0</v>
      </c>
      <c r="BH11" s="7" t="n">
        <f aca="false">IFERROR(IF(ISNUMBER(BG11),$C11*BG11,"n/a"),"n/a")</f>
        <v>0</v>
      </c>
      <c r="BI11" s="17" t="str">
        <f aca="false">IFERROR(AVERAGEIF('Pemetaan Variant'!$A$5:$A$32,$B11,'Pemetaan Variant'!$AE$5:$AE$32),"n/a")</f>
        <v>n/a</v>
      </c>
      <c r="BJ11" s="7" t="str">
        <f aca="false">IFERROR(IF(ISNUMBER(BI11),(BI11-AVERAGEIF('Pemetaan Variant'!$A$5:$A$32,$B11,'Pemetaan Variant'!$H$5:$H$32))/AVERAGEIF('Pemetaan Variant'!$A$5:$A$32,$B11,'Pemetaan Variant'!$H$5:$H$32)*100,"n/a"),"n/a")</f>
        <v>n/a</v>
      </c>
      <c r="BK11" s="7" t="str">
        <f aca="false">IFERROR(IF(ISNUMBER(BJ11),$C11*BJ11,"n/a"),"n/a")</f>
        <v>n/a</v>
      </c>
      <c r="BL11" s="17" t="n">
        <f aca="false">IFERROR(AVERAGEIF('Pemetaan Variant'!$A$5:$A$32,$B11,'Pemetaan Variant'!$AF$5:$AF$32),"n/a")</f>
        <v>70000</v>
      </c>
      <c r="BM11" s="7" t="n">
        <f aca="false">IFERROR(IF(ISNUMBER(BL11),(BL11-AVERAGEIF('Pemetaan Variant'!$A$5:$A$32,$B11,'Pemetaan Variant'!$H$5:$H$32))/AVERAGEIF('Pemetaan Variant'!$A$5:$A$32,$B11,'Pemetaan Variant'!$H$5:$H$32)*100,"n/a"),"n/a")</f>
        <v>0</v>
      </c>
      <c r="BN11" s="7" t="n">
        <f aca="false">IFERROR(IF(ISNUMBER(BM11),$C11*BM11,"n/a"),"n/a")</f>
        <v>0</v>
      </c>
      <c r="BO11" s="17" t="n">
        <f aca="false">IFERROR(AVERAGEIF('Pemetaan Variant'!$A$5:$A$32,$B11,'Pemetaan Variant'!$AG$5:$AG$32),"n/a")</f>
        <v>70000</v>
      </c>
      <c r="BP11" s="7" t="n">
        <f aca="false">IFERROR(IF(ISNUMBER(BO11),(BO11-AVERAGEIF('Pemetaan Variant'!$A$5:$A$32,$B11,'Pemetaan Variant'!$H$5:$H$32))/AVERAGEIF('Pemetaan Variant'!$A$5:$A$32,$B11,'Pemetaan Variant'!$H$5:$H$32)*100,"n/a"),"n/a")</f>
        <v>0</v>
      </c>
      <c r="BQ11" s="7" t="n">
        <f aca="false">IFERROR(IF(ISNUMBER(BP11),$C11*BP11,"n/a"),"n/a")</f>
        <v>0</v>
      </c>
      <c r="BR11" s="17" t="n">
        <f aca="false">IFERROR(AVERAGEIF('Pemetaan Variant'!$A$5:$A$32,$B11,'Pemetaan Variant'!$AH$5:$AH$32),"n/a")</f>
        <v>70000</v>
      </c>
      <c r="BS11" s="7" t="n">
        <f aca="false">IFERROR(IF(ISNUMBER(BR11),(BR11-AVERAGEIF('Pemetaan Variant'!$A$5:$A$32,$B11,'Pemetaan Variant'!$H$5:$H$32))/AVERAGEIF('Pemetaan Variant'!$A$5:$A$32,$B11,'Pemetaan Variant'!$H$5:$H$32)*100,"n/a"),"n/a")</f>
        <v>0</v>
      </c>
      <c r="BT11" s="7" t="n">
        <f aca="false">IFERROR(IF(ISNUMBER(BS11),$C11*BS11,"n/a"),"n/a")</f>
        <v>0</v>
      </c>
      <c r="BU11" s="17" t="n">
        <f aca="false">IFERROR(AVERAGEIF('Pemetaan Variant'!$A$5:$A$32,$B11,'Pemetaan Variant'!$AI$5:$AI$32),"n/a")</f>
        <v>70000</v>
      </c>
      <c r="BV11" s="7" t="n">
        <f aca="false">IFERROR(IF(ISNUMBER(BU11),(BU11-AVERAGEIF('Pemetaan Variant'!$A$5:$A$32,$B11,'Pemetaan Variant'!$H$5:$H$32))/AVERAGEIF('Pemetaan Variant'!$A$5:$A$32,$B11,'Pemetaan Variant'!$H$5:$H$32)*100,"n/a"),"n/a")</f>
        <v>0</v>
      </c>
      <c r="BW11" s="7" t="n">
        <f aca="false">IFERROR(IF(ISNUMBER(BV11),$C11*BV11,"n/a"),"n/a")</f>
        <v>0</v>
      </c>
      <c r="BX11" s="17" t="n">
        <f aca="false">IFERROR(AVERAGEIF('Pemetaan Variant'!$A$5:$A$32,$B11,'Pemetaan Variant'!$AJ$5:$AJ$32),"n/a")</f>
        <v>70000</v>
      </c>
      <c r="BY11" s="7" t="n">
        <f aca="false">IFERROR(IF(ISNUMBER(BX11),(BX11-AVERAGEIF('Pemetaan Variant'!$A$5:$A$32,$B11,'Pemetaan Variant'!$I$5:$I$32))/AVERAGEIF('Pemetaan Variant'!$A$5:$A$32,$B11,'Pemetaan Variant'!$I$5:$I$32)*100,"n/a"),"n/a")</f>
        <v>0</v>
      </c>
      <c r="BZ11" s="7" t="n">
        <f aca="false">IFERROR(IF(ISNUMBER(BY11),$C11*BY11,"n/a"),"n/a")</f>
        <v>0</v>
      </c>
      <c r="CA11" s="17" t="n">
        <f aca="false">IFERROR(AVERAGEIF('Pemetaan Variant'!$A$5:$A$32,$B11,'Pemetaan Variant'!$AK$5:$AK$32),"n/a")</f>
        <v>70000</v>
      </c>
      <c r="CB11" s="7" t="n">
        <f aca="false">IFERROR(IF(ISNUMBER(CA11),(CA11-AVERAGEIF('Pemetaan Variant'!$A$5:$A$32,$B11,'Pemetaan Variant'!$I$5:$I$32))/AVERAGEIF('Pemetaan Variant'!$A$5:$A$32,$B11,'Pemetaan Variant'!$I$5:$I$32)*100,"n/a"),"n/a")</f>
        <v>0</v>
      </c>
      <c r="CC11" s="7" t="n">
        <f aca="false">IFERROR(IF(ISNUMBER(CB11),$C11*CB11,"n/a"),"n/a")</f>
        <v>0</v>
      </c>
      <c r="CD11" s="17" t="n">
        <f aca="false">IFERROR(AVERAGEIF('Pemetaan Variant'!$A$5:$A$32,$B11,'Pemetaan Variant'!$AL$5:$AL$32),"n/a")</f>
        <v>70000</v>
      </c>
      <c r="CE11" s="7" t="n">
        <f aca="false">IFERROR(IF(ISNUMBER(CD11),(CD11-AVERAGEIF('Pemetaan Variant'!$A$5:$A$32,$B11,'Pemetaan Variant'!$I$5:$I$32))/AVERAGEIF('Pemetaan Variant'!$A$5:$A$32,$B11,'Pemetaan Variant'!$I$5:$I$32)*100,"n/a"),"n/a")</f>
        <v>0</v>
      </c>
      <c r="CF11" s="7" t="n">
        <f aca="false">IFERROR(IF(ISNUMBER(CE11),$C11*CE11,"n/a"),"n/a")</f>
        <v>0</v>
      </c>
      <c r="CG11" s="17" t="n">
        <f aca="false">IFERROR(AVERAGEIF('Pemetaan Variant'!$A$5:$A$32,$B11,'Pemetaan Variant'!$AM$5:$AM$32),"n/a")</f>
        <v>70000</v>
      </c>
      <c r="CH11" s="7" t="n">
        <f aca="false">IFERROR(IF(ISNUMBER(CG11),(CG11-AVERAGEIF('Pemetaan Variant'!$A$5:$A$32,$B11,'Pemetaan Variant'!$I$5:$I$32))/AVERAGEIF('Pemetaan Variant'!$A$5:$A$32,$B11,'Pemetaan Variant'!$I$5:$I$32)*100,"n/a"),"n/a")</f>
        <v>0</v>
      </c>
      <c r="CI11" s="7" t="n">
        <f aca="false">IFERROR(IF(ISNUMBER(CH11),$C11*CH11,"n/a"),"n/a")</f>
        <v>0</v>
      </c>
      <c r="CJ11" s="17" t="n">
        <f aca="false">IFERROR(AVERAGEIF('Pemetaan Variant'!$A$5:$A$32,$B11,'Pemetaan Variant'!$AN$5:$AN$32),"n/a")</f>
        <v>70000</v>
      </c>
      <c r="CK11" s="7" t="n">
        <f aca="false">IFERROR(IF(ISNUMBER(CJ11),(CJ11-AVERAGEIF('Pemetaan Variant'!$A$5:$A$32,$B11,'Pemetaan Variant'!$I$5:$I$32))/AVERAGEIF('Pemetaan Variant'!$A$5:$A$32,$B11,'Pemetaan Variant'!$I$5:$I$32)*100,"n/a"),"n/a")</f>
        <v>0</v>
      </c>
      <c r="CL11" s="7" t="n">
        <f aca="false">IFERROR(IF(ISNUMBER(CK11),$C11*CK11,"n/a"),"n/a")</f>
        <v>0</v>
      </c>
      <c r="CM11" s="17" t="n">
        <f aca="false">IFERROR(AVERAGEIF('Pemetaan Variant'!$A$5:$A$32,$B11,'Pemetaan Variant'!$AO$5:$AO$32),"n/a")</f>
        <v>70000</v>
      </c>
      <c r="CN11" s="7" t="n">
        <f aca="false">IFERROR(IF(ISNUMBER(CM11),(CM11-AVERAGEIF('Pemetaan Variant'!$A$5:$A$32,$B11,'Pemetaan Variant'!$J$5:$J$32))/AVERAGEIF('Pemetaan Variant'!$A$5:$A$32,$B11,'Pemetaan Variant'!$J$5:$J$32)*100,"n/a"),"n/a")</f>
        <v>0</v>
      </c>
      <c r="CO11" s="7" t="n">
        <f aca="false">IFERROR(IF(ISNUMBER(CN11),$C11*CN11,"n/a"),"n/a")</f>
        <v>0</v>
      </c>
      <c r="CP11" s="17" t="n">
        <f aca="false">IFERROR(AVERAGEIF('Pemetaan Variant'!$A$5:$A$32,$B11,'Pemetaan Variant'!$AP$5:$AP$32),"n/a")</f>
        <v>70000</v>
      </c>
      <c r="CQ11" s="7" t="n">
        <f aca="false">IFERROR(IF(ISNUMBER(CP11),(CP11-AVERAGEIF('Pemetaan Variant'!$A$5:$A$32,$B11,'Pemetaan Variant'!$J$5:$J$32))/AVERAGEIF('Pemetaan Variant'!$A$5:$A$32,$B11,'Pemetaan Variant'!$J$5:$J$32)*100,"n/a"),"n/a")</f>
        <v>0</v>
      </c>
      <c r="CR11" s="7" t="n">
        <f aca="false">IFERROR(IF(ISNUMBER(CQ11),$C11*CQ11,"n/a"),"n/a")</f>
        <v>0</v>
      </c>
      <c r="CS11" s="17" t="n">
        <f aca="false">IFERROR(AVERAGEIF('Pemetaan Variant'!$A$5:$A$32,$B11,'Pemetaan Variant'!$AQ$5:$AQ$32),"n/a")</f>
        <v>70000</v>
      </c>
      <c r="CT11" s="7" t="n">
        <f aca="false">IFERROR(IF(ISNUMBER(CS11),(CS11-AVERAGEIF('Pemetaan Variant'!$A$5:$A$32,$B11,'Pemetaan Variant'!$J$5:$J$32))/AVERAGEIF('Pemetaan Variant'!$A$5:$A$32,$B11,'Pemetaan Variant'!$J$5:$J$32)*100,"n/a"),"n/a")</f>
        <v>0</v>
      </c>
      <c r="CU11" s="7" t="n">
        <f aca="false">IFERROR(IF(ISNUMBER(CT11),$C11*CT11,"n/a"),"n/a")</f>
        <v>0</v>
      </c>
      <c r="CV11" s="17" t="n">
        <f aca="false">IFERROR(AVERAGEIF('Pemetaan Variant'!$A$5:$A$32,$B11,'Pemetaan Variant'!$AR$5:$AR$32),"n/a")</f>
        <v>70000</v>
      </c>
      <c r="CW11" s="7" t="n">
        <f aca="false">IFERROR(IF(ISNUMBER(CV11),(CV11-AVERAGEIF('Pemetaan Variant'!$A$5:$A$32,$B11,'Pemetaan Variant'!$J$5:$J$32))/AVERAGEIF('Pemetaan Variant'!$A$5:$A$32,$B11,'Pemetaan Variant'!$J$5:$J$32)*100,"n/a"),"n/a")</f>
        <v>0</v>
      </c>
      <c r="CX11" s="7" t="n">
        <f aca="false">IFERROR(IF(ISNUMBER(CW11),$C11*CW11,"n/a"),"n/a")</f>
        <v>0</v>
      </c>
      <c r="CY11" s="17" t="n">
        <f aca="false">IFERROR(AVERAGEIF('Pemetaan Variant'!$A$5:$A$32,$B11,'Pemetaan Variant'!$AS$5:$AS$32),"n/a")</f>
        <v>70000</v>
      </c>
      <c r="CZ11" s="7" t="n">
        <f aca="false">IFERROR(IF(ISNUMBER(CY11),(CY11-AVERAGEIF('Pemetaan Variant'!$A$5:$A$32,$B11,'Pemetaan Variant'!$J$5:$J$32))/AVERAGEIF('Pemetaan Variant'!$A$5:$A$32,$B11,'Pemetaan Variant'!$J$5:$J$32)*100,"n/a"),"n/a")</f>
        <v>0</v>
      </c>
      <c r="DA11" s="7" t="n">
        <f aca="false">IFERROR(IF(ISNUMBER(CZ11),$C11*CZ11,"n/a"),"n/a")</f>
        <v>0</v>
      </c>
      <c r="DB11" s="17" t="n">
        <f aca="false">IFERROR(AVERAGEIF('Pemetaan Variant'!$A$5:$A$32,$B11,'Pemetaan Variant'!$AT$5:$AT$32),"n/a")</f>
        <v>70000</v>
      </c>
      <c r="DC11" s="7" t="n">
        <f aca="false">IFERROR(IF(ISNUMBER(DB11),(DB11-AVERAGEIF('Pemetaan Variant'!$A$5:$A$32,$B11,'Pemetaan Variant'!$K$5:$K$32))/AVERAGEIF('Pemetaan Variant'!$A$5:$A$32,$B11,'Pemetaan Variant'!$K$5:$K$32)*100,"n/a"),"n/a")</f>
        <v>0</v>
      </c>
      <c r="DD11" s="7" t="n">
        <f aca="false">IFERROR(IF(ISNUMBER(DC11),$C11*DC11,"n/a"),"n/a")</f>
        <v>0</v>
      </c>
      <c r="DE11" s="17" t="n">
        <f aca="false">IFERROR(AVERAGEIF('Pemetaan Variant'!$A$5:$A$32,$B11,'Pemetaan Variant'!$AU$5:$AU$32),"n/a")</f>
        <v>70000</v>
      </c>
      <c r="DF11" s="7" t="n">
        <f aca="false">IFERROR(IF(ISNUMBER(DE11),(DE11-AVERAGEIF('Pemetaan Variant'!$A$5:$A$32,$B11,'Pemetaan Variant'!$K$5:$K$32))/AVERAGEIF('Pemetaan Variant'!$A$5:$A$32,$B11,'Pemetaan Variant'!$K$5:$K$32)*100,"n/a"),"n/a")</f>
        <v>0</v>
      </c>
      <c r="DG11" s="7" t="n">
        <f aca="false">IFERROR(IF(ISNUMBER(DF11),$C11*DF11,"n/a"),"n/a")</f>
        <v>0</v>
      </c>
      <c r="DH11" s="17" t="n">
        <f aca="false">IFERROR(AVERAGEIF('Pemetaan Variant'!$A$5:$A$32,$B11,'Pemetaan Variant'!$AV$5:$AV$32),"n/a")</f>
        <v>70000</v>
      </c>
      <c r="DI11" s="7" t="n">
        <f aca="false">IFERROR(IF(ISNUMBER(DH11),(DH11-AVERAGEIF('Pemetaan Variant'!$A$5:$A$32,$B11,'Pemetaan Variant'!$K$5:$K$32))/AVERAGEIF('Pemetaan Variant'!$A$5:$A$32,$B11,'Pemetaan Variant'!$K$5:$K$32)*100,"n/a"),"n/a")</f>
        <v>0</v>
      </c>
      <c r="DJ11" s="7" t="n">
        <f aca="false">IFERROR(IF(ISNUMBER(DI11),$C11*DI11,"n/a"),"n/a")</f>
        <v>0</v>
      </c>
      <c r="DK11" s="17" t="n">
        <f aca="false">IFERROR(AVERAGEIF('Pemetaan Variant'!$A$5:$A$32,$B11,'Pemetaan Variant'!$AW$5:$AW$32),"n/a")</f>
        <v>70000</v>
      </c>
      <c r="DL11" s="7" t="n">
        <f aca="false">IFERROR(IF(ISNUMBER(DK11),(DK11-AVERAGEIF('Pemetaan Variant'!$A$5:$A$32,$B11,'Pemetaan Variant'!$K$5:$K$32))/AVERAGEIF('Pemetaan Variant'!$A$5:$A$32,$B11,'Pemetaan Variant'!$K$5:$K$32)*100,"n/a"),"n/a")</f>
        <v>0</v>
      </c>
      <c r="DM11" s="7" t="n">
        <f aca="false">IFERROR(IF(ISNUMBER(DL11),$C11*DL11,"n/a"),"n/a")</f>
        <v>0</v>
      </c>
      <c r="DN11" s="17" t="str">
        <f aca="false">IFERROR(AVERAGEIF('Pemetaan Variant'!$A$5:$A$32,$B11,'Pemetaan Variant'!$AX$5:$AX$32),"n/a")</f>
        <v>n/a</v>
      </c>
      <c r="DO11" s="7" t="str">
        <f aca="false">IFERROR(IF(ISNUMBER(DN11),(DN11-AVERAGEIF('Pemetaan Variant'!$A$5:$A$32,$B11,'Pemetaan Variant'!$K$5:$K$32))/AVERAGEIF('Pemetaan Variant'!$A$5:$A$32,$B11,'Pemetaan Variant'!$K$5:$K$32)*100,"n/a"),"n/a")</f>
        <v>n/a</v>
      </c>
      <c r="DP11" s="7" t="str">
        <f aca="false">IFERROR(IF(ISNUMBER(DO11),$C11*DO11,"n/a"),"n/a")</f>
        <v>n/a</v>
      </c>
      <c r="DQ11" s="18" t="n">
        <f aca="false">IFERROR(AVERAGEIF('Pemetaan Variant'!$A$5:$A$32,$B11,'Pemetaan Variant'!$AZ$5:$AZ$32),"n/a")</f>
        <v>70000</v>
      </c>
      <c r="DR11" s="11" t="n">
        <f aca="false">IFERROR(IF(ISNUMBER(DQ11),(DQ11-AVERAGEIF('Pemetaan Variant'!$A$5:$A$32,$B11,'Pemetaan Variant'!$AY$5:$AY$32))/AVERAGEIF('Pemetaan Variant'!$A$5:$A$32,$B11,'Pemetaan Variant'!$AY$5:$AY$32)*100,"n/a"),"n/a")</f>
        <v>0</v>
      </c>
      <c r="DS11" s="11" t="n">
        <f aca="false">IFERROR(IF(ISNUMBER(DR11),$C11*DR11,"n/a"),"n/a")</f>
        <v>0</v>
      </c>
      <c r="DT11" s="18" t="str">
        <f aca="false">IFERROR(AVERAGEIF('Pemetaan Variant'!$A$5:$A$32,$B11,'Pemetaan Variant'!$BA$5:$BA$32),"n/a")</f>
        <v>n/a</v>
      </c>
      <c r="DU11" s="11" t="str">
        <f aca="false">IFERROR(IF(ISNUMBER(DT11),(DT11-AVERAGEIF('Pemetaan Variant'!$A$5:$A$32,$B11,'Pemetaan Variant'!$AY$5:$AY$32))/AVERAGEIF('Pemetaan Variant'!$A$5:$A$32,$B11,'Pemetaan Variant'!$AY$5:$AY$32)*100,"n/a"),"n/a")</f>
        <v>n/a</v>
      </c>
      <c r="DV11" s="11" t="str">
        <f aca="false">IFERROR(IF(ISNUMBER(DU11),$C11*DU11,"n/a"),"n/a")</f>
        <v>n/a</v>
      </c>
      <c r="DW11" s="18" t="str">
        <f aca="false">IFERROR(AVERAGEIF('Pemetaan Variant'!$A$5:$A$32,$B11,'Pemetaan Variant'!$BB$5:$BB$32),"n/a")</f>
        <v>n/a</v>
      </c>
      <c r="DX11" s="11" t="str">
        <f aca="false">IFERROR(IF(ISNUMBER(DW11),(DW11-AVERAGEIF('Pemetaan Variant'!$A$5:$A$32,$B11,'Pemetaan Variant'!$AY$5:$AY$32))/AVERAGEIF('Pemetaan Variant'!$A$5:$A$32,$B11,'Pemetaan Variant'!$AY$5:$AY$32)*100,"n/a"),"n/a")</f>
        <v>n/a</v>
      </c>
      <c r="DY11" s="11" t="str">
        <f aca="false">IFERROR(IF(ISNUMBER(DX11),$C11*DX11,"n/a"),"n/a")</f>
        <v>n/a</v>
      </c>
      <c r="DZ11" s="18" t="str">
        <f aca="false">IFERROR(AVERAGEIF('Pemetaan Variant'!$A$5:$A$32,$B11,'Pemetaan Variant'!$BC$5:$BC$32),"n/a")</f>
        <v>n/a</v>
      </c>
      <c r="EA11" s="11" t="str">
        <f aca="false">IFERROR(IF(ISNUMBER(DZ11),(DZ11-AVERAGEIF('Pemetaan Variant'!$A$5:$A$32,$B11,'Pemetaan Variant'!$AY$5:$AY$32))/AVERAGEIF('Pemetaan Variant'!$A$5:$A$32,$B11,'Pemetaan Variant'!$AY$5:$AY$32)*100,"n/a"),"n/a")</f>
        <v>n/a</v>
      </c>
      <c r="EB11" s="11" t="str">
        <f aca="false">IFERROR(IF(ISNUMBER(EA11),$C11*EA11,"n/a"),"n/a")</f>
        <v>n/a</v>
      </c>
      <c r="EC11" s="18" t="str">
        <f aca="false">IFERROR(AVERAGEIF('Pemetaan Variant'!$A$5:$A$32,$B11,'Pemetaan Variant'!$BD$5:$BD$32),"n/a")</f>
        <v>n/a</v>
      </c>
      <c r="ED11" s="11" t="str">
        <f aca="false">IFERROR(IF(ISNUMBER(EC11),(EC11-AVERAGEIF('Pemetaan Variant'!$A$5:$A$32,$B11,'Pemetaan Variant'!$AY$5:$AY$32))/AVERAGEIF('Pemetaan Variant'!$A$5:$A$32,$B11,'Pemetaan Variant'!$AY$5:$AY$32)*100,"n/a"),"n/a")</f>
        <v>n/a</v>
      </c>
      <c r="EE11" s="11" t="str">
        <f aca="false">IFERROR(IF(ISNUMBER(ED11),$C11*ED11,"n/a"),"n/a")</f>
        <v>n/a</v>
      </c>
      <c r="EG11" s="11" t="n">
        <f aca="false">IFERROR(ABS(F11),0)</f>
        <v>0</v>
      </c>
      <c r="EH11" s="11" t="n">
        <f aca="false">IFERROR(ABS(I11),0)</f>
        <v>0</v>
      </c>
      <c r="EI11" s="11" t="n">
        <f aca="false">IFERROR(ABS(L11),0)</f>
        <v>0</v>
      </c>
      <c r="EJ11" s="11" t="n">
        <f aca="false">IFERROR(ABS(O11),0)</f>
        <v>0.370107543210236</v>
      </c>
      <c r="EK11" s="11" t="n">
        <f aca="false">IFERROR(ABS(R11),0)</f>
        <v>0.616845905350393</v>
      </c>
      <c r="EL11" s="11" t="n">
        <f aca="false">IFERROR(ABS(U11),0)</f>
        <v>0.346975821759596</v>
      </c>
      <c r="EM11" s="11" t="n">
        <f aca="false">IFERROR(ABS(X11),0)</f>
        <v>0.346975821759596</v>
      </c>
      <c r="EN11" s="11" t="n">
        <f aca="false">IFERROR(ABS(AA11),0)</f>
        <v>0.346975821759596</v>
      </c>
      <c r="EO11" s="11" t="n">
        <f aca="false">IFERROR(ABS(AD11),0)</f>
        <v>0.346975821759596</v>
      </c>
      <c r="EP11" s="11" t="n">
        <f aca="false">IFERROR(ABS(AG11),0)</f>
        <v>0</v>
      </c>
      <c r="EQ11" s="11" t="n">
        <f aca="false">IFERROR(ABS(AJ11),0)</f>
        <v>0</v>
      </c>
      <c r="ER11" s="11" t="n">
        <f aca="false">IFERROR(ABS(AM11),0)</f>
        <v>0</v>
      </c>
      <c r="ES11" s="11" t="n">
        <f aca="false">IFERROR(ABS(AP11),0)</f>
        <v>0</v>
      </c>
      <c r="ET11" s="11" t="n">
        <f aca="false">IFERROR(ABS(AS11),0)</f>
        <v>0</v>
      </c>
      <c r="EU11" s="11" t="n">
        <f aca="false">IFERROR(ABS(AV11),0)</f>
        <v>0</v>
      </c>
      <c r="EV11" s="11" t="n">
        <f aca="false">IFERROR(ABS(AY11),0)</f>
        <v>0</v>
      </c>
      <c r="EW11" s="11" t="n">
        <f aca="false">IFERROR(ABS(BB11),0)</f>
        <v>0</v>
      </c>
      <c r="EX11" s="11" t="n">
        <f aca="false">IFERROR(ABS(BE11),0)</f>
        <v>0</v>
      </c>
      <c r="EY11" s="11" t="n">
        <f aca="false">IFERROR(ABS(BH11),0)</f>
        <v>0</v>
      </c>
      <c r="EZ11" s="11" t="n">
        <f aca="false">IFERROR(ABS(BK11),0)</f>
        <v>0</v>
      </c>
      <c r="FA11" s="11" t="n">
        <f aca="false">IFERROR(ABS(BN11),0)</f>
        <v>0</v>
      </c>
      <c r="FB11" s="11" t="n">
        <f aca="false">IFERROR(ABS(BQ11),0)</f>
        <v>0</v>
      </c>
      <c r="FC11" s="11" t="n">
        <f aca="false">IFERROR(ABS(BT11),0)</f>
        <v>0</v>
      </c>
      <c r="FD11" s="11" t="n">
        <f aca="false">IFERROR(ABS(BW11),0)</f>
        <v>0</v>
      </c>
      <c r="FE11" s="11" t="n">
        <f aca="false">IFERROR(ABS(BZ11),0)</f>
        <v>0</v>
      </c>
      <c r="FF11" s="11" t="n">
        <f aca="false">IFERROR(ABS(CC11),0)</f>
        <v>0</v>
      </c>
      <c r="FG11" s="11" t="n">
        <f aca="false">IFERROR(ABS(CF11),0)</f>
        <v>0</v>
      </c>
      <c r="FH11" s="11" t="n">
        <f aca="false">IFERROR(ABS(CI11),0)</f>
        <v>0</v>
      </c>
      <c r="FI11" s="11" t="n">
        <f aca="false">IFERROR(ABS(CL11),0)</f>
        <v>0</v>
      </c>
      <c r="FJ11" s="11" t="n">
        <f aca="false">IFERROR(ABS(CO11),0)</f>
        <v>0</v>
      </c>
      <c r="FK11" s="11" t="n">
        <f aca="false">IFERROR(ABS(CR11),0)</f>
        <v>0</v>
      </c>
      <c r="FL11" s="11" t="n">
        <f aca="false">IFERROR(ABS(CU11),0)</f>
        <v>0</v>
      </c>
      <c r="FM11" s="11" t="n">
        <f aca="false">IFERROR(ABS(CX11),0)</f>
        <v>0</v>
      </c>
      <c r="FN11" s="11" t="n">
        <f aca="false">IFERROR(ABS(DA11),0)</f>
        <v>0</v>
      </c>
      <c r="FO11" s="11" t="n">
        <f aca="false">IFERROR(ABS(DD11),0)</f>
        <v>0</v>
      </c>
      <c r="FP11" s="11" t="n">
        <f aca="false">IFERROR(ABS(DG11),0)</f>
        <v>0</v>
      </c>
      <c r="FQ11" s="11" t="n">
        <f aca="false">IFERROR(ABS(DJ11),0)</f>
        <v>0</v>
      </c>
      <c r="FR11" s="11" t="n">
        <f aca="false">IFERROR(ABS(DM11),0)</f>
        <v>0</v>
      </c>
      <c r="FS11" s="11" t="n">
        <f aca="false">IFERROR(ABS(DP11),0)</f>
        <v>0</v>
      </c>
      <c r="FT11" s="11" t="n">
        <f aca="false">IFERROR(ABS(DS11),0)</f>
        <v>0</v>
      </c>
      <c r="FU11" s="11" t="n">
        <f aca="false">IFERROR(ABS(DV11),0)</f>
        <v>0</v>
      </c>
      <c r="FV11" s="11" t="n">
        <f aca="false">IFERROR(ABS(DY11),0)</f>
        <v>0</v>
      </c>
      <c r="FW11" s="11" t="n">
        <f aca="false">IFERROR(ABS(EB11),0)</f>
        <v>0</v>
      </c>
      <c r="FX11" s="11" t="n">
        <f aca="false">IFERROR(ABS(EE11),0)</f>
        <v>0</v>
      </c>
    </row>
    <row r="12" customFormat="false" ht="12.75" hidden="false" customHeight="true" outlineLevel="0" collapsed="false">
      <c r="A12" s="5" t="n">
        <v>7</v>
      </c>
      <c r="B12" s="6" t="s">
        <v>196</v>
      </c>
      <c r="C12" s="7" t="n">
        <f aca="false">'P0Q0 Dasar 2022'!F11</f>
        <v>0.0406365728580274</v>
      </c>
      <c r="D12" s="17" t="n">
        <f aca="false">IFERROR(AVERAGEIF('Pemetaan Variant'!$A$5:$A$32,$B12,'Pemetaan Variant'!$L$5:$L$32),"n/a")</f>
        <v>11000</v>
      </c>
      <c r="E12" s="7" t="n">
        <f aca="false">IFERROR(IF(ISNUMBER(D12),(D12-AVERAGEIF('Pemetaan Variant'!$A$5:$A$32,$B12,'Pemetaan Variant'!$D$5:$D$32))/AVERAGEIF('Pemetaan Variant'!$A$5:$A$32,$B12,'Pemetaan Variant'!$D$5:$D$32)*100,"n/a"),"n/a")</f>
        <v>-3.34728033472804</v>
      </c>
      <c r="F12" s="7" t="n">
        <f aca="false">IFERROR(IF(ISNUMBER(E12),$C12*E12,"n/a"),"n/a")</f>
        <v>-0.136022001198418</v>
      </c>
      <c r="G12" s="17" t="n">
        <f aca="false">IFERROR(AVERAGEIF('Pemetaan Variant'!$A$5:$A$32,$B12,'Pemetaan Variant'!$M$5:$M$32),"n/a")</f>
        <v>11000</v>
      </c>
      <c r="H12" s="7" t="n">
        <f aca="false">IFERROR(IF(ISNUMBER(G12),(G12-AVERAGEIF('Pemetaan Variant'!$A$5:$A$32,$B12,'Pemetaan Variant'!$D$5:$D$32))/AVERAGEIF('Pemetaan Variant'!$A$5:$A$32,$B12,'Pemetaan Variant'!$D$5:$D$32)*100,"n/a"),"n/a")</f>
        <v>-3.34728033472804</v>
      </c>
      <c r="I12" s="7" t="n">
        <f aca="false">IFERROR(IF(ISNUMBER(H12),$C12*H12,"n/a"),"n/a")</f>
        <v>-0.136022001198418</v>
      </c>
      <c r="J12" s="17" t="n">
        <f aca="false">IFERROR(AVERAGEIF('Pemetaan Variant'!$A$5:$A$32,$B12,'Pemetaan Variant'!$N$5:$N$32),"n/a")</f>
        <v>11000</v>
      </c>
      <c r="K12" s="7" t="n">
        <f aca="false">IFERROR(IF(ISNUMBER(J12),(J12-AVERAGEIF('Pemetaan Variant'!$A$5:$A$32,$B12,'Pemetaan Variant'!$D$5:$D$32))/AVERAGEIF('Pemetaan Variant'!$A$5:$A$32,$B12,'Pemetaan Variant'!$D$5:$D$32)*100,"n/a"),"n/a")</f>
        <v>-3.34728033472804</v>
      </c>
      <c r="L12" s="7" t="n">
        <f aca="false">IFERROR(IF(ISNUMBER(K12),$C12*K12,"n/a"),"n/a")</f>
        <v>-0.136022001198418</v>
      </c>
      <c r="M12" s="17" t="n">
        <f aca="false">IFERROR(AVERAGEIF('Pemetaan Variant'!$A$5:$A$32,$B12,'Pemetaan Variant'!$O$5:$O$32),"n/a")</f>
        <v>11000</v>
      </c>
      <c r="N12" s="7" t="n">
        <f aca="false">IFERROR(IF(ISNUMBER(M12),(M12-AVERAGEIF('Pemetaan Variant'!$A$5:$A$32,$B12,'Pemetaan Variant'!$D$5:$D$32))/AVERAGEIF('Pemetaan Variant'!$A$5:$A$32,$B12,'Pemetaan Variant'!$D$5:$D$32)*100,"n/a"),"n/a")</f>
        <v>-3.34728033472804</v>
      </c>
      <c r="O12" s="7" t="n">
        <f aca="false">IFERROR(IF(ISNUMBER(N12),$C12*N12,"n/a"),"n/a")</f>
        <v>-0.136022001198418</v>
      </c>
      <c r="P12" s="17" t="n">
        <f aca="false">IFERROR(AVERAGEIF('Pemetaan Variant'!$A$5:$A$32,$B12,'Pemetaan Variant'!$P$5:$P$32),"n/a")</f>
        <v>11000</v>
      </c>
      <c r="Q12" s="7" t="n">
        <f aca="false">IFERROR(IF(ISNUMBER(P12),(P12-AVERAGEIF('Pemetaan Variant'!$A$5:$A$32,$B12,'Pemetaan Variant'!$D$5:$D$32))/AVERAGEIF('Pemetaan Variant'!$A$5:$A$32,$B12,'Pemetaan Variant'!$D$5:$D$32)*100,"n/a"),"n/a")</f>
        <v>-3.34728033472804</v>
      </c>
      <c r="R12" s="7" t="n">
        <f aca="false">IFERROR(IF(ISNUMBER(Q12),$C12*Q12,"n/a"),"n/a")</f>
        <v>-0.136022001198418</v>
      </c>
      <c r="S12" s="17" t="n">
        <f aca="false">IFERROR(AVERAGEIF('Pemetaan Variant'!$A$5:$A$32,$B12,'Pemetaan Variant'!$Q$5:$Q$32),"n/a")</f>
        <v>11200</v>
      </c>
      <c r="T12" s="7" t="n">
        <f aca="false">IFERROR(IF(ISNUMBER(S12),(S12-AVERAGEIF('Pemetaan Variant'!$A$5:$A$32,$B12,'Pemetaan Variant'!$E$5:$E$32))/AVERAGEIF('Pemetaan Variant'!$A$5:$A$32,$B12,'Pemetaan Variant'!$E$5:$E$32)*100,"n/a"),"n/a")</f>
        <v>1.81818181818182</v>
      </c>
      <c r="U12" s="7" t="n">
        <f aca="false">IFERROR(IF(ISNUMBER(T12),$C12*T12,"n/a"),"n/a")</f>
        <v>0.0738846779236862</v>
      </c>
      <c r="V12" s="17" t="n">
        <f aca="false">IFERROR(AVERAGEIF('Pemetaan Variant'!$A$5:$A$32,$B12,'Pemetaan Variant'!$R$5:$R$32),"n/a")</f>
        <v>11000</v>
      </c>
      <c r="W12" s="7" t="n">
        <f aca="false">IFERROR(IF(ISNUMBER(V12),(V12-AVERAGEIF('Pemetaan Variant'!$A$5:$A$32,$B12,'Pemetaan Variant'!$E$5:$E$32))/AVERAGEIF('Pemetaan Variant'!$A$5:$A$32,$B12,'Pemetaan Variant'!$E$5:$E$32)*100,"n/a"),"n/a")</f>
        <v>0</v>
      </c>
      <c r="X12" s="7" t="n">
        <f aca="false">IFERROR(IF(ISNUMBER(W12),$C12*W12,"n/a"),"n/a")</f>
        <v>0</v>
      </c>
      <c r="Y12" s="17" t="n">
        <f aca="false">IFERROR(AVERAGEIF('Pemetaan Variant'!$A$5:$A$32,$B12,'Pemetaan Variant'!$S$5:$S$32),"n/a")</f>
        <v>11666.6666666667</v>
      </c>
      <c r="Z12" s="7" t="n">
        <f aca="false">IFERROR(IF(ISNUMBER(Y12),(Y12-AVERAGEIF('Pemetaan Variant'!$A$5:$A$32,$B12,'Pemetaan Variant'!$E$5:$E$32))/AVERAGEIF('Pemetaan Variant'!$A$5:$A$32,$B12,'Pemetaan Variant'!$E$5:$E$32)*100,"n/a"),"n/a")</f>
        <v>6.06060606060606</v>
      </c>
      <c r="AA12" s="7" t="n">
        <f aca="false">IFERROR(IF(ISNUMBER(Z12),$C12*Z12,"n/a"),"n/a")</f>
        <v>0.24628225974562</v>
      </c>
      <c r="AB12" s="17" t="n">
        <f aca="false">IFERROR(AVERAGEIF('Pemetaan Variant'!$A$5:$A$32,$B12,'Pemetaan Variant'!$T$5:$T$32),"n/a")</f>
        <v>11600</v>
      </c>
      <c r="AC12" s="7" t="n">
        <f aca="false">IFERROR(IF(ISNUMBER(AB12),(AB12-AVERAGEIF('Pemetaan Variant'!$A$5:$A$32,$B12,'Pemetaan Variant'!$E$5:$E$32))/AVERAGEIF('Pemetaan Variant'!$A$5:$A$32,$B12,'Pemetaan Variant'!$E$5:$E$32)*100,"n/a"),"n/a")</f>
        <v>5.45454545454545</v>
      </c>
      <c r="AD12" s="7" t="n">
        <f aca="false">IFERROR(IF(ISNUMBER(AC12),$C12*AC12,"n/a"),"n/a")</f>
        <v>0.221654033771059</v>
      </c>
      <c r="AE12" s="17" t="n">
        <f aca="false">IFERROR(AVERAGEIF('Pemetaan Variant'!$A$5:$A$32,$B12,'Pemetaan Variant'!$U$5:$U$32),"n/a")</f>
        <v>12000</v>
      </c>
      <c r="AF12" s="7" t="n">
        <f aca="false">IFERROR(IF(ISNUMBER(AE12),(AE12-AVERAGEIF('Pemetaan Variant'!$A$5:$A$32,$B12,'Pemetaan Variant'!$F$5:$F$32))/AVERAGEIF('Pemetaan Variant'!$A$5:$A$32,$B12,'Pemetaan Variant'!$F$5:$F$32)*100,"n/a"),"n/a")</f>
        <v>5.88235294117647</v>
      </c>
      <c r="AG12" s="7" t="n">
        <f aca="false">IFERROR(IF(ISNUMBER(AF12),$C12*AF12,"n/a"),"n/a")</f>
        <v>0.239038663870749</v>
      </c>
      <c r="AH12" s="17" t="n">
        <f aca="false">IFERROR(AVERAGEIF('Pemetaan Variant'!$A$5:$A$32,$B12,'Pemetaan Variant'!$V$5:$V$32),"n/a")</f>
        <v>12000</v>
      </c>
      <c r="AI12" s="7" t="n">
        <f aca="false">IFERROR(IF(ISNUMBER(AH12),(AH12-AVERAGEIF('Pemetaan Variant'!$A$5:$A$32,$B12,'Pemetaan Variant'!$F$5:$F$32))/AVERAGEIF('Pemetaan Variant'!$A$5:$A$32,$B12,'Pemetaan Variant'!$F$5:$F$32)*100,"n/a"),"n/a")</f>
        <v>5.88235294117647</v>
      </c>
      <c r="AJ12" s="7" t="n">
        <f aca="false">IFERROR(IF(ISNUMBER(AI12),$C12*AI12,"n/a"),"n/a")</f>
        <v>0.239038663870749</v>
      </c>
      <c r="AK12" s="17" t="n">
        <f aca="false">IFERROR(AVERAGEIF('Pemetaan Variant'!$A$5:$A$32,$B12,'Pemetaan Variant'!$W$5:$W$32),"n/a")</f>
        <v>12000</v>
      </c>
      <c r="AL12" s="7" t="n">
        <f aca="false">IFERROR(IF(ISNUMBER(AK12),(AK12-AVERAGEIF('Pemetaan Variant'!$A$5:$A$32,$B12,'Pemetaan Variant'!$F$5:$F$32))/AVERAGEIF('Pemetaan Variant'!$A$5:$A$32,$B12,'Pemetaan Variant'!$F$5:$F$32)*100,"n/a"),"n/a")</f>
        <v>5.88235294117647</v>
      </c>
      <c r="AM12" s="7" t="n">
        <f aca="false">IFERROR(IF(ISNUMBER(AL12),$C12*AL12,"n/a"),"n/a")</f>
        <v>0.239038663870749</v>
      </c>
      <c r="AN12" s="17" t="n">
        <f aca="false">IFERROR(AVERAGEIF('Pemetaan Variant'!$A$5:$A$32,$B12,'Pemetaan Variant'!$X$5:$X$32),"n/a")</f>
        <v>12000</v>
      </c>
      <c r="AO12" s="7" t="n">
        <f aca="false">IFERROR(IF(ISNUMBER(AN12),(AN12-AVERAGEIF('Pemetaan Variant'!$A$5:$A$32,$B12,'Pemetaan Variant'!$F$5:$F$32))/AVERAGEIF('Pemetaan Variant'!$A$5:$A$32,$B12,'Pemetaan Variant'!$F$5:$F$32)*100,"n/a"),"n/a")</f>
        <v>5.88235294117647</v>
      </c>
      <c r="AP12" s="7" t="n">
        <f aca="false">IFERROR(IF(ISNUMBER(AO12),$C12*AO12,"n/a"),"n/a")</f>
        <v>0.239038663870749</v>
      </c>
      <c r="AQ12" s="17" t="n">
        <f aca="false">IFERROR(AVERAGEIF('Pemetaan Variant'!$A$5:$A$32,$B12,'Pemetaan Variant'!$Y$5:$Y$32),"n/a")</f>
        <v>12000</v>
      </c>
      <c r="AR12" s="7" t="n">
        <f aca="false">IFERROR(IF(ISNUMBER(AQ12),(AQ12-AVERAGEIF('Pemetaan Variant'!$A$5:$A$32,$B12,'Pemetaan Variant'!$F$5:$F$32))/AVERAGEIF('Pemetaan Variant'!$A$5:$A$32,$B12,'Pemetaan Variant'!$F$5:$F$32)*100,"n/a"),"n/a")</f>
        <v>5.88235294117647</v>
      </c>
      <c r="AS12" s="7" t="n">
        <f aca="false">IFERROR(IF(ISNUMBER(AR12),$C12*AR12,"n/a"),"n/a")</f>
        <v>0.239038663870749</v>
      </c>
      <c r="AT12" s="17" t="n">
        <f aca="false">IFERROR(AVERAGEIF('Pemetaan Variant'!$A$5:$A$32,$B12,'Pemetaan Variant'!$Z$5:$Z$32),"n/a")</f>
        <v>12000</v>
      </c>
      <c r="AU12" s="7" t="n">
        <f aca="false">IFERROR(IF(ISNUMBER(AT12),(AT12-AVERAGEIF('Pemetaan Variant'!$A$5:$A$32,$B12,'Pemetaan Variant'!$G$5:$G$32))/AVERAGEIF('Pemetaan Variant'!$A$5:$A$32,$B12,'Pemetaan Variant'!$G$5:$G$32)*100,"n/a"),"n/a")</f>
        <v>0</v>
      </c>
      <c r="AV12" s="7" t="n">
        <f aca="false">IFERROR(IF(ISNUMBER(AU12),$C12*AU12,"n/a"),"n/a")</f>
        <v>0</v>
      </c>
      <c r="AW12" s="17" t="n">
        <f aca="false">IFERROR(AVERAGEIF('Pemetaan Variant'!$A$5:$A$32,$B12,'Pemetaan Variant'!$AA$5:$AA$32),"n/a")</f>
        <v>12000</v>
      </c>
      <c r="AX12" s="7" t="n">
        <f aca="false">IFERROR(IF(ISNUMBER(AW12),(AW12-AVERAGEIF('Pemetaan Variant'!$A$5:$A$32,$B12,'Pemetaan Variant'!$G$5:$G$32))/AVERAGEIF('Pemetaan Variant'!$A$5:$A$32,$B12,'Pemetaan Variant'!$G$5:$G$32)*100,"n/a"),"n/a")</f>
        <v>0</v>
      </c>
      <c r="AY12" s="7" t="n">
        <f aca="false">IFERROR(IF(ISNUMBER(AX12),$C12*AX12,"n/a"),"n/a")</f>
        <v>0</v>
      </c>
      <c r="AZ12" s="17" t="n">
        <f aca="false">IFERROR(AVERAGEIF('Pemetaan Variant'!$A$5:$A$32,$B12,'Pemetaan Variant'!$AB$5:$AB$32),"n/a")</f>
        <v>12000</v>
      </c>
      <c r="BA12" s="7" t="n">
        <f aca="false">IFERROR(IF(ISNUMBER(AZ12),(AZ12-AVERAGEIF('Pemetaan Variant'!$A$5:$A$32,$B12,'Pemetaan Variant'!$G$5:$G$32))/AVERAGEIF('Pemetaan Variant'!$A$5:$A$32,$B12,'Pemetaan Variant'!$G$5:$G$32)*100,"n/a"),"n/a")</f>
        <v>0</v>
      </c>
      <c r="BB12" s="7" t="n">
        <f aca="false">IFERROR(IF(ISNUMBER(BA12),$C12*BA12,"n/a"),"n/a")</f>
        <v>0</v>
      </c>
      <c r="BC12" s="17" t="n">
        <f aca="false">IFERROR(AVERAGEIF('Pemetaan Variant'!$A$5:$A$32,$B12,'Pemetaan Variant'!$AC$5:$AC$32),"n/a")</f>
        <v>12000</v>
      </c>
      <c r="BD12" s="7" t="n">
        <f aca="false">IFERROR(IF(ISNUMBER(BC12),(BC12-AVERAGEIF('Pemetaan Variant'!$A$5:$A$32,$B12,'Pemetaan Variant'!$G$5:$G$32))/AVERAGEIF('Pemetaan Variant'!$A$5:$A$32,$B12,'Pemetaan Variant'!$G$5:$G$32)*100,"n/a"),"n/a")</f>
        <v>0</v>
      </c>
      <c r="BE12" s="7" t="n">
        <f aca="false">IFERROR(IF(ISNUMBER(BD12),$C12*BD12,"n/a"),"n/a")</f>
        <v>0</v>
      </c>
      <c r="BF12" s="17" t="n">
        <f aca="false">IFERROR(AVERAGEIF('Pemetaan Variant'!$A$5:$A$32,$B12,'Pemetaan Variant'!$AD$5:$AD$32),"n/a")</f>
        <v>12000</v>
      </c>
      <c r="BG12" s="7" t="n">
        <f aca="false">IFERROR(IF(ISNUMBER(BF12),(BF12-AVERAGEIF('Pemetaan Variant'!$A$5:$A$32,$B12,'Pemetaan Variant'!$G$5:$G$32))/AVERAGEIF('Pemetaan Variant'!$A$5:$A$32,$B12,'Pemetaan Variant'!$G$5:$G$32)*100,"n/a"),"n/a")</f>
        <v>0</v>
      </c>
      <c r="BH12" s="7" t="n">
        <f aca="false">IFERROR(IF(ISNUMBER(BG12),$C12*BG12,"n/a"),"n/a")</f>
        <v>0</v>
      </c>
      <c r="BI12" s="17" t="str">
        <f aca="false">IFERROR(AVERAGEIF('Pemetaan Variant'!$A$5:$A$32,$B12,'Pemetaan Variant'!$AE$5:$AE$32),"n/a")</f>
        <v>n/a</v>
      </c>
      <c r="BJ12" s="7" t="str">
        <f aca="false">IFERROR(IF(ISNUMBER(BI12),(BI12-AVERAGEIF('Pemetaan Variant'!$A$5:$A$32,$B12,'Pemetaan Variant'!$H$5:$H$32))/AVERAGEIF('Pemetaan Variant'!$A$5:$A$32,$B12,'Pemetaan Variant'!$H$5:$H$32)*100,"n/a"),"n/a")</f>
        <v>n/a</v>
      </c>
      <c r="BK12" s="7" t="str">
        <f aca="false">IFERROR(IF(ISNUMBER(BJ12),$C12*BJ12,"n/a"),"n/a")</f>
        <v>n/a</v>
      </c>
      <c r="BL12" s="17" t="n">
        <f aca="false">IFERROR(AVERAGEIF('Pemetaan Variant'!$A$5:$A$32,$B12,'Pemetaan Variant'!$AF$5:$AF$32),"n/a")</f>
        <v>12000</v>
      </c>
      <c r="BM12" s="7" t="n">
        <f aca="false">IFERROR(IF(ISNUMBER(BL12),(BL12-AVERAGEIF('Pemetaan Variant'!$A$5:$A$32,$B12,'Pemetaan Variant'!$H$5:$H$32))/AVERAGEIF('Pemetaan Variant'!$A$5:$A$32,$B12,'Pemetaan Variant'!$H$5:$H$32)*100,"n/a"),"n/a")</f>
        <v>0</v>
      </c>
      <c r="BN12" s="7" t="n">
        <f aca="false">IFERROR(IF(ISNUMBER(BM12),$C12*BM12,"n/a"),"n/a")</f>
        <v>0</v>
      </c>
      <c r="BO12" s="17" t="n">
        <f aca="false">IFERROR(AVERAGEIF('Pemetaan Variant'!$A$5:$A$32,$B12,'Pemetaan Variant'!$AG$5:$AG$32),"n/a")</f>
        <v>12000</v>
      </c>
      <c r="BP12" s="7" t="n">
        <f aca="false">IFERROR(IF(ISNUMBER(BO12),(BO12-AVERAGEIF('Pemetaan Variant'!$A$5:$A$32,$B12,'Pemetaan Variant'!$H$5:$H$32))/AVERAGEIF('Pemetaan Variant'!$A$5:$A$32,$B12,'Pemetaan Variant'!$H$5:$H$32)*100,"n/a"),"n/a")</f>
        <v>0</v>
      </c>
      <c r="BQ12" s="7" t="n">
        <f aca="false">IFERROR(IF(ISNUMBER(BP12),$C12*BP12,"n/a"),"n/a")</f>
        <v>0</v>
      </c>
      <c r="BR12" s="17" t="n">
        <f aca="false">IFERROR(AVERAGEIF('Pemetaan Variant'!$A$5:$A$32,$B12,'Pemetaan Variant'!$AH$5:$AH$32),"n/a")</f>
        <v>12000</v>
      </c>
      <c r="BS12" s="7" t="n">
        <f aca="false">IFERROR(IF(ISNUMBER(BR12),(BR12-AVERAGEIF('Pemetaan Variant'!$A$5:$A$32,$B12,'Pemetaan Variant'!$H$5:$H$32))/AVERAGEIF('Pemetaan Variant'!$A$5:$A$32,$B12,'Pemetaan Variant'!$H$5:$H$32)*100,"n/a"),"n/a")</f>
        <v>0</v>
      </c>
      <c r="BT12" s="7" t="n">
        <f aca="false">IFERROR(IF(ISNUMBER(BS12),$C12*BS12,"n/a"),"n/a")</f>
        <v>0</v>
      </c>
      <c r="BU12" s="17" t="n">
        <f aca="false">IFERROR(AVERAGEIF('Pemetaan Variant'!$A$5:$A$32,$B12,'Pemetaan Variant'!$AI$5:$AI$32),"n/a")</f>
        <v>12000</v>
      </c>
      <c r="BV12" s="7" t="n">
        <f aca="false">IFERROR(IF(ISNUMBER(BU12),(BU12-AVERAGEIF('Pemetaan Variant'!$A$5:$A$32,$B12,'Pemetaan Variant'!$H$5:$H$32))/AVERAGEIF('Pemetaan Variant'!$A$5:$A$32,$B12,'Pemetaan Variant'!$H$5:$H$32)*100,"n/a"),"n/a")</f>
        <v>0</v>
      </c>
      <c r="BW12" s="7" t="n">
        <f aca="false">IFERROR(IF(ISNUMBER(BV12),$C12*BV12,"n/a"),"n/a")</f>
        <v>0</v>
      </c>
      <c r="BX12" s="17" t="n">
        <f aca="false">IFERROR(AVERAGEIF('Pemetaan Variant'!$A$5:$A$32,$B12,'Pemetaan Variant'!$AJ$5:$AJ$32),"n/a")</f>
        <v>12000</v>
      </c>
      <c r="BY12" s="7" t="n">
        <f aca="false">IFERROR(IF(ISNUMBER(BX12),(BX12-AVERAGEIF('Pemetaan Variant'!$A$5:$A$32,$B12,'Pemetaan Variant'!$I$5:$I$32))/AVERAGEIF('Pemetaan Variant'!$A$5:$A$32,$B12,'Pemetaan Variant'!$I$5:$I$32)*100,"n/a"),"n/a")</f>
        <v>0</v>
      </c>
      <c r="BZ12" s="7" t="n">
        <f aca="false">IFERROR(IF(ISNUMBER(BY12),$C12*BY12,"n/a"),"n/a")</f>
        <v>0</v>
      </c>
      <c r="CA12" s="17" t="n">
        <f aca="false">IFERROR(AVERAGEIF('Pemetaan Variant'!$A$5:$A$32,$B12,'Pemetaan Variant'!$AK$5:$AK$32),"n/a")</f>
        <v>12000</v>
      </c>
      <c r="CB12" s="7" t="n">
        <f aca="false">IFERROR(IF(ISNUMBER(CA12),(CA12-AVERAGEIF('Pemetaan Variant'!$A$5:$A$32,$B12,'Pemetaan Variant'!$I$5:$I$32))/AVERAGEIF('Pemetaan Variant'!$A$5:$A$32,$B12,'Pemetaan Variant'!$I$5:$I$32)*100,"n/a"),"n/a")</f>
        <v>0</v>
      </c>
      <c r="CC12" s="7" t="n">
        <f aca="false">IFERROR(IF(ISNUMBER(CB12),$C12*CB12,"n/a"),"n/a")</f>
        <v>0</v>
      </c>
      <c r="CD12" s="17" t="n">
        <f aca="false">IFERROR(AVERAGEIF('Pemetaan Variant'!$A$5:$A$32,$B12,'Pemetaan Variant'!$AL$5:$AL$32),"n/a")</f>
        <v>12000</v>
      </c>
      <c r="CE12" s="7" t="n">
        <f aca="false">IFERROR(IF(ISNUMBER(CD12),(CD12-AVERAGEIF('Pemetaan Variant'!$A$5:$A$32,$B12,'Pemetaan Variant'!$I$5:$I$32))/AVERAGEIF('Pemetaan Variant'!$A$5:$A$32,$B12,'Pemetaan Variant'!$I$5:$I$32)*100,"n/a"),"n/a")</f>
        <v>0</v>
      </c>
      <c r="CF12" s="7" t="n">
        <f aca="false">IFERROR(IF(ISNUMBER(CE12),$C12*CE12,"n/a"),"n/a")</f>
        <v>0</v>
      </c>
      <c r="CG12" s="17" t="n">
        <f aca="false">IFERROR(AVERAGEIF('Pemetaan Variant'!$A$5:$A$32,$B12,'Pemetaan Variant'!$AM$5:$AM$32),"n/a")</f>
        <v>12000</v>
      </c>
      <c r="CH12" s="7" t="n">
        <f aca="false">IFERROR(IF(ISNUMBER(CG12),(CG12-AVERAGEIF('Pemetaan Variant'!$A$5:$A$32,$B12,'Pemetaan Variant'!$I$5:$I$32))/AVERAGEIF('Pemetaan Variant'!$A$5:$A$32,$B12,'Pemetaan Variant'!$I$5:$I$32)*100,"n/a"),"n/a")</f>
        <v>0</v>
      </c>
      <c r="CI12" s="7" t="n">
        <f aca="false">IFERROR(IF(ISNUMBER(CH12),$C12*CH12,"n/a"),"n/a")</f>
        <v>0</v>
      </c>
      <c r="CJ12" s="17" t="n">
        <f aca="false">IFERROR(AVERAGEIF('Pemetaan Variant'!$A$5:$A$32,$B12,'Pemetaan Variant'!$AN$5:$AN$32),"n/a")</f>
        <v>12000</v>
      </c>
      <c r="CK12" s="7" t="n">
        <f aca="false">IFERROR(IF(ISNUMBER(CJ12),(CJ12-AVERAGEIF('Pemetaan Variant'!$A$5:$A$32,$B12,'Pemetaan Variant'!$I$5:$I$32))/AVERAGEIF('Pemetaan Variant'!$A$5:$A$32,$B12,'Pemetaan Variant'!$I$5:$I$32)*100,"n/a"),"n/a")</f>
        <v>0</v>
      </c>
      <c r="CL12" s="7" t="n">
        <f aca="false">IFERROR(IF(ISNUMBER(CK12),$C12*CK12,"n/a"),"n/a")</f>
        <v>0</v>
      </c>
      <c r="CM12" s="17" t="n">
        <f aca="false">IFERROR(AVERAGEIF('Pemetaan Variant'!$A$5:$A$32,$B12,'Pemetaan Variant'!$AO$5:$AO$32),"n/a")</f>
        <v>12000</v>
      </c>
      <c r="CN12" s="7" t="n">
        <f aca="false">IFERROR(IF(ISNUMBER(CM12),(CM12-AVERAGEIF('Pemetaan Variant'!$A$5:$A$32,$B12,'Pemetaan Variant'!$J$5:$J$32))/AVERAGEIF('Pemetaan Variant'!$A$5:$A$32,$B12,'Pemetaan Variant'!$J$5:$J$32)*100,"n/a"),"n/a")</f>
        <v>0</v>
      </c>
      <c r="CO12" s="7" t="n">
        <f aca="false">IFERROR(IF(ISNUMBER(CN12),$C12*CN12,"n/a"),"n/a")</f>
        <v>0</v>
      </c>
      <c r="CP12" s="17" t="n">
        <f aca="false">IFERROR(AVERAGEIF('Pemetaan Variant'!$A$5:$A$32,$B12,'Pemetaan Variant'!$AP$5:$AP$32),"n/a")</f>
        <v>12000</v>
      </c>
      <c r="CQ12" s="7" t="n">
        <f aca="false">IFERROR(IF(ISNUMBER(CP12),(CP12-AVERAGEIF('Pemetaan Variant'!$A$5:$A$32,$B12,'Pemetaan Variant'!$J$5:$J$32))/AVERAGEIF('Pemetaan Variant'!$A$5:$A$32,$B12,'Pemetaan Variant'!$J$5:$J$32)*100,"n/a"),"n/a")</f>
        <v>0</v>
      </c>
      <c r="CR12" s="7" t="n">
        <f aca="false">IFERROR(IF(ISNUMBER(CQ12),$C12*CQ12,"n/a"),"n/a")</f>
        <v>0</v>
      </c>
      <c r="CS12" s="17" t="n">
        <f aca="false">IFERROR(AVERAGEIF('Pemetaan Variant'!$A$5:$A$32,$B12,'Pemetaan Variant'!$AQ$5:$AQ$32),"n/a")</f>
        <v>12000</v>
      </c>
      <c r="CT12" s="7" t="n">
        <f aca="false">IFERROR(IF(ISNUMBER(CS12),(CS12-AVERAGEIF('Pemetaan Variant'!$A$5:$A$32,$B12,'Pemetaan Variant'!$J$5:$J$32))/AVERAGEIF('Pemetaan Variant'!$A$5:$A$32,$B12,'Pemetaan Variant'!$J$5:$J$32)*100,"n/a"),"n/a")</f>
        <v>0</v>
      </c>
      <c r="CU12" s="7" t="n">
        <f aca="false">IFERROR(IF(ISNUMBER(CT12),$C12*CT12,"n/a"),"n/a")</f>
        <v>0</v>
      </c>
      <c r="CV12" s="17" t="n">
        <f aca="false">IFERROR(AVERAGEIF('Pemetaan Variant'!$A$5:$A$32,$B12,'Pemetaan Variant'!$AR$5:$AR$32),"n/a")</f>
        <v>12000</v>
      </c>
      <c r="CW12" s="7" t="n">
        <f aca="false">IFERROR(IF(ISNUMBER(CV12),(CV12-AVERAGEIF('Pemetaan Variant'!$A$5:$A$32,$B12,'Pemetaan Variant'!$J$5:$J$32))/AVERAGEIF('Pemetaan Variant'!$A$5:$A$32,$B12,'Pemetaan Variant'!$J$5:$J$32)*100,"n/a"),"n/a")</f>
        <v>0</v>
      </c>
      <c r="CX12" s="7" t="n">
        <f aca="false">IFERROR(IF(ISNUMBER(CW12),$C12*CW12,"n/a"),"n/a")</f>
        <v>0</v>
      </c>
      <c r="CY12" s="17" t="n">
        <f aca="false">IFERROR(AVERAGEIF('Pemetaan Variant'!$A$5:$A$32,$B12,'Pemetaan Variant'!$AS$5:$AS$32),"n/a")</f>
        <v>12000</v>
      </c>
      <c r="CZ12" s="7" t="n">
        <f aca="false">IFERROR(IF(ISNUMBER(CY12),(CY12-AVERAGEIF('Pemetaan Variant'!$A$5:$A$32,$B12,'Pemetaan Variant'!$J$5:$J$32))/AVERAGEIF('Pemetaan Variant'!$A$5:$A$32,$B12,'Pemetaan Variant'!$J$5:$J$32)*100,"n/a"),"n/a")</f>
        <v>0</v>
      </c>
      <c r="DA12" s="7" t="n">
        <f aca="false">IFERROR(IF(ISNUMBER(CZ12),$C12*CZ12,"n/a"),"n/a")</f>
        <v>0</v>
      </c>
      <c r="DB12" s="17" t="n">
        <f aca="false">IFERROR(AVERAGEIF('Pemetaan Variant'!$A$5:$A$32,$B12,'Pemetaan Variant'!$AT$5:$AT$32),"n/a")</f>
        <v>12000</v>
      </c>
      <c r="DC12" s="7" t="n">
        <f aca="false">IFERROR(IF(ISNUMBER(DB12),(DB12-AVERAGEIF('Pemetaan Variant'!$A$5:$A$32,$B12,'Pemetaan Variant'!$K$5:$K$32))/AVERAGEIF('Pemetaan Variant'!$A$5:$A$32,$B12,'Pemetaan Variant'!$K$5:$K$32)*100,"n/a"),"n/a")</f>
        <v>0</v>
      </c>
      <c r="DD12" s="7" t="n">
        <f aca="false">IFERROR(IF(ISNUMBER(DC12),$C12*DC12,"n/a"),"n/a")</f>
        <v>0</v>
      </c>
      <c r="DE12" s="17" t="n">
        <f aca="false">IFERROR(AVERAGEIF('Pemetaan Variant'!$A$5:$A$32,$B12,'Pemetaan Variant'!$AU$5:$AU$32),"n/a")</f>
        <v>12000</v>
      </c>
      <c r="DF12" s="7" t="n">
        <f aca="false">IFERROR(IF(ISNUMBER(DE12),(DE12-AVERAGEIF('Pemetaan Variant'!$A$5:$A$32,$B12,'Pemetaan Variant'!$K$5:$K$32))/AVERAGEIF('Pemetaan Variant'!$A$5:$A$32,$B12,'Pemetaan Variant'!$K$5:$K$32)*100,"n/a"),"n/a")</f>
        <v>0</v>
      </c>
      <c r="DG12" s="7" t="n">
        <f aca="false">IFERROR(IF(ISNUMBER(DF12),$C12*DF12,"n/a"),"n/a")</f>
        <v>0</v>
      </c>
      <c r="DH12" s="17" t="n">
        <f aca="false">IFERROR(AVERAGEIF('Pemetaan Variant'!$A$5:$A$32,$B12,'Pemetaan Variant'!$AV$5:$AV$32),"n/a")</f>
        <v>12000</v>
      </c>
      <c r="DI12" s="7" t="n">
        <f aca="false">IFERROR(IF(ISNUMBER(DH12),(DH12-AVERAGEIF('Pemetaan Variant'!$A$5:$A$32,$B12,'Pemetaan Variant'!$K$5:$K$32))/AVERAGEIF('Pemetaan Variant'!$A$5:$A$32,$B12,'Pemetaan Variant'!$K$5:$K$32)*100,"n/a"),"n/a")</f>
        <v>0</v>
      </c>
      <c r="DJ12" s="7" t="n">
        <f aca="false">IFERROR(IF(ISNUMBER(DI12),$C12*DI12,"n/a"),"n/a")</f>
        <v>0</v>
      </c>
      <c r="DK12" s="17" t="n">
        <f aca="false">IFERROR(AVERAGEIF('Pemetaan Variant'!$A$5:$A$32,$B12,'Pemetaan Variant'!$AW$5:$AW$32),"n/a")</f>
        <v>12000</v>
      </c>
      <c r="DL12" s="7" t="n">
        <f aca="false">IFERROR(IF(ISNUMBER(DK12),(DK12-AVERAGEIF('Pemetaan Variant'!$A$5:$A$32,$B12,'Pemetaan Variant'!$K$5:$K$32))/AVERAGEIF('Pemetaan Variant'!$A$5:$A$32,$B12,'Pemetaan Variant'!$K$5:$K$32)*100,"n/a"),"n/a")</f>
        <v>0</v>
      </c>
      <c r="DM12" s="7" t="n">
        <f aca="false">IFERROR(IF(ISNUMBER(DL12),$C12*DL12,"n/a"),"n/a")</f>
        <v>0</v>
      </c>
      <c r="DN12" s="17" t="str">
        <f aca="false">IFERROR(AVERAGEIF('Pemetaan Variant'!$A$5:$A$32,$B12,'Pemetaan Variant'!$AX$5:$AX$32),"n/a")</f>
        <v>n/a</v>
      </c>
      <c r="DO12" s="7" t="str">
        <f aca="false">IFERROR(IF(ISNUMBER(DN12),(DN12-AVERAGEIF('Pemetaan Variant'!$A$5:$A$32,$B12,'Pemetaan Variant'!$K$5:$K$32))/AVERAGEIF('Pemetaan Variant'!$A$5:$A$32,$B12,'Pemetaan Variant'!$K$5:$K$32)*100,"n/a"),"n/a")</f>
        <v>n/a</v>
      </c>
      <c r="DP12" s="7" t="str">
        <f aca="false">IFERROR(IF(ISNUMBER(DO12),$C12*DO12,"n/a"),"n/a")</f>
        <v>n/a</v>
      </c>
      <c r="DQ12" s="18" t="n">
        <f aca="false">IFERROR(AVERAGEIF('Pemetaan Variant'!$A$5:$A$32,$B12,'Pemetaan Variant'!$AZ$5:$AZ$32),"n/a")</f>
        <v>12000</v>
      </c>
      <c r="DR12" s="11" t="n">
        <f aca="false">IFERROR(IF(ISNUMBER(DQ12),(DQ12-AVERAGEIF('Pemetaan Variant'!$A$5:$A$32,$B12,'Pemetaan Variant'!$AY$5:$AY$32))/AVERAGEIF('Pemetaan Variant'!$A$5:$A$32,$B12,'Pemetaan Variant'!$AY$5:$AY$32)*100,"n/a"),"n/a")</f>
        <v>0</v>
      </c>
      <c r="DS12" s="11" t="n">
        <f aca="false">IFERROR(IF(ISNUMBER(DR12),$C12*DR12,"n/a"),"n/a")</f>
        <v>0</v>
      </c>
      <c r="DT12" s="18" t="str">
        <f aca="false">IFERROR(AVERAGEIF('Pemetaan Variant'!$A$5:$A$32,$B12,'Pemetaan Variant'!$BA$5:$BA$32),"n/a")</f>
        <v>n/a</v>
      </c>
      <c r="DU12" s="11" t="str">
        <f aca="false">IFERROR(IF(ISNUMBER(DT12),(DT12-AVERAGEIF('Pemetaan Variant'!$A$5:$A$32,$B12,'Pemetaan Variant'!$AY$5:$AY$32))/AVERAGEIF('Pemetaan Variant'!$A$5:$A$32,$B12,'Pemetaan Variant'!$AY$5:$AY$32)*100,"n/a"),"n/a")</f>
        <v>n/a</v>
      </c>
      <c r="DV12" s="11" t="str">
        <f aca="false">IFERROR(IF(ISNUMBER(DU12),$C12*DU12,"n/a"),"n/a")</f>
        <v>n/a</v>
      </c>
      <c r="DW12" s="18" t="str">
        <f aca="false">IFERROR(AVERAGEIF('Pemetaan Variant'!$A$5:$A$32,$B12,'Pemetaan Variant'!$BB$5:$BB$32),"n/a")</f>
        <v>n/a</v>
      </c>
      <c r="DX12" s="11" t="str">
        <f aca="false">IFERROR(IF(ISNUMBER(DW12),(DW12-AVERAGEIF('Pemetaan Variant'!$A$5:$A$32,$B12,'Pemetaan Variant'!$AY$5:$AY$32))/AVERAGEIF('Pemetaan Variant'!$A$5:$A$32,$B12,'Pemetaan Variant'!$AY$5:$AY$32)*100,"n/a"),"n/a")</f>
        <v>n/a</v>
      </c>
      <c r="DY12" s="11" t="str">
        <f aca="false">IFERROR(IF(ISNUMBER(DX12),$C12*DX12,"n/a"),"n/a")</f>
        <v>n/a</v>
      </c>
      <c r="DZ12" s="18" t="str">
        <f aca="false">IFERROR(AVERAGEIF('Pemetaan Variant'!$A$5:$A$32,$B12,'Pemetaan Variant'!$BC$5:$BC$32),"n/a")</f>
        <v>n/a</v>
      </c>
      <c r="EA12" s="11" t="str">
        <f aca="false">IFERROR(IF(ISNUMBER(DZ12),(DZ12-AVERAGEIF('Pemetaan Variant'!$A$5:$A$32,$B12,'Pemetaan Variant'!$AY$5:$AY$32))/AVERAGEIF('Pemetaan Variant'!$A$5:$A$32,$B12,'Pemetaan Variant'!$AY$5:$AY$32)*100,"n/a"),"n/a")</f>
        <v>n/a</v>
      </c>
      <c r="EB12" s="11" t="str">
        <f aca="false">IFERROR(IF(ISNUMBER(EA12),$C12*EA12,"n/a"),"n/a")</f>
        <v>n/a</v>
      </c>
      <c r="EC12" s="18" t="str">
        <f aca="false">IFERROR(AVERAGEIF('Pemetaan Variant'!$A$5:$A$32,$B12,'Pemetaan Variant'!$BD$5:$BD$32),"n/a")</f>
        <v>n/a</v>
      </c>
      <c r="ED12" s="11" t="str">
        <f aca="false">IFERROR(IF(ISNUMBER(EC12),(EC12-AVERAGEIF('Pemetaan Variant'!$A$5:$A$32,$B12,'Pemetaan Variant'!$AY$5:$AY$32))/AVERAGEIF('Pemetaan Variant'!$A$5:$A$32,$B12,'Pemetaan Variant'!$AY$5:$AY$32)*100,"n/a"),"n/a")</f>
        <v>n/a</v>
      </c>
      <c r="EE12" s="11" t="str">
        <f aca="false">IFERROR(IF(ISNUMBER(ED12),$C12*ED12,"n/a"),"n/a")</f>
        <v>n/a</v>
      </c>
      <c r="EG12" s="11" t="n">
        <f aca="false">IFERROR(ABS(F12),0)</f>
        <v>0.136022001198418</v>
      </c>
      <c r="EH12" s="11" t="n">
        <f aca="false">IFERROR(ABS(I12),0)</f>
        <v>0.136022001198418</v>
      </c>
      <c r="EI12" s="11" t="n">
        <f aca="false">IFERROR(ABS(L12),0)</f>
        <v>0.136022001198418</v>
      </c>
      <c r="EJ12" s="11" t="n">
        <f aca="false">IFERROR(ABS(O12),0)</f>
        <v>0.136022001198418</v>
      </c>
      <c r="EK12" s="11" t="n">
        <f aca="false">IFERROR(ABS(R12),0)</f>
        <v>0.136022001198418</v>
      </c>
      <c r="EL12" s="11" t="n">
        <f aca="false">IFERROR(ABS(U12),0)</f>
        <v>0.0738846779236862</v>
      </c>
      <c r="EM12" s="11" t="n">
        <f aca="false">IFERROR(ABS(X12),0)</f>
        <v>0</v>
      </c>
      <c r="EN12" s="11" t="n">
        <f aca="false">IFERROR(ABS(AA12),0)</f>
        <v>0.24628225974562</v>
      </c>
      <c r="EO12" s="11" t="n">
        <f aca="false">IFERROR(ABS(AD12),0)</f>
        <v>0.221654033771059</v>
      </c>
      <c r="EP12" s="11" t="n">
        <f aca="false">IFERROR(ABS(AG12),0)</f>
        <v>0.239038663870749</v>
      </c>
      <c r="EQ12" s="11" t="n">
        <f aca="false">IFERROR(ABS(AJ12),0)</f>
        <v>0.239038663870749</v>
      </c>
      <c r="ER12" s="11" t="n">
        <f aca="false">IFERROR(ABS(AM12),0)</f>
        <v>0.239038663870749</v>
      </c>
      <c r="ES12" s="11" t="n">
        <f aca="false">IFERROR(ABS(AP12),0)</f>
        <v>0.239038663870749</v>
      </c>
      <c r="ET12" s="11" t="n">
        <f aca="false">IFERROR(ABS(AS12),0)</f>
        <v>0.239038663870749</v>
      </c>
      <c r="EU12" s="11" t="n">
        <f aca="false">IFERROR(ABS(AV12),0)</f>
        <v>0</v>
      </c>
      <c r="EV12" s="11" t="n">
        <f aca="false">IFERROR(ABS(AY12),0)</f>
        <v>0</v>
      </c>
      <c r="EW12" s="11" t="n">
        <f aca="false">IFERROR(ABS(BB12),0)</f>
        <v>0</v>
      </c>
      <c r="EX12" s="11" t="n">
        <f aca="false">IFERROR(ABS(BE12),0)</f>
        <v>0</v>
      </c>
      <c r="EY12" s="11" t="n">
        <f aca="false">IFERROR(ABS(BH12),0)</f>
        <v>0</v>
      </c>
      <c r="EZ12" s="11" t="n">
        <f aca="false">IFERROR(ABS(BK12),0)</f>
        <v>0</v>
      </c>
      <c r="FA12" s="11" t="n">
        <f aca="false">IFERROR(ABS(BN12),0)</f>
        <v>0</v>
      </c>
      <c r="FB12" s="11" t="n">
        <f aca="false">IFERROR(ABS(BQ12),0)</f>
        <v>0</v>
      </c>
      <c r="FC12" s="11" t="n">
        <f aca="false">IFERROR(ABS(BT12),0)</f>
        <v>0</v>
      </c>
      <c r="FD12" s="11" t="n">
        <f aca="false">IFERROR(ABS(BW12),0)</f>
        <v>0</v>
      </c>
      <c r="FE12" s="11" t="n">
        <f aca="false">IFERROR(ABS(BZ12),0)</f>
        <v>0</v>
      </c>
      <c r="FF12" s="11" t="n">
        <f aca="false">IFERROR(ABS(CC12),0)</f>
        <v>0</v>
      </c>
      <c r="FG12" s="11" t="n">
        <f aca="false">IFERROR(ABS(CF12),0)</f>
        <v>0</v>
      </c>
      <c r="FH12" s="11" t="n">
        <f aca="false">IFERROR(ABS(CI12),0)</f>
        <v>0</v>
      </c>
      <c r="FI12" s="11" t="n">
        <f aca="false">IFERROR(ABS(CL12),0)</f>
        <v>0</v>
      </c>
      <c r="FJ12" s="11" t="n">
        <f aca="false">IFERROR(ABS(CO12),0)</f>
        <v>0</v>
      </c>
      <c r="FK12" s="11" t="n">
        <f aca="false">IFERROR(ABS(CR12),0)</f>
        <v>0</v>
      </c>
      <c r="FL12" s="11" t="n">
        <f aca="false">IFERROR(ABS(CU12),0)</f>
        <v>0</v>
      </c>
      <c r="FM12" s="11" t="n">
        <f aca="false">IFERROR(ABS(CX12),0)</f>
        <v>0</v>
      </c>
      <c r="FN12" s="11" t="n">
        <f aca="false">IFERROR(ABS(DA12),0)</f>
        <v>0</v>
      </c>
      <c r="FO12" s="11" t="n">
        <f aca="false">IFERROR(ABS(DD12),0)</f>
        <v>0</v>
      </c>
      <c r="FP12" s="11" t="n">
        <f aca="false">IFERROR(ABS(DG12),0)</f>
        <v>0</v>
      </c>
      <c r="FQ12" s="11" t="n">
        <f aca="false">IFERROR(ABS(DJ12),0)</f>
        <v>0</v>
      </c>
      <c r="FR12" s="11" t="n">
        <f aca="false">IFERROR(ABS(DM12),0)</f>
        <v>0</v>
      </c>
      <c r="FS12" s="11" t="n">
        <f aca="false">IFERROR(ABS(DP12),0)</f>
        <v>0</v>
      </c>
      <c r="FT12" s="11" t="n">
        <f aca="false">IFERROR(ABS(DS12),0)</f>
        <v>0</v>
      </c>
      <c r="FU12" s="11" t="n">
        <f aca="false">IFERROR(ABS(DV12),0)</f>
        <v>0</v>
      </c>
      <c r="FV12" s="11" t="n">
        <f aca="false">IFERROR(ABS(DY12),0)</f>
        <v>0</v>
      </c>
      <c r="FW12" s="11" t="n">
        <f aca="false">IFERROR(ABS(EB12),0)</f>
        <v>0</v>
      </c>
      <c r="FX12" s="11" t="n">
        <f aca="false">IFERROR(ABS(EE12),0)</f>
        <v>0</v>
      </c>
    </row>
    <row r="13" customFormat="false" ht="12.75" hidden="false" customHeight="true" outlineLevel="0" collapsed="false">
      <c r="A13" s="5" t="n">
        <v>8</v>
      </c>
      <c r="B13" s="6" t="s">
        <v>197</v>
      </c>
      <c r="C13" s="7" t="n">
        <f aca="false">'P0Q0 Dasar 2022'!F12</f>
        <v>0.0177017323628706</v>
      </c>
      <c r="D13" s="17" t="n">
        <f aca="false">IFERROR(AVERAGEIF('Pemetaan Variant'!$A$5:$A$32,$B13,'Pemetaan Variant'!$L$5:$L$32),"n/a")</f>
        <v>30000</v>
      </c>
      <c r="E13" s="7" t="n">
        <f aca="false">IFERROR(IF(ISNUMBER(D13),(D13-AVERAGEIF('Pemetaan Variant'!$A$5:$A$32,$B13,'Pemetaan Variant'!$D$5:$D$32))/AVERAGEIF('Pemetaan Variant'!$A$5:$A$32,$B13,'Pemetaan Variant'!$D$5:$D$32)*100,"n/a"),"n/a")</f>
        <v>8.43373493975903</v>
      </c>
      <c r="F13" s="7" t="n">
        <f aca="false">IFERROR(IF(ISNUMBER(E13),$C13*E13,"n/a"),"n/a")</f>
        <v>0.149291718723005</v>
      </c>
      <c r="G13" s="17" t="n">
        <f aca="false">IFERROR(AVERAGEIF('Pemetaan Variant'!$A$5:$A$32,$B13,'Pemetaan Variant'!$M$5:$M$32),"n/a")</f>
        <v>30000</v>
      </c>
      <c r="H13" s="7" t="n">
        <f aca="false">IFERROR(IF(ISNUMBER(G13),(G13-AVERAGEIF('Pemetaan Variant'!$A$5:$A$32,$B13,'Pemetaan Variant'!$D$5:$D$32))/AVERAGEIF('Pemetaan Variant'!$A$5:$A$32,$B13,'Pemetaan Variant'!$D$5:$D$32)*100,"n/a"),"n/a")</f>
        <v>8.43373493975903</v>
      </c>
      <c r="I13" s="7" t="n">
        <f aca="false">IFERROR(IF(ISNUMBER(H13),$C13*H13,"n/a"),"n/a")</f>
        <v>0.149291718723005</v>
      </c>
      <c r="J13" s="17" t="n">
        <f aca="false">IFERROR(AVERAGEIF('Pemetaan Variant'!$A$5:$A$32,$B13,'Pemetaan Variant'!$N$5:$N$32),"n/a")</f>
        <v>30000</v>
      </c>
      <c r="K13" s="7" t="n">
        <f aca="false">IFERROR(IF(ISNUMBER(J13),(J13-AVERAGEIF('Pemetaan Variant'!$A$5:$A$32,$B13,'Pemetaan Variant'!$D$5:$D$32))/AVERAGEIF('Pemetaan Variant'!$A$5:$A$32,$B13,'Pemetaan Variant'!$D$5:$D$32)*100,"n/a"),"n/a")</f>
        <v>8.43373493975903</v>
      </c>
      <c r="L13" s="7" t="n">
        <f aca="false">IFERROR(IF(ISNUMBER(K13),$C13*K13,"n/a"),"n/a")</f>
        <v>0.149291718723005</v>
      </c>
      <c r="M13" s="17" t="n">
        <f aca="false">IFERROR(AVERAGEIF('Pemetaan Variant'!$A$5:$A$32,$B13,'Pemetaan Variant'!$O$5:$O$32),"n/a")</f>
        <v>30000</v>
      </c>
      <c r="N13" s="7" t="n">
        <f aca="false">IFERROR(IF(ISNUMBER(M13),(M13-AVERAGEIF('Pemetaan Variant'!$A$5:$A$32,$B13,'Pemetaan Variant'!$D$5:$D$32))/AVERAGEIF('Pemetaan Variant'!$A$5:$A$32,$B13,'Pemetaan Variant'!$D$5:$D$32)*100,"n/a"),"n/a")</f>
        <v>8.43373493975903</v>
      </c>
      <c r="O13" s="7" t="n">
        <f aca="false">IFERROR(IF(ISNUMBER(N13),$C13*N13,"n/a"),"n/a")</f>
        <v>0.149291718723005</v>
      </c>
      <c r="P13" s="17" t="n">
        <f aca="false">IFERROR(AVERAGEIF('Pemetaan Variant'!$A$5:$A$32,$B13,'Pemetaan Variant'!$P$5:$P$32),"n/a")</f>
        <v>30000</v>
      </c>
      <c r="Q13" s="7" t="n">
        <f aca="false">IFERROR(IF(ISNUMBER(P13),(P13-AVERAGEIF('Pemetaan Variant'!$A$5:$A$32,$B13,'Pemetaan Variant'!$D$5:$D$32))/AVERAGEIF('Pemetaan Variant'!$A$5:$A$32,$B13,'Pemetaan Variant'!$D$5:$D$32)*100,"n/a"),"n/a")</f>
        <v>8.43373493975903</v>
      </c>
      <c r="R13" s="7" t="n">
        <f aca="false">IFERROR(IF(ISNUMBER(Q13),$C13*Q13,"n/a"),"n/a")</f>
        <v>0.149291718723005</v>
      </c>
      <c r="S13" s="17" t="n">
        <f aca="false">IFERROR(AVERAGEIF('Pemetaan Variant'!$A$5:$A$32,$B13,'Pemetaan Variant'!$Q$5:$Q$32),"n/a")</f>
        <v>41800</v>
      </c>
      <c r="T13" s="7" t="n">
        <f aca="false">IFERROR(IF(ISNUMBER(S13),(S13-AVERAGEIF('Pemetaan Variant'!$A$5:$A$32,$B13,'Pemetaan Variant'!$E$5:$E$32))/AVERAGEIF('Pemetaan Variant'!$A$5:$A$32,$B13,'Pemetaan Variant'!$E$5:$E$32)*100,"n/a"),"n/a")</f>
        <v>39.3333333333333</v>
      </c>
      <c r="U13" s="7" t="n">
        <f aca="false">IFERROR(IF(ISNUMBER(T13),$C13*T13,"n/a"),"n/a")</f>
        <v>0.696268139606244</v>
      </c>
      <c r="V13" s="17" t="n">
        <f aca="false">IFERROR(AVERAGEIF('Pemetaan Variant'!$A$5:$A$32,$B13,'Pemetaan Variant'!$R$5:$R$32),"n/a")</f>
        <v>33200</v>
      </c>
      <c r="W13" s="7" t="n">
        <f aca="false">IFERROR(IF(ISNUMBER(V13),(V13-AVERAGEIF('Pemetaan Variant'!$A$5:$A$32,$B13,'Pemetaan Variant'!$E$5:$E$32))/AVERAGEIF('Pemetaan Variant'!$A$5:$A$32,$B13,'Pemetaan Variant'!$E$5:$E$32)*100,"n/a"),"n/a")</f>
        <v>10.6666666666667</v>
      </c>
      <c r="X13" s="7" t="n">
        <f aca="false">IFERROR(IF(ISNUMBER(W13),$C13*W13,"n/a"),"n/a")</f>
        <v>0.188818478537286</v>
      </c>
      <c r="Y13" s="17" t="n">
        <f aca="false">IFERROR(AVERAGEIF('Pemetaan Variant'!$A$5:$A$32,$B13,'Pemetaan Variant'!$S$5:$S$32),"n/a")</f>
        <v>71000</v>
      </c>
      <c r="Z13" s="7" t="n">
        <f aca="false">IFERROR(IF(ISNUMBER(Y13),(Y13-AVERAGEIF('Pemetaan Variant'!$A$5:$A$32,$B13,'Pemetaan Variant'!$E$5:$E$32))/AVERAGEIF('Pemetaan Variant'!$A$5:$A$32,$B13,'Pemetaan Variant'!$E$5:$E$32)*100,"n/a"),"n/a")</f>
        <v>136.666666666667</v>
      </c>
      <c r="AA13" s="7" t="n">
        <f aca="false">IFERROR(IF(ISNUMBER(Z13),$C13*Z13,"n/a"),"n/a")</f>
        <v>2.41923675625898</v>
      </c>
      <c r="AB13" s="17" t="n">
        <f aca="false">IFERROR(AVERAGEIF('Pemetaan Variant'!$A$5:$A$32,$B13,'Pemetaan Variant'!$T$5:$T$32),"n/a")</f>
        <v>69000</v>
      </c>
      <c r="AC13" s="7" t="n">
        <f aca="false">IFERROR(IF(ISNUMBER(AB13),(AB13-AVERAGEIF('Pemetaan Variant'!$A$5:$A$32,$B13,'Pemetaan Variant'!$E$5:$E$32))/AVERAGEIF('Pemetaan Variant'!$A$5:$A$32,$B13,'Pemetaan Variant'!$E$5:$E$32)*100,"n/a"),"n/a")</f>
        <v>130</v>
      </c>
      <c r="AD13" s="7" t="n">
        <f aca="false">IFERROR(IF(ISNUMBER(AC13),$C13*AC13,"n/a"),"n/a")</f>
        <v>2.30122520717318</v>
      </c>
      <c r="AE13" s="17" t="n">
        <f aca="false">IFERROR(AVERAGEIF('Pemetaan Variant'!$A$5:$A$32,$B13,'Pemetaan Variant'!$U$5:$U$32),"n/a")</f>
        <v>86000</v>
      </c>
      <c r="AF13" s="7" t="n">
        <f aca="false">IFERROR(IF(ISNUMBER(AE13),(AE13-AVERAGEIF('Pemetaan Variant'!$A$5:$A$32,$B13,'Pemetaan Variant'!$F$5:$F$32))/AVERAGEIF('Pemetaan Variant'!$A$5:$A$32,$B13,'Pemetaan Variant'!$F$5:$F$32)*100,"n/a"),"n/a")</f>
        <v>65.9163987138264</v>
      </c>
      <c r="AG13" s="7" t="n">
        <f aca="false">IFERROR(IF(ISNUMBER(AF13),$C13*AF13,"n/a"),"n/a")</f>
        <v>1.16683444835642</v>
      </c>
      <c r="AH13" s="17" t="n">
        <f aca="false">IFERROR(AVERAGEIF('Pemetaan Variant'!$A$5:$A$32,$B13,'Pemetaan Variant'!$V$5:$V$32),"n/a")</f>
        <v>84000</v>
      </c>
      <c r="AI13" s="7" t="n">
        <f aca="false">IFERROR(IF(ISNUMBER(AH13),(AH13-AVERAGEIF('Pemetaan Variant'!$A$5:$A$32,$B13,'Pemetaan Variant'!$F$5:$F$32))/AVERAGEIF('Pemetaan Variant'!$A$5:$A$32,$B13,'Pemetaan Variant'!$F$5:$F$32)*100,"n/a"),"n/a")</f>
        <v>62.0578778135048</v>
      </c>
      <c r="AJ13" s="7" t="n">
        <f aca="false">IFERROR(IF(ISNUMBER(AI13),$C13*AI13,"n/a"),"n/a")</f>
        <v>1.09853194406239</v>
      </c>
      <c r="AK13" s="17" t="n">
        <f aca="false">IFERROR(AVERAGEIF('Pemetaan Variant'!$A$5:$A$32,$B13,'Pemetaan Variant'!$W$5:$W$32),"n/a")</f>
        <v>85200</v>
      </c>
      <c r="AL13" s="7" t="n">
        <f aca="false">IFERROR(IF(ISNUMBER(AK13),(AK13-AVERAGEIF('Pemetaan Variant'!$A$5:$A$32,$B13,'Pemetaan Variant'!$F$5:$F$32))/AVERAGEIF('Pemetaan Variant'!$A$5:$A$32,$B13,'Pemetaan Variant'!$F$5:$F$32)*100,"n/a"),"n/a")</f>
        <v>64.3729903536977</v>
      </c>
      <c r="AM13" s="7" t="n">
        <f aca="false">IFERROR(IF(ISNUMBER(AL13),$C13*AL13,"n/a"),"n/a")</f>
        <v>1.13951344663881</v>
      </c>
      <c r="AN13" s="17" t="n">
        <f aca="false">IFERROR(AVERAGEIF('Pemetaan Variant'!$A$5:$A$32,$B13,'Pemetaan Variant'!$X$5:$X$32),"n/a")</f>
        <v>60000</v>
      </c>
      <c r="AO13" s="7" t="n">
        <f aca="false">IFERROR(IF(ISNUMBER(AN13),(AN13-AVERAGEIF('Pemetaan Variant'!$A$5:$A$32,$B13,'Pemetaan Variant'!$F$5:$F$32))/AVERAGEIF('Pemetaan Variant'!$A$5:$A$32,$B13,'Pemetaan Variant'!$F$5:$F$32)*100,"n/a"),"n/a")</f>
        <v>15.7556270096463</v>
      </c>
      <c r="AP13" s="7" t="n">
        <f aca="false">IFERROR(IF(ISNUMBER(AO13),$C13*AO13,"n/a"),"n/a")</f>
        <v>0.278901892533974</v>
      </c>
      <c r="AQ13" s="17" t="n">
        <f aca="false">IFERROR(AVERAGEIF('Pemetaan Variant'!$A$5:$A$32,$B13,'Pemetaan Variant'!$Y$5:$Y$32),"n/a")</f>
        <v>67000</v>
      </c>
      <c r="AR13" s="7" t="n">
        <f aca="false">IFERROR(IF(ISNUMBER(AQ13),(AQ13-AVERAGEIF('Pemetaan Variant'!$A$5:$A$32,$B13,'Pemetaan Variant'!$F$5:$F$32))/AVERAGEIF('Pemetaan Variant'!$A$5:$A$32,$B13,'Pemetaan Variant'!$F$5:$F$32)*100,"n/a"),"n/a")</f>
        <v>29.2604501607717</v>
      </c>
      <c r="AS13" s="7" t="n">
        <f aca="false">IFERROR(IF(ISNUMBER(AR13),$C13*AR13,"n/a"),"n/a")</f>
        <v>0.517960657563095</v>
      </c>
      <c r="AT13" s="17" t="n">
        <f aca="false">IFERROR(AVERAGEIF('Pemetaan Variant'!$A$5:$A$32,$B13,'Pemetaan Variant'!$Z$5:$Z$32),"n/a")</f>
        <v>67500</v>
      </c>
      <c r="AU13" s="7" t="n">
        <f aca="false">IFERROR(IF(ISNUMBER(AT13),(AT13-AVERAGEIF('Pemetaan Variant'!$A$5:$A$32,$B13,'Pemetaan Variant'!$G$5:$G$32))/AVERAGEIF('Pemetaan Variant'!$A$5:$A$32,$B13,'Pemetaan Variant'!$G$5:$G$32)*100,"n/a"),"n/a")</f>
        <v>-15.0943396226415</v>
      </c>
      <c r="AV13" s="7" t="n">
        <f aca="false">IFERROR(IF(ISNUMBER(AU13),$C13*AU13,"n/a"),"n/a")</f>
        <v>-0.267195960194273</v>
      </c>
      <c r="AW13" s="17" t="n">
        <f aca="false">IFERROR(AVERAGEIF('Pemetaan Variant'!$A$5:$A$32,$B13,'Pemetaan Variant'!$AA$5:$AA$32),"n/a")</f>
        <v>61200</v>
      </c>
      <c r="AX13" s="7" t="n">
        <f aca="false">IFERROR(IF(ISNUMBER(AW13),(AW13-AVERAGEIF('Pemetaan Variant'!$A$5:$A$32,$B13,'Pemetaan Variant'!$G$5:$G$32))/AVERAGEIF('Pemetaan Variant'!$A$5:$A$32,$B13,'Pemetaan Variant'!$G$5:$G$32)*100,"n/a"),"n/a")</f>
        <v>-23.0188679245283</v>
      </c>
      <c r="AY13" s="7" t="n">
        <f aca="false">IFERROR(IF(ISNUMBER(AX13),$C13*AX13,"n/a"),"n/a")</f>
        <v>-0.407473839296267</v>
      </c>
      <c r="AZ13" s="17" t="n">
        <f aca="false">IFERROR(AVERAGEIF('Pemetaan Variant'!$A$5:$A$32,$B13,'Pemetaan Variant'!$AB$5:$AB$32),"n/a")</f>
        <v>54000</v>
      </c>
      <c r="BA13" s="7" t="n">
        <f aca="false">IFERROR(IF(ISNUMBER(AZ13),(AZ13-AVERAGEIF('Pemetaan Variant'!$A$5:$A$32,$B13,'Pemetaan Variant'!$G$5:$G$32))/AVERAGEIF('Pemetaan Variant'!$A$5:$A$32,$B13,'Pemetaan Variant'!$G$5:$G$32)*100,"n/a"),"n/a")</f>
        <v>-32.0754716981132</v>
      </c>
      <c r="BB13" s="7" t="n">
        <f aca="false">IFERROR(IF(ISNUMBER(BA13),$C13*BA13,"n/a"),"n/a")</f>
        <v>-0.567791415412831</v>
      </c>
      <c r="BC13" s="17" t="n">
        <f aca="false">IFERROR(AVERAGEIF('Pemetaan Variant'!$A$5:$A$32,$B13,'Pemetaan Variant'!$AC$5:$AC$32),"n/a")</f>
        <v>49200</v>
      </c>
      <c r="BD13" s="7" t="n">
        <f aca="false">IFERROR(IF(ISNUMBER(BC13),(BC13-AVERAGEIF('Pemetaan Variant'!$A$5:$A$32,$B13,'Pemetaan Variant'!$G$5:$G$32))/AVERAGEIF('Pemetaan Variant'!$A$5:$A$32,$B13,'Pemetaan Variant'!$G$5:$G$32)*100,"n/a"),"n/a")</f>
        <v>-38.1132075471698</v>
      </c>
      <c r="BE13" s="7" t="n">
        <f aca="false">IFERROR(IF(ISNUMBER(BD13),$C13*BD13,"n/a"),"n/a")</f>
        <v>-0.67466979949054</v>
      </c>
      <c r="BF13" s="17" t="n">
        <f aca="false">IFERROR(AVERAGEIF('Pemetaan Variant'!$A$5:$A$32,$B13,'Pemetaan Variant'!$AD$5:$AD$32),"n/a")</f>
        <v>42500</v>
      </c>
      <c r="BG13" s="7" t="n">
        <f aca="false">IFERROR(IF(ISNUMBER(BF13),(BF13-AVERAGEIF('Pemetaan Variant'!$A$5:$A$32,$B13,'Pemetaan Variant'!$G$5:$G$32))/AVERAGEIF('Pemetaan Variant'!$A$5:$A$32,$B13,'Pemetaan Variant'!$G$5:$G$32)*100,"n/a"),"n/a")</f>
        <v>-46.5408805031447</v>
      </c>
      <c r="BH13" s="7" t="n">
        <f aca="false">IFERROR(IF(ISNUMBER(BG13),$C13*BG13,"n/a"),"n/a")</f>
        <v>-0.823854210599009</v>
      </c>
      <c r="BI13" s="17" t="str">
        <f aca="false">IFERROR(AVERAGEIF('Pemetaan Variant'!$A$5:$A$32,$B13,'Pemetaan Variant'!$AE$5:$AE$32),"n/a")</f>
        <v>n/a</v>
      </c>
      <c r="BJ13" s="7" t="str">
        <f aca="false">IFERROR(IF(ISNUMBER(BI13),(BI13-AVERAGEIF('Pemetaan Variant'!$A$5:$A$32,$B13,'Pemetaan Variant'!$H$5:$H$32))/AVERAGEIF('Pemetaan Variant'!$A$5:$A$32,$B13,'Pemetaan Variant'!$H$5:$H$32)*100,"n/a"),"n/a")</f>
        <v>n/a</v>
      </c>
      <c r="BK13" s="7" t="str">
        <f aca="false">IFERROR(IF(ISNUMBER(BJ13),$C13*BJ13,"n/a"),"n/a")</f>
        <v>n/a</v>
      </c>
      <c r="BL13" s="17" t="n">
        <f aca="false">IFERROR(AVERAGEIF('Pemetaan Variant'!$A$5:$A$32,$B13,'Pemetaan Variant'!$AF$5:$AF$32),"n/a")</f>
        <v>65000</v>
      </c>
      <c r="BM13" s="7" t="n">
        <f aca="false">IFERROR(IF(ISNUMBER(BL13),(BL13-AVERAGEIF('Pemetaan Variant'!$A$5:$A$32,$B13,'Pemetaan Variant'!$H$5:$H$32))/AVERAGEIF('Pemetaan Variant'!$A$5:$A$32,$B13,'Pemetaan Variant'!$H$5:$H$32)*100,"n/a"),"n/a")</f>
        <v>21.1180124223603</v>
      </c>
      <c r="BN13" s="7" t="n">
        <f aca="false">IFERROR(IF(ISNUMBER(BM13),$C13*BM13,"n/a"),"n/a")</f>
        <v>0.373825403936398</v>
      </c>
      <c r="BO13" s="17" t="n">
        <f aca="false">IFERROR(AVERAGEIF('Pemetaan Variant'!$A$5:$A$32,$B13,'Pemetaan Variant'!$AG$5:$AG$32),"n/a")</f>
        <v>73333.3333333333</v>
      </c>
      <c r="BP13" s="7" t="n">
        <f aca="false">IFERROR(IF(ISNUMBER(BO13),(BO13-AVERAGEIF('Pemetaan Variant'!$A$5:$A$32,$B13,'Pemetaan Variant'!$H$5:$H$32))/AVERAGEIF('Pemetaan Variant'!$A$5:$A$32,$B13,'Pemetaan Variant'!$H$5:$H$32)*100,"n/a"),"n/a")</f>
        <v>36.6459627329193</v>
      </c>
      <c r="BQ13" s="7" t="n">
        <f aca="false">IFERROR(IF(ISNUMBER(BP13),$C13*BP13,"n/a"),"n/a")</f>
        <v>0.648697024477867</v>
      </c>
      <c r="BR13" s="17" t="n">
        <f aca="false">IFERROR(AVERAGEIF('Pemetaan Variant'!$A$5:$A$32,$B13,'Pemetaan Variant'!$AH$5:$AH$32),"n/a")</f>
        <v>77600</v>
      </c>
      <c r="BS13" s="7" t="n">
        <f aca="false">IFERROR(IF(ISNUMBER(BR13),(BR13-AVERAGEIF('Pemetaan Variant'!$A$5:$A$32,$B13,'Pemetaan Variant'!$H$5:$H$32))/AVERAGEIF('Pemetaan Variant'!$A$5:$A$32,$B13,'Pemetaan Variant'!$H$5:$H$32)*100,"n/a"),"n/a")</f>
        <v>44.5962732919255</v>
      </c>
      <c r="BT13" s="7" t="n">
        <f aca="false">IFERROR(IF(ISNUMBER(BS13),$C13*BS13,"n/a"),"n/a")</f>
        <v>0.789431294195099</v>
      </c>
      <c r="BU13" s="17" t="n">
        <f aca="false">IFERROR(AVERAGEIF('Pemetaan Variant'!$A$5:$A$32,$B13,'Pemetaan Variant'!$AI$5:$AI$32),"n/a")</f>
        <v>72333.3333333333</v>
      </c>
      <c r="BV13" s="7" t="n">
        <f aca="false">IFERROR(IF(ISNUMBER(BU13),(BU13-AVERAGEIF('Pemetaan Variant'!$A$5:$A$32,$B13,'Pemetaan Variant'!$H$5:$H$32))/AVERAGEIF('Pemetaan Variant'!$A$5:$A$32,$B13,'Pemetaan Variant'!$H$5:$H$32)*100,"n/a"),"n/a")</f>
        <v>34.7826086956522</v>
      </c>
      <c r="BW13" s="7" t="n">
        <f aca="false">IFERROR(IF(ISNUMBER(BV13),$C13*BV13,"n/a"),"n/a")</f>
        <v>0.61571243001289</v>
      </c>
      <c r="BX13" s="17" t="n">
        <f aca="false">IFERROR(AVERAGEIF('Pemetaan Variant'!$A$5:$A$32,$B13,'Pemetaan Variant'!$AJ$5:$AJ$32),"n/a")</f>
        <v>63750</v>
      </c>
      <c r="BY13" s="7" t="n">
        <f aca="false">IFERROR(IF(ISNUMBER(BX13),(BX13-AVERAGEIF('Pemetaan Variant'!$A$5:$A$32,$B13,'Pemetaan Variant'!$I$5:$I$32))/AVERAGEIF('Pemetaan Variant'!$A$5:$A$32,$B13,'Pemetaan Variant'!$I$5:$I$32)*100,"n/a"),"n/a")</f>
        <v>-11.304347826087</v>
      </c>
      <c r="BZ13" s="7" t="n">
        <f aca="false">IFERROR(IF(ISNUMBER(BY13),$C13*BY13,"n/a"),"n/a")</f>
        <v>-0.200106539754189</v>
      </c>
      <c r="CA13" s="17" t="n">
        <f aca="false">IFERROR(AVERAGEIF('Pemetaan Variant'!$A$5:$A$32,$B13,'Pemetaan Variant'!$AK$5:$AK$32),"n/a")</f>
        <v>61600</v>
      </c>
      <c r="CB13" s="7" t="n">
        <f aca="false">IFERROR(IF(ISNUMBER(CA13),(CA13-AVERAGEIF('Pemetaan Variant'!$A$5:$A$32,$B13,'Pemetaan Variant'!$I$5:$I$32))/AVERAGEIF('Pemetaan Variant'!$A$5:$A$32,$B13,'Pemetaan Variant'!$I$5:$I$32)*100,"n/a"),"n/a")</f>
        <v>-14.295652173913</v>
      </c>
      <c r="CC13" s="7" t="n">
        <f aca="false">IFERROR(IF(ISNUMBER(CB13),$C13*CB13,"n/a"),"n/a")</f>
        <v>-0.253057808735298</v>
      </c>
      <c r="CD13" s="17" t="n">
        <f aca="false">IFERROR(AVERAGEIF('Pemetaan Variant'!$A$5:$A$32,$B13,'Pemetaan Variant'!$AL$5:$AL$32),"n/a")</f>
        <v>57250</v>
      </c>
      <c r="CE13" s="7" t="n">
        <f aca="false">IFERROR(IF(ISNUMBER(CD13),(CD13-AVERAGEIF('Pemetaan Variant'!$A$5:$A$32,$B13,'Pemetaan Variant'!$I$5:$I$32))/AVERAGEIF('Pemetaan Variant'!$A$5:$A$32,$B13,'Pemetaan Variant'!$I$5:$I$32)*100,"n/a"),"n/a")</f>
        <v>-20.3478260869565</v>
      </c>
      <c r="CF13" s="7" t="n">
        <f aca="false">IFERROR(IF(ISNUMBER(CE13),$C13*CE13,"n/a"),"n/a")</f>
        <v>-0.360191771557541</v>
      </c>
      <c r="CG13" s="17" t="n">
        <f aca="false">IFERROR(AVERAGEIF('Pemetaan Variant'!$A$5:$A$32,$B13,'Pemetaan Variant'!$AM$5:$AM$32),"n/a")</f>
        <v>50000</v>
      </c>
      <c r="CH13" s="7" t="n">
        <f aca="false">IFERROR(IF(ISNUMBER(CG13),(CG13-AVERAGEIF('Pemetaan Variant'!$A$5:$A$32,$B13,'Pemetaan Variant'!$I$5:$I$32))/AVERAGEIF('Pemetaan Variant'!$A$5:$A$32,$B13,'Pemetaan Variant'!$I$5:$I$32)*100,"n/a"),"n/a")</f>
        <v>-30.4347826086957</v>
      </c>
      <c r="CI13" s="7" t="n">
        <f aca="false">IFERROR(IF(ISNUMBER(CH13),$C13*CH13,"n/a"),"n/a")</f>
        <v>-0.538748376261279</v>
      </c>
      <c r="CJ13" s="17" t="n">
        <f aca="false">IFERROR(AVERAGEIF('Pemetaan Variant'!$A$5:$A$32,$B13,'Pemetaan Variant'!$AN$5:$AN$32),"n/a")</f>
        <v>47500</v>
      </c>
      <c r="CK13" s="7" t="n">
        <f aca="false">IFERROR(IF(ISNUMBER(CJ13),(CJ13-AVERAGEIF('Pemetaan Variant'!$A$5:$A$32,$B13,'Pemetaan Variant'!$I$5:$I$32))/AVERAGEIF('Pemetaan Variant'!$A$5:$A$32,$B13,'Pemetaan Variant'!$I$5:$I$32)*100,"n/a"),"n/a")</f>
        <v>-33.9130434782609</v>
      </c>
      <c r="CL13" s="7" t="n">
        <f aca="false">IFERROR(IF(ISNUMBER(CK13),$C13*CK13,"n/a"),"n/a")</f>
        <v>-0.600319619262568</v>
      </c>
      <c r="CM13" s="17" t="n">
        <f aca="false">IFERROR(AVERAGEIF('Pemetaan Variant'!$A$5:$A$32,$B13,'Pemetaan Variant'!$AO$5:$AO$32),"n/a")</f>
        <v>45000</v>
      </c>
      <c r="CN13" s="7" t="n">
        <f aca="false">IFERROR(IF(ISNUMBER(CM13),(CM13-AVERAGEIF('Pemetaan Variant'!$A$5:$A$32,$B13,'Pemetaan Variant'!$J$5:$J$32))/AVERAGEIF('Pemetaan Variant'!$A$5:$A$32,$B13,'Pemetaan Variant'!$J$5:$J$32)*100,"n/a"),"n/a")</f>
        <v>-20.844327176781</v>
      </c>
      <c r="CO13" s="7" t="n">
        <f aca="false">IFERROR(IF(ISNUMBER(CN13),$C13*CN13,"n/a"),"n/a")</f>
        <v>-0.368980700967488</v>
      </c>
      <c r="CP13" s="17" t="n">
        <f aca="false">IFERROR(AVERAGEIF('Pemetaan Variant'!$A$5:$A$32,$B13,'Pemetaan Variant'!$AP$5:$AP$32),"n/a")</f>
        <v>45000</v>
      </c>
      <c r="CQ13" s="7" t="n">
        <f aca="false">IFERROR(IF(ISNUMBER(CP13),(CP13-AVERAGEIF('Pemetaan Variant'!$A$5:$A$32,$B13,'Pemetaan Variant'!$J$5:$J$32))/AVERAGEIF('Pemetaan Variant'!$A$5:$A$32,$B13,'Pemetaan Variant'!$J$5:$J$32)*100,"n/a"),"n/a")</f>
        <v>-20.844327176781</v>
      </c>
      <c r="CR13" s="7" t="n">
        <f aca="false">IFERROR(IF(ISNUMBER(CQ13),$C13*CQ13,"n/a"),"n/a")</f>
        <v>-0.368980700967488</v>
      </c>
      <c r="CS13" s="17" t="n">
        <f aca="false">IFERROR(AVERAGEIF('Pemetaan Variant'!$A$5:$A$32,$B13,'Pemetaan Variant'!$AQ$5:$AQ$32),"n/a")</f>
        <v>45000</v>
      </c>
      <c r="CT13" s="7" t="n">
        <f aca="false">IFERROR(IF(ISNUMBER(CS13),(CS13-AVERAGEIF('Pemetaan Variant'!$A$5:$A$32,$B13,'Pemetaan Variant'!$J$5:$J$32))/AVERAGEIF('Pemetaan Variant'!$A$5:$A$32,$B13,'Pemetaan Variant'!$J$5:$J$32)*100,"n/a"),"n/a")</f>
        <v>-20.844327176781</v>
      </c>
      <c r="CU13" s="7" t="n">
        <f aca="false">IFERROR(IF(ISNUMBER(CT13),$C13*CT13,"n/a"),"n/a")</f>
        <v>-0.368980700967488</v>
      </c>
      <c r="CV13" s="17" t="n">
        <f aca="false">IFERROR(AVERAGEIF('Pemetaan Variant'!$A$5:$A$32,$B13,'Pemetaan Variant'!$AR$5:$AR$32),"n/a")</f>
        <v>44000</v>
      </c>
      <c r="CW13" s="7" t="n">
        <f aca="false">IFERROR(IF(ISNUMBER(CV13),(CV13-AVERAGEIF('Pemetaan Variant'!$A$5:$A$32,$B13,'Pemetaan Variant'!$J$5:$J$32))/AVERAGEIF('Pemetaan Variant'!$A$5:$A$32,$B13,'Pemetaan Variant'!$J$5:$J$32)*100,"n/a"),"n/a")</f>
        <v>-22.6033421284081</v>
      </c>
      <c r="CX13" s="7" t="n">
        <f aca="false">IFERROR(IF(ISNUMBER(CW13),$C13*CW13,"n/a"),"n/a")</f>
        <v>-0.400118312863478</v>
      </c>
      <c r="CY13" s="17" t="n">
        <f aca="false">IFERROR(AVERAGEIF('Pemetaan Variant'!$A$5:$A$32,$B13,'Pemetaan Variant'!$AS$5:$AS$32),"n/a")</f>
        <v>41200</v>
      </c>
      <c r="CZ13" s="7" t="n">
        <f aca="false">IFERROR(IF(ISNUMBER(CY13),(CY13-AVERAGEIF('Pemetaan Variant'!$A$5:$A$32,$B13,'Pemetaan Variant'!$J$5:$J$32))/AVERAGEIF('Pemetaan Variant'!$A$5:$A$32,$B13,'Pemetaan Variant'!$J$5:$J$32)*100,"n/a"),"n/a")</f>
        <v>-27.5285839929639</v>
      </c>
      <c r="DA13" s="7" t="n">
        <f aca="false">IFERROR(IF(ISNUMBER(CZ13),$C13*CZ13,"n/a"),"n/a")</f>
        <v>-0.487303626172251</v>
      </c>
      <c r="DB13" s="17" t="n">
        <f aca="false">IFERROR(AVERAGEIF('Pemetaan Variant'!$A$5:$A$32,$B13,'Pemetaan Variant'!$AT$5:$AT$32),"n/a")</f>
        <v>40400</v>
      </c>
      <c r="DC13" s="7" t="n">
        <f aca="false">IFERROR(IF(ISNUMBER(DB13),(DB13-AVERAGEIF('Pemetaan Variant'!$A$5:$A$32,$B13,'Pemetaan Variant'!$K$5:$K$32))/AVERAGEIF('Pemetaan Variant'!$A$5:$A$32,$B13,'Pemetaan Variant'!$K$5:$K$32)*100,"n/a"),"n/a")</f>
        <v>-8.09099901088031</v>
      </c>
      <c r="DD13" s="7" t="n">
        <f aca="false">IFERROR(IF(ISNUMBER(DC13),$C13*DC13,"n/a"),"n/a")</f>
        <v>-0.143224699038854</v>
      </c>
      <c r="DE13" s="17" t="n">
        <f aca="false">IFERROR(AVERAGEIF('Pemetaan Variant'!$A$5:$A$32,$B13,'Pemetaan Variant'!$AU$5:$AU$32),"n/a")</f>
        <v>40000</v>
      </c>
      <c r="DF13" s="7" t="n">
        <f aca="false">IFERROR(IF(ISNUMBER(DE13),(DE13-AVERAGEIF('Pemetaan Variant'!$A$5:$A$32,$B13,'Pemetaan Variant'!$K$5:$K$32))/AVERAGEIF('Pemetaan Variant'!$A$5:$A$32,$B13,'Pemetaan Variant'!$K$5:$K$32)*100,"n/a"),"n/a")</f>
        <v>-9.00098911968348</v>
      </c>
      <c r="DG13" s="7" t="n">
        <f aca="false">IFERROR(IF(ISNUMBER(DF13),$C13*DF13,"n/a"),"n/a")</f>
        <v>-0.159333100397747</v>
      </c>
      <c r="DH13" s="17" t="n">
        <f aca="false">IFERROR(AVERAGEIF('Pemetaan Variant'!$A$5:$A$32,$B13,'Pemetaan Variant'!$AV$5:$AV$32),"n/a")</f>
        <v>41500</v>
      </c>
      <c r="DI13" s="7" t="n">
        <f aca="false">IFERROR(IF(ISNUMBER(DH13),(DH13-AVERAGEIF('Pemetaan Variant'!$A$5:$A$32,$B13,'Pemetaan Variant'!$K$5:$K$32))/AVERAGEIF('Pemetaan Variant'!$A$5:$A$32,$B13,'Pemetaan Variant'!$K$5:$K$32)*100,"n/a"),"n/a")</f>
        <v>-5.58852621167161</v>
      </c>
      <c r="DJ13" s="7" t="n">
        <f aca="false">IFERROR(IF(ISNUMBER(DI13),$C13*DI13,"n/a"),"n/a")</f>
        <v>-0.0989265953018979</v>
      </c>
      <c r="DK13" s="17" t="n">
        <f aca="false">IFERROR(AVERAGEIF('Pemetaan Variant'!$A$5:$A$32,$B13,'Pemetaan Variant'!$AW$5:$AW$32),"n/a")</f>
        <v>42750</v>
      </c>
      <c r="DL13" s="7" t="n">
        <f aca="false">IFERROR(IF(ISNUMBER(DK13),(DK13-AVERAGEIF('Pemetaan Variant'!$A$5:$A$32,$B13,'Pemetaan Variant'!$K$5:$K$32))/AVERAGEIF('Pemetaan Variant'!$A$5:$A$32,$B13,'Pemetaan Variant'!$K$5:$K$32)*100,"n/a"),"n/a")</f>
        <v>-2.74480712166172</v>
      </c>
      <c r="DM13" s="7" t="n">
        <f aca="false">IFERROR(IF(ISNUMBER(DL13),$C13*DL13,"n/a"),"n/a")</f>
        <v>-0.0485878410553569</v>
      </c>
      <c r="DN13" s="17" t="str">
        <f aca="false">IFERROR(AVERAGEIF('Pemetaan Variant'!$A$5:$A$32,$B13,'Pemetaan Variant'!$AX$5:$AX$32),"n/a")</f>
        <v>n/a</v>
      </c>
      <c r="DO13" s="7" t="str">
        <f aca="false">IFERROR(IF(ISNUMBER(DN13),(DN13-AVERAGEIF('Pemetaan Variant'!$A$5:$A$32,$B13,'Pemetaan Variant'!$K$5:$K$32))/AVERAGEIF('Pemetaan Variant'!$A$5:$A$32,$B13,'Pemetaan Variant'!$K$5:$K$32)*100,"n/a"),"n/a")</f>
        <v>n/a</v>
      </c>
      <c r="DP13" s="7" t="str">
        <f aca="false">IFERROR(IF(ISNUMBER(DO13),$C13*DO13,"n/a"),"n/a")</f>
        <v>n/a</v>
      </c>
      <c r="DQ13" s="18" t="n">
        <f aca="false">IFERROR(AVERAGEIF('Pemetaan Variant'!$A$5:$A$32,$B13,'Pemetaan Variant'!$AZ$5:$AZ$32),"n/a")</f>
        <v>43000</v>
      </c>
      <c r="DR13" s="11" t="n">
        <f aca="false">IFERROR(IF(ISNUMBER(DQ13),(DQ13-AVERAGEIF('Pemetaan Variant'!$A$5:$A$32,$B13,'Pemetaan Variant'!$AY$5:$AY$32))/AVERAGEIF('Pemetaan Variant'!$A$5:$A$32,$B13,'Pemetaan Variant'!$AY$5:$AY$32)*100,"n/a"),"n/a")</f>
        <v>4.7361299052774</v>
      </c>
      <c r="DS13" s="11" t="n">
        <f aca="false">IFERROR(IF(ISNUMBER(DR13),$C13*DR13,"n/a"),"n/a")</f>
        <v>0.0838377040190083</v>
      </c>
      <c r="DT13" s="18" t="str">
        <f aca="false">IFERROR(AVERAGEIF('Pemetaan Variant'!$A$5:$A$32,$B13,'Pemetaan Variant'!$BA$5:$BA$32),"n/a")</f>
        <v>n/a</v>
      </c>
      <c r="DU13" s="11" t="str">
        <f aca="false">IFERROR(IF(ISNUMBER(DT13),(DT13-AVERAGEIF('Pemetaan Variant'!$A$5:$A$32,$B13,'Pemetaan Variant'!$AY$5:$AY$32))/AVERAGEIF('Pemetaan Variant'!$A$5:$A$32,$B13,'Pemetaan Variant'!$AY$5:$AY$32)*100,"n/a"),"n/a")</f>
        <v>n/a</v>
      </c>
      <c r="DV13" s="11" t="str">
        <f aca="false">IFERROR(IF(ISNUMBER(DU13),$C13*DU13,"n/a"),"n/a")</f>
        <v>n/a</v>
      </c>
      <c r="DW13" s="18" t="str">
        <f aca="false">IFERROR(AVERAGEIF('Pemetaan Variant'!$A$5:$A$32,$B13,'Pemetaan Variant'!$BB$5:$BB$32),"n/a")</f>
        <v>n/a</v>
      </c>
      <c r="DX13" s="11" t="str">
        <f aca="false">IFERROR(IF(ISNUMBER(DW13),(DW13-AVERAGEIF('Pemetaan Variant'!$A$5:$A$32,$B13,'Pemetaan Variant'!$AY$5:$AY$32))/AVERAGEIF('Pemetaan Variant'!$A$5:$A$32,$B13,'Pemetaan Variant'!$AY$5:$AY$32)*100,"n/a"),"n/a")</f>
        <v>n/a</v>
      </c>
      <c r="DY13" s="11" t="str">
        <f aca="false">IFERROR(IF(ISNUMBER(DX13),$C13*DX13,"n/a"),"n/a")</f>
        <v>n/a</v>
      </c>
      <c r="DZ13" s="18" t="str">
        <f aca="false">IFERROR(AVERAGEIF('Pemetaan Variant'!$A$5:$A$32,$B13,'Pemetaan Variant'!$BC$5:$BC$32),"n/a")</f>
        <v>n/a</v>
      </c>
      <c r="EA13" s="11" t="str">
        <f aca="false">IFERROR(IF(ISNUMBER(DZ13),(DZ13-AVERAGEIF('Pemetaan Variant'!$A$5:$A$32,$B13,'Pemetaan Variant'!$AY$5:$AY$32))/AVERAGEIF('Pemetaan Variant'!$A$5:$A$32,$B13,'Pemetaan Variant'!$AY$5:$AY$32)*100,"n/a"),"n/a")</f>
        <v>n/a</v>
      </c>
      <c r="EB13" s="11" t="str">
        <f aca="false">IFERROR(IF(ISNUMBER(EA13),$C13*EA13,"n/a"),"n/a")</f>
        <v>n/a</v>
      </c>
      <c r="EC13" s="18" t="str">
        <f aca="false">IFERROR(AVERAGEIF('Pemetaan Variant'!$A$5:$A$32,$B13,'Pemetaan Variant'!$BD$5:$BD$32),"n/a")</f>
        <v>n/a</v>
      </c>
      <c r="ED13" s="11" t="str">
        <f aca="false">IFERROR(IF(ISNUMBER(EC13),(EC13-AVERAGEIF('Pemetaan Variant'!$A$5:$A$32,$B13,'Pemetaan Variant'!$AY$5:$AY$32))/AVERAGEIF('Pemetaan Variant'!$A$5:$A$32,$B13,'Pemetaan Variant'!$AY$5:$AY$32)*100,"n/a"),"n/a")</f>
        <v>n/a</v>
      </c>
      <c r="EE13" s="11" t="str">
        <f aca="false">IFERROR(IF(ISNUMBER(ED13),$C13*ED13,"n/a"),"n/a")</f>
        <v>n/a</v>
      </c>
      <c r="EG13" s="11" t="n">
        <f aca="false">IFERROR(ABS(F13),0)</f>
        <v>0.149291718723005</v>
      </c>
      <c r="EH13" s="11" t="n">
        <f aca="false">IFERROR(ABS(I13),0)</f>
        <v>0.149291718723005</v>
      </c>
      <c r="EI13" s="11" t="n">
        <f aca="false">IFERROR(ABS(L13),0)</f>
        <v>0.149291718723005</v>
      </c>
      <c r="EJ13" s="11" t="n">
        <f aca="false">IFERROR(ABS(O13),0)</f>
        <v>0.149291718723005</v>
      </c>
      <c r="EK13" s="11" t="n">
        <f aca="false">IFERROR(ABS(R13),0)</f>
        <v>0.149291718723005</v>
      </c>
      <c r="EL13" s="11" t="n">
        <f aca="false">IFERROR(ABS(U13),0)</f>
        <v>0.696268139606244</v>
      </c>
      <c r="EM13" s="11" t="n">
        <f aca="false">IFERROR(ABS(X13),0)</f>
        <v>0.188818478537286</v>
      </c>
      <c r="EN13" s="11" t="n">
        <f aca="false">IFERROR(ABS(AA13),0)</f>
        <v>2.41923675625898</v>
      </c>
      <c r="EO13" s="11" t="n">
        <f aca="false">IFERROR(ABS(AD13),0)</f>
        <v>2.30122520717318</v>
      </c>
      <c r="EP13" s="11" t="n">
        <f aca="false">IFERROR(ABS(AG13),0)</f>
        <v>1.16683444835642</v>
      </c>
      <c r="EQ13" s="11" t="n">
        <f aca="false">IFERROR(ABS(AJ13),0)</f>
        <v>1.09853194406239</v>
      </c>
      <c r="ER13" s="11" t="n">
        <f aca="false">IFERROR(ABS(AM13),0)</f>
        <v>1.13951344663881</v>
      </c>
      <c r="ES13" s="11" t="n">
        <f aca="false">IFERROR(ABS(AP13),0)</f>
        <v>0.278901892533974</v>
      </c>
      <c r="ET13" s="11" t="n">
        <f aca="false">IFERROR(ABS(AS13),0)</f>
        <v>0.517960657563095</v>
      </c>
      <c r="EU13" s="11" t="n">
        <f aca="false">IFERROR(ABS(AV13),0)</f>
        <v>0.267195960194273</v>
      </c>
      <c r="EV13" s="11" t="n">
        <f aca="false">IFERROR(ABS(AY13),0)</f>
        <v>0.407473839296267</v>
      </c>
      <c r="EW13" s="11" t="n">
        <f aca="false">IFERROR(ABS(BB13),0)</f>
        <v>0.567791415412831</v>
      </c>
      <c r="EX13" s="11" t="n">
        <f aca="false">IFERROR(ABS(BE13),0)</f>
        <v>0.67466979949054</v>
      </c>
      <c r="EY13" s="11" t="n">
        <f aca="false">IFERROR(ABS(BH13),0)</f>
        <v>0.823854210599009</v>
      </c>
      <c r="EZ13" s="11" t="n">
        <f aca="false">IFERROR(ABS(BK13),0)</f>
        <v>0</v>
      </c>
      <c r="FA13" s="11" t="n">
        <f aca="false">IFERROR(ABS(BN13),0)</f>
        <v>0.373825403936398</v>
      </c>
      <c r="FB13" s="11" t="n">
        <f aca="false">IFERROR(ABS(BQ13),0)</f>
        <v>0.648697024477867</v>
      </c>
      <c r="FC13" s="11" t="n">
        <f aca="false">IFERROR(ABS(BT13),0)</f>
        <v>0.789431294195099</v>
      </c>
      <c r="FD13" s="11" t="n">
        <f aca="false">IFERROR(ABS(BW13),0)</f>
        <v>0.61571243001289</v>
      </c>
      <c r="FE13" s="11" t="n">
        <f aca="false">IFERROR(ABS(BZ13),0)</f>
        <v>0.200106539754189</v>
      </c>
      <c r="FF13" s="11" t="n">
        <f aca="false">IFERROR(ABS(CC13),0)</f>
        <v>0.253057808735298</v>
      </c>
      <c r="FG13" s="11" t="n">
        <f aca="false">IFERROR(ABS(CF13),0)</f>
        <v>0.360191771557541</v>
      </c>
      <c r="FH13" s="11" t="n">
        <f aca="false">IFERROR(ABS(CI13),0)</f>
        <v>0.538748376261279</v>
      </c>
      <c r="FI13" s="11" t="n">
        <f aca="false">IFERROR(ABS(CL13),0)</f>
        <v>0.600319619262568</v>
      </c>
      <c r="FJ13" s="11" t="n">
        <f aca="false">IFERROR(ABS(CO13),0)</f>
        <v>0.368980700967488</v>
      </c>
      <c r="FK13" s="11" t="n">
        <f aca="false">IFERROR(ABS(CR13),0)</f>
        <v>0.368980700967488</v>
      </c>
      <c r="FL13" s="11" t="n">
        <f aca="false">IFERROR(ABS(CU13),0)</f>
        <v>0.368980700967488</v>
      </c>
      <c r="FM13" s="11" t="n">
        <f aca="false">IFERROR(ABS(CX13),0)</f>
        <v>0.400118312863478</v>
      </c>
      <c r="FN13" s="11" t="n">
        <f aca="false">IFERROR(ABS(DA13),0)</f>
        <v>0.487303626172251</v>
      </c>
      <c r="FO13" s="11" t="n">
        <f aca="false">IFERROR(ABS(DD13),0)</f>
        <v>0.143224699038854</v>
      </c>
      <c r="FP13" s="11" t="n">
        <f aca="false">IFERROR(ABS(DG13),0)</f>
        <v>0.159333100397747</v>
      </c>
      <c r="FQ13" s="11" t="n">
        <f aca="false">IFERROR(ABS(DJ13),0)</f>
        <v>0.0989265953018979</v>
      </c>
      <c r="FR13" s="11" t="n">
        <f aca="false">IFERROR(ABS(DM13),0)</f>
        <v>0.0485878410553569</v>
      </c>
      <c r="FS13" s="11" t="n">
        <f aca="false">IFERROR(ABS(DP13),0)</f>
        <v>0</v>
      </c>
      <c r="FT13" s="11" t="n">
        <f aca="false">IFERROR(ABS(DS13),0)</f>
        <v>0.0838377040190083</v>
      </c>
      <c r="FU13" s="11" t="n">
        <f aca="false">IFERROR(ABS(DV13),0)</f>
        <v>0</v>
      </c>
      <c r="FV13" s="11" t="n">
        <f aca="false">IFERROR(ABS(DY13),0)</f>
        <v>0</v>
      </c>
      <c r="FW13" s="11" t="n">
        <f aca="false">IFERROR(ABS(EB13),0)</f>
        <v>0</v>
      </c>
      <c r="FX13" s="11" t="n">
        <f aca="false">IFERROR(ABS(EE13),0)</f>
        <v>0</v>
      </c>
    </row>
    <row r="14" customFormat="false" ht="12.75" hidden="false" customHeight="true" outlineLevel="0" collapsed="false">
      <c r="A14" s="5" t="n">
        <v>9</v>
      </c>
      <c r="B14" s="6" t="s">
        <v>198</v>
      </c>
      <c r="C14" s="7" t="n">
        <f aca="false">'P0Q0 Dasar 2022'!F13</f>
        <v>0.0298777910794593</v>
      </c>
      <c r="D14" s="17" t="n">
        <f aca="false">IFERROR(AVERAGEIF('Pemetaan Variant'!$A$5:$A$32,$B14,'Pemetaan Variant'!$L$5:$L$32),"n/a")</f>
        <v>25000</v>
      </c>
      <c r="E14" s="7" t="n">
        <f aca="false">IFERROR(IF(ISNUMBER(D14),(D14-AVERAGEIF('Pemetaan Variant'!$A$5:$A$32,$B14,'Pemetaan Variant'!$D$5:$D$32))/AVERAGEIF('Pemetaan Variant'!$A$5:$A$32,$B14,'Pemetaan Variant'!$D$5:$D$32)*100,"n/a"),"n/a")</f>
        <v>-0.190114068441058</v>
      </c>
      <c r="F14" s="7" t="n">
        <f aca="false">IFERROR(IF(ISNUMBER(E14),$C14*E14,"n/a"),"n/a")</f>
        <v>-0.00568018841814795</v>
      </c>
      <c r="G14" s="17" t="n">
        <f aca="false">IFERROR(AVERAGEIF('Pemetaan Variant'!$A$5:$A$32,$B14,'Pemetaan Variant'!$M$5:$M$32),"n/a")</f>
        <v>25000</v>
      </c>
      <c r="H14" s="7" t="n">
        <f aca="false">IFERROR(IF(ISNUMBER(G14),(G14-AVERAGEIF('Pemetaan Variant'!$A$5:$A$32,$B14,'Pemetaan Variant'!$D$5:$D$32))/AVERAGEIF('Pemetaan Variant'!$A$5:$A$32,$B14,'Pemetaan Variant'!$D$5:$D$32)*100,"n/a"),"n/a")</f>
        <v>-0.190114068441058</v>
      </c>
      <c r="I14" s="7" t="n">
        <f aca="false">IFERROR(IF(ISNUMBER(H14),$C14*H14,"n/a"),"n/a")</f>
        <v>-0.00568018841814795</v>
      </c>
      <c r="J14" s="17" t="n">
        <f aca="false">IFERROR(AVERAGEIF('Pemetaan Variant'!$A$5:$A$32,$B14,'Pemetaan Variant'!$N$5:$N$32),"n/a")</f>
        <v>25000</v>
      </c>
      <c r="K14" s="7" t="n">
        <f aca="false">IFERROR(IF(ISNUMBER(J14),(J14-AVERAGEIF('Pemetaan Variant'!$A$5:$A$32,$B14,'Pemetaan Variant'!$D$5:$D$32))/AVERAGEIF('Pemetaan Variant'!$A$5:$A$32,$B14,'Pemetaan Variant'!$D$5:$D$32)*100,"n/a"),"n/a")</f>
        <v>-0.190114068441058</v>
      </c>
      <c r="L14" s="7" t="n">
        <f aca="false">IFERROR(IF(ISNUMBER(K14),$C14*K14,"n/a"),"n/a")</f>
        <v>-0.00568018841814795</v>
      </c>
      <c r="M14" s="17" t="n">
        <f aca="false">IFERROR(AVERAGEIF('Pemetaan Variant'!$A$5:$A$32,$B14,'Pemetaan Variant'!$O$5:$O$32),"n/a")</f>
        <v>25000</v>
      </c>
      <c r="N14" s="7" t="n">
        <f aca="false">IFERROR(IF(ISNUMBER(M14),(M14-AVERAGEIF('Pemetaan Variant'!$A$5:$A$32,$B14,'Pemetaan Variant'!$D$5:$D$32))/AVERAGEIF('Pemetaan Variant'!$A$5:$A$32,$B14,'Pemetaan Variant'!$D$5:$D$32)*100,"n/a"),"n/a")</f>
        <v>-0.190114068441058</v>
      </c>
      <c r="O14" s="7" t="n">
        <f aca="false">IFERROR(IF(ISNUMBER(N14),$C14*N14,"n/a"),"n/a")</f>
        <v>-0.00568018841814795</v>
      </c>
      <c r="P14" s="17" t="n">
        <f aca="false">IFERROR(AVERAGEIF('Pemetaan Variant'!$A$5:$A$32,$B14,'Pemetaan Variant'!$P$5:$P$32),"n/a")</f>
        <v>25000</v>
      </c>
      <c r="Q14" s="7" t="n">
        <f aca="false">IFERROR(IF(ISNUMBER(P14),(P14-AVERAGEIF('Pemetaan Variant'!$A$5:$A$32,$B14,'Pemetaan Variant'!$D$5:$D$32))/AVERAGEIF('Pemetaan Variant'!$A$5:$A$32,$B14,'Pemetaan Variant'!$D$5:$D$32)*100,"n/a"),"n/a")</f>
        <v>-0.190114068441058</v>
      </c>
      <c r="R14" s="7" t="n">
        <f aca="false">IFERROR(IF(ISNUMBER(Q14),$C14*Q14,"n/a"),"n/a")</f>
        <v>-0.00568018841814795</v>
      </c>
      <c r="S14" s="17" t="n">
        <f aca="false">IFERROR(AVERAGEIF('Pemetaan Variant'!$A$5:$A$32,$B14,'Pemetaan Variant'!$Q$5:$Q$32),"n/a")</f>
        <v>25600</v>
      </c>
      <c r="T14" s="7" t="n">
        <f aca="false">IFERROR(IF(ISNUMBER(S14),(S14-AVERAGEIF('Pemetaan Variant'!$A$5:$A$32,$B14,'Pemetaan Variant'!$E$5:$E$32))/AVERAGEIF('Pemetaan Variant'!$A$5:$A$32,$B14,'Pemetaan Variant'!$E$5:$E$32)*100,"n/a"),"n/a")</f>
        <v>2.4</v>
      </c>
      <c r="U14" s="7" t="n">
        <f aca="false">IFERROR(IF(ISNUMBER(T14),$C14*T14,"n/a"),"n/a")</f>
        <v>0.0717066985907023</v>
      </c>
      <c r="V14" s="17" t="n">
        <f aca="false">IFERROR(AVERAGEIF('Pemetaan Variant'!$A$5:$A$32,$B14,'Pemetaan Variant'!$R$5:$R$32),"n/a")</f>
        <v>25200</v>
      </c>
      <c r="W14" s="7" t="n">
        <f aca="false">IFERROR(IF(ISNUMBER(V14),(V14-AVERAGEIF('Pemetaan Variant'!$A$5:$A$32,$B14,'Pemetaan Variant'!$E$5:$E$32))/AVERAGEIF('Pemetaan Variant'!$A$5:$A$32,$B14,'Pemetaan Variant'!$E$5:$E$32)*100,"n/a"),"n/a")</f>
        <v>0.8</v>
      </c>
      <c r="X14" s="7" t="n">
        <f aca="false">IFERROR(IF(ISNUMBER(W14),$C14*W14,"n/a"),"n/a")</f>
        <v>0.0239022328635674</v>
      </c>
      <c r="Y14" s="17" t="n">
        <f aca="false">IFERROR(AVERAGEIF('Pemetaan Variant'!$A$5:$A$32,$B14,'Pemetaan Variant'!$S$5:$S$32),"n/a")</f>
        <v>27333.3333333333</v>
      </c>
      <c r="Z14" s="7" t="n">
        <f aca="false">IFERROR(IF(ISNUMBER(Y14),(Y14-AVERAGEIF('Pemetaan Variant'!$A$5:$A$32,$B14,'Pemetaan Variant'!$E$5:$E$32))/AVERAGEIF('Pemetaan Variant'!$A$5:$A$32,$B14,'Pemetaan Variant'!$E$5:$E$32)*100,"n/a"),"n/a")</f>
        <v>9.33333333333333</v>
      </c>
      <c r="AA14" s="7" t="n">
        <f aca="false">IFERROR(IF(ISNUMBER(Z14),$C14*Z14,"n/a"),"n/a")</f>
        <v>0.278859383408287</v>
      </c>
      <c r="AB14" s="17" t="n">
        <f aca="false">IFERROR(AVERAGEIF('Pemetaan Variant'!$A$5:$A$32,$B14,'Pemetaan Variant'!$T$5:$T$32),"n/a")</f>
        <v>27200</v>
      </c>
      <c r="AC14" s="7" t="n">
        <f aca="false">IFERROR(IF(ISNUMBER(AB14),(AB14-AVERAGEIF('Pemetaan Variant'!$A$5:$A$32,$B14,'Pemetaan Variant'!$E$5:$E$32))/AVERAGEIF('Pemetaan Variant'!$A$5:$A$32,$B14,'Pemetaan Variant'!$E$5:$E$32)*100,"n/a"),"n/a")</f>
        <v>8.8</v>
      </c>
      <c r="AD14" s="7" t="n">
        <f aca="false">IFERROR(IF(ISNUMBER(AC14),$C14*AC14,"n/a"),"n/a")</f>
        <v>0.262924561499242</v>
      </c>
      <c r="AE14" s="17" t="n">
        <f aca="false">IFERROR(AVERAGEIF('Pemetaan Variant'!$A$5:$A$32,$B14,'Pemetaan Variant'!$U$5:$U$32),"n/a")</f>
        <v>28000</v>
      </c>
      <c r="AF14" s="7" t="n">
        <f aca="false">IFERROR(IF(ISNUMBER(AE14),(AE14-AVERAGEIF('Pemetaan Variant'!$A$5:$A$32,$B14,'Pemetaan Variant'!$F$5:$F$32))/AVERAGEIF('Pemetaan Variant'!$A$5:$A$32,$B14,'Pemetaan Variant'!$F$5:$F$32)*100,"n/a"),"n/a")</f>
        <v>6.77966101694915</v>
      </c>
      <c r="AG14" s="7" t="n">
        <f aca="false">IFERROR(IF(ISNUMBER(AF14),$C14*AF14,"n/a"),"n/a")</f>
        <v>0.202561295453961</v>
      </c>
      <c r="AH14" s="17" t="n">
        <f aca="false">IFERROR(AVERAGEIF('Pemetaan Variant'!$A$5:$A$32,$B14,'Pemetaan Variant'!$V$5:$V$32),"n/a")</f>
        <v>28100</v>
      </c>
      <c r="AI14" s="7" t="n">
        <f aca="false">IFERROR(IF(ISNUMBER(AH14),(AH14-AVERAGEIF('Pemetaan Variant'!$A$5:$A$32,$B14,'Pemetaan Variant'!$F$5:$F$32))/AVERAGEIF('Pemetaan Variant'!$A$5:$A$32,$B14,'Pemetaan Variant'!$F$5:$F$32)*100,"n/a"),"n/a")</f>
        <v>7.16101694915254</v>
      </c>
      <c r="AJ14" s="7" t="n">
        <f aca="false">IFERROR(IF(ISNUMBER(AI14),$C14*AI14,"n/a"),"n/a")</f>
        <v>0.213955368323247</v>
      </c>
      <c r="AK14" s="17" t="n">
        <f aca="false">IFERROR(AVERAGEIF('Pemetaan Variant'!$A$5:$A$32,$B14,'Pemetaan Variant'!$W$5:$W$32),"n/a")</f>
        <v>28000</v>
      </c>
      <c r="AL14" s="7" t="n">
        <f aca="false">IFERROR(IF(ISNUMBER(AK14),(AK14-AVERAGEIF('Pemetaan Variant'!$A$5:$A$32,$B14,'Pemetaan Variant'!$F$5:$F$32))/AVERAGEIF('Pemetaan Variant'!$A$5:$A$32,$B14,'Pemetaan Variant'!$F$5:$F$32)*100,"n/a"),"n/a")</f>
        <v>6.77966101694915</v>
      </c>
      <c r="AM14" s="7" t="n">
        <f aca="false">IFERROR(IF(ISNUMBER(AL14),$C14*AL14,"n/a"),"n/a")</f>
        <v>0.202561295453961</v>
      </c>
      <c r="AN14" s="17" t="n">
        <f aca="false">IFERROR(AVERAGEIF('Pemetaan Variant'!$A$5:$A$32,$B14,'Pemetaan Variant'!$X$5:$X$32),"n/a")</f>
        <v>27833.3333333333</v>
      </c>
      <c r="AO14" s="7" t="n">
        <f aca="false">IFERROR(IF(ISNUMBER(AN14),(AN14-AVERAGEIF('Pemetaan Variant'!$A$5:$A$32,$B14,'Pemetaan Variant'!$F$5:$F$32))/AVERAGEIF('Pemetaan Variant'!$A$5:$A$32,$B14,'Pemetaan Variant'!$F$5:$F$32)*100,"n/a"),"n/a")</f>
        <v>6.14406779661016</v>
      </c>
      <c r="AP14" s="7" t="n">
        <f aca="false">IFERROR(IF(ISNUMBER(AO14),$C14*AO14,"n/a"),"n/a")</f>
        <v>0.183571174005152</v>
      </c>
      <c r="AQ14" s="17" t="n">
        <f aca="false">IFERROR(AVERAGEIF('Pemetaan Variant'!$A$5:$A$32,$B14,'Pemetaan Variant'!$Y$5:$Y$32),"n/a")</f>
        <v>27500</v>
      </c>
      <c r="AR14" s="7" t="n">
        <f aca="false">IFERROR(IF(ISNUMBER(AQ14),(AQ14-AVERAGEIF('Pemetaan Variant'!$A$5:$A$32,$B14,'Pemetaan Variant'!$F$5:$F$32))/AVERAGEIF('Pemetaan Variant'!$A$5:$A$32,$B14,'Pemetaan Variant'!$F$5:$F$32)*100,"n/a"),"n/a")</f>
        <v>4.8728813559322</v>
      </c>
      <c r="AS14" s="7" t="n">
        <f aca="false">IFERROR(IF(ISNUMBER(AR14),$C14*AR14,"n/a"),"n/a")</f>
        <v>0.145590931107535</v>
      </c>
      <c r="AT14" s="17" t="n">
        <f aca="false">IFERROR(AVERAGEIF('Pemetaan Variant'!$A$5:$A$32,$B14,'Pemetaan Variant'!$Z$5:$Z$32),"n/a")</f>
        <v>26500</v>
      </c>
      <c r="AU14" s="7" t="n">
        <f aca="false">IFERROR(IF(ISNUMBER(AT14),(AT14-AVERAGEIF('Pemetaan Variant'!$A$5:$A$32,$B14,'Pemetaan Variant'!$G$5:$G$32))/AVERAGEIF('Pemetaan Variant'!$A$5:$A$32,$B14,'Pemetaan Variant'!$G$5:$G$32)*100,"n/a"),"n/a")</f>
        <v>-5.18783542039356</v>
      </c>
      <c r="AV14" s="7" t="n">
        <f aca="false">IFERROR(IF(ISNUMBER(AU14),$C14*AU14,"n/a"),"n/a")</f>
        <v>-0.155001062845138</v>
      </c>
      <c r="AW14" s="17" t="n">
        <f aca="false">IFERROR(AVERAGEIF('Pemetaan Variant'!$A$5:$A$32,$B14,'Pemetaan Variant'!$AA$5:$AA$32),"n/a")</f>
        <v>25800</v>
      </c>
      <c r="AX14" s="7" t="n">
        <f aca="false">IFERROR(IF(ISNUMBER(AW14),(AW14-AVERAGEIF('Pemetaan Variant'!$A$5:$A$32,$B14,'Pemetaan Variant'!$G$5:$G$32))/AVERAGEIF('Pemetaan Variant'!$A$5:$A$32,$B14,'Pemetaan Variant'!$G$5:$G$32)*100,"n/a"),"n/a")</f>
        <v>-7.69230769230769</v>
      </c>
      <c r="AY14" s="7" t="n">
        <f aca="false">IFERROR(IF(ISNUMBER(AX14),$C14*AX14,"n/a"),"n/a")</f>
        <v>-0.229829162149687</v>
      </c>
      <c r="AZ14" s="17" t="n">
        <f aca="false">IFERROR(AVERAGEIF('Pemetaan Variant'!$A$5:$A$32,$B14,'Pemetaan Variant'!$AB$5:$AB$32),"n/a")</f>
        <v>25900</v>
      </c>
      <c r="BA14" s="7" t="n">
        <f aca="false">IFERROR(IF(ISNUMBER(AZ14),(AZ14-AVERAGEIF('Pemetaan Variant'!$A$5:$A$32,$B14,'Pemetaan Variant'!$G$5:$G$32))/AVERAGEIF('Pemetaan Variant'!$A$5:$A$32,$B14,'Pemetaan Variant'!$G$5:$G$32)*100,"n/a"),"n/a")</f>
        <v>-7.3345259391771</v>
      </c>
      <c r="BB14" s="7" t="n">
        <f aca="false">IFERROR(IF(ISNUMBER(BA14),$C14*BA14,"n/a"),"n/a")</f>
        <v>-0.219139433677608</v>
      </c>
      <c r="BC14" s="17" t="n">
        <f aca="false">IFERROR(AVERAGEIF('Pemetaan Variant'!$A$5:$A$32,$B14,'Pemetaan Variant'!$AC$5:$AC$32),"n/a")</f>
        <v>25600</v>
      </c>
      <c r="BD14" s="7" t="n">
        <f aca="false">IFERROR(IF(ISNUMBER(BC14),(BC14-AVERAGEIF('Pemetaan Variant'!$A$5:$A$32,$B14,'Pemetaan Variant'!$G$5:$G$32))/AVERAGEIF('Pemetaan Variant'!$A$5:$A$32,$B14,'Pemetaan Variant'!$G$5:$G$32)*100,"n/a"),"n/a")</f>
        <v>-8.40787119856887</v>
      </c>
      <c r="BE14" s="7" t="n">
        <f aca="false">IFERROR(IF(ISNUMBER(BD14),$C14*BD14,"n/a"),"n/a")</f>
        <v>-0.251208619093844</v>
      </c>
      <c r="BF14" s="17" t="n">
        <f aca="false">IFERROR(AVERAGEIF('Pemetaan Variant'!$A$5:$A$32,$B14,'Pemetaan Variant'!$AD$5:$AD$32),"n/a")</f>
        <v>25000</v>
      </c>
      <c r="BG14" s="7" t="n">
        <f aca="false">IFERROR(IF(ISNUMBER(BF14),(BF14-AVERAGEIF('Pemetaan Variant'!$A$5:$A$32,$B14,'Pemetaan Variant'!$G$5:$G$32))/AVERAGEIF('Pemetaan Variant'!$A$5:$A$32,$B14,'Pemetaan Variant'!$G$5:$G$32)*100,"n/a"),"n/a")</f>
        <v>-10.5545617173524</v>
      </c>
      <c r="BH14" s="7" t="n">
        <f aca="false">IFERROR(IF(ISNUMBER(BG14),$C14*BG14,"n/a"),"n/a")</f>
        <v>-0.315346989926315</v>
      </c>
      <c r="BI14" s="17" t="str">
        <f aca="false">IFERROR(AVERAGEIF('Pemetaan Variant'!$A$5:$A$32,$B14,'Pemetaan Variant'!$AE$5:$AE$32),"n/a")</f>
        <v>n/a</v>
      </c>
      <c r="BJ14" s="7" t="str">
        <f aca="false">IFERROR(IF(ISNUMBER(BI14),(BI14-AVERAGEIF('Pemetaan Variant'!$A$5:$A$32,$B14,'Pemetaan Variant'!$H$5:$H$32))/AVERAGEIF('Pemetaan Variant'!$A$5:$A$32,$B14,'Pemetaan Variant'!$H$5:$H$32)*100,"n/a"),"n/a")</f>
        <v>n/a</v>
      </c>
      <c r="BK14" s="7" t="str">
        <f aca="false">IFERROR(IF(ISNUMBER(BJ14),$C14*BJ14,"n/a"),"n/a")</f>
        <v>n/a</v>
      </c>
      <c r="BL14" s="17" t="n">
        <f aca="false">IFERROR(AVERAGEIF('Pemetaan Variant'!$A$5:$A$32,$B14,'Pemetaan Variant'!$AF$5:$AF$32),"n/a")</f>
        <v>25000</v>
      </c>
      <c r="BM14" s="7" t="n">
        <f aca="false">IFERROR(IF(ISNUMBER(BL14),(BL14-AVERAGEIF('Pemetaan Variant'!$A$5:$A$32,$B14,'Pemetaan Variant'!$H$5:$H$32))/AVERAGEIF('Pemetaan Variant'!$A$5:$A$32,$B14,'Pemetaan Variant'!$H$5:$H$32)*100,"n/a"),"n/a")</f>
        <v>-2.68767377201112</v>
      </c>
      <c r="BN14" s="7" t="n">
        <f aca="false">IFERROR(IF(ISNUMBER(BM14),$C14*BM14,"n/a"),"n/a")</f>
        <v>-0.0803017554498907</v>
      </c>
      <c r="BO14" s="17" t="n">
        <f aca="false">IFERROR(AVERAGEIF('Pemetaan Variant'!$A$5:$A$32,$B14,'Pemetaan Variant'!$AG$5:$AG$32),"n/a")</f>
        <v>24833.3333333333</v>
      </c>
      <c r="BP14" s="7" t="n">
        <f aca="false">IFERROR(IF(ISNUMBER(BO14),(BO14-AVERAGEIF('Pemetaan Variant'!$A$5:$A$32,$B14,'Pemetaan Variant'!$H$5:$H$32))/AVERAGEIF('Pemetaan Variant'!$A$5:$A$32,$B14,'Pemetaan Variant'!$H$5:$H$32)*100,"n/a"),"n/a")</f>
        <v>-3.33642261353105</v>
      </c>
      <c r="BQ14" s="7" t="n">
        <f aca="false">IFERROR(IF(ISNUMBER(BP14),$C14*BP14,"n/a"),"n/a")</f>
        <v>-0.0996849377998644</v>
      </c>
      <c r="BR14" s="17" t="n">
        <f aca="false">IFERROR(AVERAGEIF('Pemetaan Variant'!$A$5:$A$32,$B14,'Pemetaan Variant'!$AH$5:$AH$32),"n/a")</f>
        <v>24000</v>
      </c>
      <c r="BS14" s="7" t="n">
        <f aca="false">IFERROR(IF(ISNUMBER(BR14),(BR14-AVERAGEIF('Pemetaan Variant'!$A$5:$A$32,$B14,'Pemetaan Variant'!$H$5:$H$32))/AVERAGEIF('Pemetaan Variant'!$A$5:$A$32,$B14,'Pemetaan Variant'!$H$5:$H$32)*100,"n/a"),"n/a")</f>
        <v>-6.58016682113068</v>
      </c>
      <c r="BT14" s="7" t="n">
        <f aca="false">IFERROR(IF(ISNUMBER(BS14),$C14*BS14,"n/a"),"n/a")</f>
        <v>-0.196600849549732</v>
      </c>
      <c r="BU14" s="17" t="n">
        <f aca="false">IFERROR(AVERAGEIF('Pemetaan Variant'!$A$5:$A$32,$B14,'Pemetaan Variant'!$AI$5:$AI$32),"n/a")</f>
        <v>25000</v>
      </c>
      <c r="BV14" s="7" t="n">
        <f aca="false">IFERROR(IF(ISNUMBER(BU14),(BU14-AVERAGEIF('Pemetaan Variant'!$A$5:$A$32,$B14,'Pemetaan Variant'!$H$5:$H$32))/AVERAGEIF('Pemetaan Variant'!$A$5:$A$32,$B14,'Pemetaan Variant'!$H$5:$H$32)*100,"n/a"),"n/a")</f>
        <v>-2.68767377201112</v>
      </c>
      <c r="BW14" s="7" t="n">
        <f aca="false">IFERROR(IF(ISNUMBER(BV14),$C14*BV14,"n/a"),"n/a")</f>
        <v>-0.0803017554498907</v>
      </c>
      <c r="BX14" s="17" t="n">
        <f aca="false">IFERROR(AVERAGEIF('Pemetaan Variant'!$A$5:$A$32,$B14,'Pemetaan Variant'!$AJ$5:$AJ$32),"n/a")</f>
        <v>24000</v>
      </c>
      <c r="BY14" s="7" t="n">
        <f aca="false">IFERROR(IF(ISNUMBER(BX14),(BX14-AVERAGEIF('Pemetaan Variant'!$A$5:$A$32,$B14,'Pemetaan Variant'!$I$5:$I$32))/AVERAGEIF('Pemetaan Variant'!$A$5:$A$32,$B14,'Pemetaan Variant'!$I$5:$I$32)*100,"n/a"),"n/a")</f>
        <v>-2.6615969581749</v>
      </c>
      <c r="BZ14" s="7" t="n">
        <f aca="false">IFERROR(IF(ISNUMBER(BY14),$C14*BY14,"n/a"),"n/a")</f>
        <v>-0.0795226378540742</v>
      </c>
      <c r="CA14" s="17" t="n">
        <f aca="false">IFERROR(AVERAGEIF('Pemetaan Variant'!$A$5:$A$32,$B14,'Pemetaan Variant'!$AK$5:$AK$32),"n/a")</f>
        <v>24200</v>
      </c>
      <c r="CB14" s="7" t="n">
        <f aca="false">IFERROR(IF(ISNUMBER(CA14),(CA14-AVERAGEIF('Pemetaan Variant'!$A$5:$A$32,$B14,'Pemetaan Variant'!$I$5:$I$32))/AVERAGEIF('Pemetaan Variant'!$A$5:$A$32,$B14,'Pemetaan Variant'!$I$5:$I$32)*100,"n/a"),"n/a")</f>
        <v>-1.85044359949303</v>
      </c>
      <c r="CC14" s="7" t="n">
        <f aca="false">IFERROR(IF(ISNUMBER(CB14),$C14*CB14,"n/a"),"n/a")</f>
        <v>-0.0552871672699754</v>
      </c>
      <c r="CD14" s="17" t="n">
        <f aca="false">IFERROR(AVERAGEIF('Pemetaan Variant'!$A$5:$A$32,$B14,'Pemetaan Variant'!$AL$5:$AL$32),"n/a")</f>
        <v>23875</v>
      </c>
      <c r="CE14" s="7" t="n">
        <f aca="false">IFERROR(IF(ISNUMBER(CD14),(CD14-AVERAGEIF('Pemetaan Variant'!$A$5:$A$32,$B14,'Pemetaan Variant'!$I$5:$I$32))/AVERAGEIF('Pemetaan Variant'!$A$5:$A$32,$B14,'Pemetaan Variant'!$I$5:$I$32)*100,"n/a"),"n/a")</f>
        <v>-3.16856780735108</v>
      </c>
      <c r="CF14" s="7" t="n">
        <f aca="false">IFERROR(IF(ISNUMBER(CE14),$C14*CE14,"n/a"),"n/a")</f>
        <v>-0.0946698069691359</v>
      </c>
      <c r="CG14" s="17" t="n">
        <f aca="false">IFERROR(AVERAGEIF('Pemetaan Variant'!$A$5:$A$32,$B14,'Pemetaan Variant'!$AM$5:$AM$32),"n/a")</f>
        <v>23000</v>
      </c>
      <c r="CH14" s="7" t="n">
        <f aca="false">IFERROR(IF(ISNUMBER(CG14),(CG14-AVERAGEIF('Pemetaan Variant'!$A$5:$A$32,$B14,'Pemetaan Variant'!$I$5:$I$32))/AVERAGEIF('Pemetaan Variant'!$A$5:$A$32,$B14,'Pemetaan Variant'!$I$5:$I$32)*100,"n/a"),"n/a")</f>
        <v>-6.71736375158428</v>
      </c>
      <c r="CI14" s="7" t="n">
        <f aca="false">IFERROR(IF(ISNUMBER(CH14),$C14*CH14,"n/a"),"n/a")</f>
        <v>-0.200699990774568</v>
      </c>
      <c r="CJ14" s="17" t="n">
        <f aca="false">IFERROR(AVERAGEIF('Pemetaan Variant'!$A$5:$A$32,$B14,'Pemetaan Variant'!$AN$5:$AN$32),"n/a")</f>
        <v>23000</v>
      </c>
      <c r="CK14" s="7" t="n">
        <f aca="false">IFERROR(IF(ISNUMBER(CJ14),(CJ14-AVERAGEIF('Pemetaan Variant'!$A$5:$A$32,$B14,'Pemetaan Variant'!$I$5:$I$32))/AVERAGEIF('Pemetaan Variant'!$A$5:$A$32,$B14,'Pemetaan Variant'!$I$5:$I$32)*100,"n/a"),"n/a")</f>
        <v>-6.71736375158428</v>
      </c>
      <c r="CL14" s="7" t="n">
        <f aca="false">IFERROR(IF(ISNUMBER(CK14),$C14*CK14,"n/a"),"n/a")</f>
        <v>-0.200699990774568</v>
      </c>
      <c r="CM14" s="17" t="n">
        <f aca="false">IFERROR(AVERAGEIF('Pemetaan Variant'!$A$5:$A$32,$B14,'Pemetaan Variant'!$AO$5:$AO$32),"n/a")</f>
        <v>23000</v>
      </c>
      <c r="CN14" s="7" t="n">
        <f aca="false">IFERROR(IF(ISNUMBER(CM14),(CM14-AVERAGEIF('Pemetaan Variant'!$A$5:$A$32,$B14,'Pemetaan Variant'!$J$5:$J$32))/AVERAGEIF('Pemetaan Variant'!$A$5:$A$32,$B14,'Pemetaan Variant'!$J$5:$J$32)*100,"n/a"),"n/a")</f>
        <v>-2.85110876451954</v>
      </c>
      <c r="CO14" s="7" t="n">
        <f aca="false">IFERROR(IF(ISNUMBER(CN14),$C14*CN14,"n/a"),"n/a")</f>
        <v>-0.08518483201113</v>
      </c>
      <c r="CP14" s="17" t="n">
        <f aca="false">IFERROR(AVERAGEIF('Pemetaan Variant'!$A$5:$A$32,$B14,'Pemetaan Variant'!$AP$5:$AP$32),"n/a")</f>
        <v>22500</v>
      </c>
      <c r="CQ14" s="7" t="n">
        <f aca="false">IFERROR(IF(ISNUMBER(CP14),(CP14-AVERAGEIF('Pemetaan Variant'!$A$5:$A$32,$B14,'Pemetaan Variant'!$J$5:$J$32))/AVERAGEIF('Pemetaan Variant'!$A$5:$A$32,$B14,'Pemetaan Variant'!$J$5:$J$32)*100,"n/a"),"n/a")</f>
        <v>-4.96304118268215</v>
      </c>
      <c r="CR14" s="7" t="n">
        <f aca="false">IFERROR(IF(ISNUMBER(CQ14),$C14*CQ14,"n/a"),"n/a")</f>
        <v>-0.14828470757493</v>
      </c>
      <c r="CS14" s="17" t="n">
        <f aca="false">IFERROR(AVERAGEIF('Pemetaan Variant'!$A$5:$A$32,$B14,'Pemetaan Variant'!$AQ$5:$AQ$32),"n/a")</f>
        <v>22500</v>
      </c>
      <c r="CT14" s="7" t="n">
        <f aca="false">IFERROR(IF(ISNUMBER(CS14),(CS14-AVERAGEIF('Pemetaan Variant'!$A$5:$A$32,$B14,'Pemetaan Variant'!$J$5:$J$32))/AVERAGEIF('Pemetaan Variant'!$A$5:$A$32,$B14,'Pemetaan Variant'!$J$5:$J$32)*100,"n/a"),"n/a")</f>
        <v>-4.96304118268215</v>
      </c>
      <c r="CU14" s="7" t="n">
        <f aca="false">IFERROR(IF(ISNUMBER(CT14),$C14*CT14,"n/a"),"n/a")</f>
        <v>-0.14828470757493</v>
      </c>
      <c r="CV14" s="17" t="n">
        <f aca="false">IFERROR(AVERAGEIF('Pemetaan Variant'!$A$5:$A$32,$B14,'Pemetaan Variant'!$AR$5:$AR$32),"n/a")</f>
        <v>22800</v>
      </c>
      <c r="CW14" s="7" t="n">
        <f aca="false">IFERROR(IF(ISNUMBER(CV14),(CV14-AVERAGEIF('Pemetaan Variant'!$A$5:$A$32,$B14,'Pemetaan Variant'!$J$5:$J$32))/AVERAGEIF('Pemetaan Variant'!$A$5:$A$32,$B14,'Pemetaan Variant'!$J$5:$J$32)*100,"n/a"),"n/a")</f>
        <v>-3.69588173178458</v>
      </c>
      <c r="CX14" s="7" t="n">
        <f aca="false">IFERROR(IF(ISNUMBER(CW14),$C14*CW14,"n/a"),"n/a")</f>
        <v>-0.11042478223665</v>
      </c>
      <c r="CY14" s="17" t="n">
        <f aca="false">IFERROR(AVERAGEIF('Pemetaan Variant'!$A$5:$A$32,$B14,'Pemetaan Variant'!$AS$5:$AS$32),"n/a")</f>
        <v>23100</v>
      </c>
      <c r="CZ14" s="7" t="n">
        <f aca="false">IFERROR(IF(ISNUMBER(CY14),(CY14-AVERAGEIF('Pemetaan Variant'!$A$5:$A$32,$B14,'Pemetaan Variant'!$J$5:$J$32))/AVERAGEIF('Pemetaan Variant'!$A$5:$A$32,$B14,'Pemetaan Variant'!$J$5:$J$32)*100,"n/a"),"n/a")</f>
        <v>-2.42872228088701</v>
      </c>
      <c r="DA14" s="7" t="n">
        <f aca="false">IFERROR(IF(ISNUMBER(CZ14),$C14*CZ14,"n/a"),"n/a")</f>
        <v>-0.07256485689837</v>
      </c>
      <c r="DB14" s="17" t="n">
        <f aca="false">IFERROR(AVERAGEIF('Pemetaan Variant'!$A$5:$A$32,$B14,'Pemetaan Variant'!$AT$5:$AT$32),"n/a")</f>
        <v>22200</v>
      </c>
      <c r="DC14" s="7" t="n">
        <f aca="false">IFERROR(IF(ISNUMBER(DB14),(DB14-AVERAGEIF('Pemetaan Variant'!$A$5:$A$32,$B14,'Pemetaan Variant'!$K$5:$K$32))/AVERAGEIF('Pemetaan Variant'!$A$5:$A$32,$B14,'Pemetaan Variant'!$K$5:$K$32)*100,"n/a"),"n/a")</f>
        <v>-2.46418338108883</v>
      </c>
      <c r="DD14" s="7" t="n">
        <f aca="false">IFERROR(IF(ISNUMBER(DC14),$C14*DC14,"n/a"),"n/a")</f>
        <v>-0.0736243562416476</v>
      </c>
      <c r="DE14" s="17" t="n">
        <f aca="false">IFERROR(AVERAGEIF('Pemetaan Variant'!$A$5:$A$32,$B14,'Pemetaan Variant'!$AU$5:$AU$32),"n/a")</f>
        <v>22000</v>
      </c>
      <c r="DF14" s="7" t="n">
        <f aca="false">IFERROR(IF(ISNUMBER(DE14),(DE14-AVERAGEIF('Pemetaan Variant'!$A$5:$A$32,$B14,'Pemetaan Variant'!$K$5:$K$32))/AVERAGEIF('Pemetaan Variant'!$A$5:$A$32,$B14,'Pemetaan Variant'!$K$5:$K$32)*100,"n/a"),"n/a")</f>
        <v>-3.34288443170965</v>
      </c>
      <c r="DG14" s="7" t="n">
        <f aca="false">IFERROR(IF(ISNUMBER(DF14),$C14*DF14,"n/a"),"n/a")</f>
        <v>-0.0998780026533979</v>
      </c>
      <c r="DH14" s="17" t="n">
        <f aca="false">IFERROR(AVERAGEIF('Pemetaan Variant'!$A$5:$A$32,$B14,'Pemetaan Variant'!$AV$5:$AV$32),"n/a")</f>
        <v>22000</v>
      </c>
      <c r="DI14" s="7" t="n">
        <f aca="false">IFERROR(IF(ISNUMBER(DH14),(DH14-AVERAGEIF('Pemetaan Variant'!$A$5:$A$32,$B14,'Pemetaan Variant'!$K$5:$K$32))/AVERAGEIF('Pemetaan Variant'!$A$5:$A$32,$B14,'Pemetaan Variant'!$K$5:$K$32)*100,"n/a"),"n/a")</f>
        <v>-3.34288443170965</v>
      </c>
      <c r="DJ14" s="7" t="n">
        <f aca="false">IFERROR(IF(ISNUMBER(DI14),$C14*DI14,"n/a"),"n/a")</f>
        <v>-0.0998780026533979</v>
      </c>
      <c r="DK14" s="17" t="n">
        <f aca="false">IFERROR(AVERAGEIF('Pemetaan Variant'!$A$5:$A$32,$B14,'Pemetaan Variant'!$AW$5:$AW$32),"n/a")</f>
        <v>22750</v>
      </c>
      <c r="DL14" s="7" t="n">
        <f aca="false">IFERROR(IF(ISNUMBER(DK14),(DK14-AVERAGEIF('Pemetaan Variant'!$A$5:$A$32,$B14,'Pemetaan Variant'!$K$5:$K$32))/AVERAGEIF('Pemetaan Variant'!$A$5:$A$32,$B14,'Pemetaan Variant'!$K$5:$K$32)*100,"n/a"),"n/a")</f>
        <v>-0.0477554918815692</v>
      </c>
      <c r="DM14" s="7" t="n">
        <f aca="false">IFERROR(IF(ISNUMBER(DL14),$C14*DL14,"n/a"),"n/a")</f>
        <v>-0.00142682860933434</v>
      </c>
      <c r="DN14" s="17" t="str">
        <f aca="false">IFERROR(AVERAGEIF('Pemetaan Variant'!$A$5:$A$32,$B14,'Pemetaan Variant'!$AX$5:$AX$32),"n/a")</f>
        <v>n/a</v>
      </c>
      <c r="DO14" s="7" t="str">
        <f aca="false">IFERROR(IF(ISNUMBER(DN14),(DN14-AVERAGEIF('Pemetaan Variant'!$A$5:$A$32,$B14,'Pemetaan Variant'!$K$5:$K$32))/AVERAGEIF('Pemetaan Variant'!$A$5:$A$32,$B14,'Pemetaan Variant'!$K$5:$K$32)*100,"n/a"),"n/a")</f>
        <v>n/a</v>
      </c>
      <c r="DP14" s="7" t="str">
        <f aca="false">IFERROR(IF(ISNUMBER(DO14),$C14*DO14,"n/a"),"n/a")</f>
        <v>n/a</v>
      </c>
      <c r="DQ14" s="18" t="n">
        <f aca="false">IFERROR(AVERAGEIF('Pemetaan Variant'!$A$5:$A$32,$B14,'Pemetaan Variant'!$AZ$5:$AZ$32),"n/a")</f>
        <v>23000</v>
      </c>
      <c r="DR14" s="11" t="n">
        <f aca="false">IFERROR(IF(ISNUMBER(DQ14),(DQ14-AVERAGEIF('Pemetaan Variant'!$A$5:$A$32,$B14,'Pemetaan Variant'!$AY$5:$AY$32))/AVERAGEIF('Pemetaan Variant'!$A$5:$A$32,$B14,'Pemetaan Variant'!$AY$5:$AY$32)*100,"n/a"),"n/a")</f>
        <v>3.5</v>
      </c>
      <c r="DS14" s="11" t="n">
        <f aca="false">IFERROR(IF(ISNUMBER(DR14),$C14*DR14,"n/a"),"n/a")</f>
        <v>0.104572268778108</v>
      </c>
      <c r="DT14" s="18" t="str">
        <f aca="false">IFERROR(AVERAGEIF('Pemetaan Variant'!$A$5:$A$32,$B14,'Pemetaan Variant'!$BA$5:$BA$32),"n/a")</f>
        <v>n/a</v>
      </c>
      <c r="DU14" s="11" t="str">
        <f aca="false">IFERROR(IF(ISNUMBER(DT14),(DT14-AVERAGEIF('Pemetaan Variant'!$A$5:$A$32,$B14,'Pemetaan Variant'!$AY$5:$AY$32))/AVERAGEIF('Pemetaan Variant'!$A$5:$A$32,$B14,'Pemetaan Variant'!$AY$5:$AY$32)*100,"n/a"),"n/a")</f>
        <v>n/a</v>
      </c>
      <c r="DV14" s="11" t="str">
        <f aca="false">IFERROR(IF(ISNUMBER(DU14),$C14*DU14,"n/a"),"n/a")</f>
        <v>n/a</v>
      </c>
      <c r="DW14" s="18" t="str">
        <f aca="false">IFERROR(AVERAGEIF('Pemetaan Variant'!$A$5:$A$32,$B14,'Pemetaan Variant'!$BB$5:$BB$32),"n/a")</f>
        <v>n/a</v>
      </c>
      <c r="DX14" s="11" t="str">
        <f aca="false">IFERROR(IF(ISNUMBER(DW14),(DW14-AVERAGEIF('Pemetaan Variant'!$A$5:$A$32,$B14,'Pemetaan Variant'!$AY$5:$AY$32))/AVERAGEIF('Pemetaan Variant'!$A$5:$A$32,$B14,'Pemetaan Variant'!$AY$5:$AY$32)*100,"n/a"),"n/a")</f>
        <v>n/a</v>
      </c>
      <c r="DY14" s="11" t="str">
        <f aca="false">IFERROR(IF(ISNUMBER(DX14),$C14*DX14,"n/a"),"n/a")</f>
        <v>n/a</v>
      </c>
      <c r="DZ14" s="18" t="str">
        <f aca="false">IFERROR(AVERAGEIF('Pemetaan Variant'!$A$5:$A$32,$B14,'Pemetaan Variant'!$BC$5:$BC$32),"n/a")</f>
        <v>n/a</v>
      </c>
      <c r="EA14" s="11" t="str">
        <f aca="false">IFERROR(IF(ISNUMBER(DZ14),(DZ14-AVERAGEIF('Pemetaan Variant'!$A$5:$A$32,$B14,'Pemetaan Variant'!$AY$5:$AY$32))/AVERAGEIF('Pemetaan Variant'!$A$5:$A$32,$B14,'Pemetaan Variant'!$AY$5:$AY$32)*100,"n/a"),"n/a")</f>
        <v>n/a</v>
      </c>
      <c r="EB14" s="11" t="str">
        <f aca="false">IFERROR(IF(ISNUMBER(EA14),$C14*EA14,"n/a"),"n/a")</f>
        <v>n/a</v>
      </c>
      <c r="EC14" s="18" t="str">
        <f aca="false">IFERROR(AVERAGEIF('Pemetaan Variant'!$A$5:$A$32,$B14,'Pemetaan Variant'!$BD$5:$BD$32),"n/a")</f>
        <v>n/a</v>
      </c>
      <c r="ED14" s="11" t="str">
        <f aca="false">IFERROR(IF(ISNUMBER(EC14),(EC14-AVERAGEIF('Pemetaan Variant'!$A$5:$A$32,$B14,'Pemetaan Variant'!$AY$5:$AY$32))/AVERAGEIF('Pemetaan Variant'!$A$5:$A$32,$B14,'Pemetaan Variant'!$AY$5:$AY$32)*100,"n/a"),"n/a")</f>
        <v>n/a</v>
      </c>
      <c r="EE14" s="11" t="str">
        <f aca="false">IFERROR(IF(ISNUMBER(ED14),$C14*ED14,"n/a"),"n/a")</f>
        <v>n/a</v>
      </c>
      <c r="EG14" s="11" t="n">
        <f aca="false">IFERROR(ABS(F14),0)</f>
        <v>0.00568018841814795</v>
      </c>
      <c r="EH14" s="11" t="n">
        <f aca="false">IFERROR(ABS(I14),0)</f>
        <v>0.00568018841814795</v>
      </c>
      <c r="EI14" s="11" t="n">
        <f aca="false">IFERROR(ABS(L14),0)</f>
        <v>0.00568018841814795</v>
      </c>
      <c r="EJ14" s="11" t="n">
        <f aca="false">IFERROR(ABS(O14),0)</f>
        <v>0.00568018841814795</v>
      </c>
      <c r="EK14" s="11" t="n">
        <f aca="false">IFERROR(ABS(R14),0)</f>
        <v>0.00568018841814795</v>
      </c>
      <c r="EL14" s="11" t="n">
        <f aca="false">IFERROR(ABS(U14),0)</f>
        <v>0.0717066985907023</v>
      </c>
      <c r="EM14" s="11" t="n">
        <f aca="false">IFERROR(ABS(X14),0)</f>
        <v>0.0239022328635674</v>
      </c>
      <c r="EN14" s="11" t="n">
        <f aca="false">IFERROR(ABS(AA14),0)</f>
        <v>0.278859383408287</v>
      </c>
      <c r="EO14" s="11" t="n">
        <f aca="false">IFERROR(ABS(AD14),0)</f>
        <v>0.262924561499242</v>
      </c>
      <c r="EP14" s="11" t="n">
        <f aca="false">IFERROR(ABS(AG14),0)</f>
        <v>0.202561295453961</v>
      </c>
      <c r="EQ14" s="11" t="n">
        <f aca="false">IFERROR(ABS(AJ14),0)</f>
        <v>0.213955368323247</v>
      </c>
      <c r="ER14" s="11" t="n">
        <f aca="false">IFERROR(ABS(AM14),0)</f>
        <v>0.202561295453961</v>
      </c>
      <c r="ES14" s="11" t="n">
        <f aca="false">IFERROR(ABS(AP14),0)</f>
        <v>0.183571174005152</v>
      </c>
      <c r="ET14" s="11" t="n">
        <f aca="false">IFERROR(ABS(AS14),0)</f>
        <v>0.145590931107535</v>
      </c>
      <c r="EU14" s="11" t="n">
        <f aca="false">IFERROR(ABS(AV14),0)</f>
        <v>0.155001062845138</v>
      </c>
      <c r="EV14" s="11" t="n">
        <f aca="false">IFERROR(ABS(AY14),0)</f>
        <v>0.229829162149687</v>
      </c>
      <c r="EW14" s="11" t="n">
        <f aca="false">IFERROR(ABS(BB14),0)</f>
        <v>0.219139433677608</v>
      </c>
      <c r="EX14" s="11" t="n">
        <f aca="false">IFERROR(ABS(BE14),0)</f>
        <v>0.251208619093844</v>
      </c>
      <c r="EY14" s="11" t="n">
        <f aca="false">IFERROR(ABS(BH14),0)</f>
        <v>0.315346989926315</v>
      </c>
      <c r="EZ14" s="11" t="n">
        <f aca="false">IFERROR(ABS(BK14),0)</f>
        <v>0</v>
      </c>
      <c r="FA14" s="11" t="n">
        <f aca="false">IFERROR(ABS(BN14),0)</f>
        <v>0.0803017554498907</v>
      </c>
      <c r="FB14" s="11" t="n">
        <f aca="false">IFERROR(ABS(BQ14),0)</f>
        <v>0.0996849377998644</v>
      </c>
      <c r="FC14" s="11" t="n">
        <f aca="false">IFERROR(ABS(BT14),0)</f>
        <v>0.196600849549732</v>
      </c>
      <c r="FD14" s="11" t="n">
        <f aca="false">IFERROR(ABS(BW14),0)</f>
        <v>0.0803017554498907</v>
      </c>
      <c r="FE14" s="11" t="n">
        <f aca="false">IFERROR(ABS(BZ14),0)</f>
        <v>0.0795226378540742</v>
      </c>
      <c r="FF14" s="11" t="n">
        <f aca="false">IFERROR(ABS(CC14),0)</f>
        <v>0.0552871672699754</v>
      </c>
      <c r="FG14" s="11" t="n">
        <f aca="false">IFERROR(ABS(CF14),0)</f>
        <v>0.0946698069691359</v>
      </c>
      <c r="FH14" s="11" t="n">
        <f aca="false">IFERROR(ABS(CI14),0)</f>
        <v>0.200699990774568</v>
      </c>
      <c r="FI14" s="11" t="n">
        <f aca="false">IFERROR(ABS(CL14),0)</f>
        <v>0.200699990774568</v>
      </c>
      <c r="FJ14" s="11" t="n">
        <f aca="false">IFERROR(ABS(CO14),0)</f>
        <v>0.08518483201113</v>
      </c>
      <c r="FK14" s="11" t="n">
        <f aca="false">IFERROR(ABS(CR14),0)</f>
        <v>0.14828470757493</v>
      </c>
      <c r="FL14" s="11" t="n">
        <f aca="false">IFERROR(ABS(CU14),0)</f>
        <v>0.14828470757493</v>
      </c>
      <c r="FM14" s="11" t="n">
        <f aca="false">IFERROR(ABS(CX14),0)</f>
        <v>0.11042478223665</v>
      </c>
      <c r="FN14" s="11" t="n">
        <f aca="false">IFERROR(ABS(DA14),0)</f>
        <v>0.07256485689837</v>
      </c>
      <c r="FO14" s="11" t="n">
        <f aca="false">IFERROR(ABS(DD14),0)</f>
        <v>0.0736243562416476</v>
      </c>
      <c r="FP14" s="11" t="n">
        <f aca="false">IFERROR(ABS(DG14),0)</f>
        <v>0.0998780026533979</v>
      </c>
      <c r="FQ14" s="11" t="n">
        <f aca="false">IFERROR(ABS(DJ14),0)</f>
        <v>0.0998780026533979</v>
      </c>
      <c r="FR14" s="11" t="n">
        <f aca="false">IFERROR(ABS(DM14),0)</f>
        <v>0.00142682860933434</v>
      </c>
      <c r="FS14" s="11" t="n">
        <f aca="false">IFERROR(ABS(DP14),0)</f>
        <v>0</v>
      </c>
      <c r="FT14" s="11" t="n">
        <f aca="false">IFERROR(ABS(DS14),0)</f>
        <v>0.104572268778108</v>
      </c>
      <c r="FU14" s="11" t="n">
        <f aca="false">IFERROR(ABS(DV14),0)</f>
        <v>0</v>
      </c>
      <c r="FV14" s="11" t="n">
        <f aca="false">IFERROR(ABS(DY14),0)</f>
        <v>0</v>
      </c>
      <c r="FW14" s="11" t="n">
        <f aca="false">IFERROR(ABS(EB14),0)</f>
        <v>0</v>
      </c>
      <c r="FX14" s="11" t="n">
        <f aca="false">IFERROR(ABS(EE14),0)</f>
        <v>0</v>
      </c>
    </row>
    <row r="15" customFormat="false" ht="12.75" hidden="false" customHeight="true" outlineLevel="0" collapsed="false">
      <c r="A15" s="5" t="n">
        <v>10</v>
      </c>
      <c r="B15" s="6" t="s">
        <v>199</v>
      </c>
      <c r="C15" s="7" t="n">
        <f aca="false">'P0Q0 Dasar 2022'!F14</f>
        <v>0.0193652206786879</v>
      </c>
      <c r="D15" s="17" t="n">
        <f aca="false">IFERROR(AVERAGEIF('Pemetaan Variant'!$A$5:$A$32,$B15,'Pemetaan Variant'!$L$5:$L$32),"n/a")</f>
        <v>15000</v>
      </c>
      <c r="E15" s="7" t="n">
        <f aca="false">IFERROR(IF(ISNUMBER(D15),(D15-AVERAGEIF('Pemetaan Variant'!$A$5:$A$32,$B15,'Pemetaan Variant'!$D$5:$D$32))/AVERAGEIF('Pemetaan Variant'!$A$5:$A$32,$B15,'Pemetaan Variant'!$D$5:$D$32)*100,"n/a"),"n/a")</f>
        <v>0</v>
      </c>
      <c r="F15" s="7" t="n">
        <f aca="false">IFERROR(IF(ISNUMBER(E15),$C15*E15,"n/a"),"n/a")</f>
        <v>0</v>
      </c>
      <c r="G15" s="17" t="n">
        <f aca="false">IFERROR(AVERAGEIF('Pemetaan Variant'!$A$5:$A$32,$B15,'Pemetaan Variant'!$M$5:$M$32),"n/a")</f>
        <v>15000</v>
      </c>
      <c r="H15" s="7" t="n">
        <f aca="false">IFERROR(IF(ISNUMBER(G15),(G15-AVERAGEIF('Pemetaan Variant'!$A$5:$A$32,$B15,'Pemetaan Variant'!$D$5:$D$32))/AVERAGEIF('Pemetaan Variant'!$A$5:$A$32,$B15,'Pemetaan Variant'!$D$5:$D$32)*100,"n/a"),"n/a")</f>
        <v>0</v>
      </c>
      <c r="I15" s="7" t="n">
        <f aca="false">IFERROR(IF(ISNUMBER(H15),$C15*H15,"n/a"),"n/a")</f>
        <v>0</v>
      </c>
      <c r="J15" s="17" t="n">
        <f aca="false">IFERROR(AVERAGEIF('Pemetaan Variant'!$A$5:$A$32,$B15,'Pemetaan Variant'!$N$5:$N$32),"n/a")</f>
        <v>15000</v>
      </c>
      <c r="K15" s="7" t="n">
        <f aca="false">IFERROR(IF(ISNUMBER(J15),(J15-AVERAGEIF('Pemetaan Variant'!$A$5:$A$32,$B15,'Pemetaan Variant'!$D$5:$D$32))/AVERAGEIF('Pemetaan Variant'!$A$5:$A$32,$B15,'Pemetaan Variant'!$D$5:$D$32)*100,"n/a"),"n/a")</f>
        <v>0</v>
      </c>
      <c r="L15" s="7" t="n">
        <f aca="false">IFERROR(IF(ISNUMBER(K15),$C15*K15,"n/a"),"n/a")</f>
        <v>0</v>
      </c>
      <c r="M15" s="17" t="n">
        <f aca="false">IFERROR(AVERAGEIF('Pemetaan Variant'!$A$5:$A$32,$B15,'Pemetaan Variant'!$O$5:$O$32),"n/a")</f>
        <v>15000</v>
      </c>
      <c r="N15" s="7" t="n">
        <f aca="false">IFERROR(IF(ISNUMBER(M15),(M15-AVERAGEIF('Pemetaan Variant'!$A$5:$A$32,$B15,'Pemetaan Variant'!$D$5:$D$32))/AVERAGEIF('Pemetaan Variant'!$A$5:$A$32,$B15,'Pemetaan Variant'!$D$5:$D$32)*100,"n/a"),"n/a")</f>
        <v>0</v>
      </c>
      <c r="O15" s="7" t="n">
        <f aca="false">IFERROR(IF(ISNUMBER(N15),$C15*N15,"n/a"),"n/a")</f>
        <v>0</v>
      </c>
      <c r="P15" s="17" t="n">
        <f aca="false">IFERROR(AVERAGEIF('Pemetaan Variant'!$A$5:$A$32,$B15,'Pemetaan Variant'!$P$5:$P$32),"n/a")</f>
        <v>15000</v>
      </c>
      <c r="Q15" s="7" t="n">
        <f aca="false">IFERROR(IF(ISNUMBER(P15),(P15-AVERAGEIF('Pemetaan Variant'!$A$5:$A$32,$B15,'Pemetaan Variant'!$D$5:$D$32))/AVERAGEIF('Pemetaan Variant'!$A$5:$A$32,$B15,'Pemetaan Variant'!$D$5:$D$32)*100,"n/a"),"n/a")</f>
        <v>0</v>
      </c>
      <c r="R15" s="7" t="n">
        <f aca="false">IFERROR(IF(ISNUMBER(Q15),$C15*Q15,"n/a"),"n/a")</f>
        <v>0</v>
      </c>
      <c r="S15" s="17" t="n">
        <f aca="false">IFERROR(AVERAGEIF('Pemetaan Variant'!$A$5:$A$32,$B15,'Pemetaan Variant'!$Q$5:$Q$32),"n/a")</f>
        <v>15300</v>
      </c>
      <c r="T15" s="7" t="n">
        <f aca="false">IFERROR(IF(ISNUMBER(S15),(S15-AVERAGEIF('Pemetaan Variant'!$A$5:$A$32,$B15,'Pemetaan Variant'!$E$5:$E$32))/AVERAGEIF('Pemetaan Variant'!$A$5:$A$32,$B15,'Pemetaan Variant'!$E$5:$E$32)*100,"n/a"),"n/a")</f>
        <v>2</v>
      </c>
      <c r="U15" s="7" t="n">
        <f aca="false">IFERROR(IF(ISNUMBER(T15),$C15*T15,"n/a"),"n/a")</f>
        <v>0.0387304413573758</v>
      </c>
      <c r="V15" s="17" t="n">
        <f aca="false">IFERROR(AVERAGEIF('Pemetaan Variant'!$A$5:$A$32,$B15,'Pemetaan Variant'!$R$5:$R$32),"n/a")</f>
        <v>15000</v>
      </c>
      <c r="W15" s="7" t="n">
        <f aca="false">IFERROR(IF(ISNUMBER(V15),(V15-AVERAGEIF('Pemetaan Variant'!$A$5:$A$32,$B15,'Pemetaan Variant'!$E$5:$E$32))/AVERAGEIF('Pemetaan Variant'!$A$5:$A$32,$B15,'Pemetaan Variant'!$E$5:$E$32)*100,"n/a"),"n/a")</f>
        <v>0</v>
      </c>
      <c r="X15" s="7" t="n">
        <f aca="false">IFERROR(IF(ISNUMBER(W15),$C15*W15,"n/a"),"n/a")</f>
        <v>0</v>
      </c>
      <c r="Y15" s="17" t="n">
        <f aca="false">IFERROR(AVERAGEIF('Pemetaan Variant'!$A$5:$A$32,$B15,'Pemetaan Variant'!$S$5:$S$32),"n/a")</f>
        <v>16000</v>
      </c>
      <c r="Z15" s="7" t="n">
        <f aca="false">IFERROR(IF(ISNUMBER(Y15),(Y15-AVERAGEIF('Pemetaan Variant'!$A$5:$A$32,$B15,'Pemetaan Variant'!$E$5:$E$32))/AVERAGEIF('Pemetaan Variant'!$A$5:$A$32,$B15,'Pemetaan Variant'!$E$5:$E$32)*100,"n/a"),"n/a")</f>
        <v>6.66666666666667</v>
      </c>
      <c r="AA15" s="7" t="n">
        <f aca="false">IFERROR(IF(ISNUMBER(Z15),$C15*Z15,"n/a"),"n/a")</f>
        <v>0.129101471191253</v>
      </c>
      <c r="AB15" s="17" t="n">
        <f aca="false">IFERROR(AVERAGEIF('Pemetaan Variant'!$A$5:$A$32,$B15,'Pemetaan Variant'!$T$5:$T$32),"n/a")</f>
        <v>15900</v>
      </c>
      <c r="AC15" s="7" t="n">
        <f aca="false">IFERROR(IF(ISNUMBER(AB15),(AB15-AVERAGEIF('Pemetaan Variant'!$A$5:$A$32,$B15,'Pemetaan Variant'!$E$5:$E$32))/AVERAGEIF('Pemetaan Variant'!$A$5:$A$32,$B15,'Pemetaan Variant'!$E$5:$E$32)*100,"n/a"),"n/a")</f>
        <v>6</v>
      </c>
      <c r="AD15" s="7" t="n">
        <f aca="false">IFERROR(IF(ISNUMBER(AC15),$C15*AC15,"n/a"),"n/a")</f>
        <v>0.116191324072127</v>
      </c>
      <c r="AE15" s="17" t="n">
        <f aca="false">IFERROR(AVERAGEIF('Pemetaan Variant'!$A$5:$A$32,$B15,'Pemetaan Variant'!$U$5:$U$32),"n/a")</f>
        <v>16500</v>
      </c>
      <c r="AF15" s="7" t="n">
        <f aca="false">IFERROR(IF(ISNUMBER(AE15),(AE15-AVERAGEIF('Pemetaan Variant'!$A$5:$A$32,$B15,'Pemetaan Variant'!$F$5:$F$32))/AVERAGEIF('Pemetaan Variant'!$A$5:$A$32,$B15,'Pemetaan Variant'!$F$5:$F$32)*100,"n/a"),"n/a")</f>
        <v>6.45161290322581</v>
      </c>
      <c r="AG15" s="7" t="n">
        <f aca="false">IFERROR(IF(ISNUMBER(AF15),$C15*AF15,"n/a"),"n/a")</f>
        <v>0.124936907604438</v>
      </c>
      <c r="AH15" s="17" t="n">
        <f aca="false">IFERROR(AVERAGEIF('Pemetaan Variant'!$A$5:$A$32,$B15,'Pemetaan Variant'!$V$5:$V$32),"n/a")</f>
        <v>16800</v>
      </c>
      <c r="AI15" s="7" t="n">
        <f aca="false">IFERROR(IF(ISNUMBER(AH15),(AH15-AVERAGEIF('Pemetaan Variant'!$A$5:$A$32,$B15,'Pemetaan Variant'!$F$5:$F$32))/AVERAGEIF('Pemetaan Variant'!$A$5:$A$32,$B15,'Pemetaan Variant'!$F$5:$F$32)*100,"n/a"),"n/a")</f>
        <v>8.38709677419355</v>
      </c>
      <c r="AJ15" s="7" t="n">
        <f aca="false">IFERROR(IF(ISNUMBER(AI15),$C15*AI15,"n/a"),"n/a")</f>
        <v>0.16241797988577</v>
      </c>
      <c r="AK15" s="17" t="n">
        <f aca="false">IFERROR(AVERAGEIF('Pemetaan Variant'!$A$5:$A$32,$B15,'Pemetaan Variant'!$W$5:$W$32),"n/a")</f>
        <v>17500</v>
      </c>
      <c r="AL15" s="7" t="n">
        <f aca="false">IFERROR(IF(ISNUMBER(AK15),(AK15-AVERAGEIF('Pemetaan Variant'!$A$5:$A$32,$B15,'Pemetaan Variant'!$F$5:$F$32))/AVERAGEIF('Pemetaan Variant'!$A$5:$A$32,$B15,'Pemetaan Variant'!$F$5:$F$32)*100,"n/a"),"n/a")</f>
        <v>12.9032258064516</v>
      </c>
      <c r="AM15" s="7" t="n">
        <f aca="false">IFERROR(IF(ISNUMBER(AL15),$C15*AL15,"n/a"),"n/a")</f>
        <v>0.249873815208876</v>
      </c>
      <c r="AN15" s="17" t="n">
        <f aca="false">IFERROR(AVERAGEIF('Pemetaan Variant'!$A$5:$A$32,$B15,'Pemetaan Variant'!$X$5:$X$32),"n/a")</f>
        <v>17433.3333333333</v>
      </c>
      <c r="AO15" s="7" t="n">
        <f aca="false">IFERROR(IF(ISNUMBER(AN15),(AN15-AVERAGEIF('Pemetaan Variant'!$A$5:$A$32,$B15,'Pemetaan Variant'!$F$5:$F$32))/AVERAGEIF('Pemetaan Variant'!$A$5:$A$32,$B15,'Pemetaan Variant'!$F$5:$F$32)*100,"n/a"),"n/a")</f>
        <v>12.4731182795699</v>
      </c>
      <c r="AP15" s="7" t="n">
        <f aca="false">IFERROR(IF(ISNUMBER(AO15),$C15*AO15,"n/a"),"n/a")</f>
        <v>0.241544688035247</v>
      </c>
      <c r="AQ15" s="17" t="n">
        <f aca="false">IFERROR(AVERAGEIF('Pemetaan Variant'!$A$5:$A$32,$B15,'Pemetaan Variant'!$Y$5:$Y$32),"n/a")</f>
        <v>17300</v>
      </c>
      <c r="AR15" s="7" t="n">
        <f aca="false">IFERROR(IF(ISNUMBER(AQ15),(AQ15-AVERAGEIF('Pemetaan Variant'!$A$5:$A$32,$B15,'Pemetaan Variant'!$F$5:$F$32))/AVERAGEIF('Pemetaan Variant'!$A$5:$A$32,$B15,'Pemetaan Variant'!$F$5:$F$32)*100,"n/a"),"n/a")</f>
        <v>11.6129032258065</v>
      </c>
      <c r="AS15" s="7" t="n">
        <f aca="false">IFERROR(IF(ISNUMBER(AR15),$C15*AR15,"n/a"),"n/a")</f>
        <v>0.224886433687989</v>
      </c>
      <c r="AT15" s="17" t="n">
        <f aca="false">IFERROR(AVERAGEIF('Pemetaan Variant'!$A$5:$A$32,$B15,'Pemetaan Variant'!$Z$5:$Z$32),"n/a")</f>
        <v>17300</v>
      </c>
      <c r="AU15" s="7" t="n">
        <f aca="false">IFERROR(IF(ISNUMBER(AT15),(AT15-AVERAGEIF('Pemetaan Variant'!$A$5:$A$32,$B15,'Pemetaan Variant'!$G$5:$G$32))/AVERAGEIF('Pemetaan Variant'!$A$5:$A$32,$B15,'Pemetaan Variant'!$G$5:$G$32)*100,"n/a"),"n/a")</f>
        <v>1.49603989439718</v>
      </c>
      <c r="AV15" s="7" t="n">
        <f aca="false">IFERROR(IF(ISNUMBER(AU15),$C15*AU15,"n/a"),"n/a")</f>
        <v>0.0289711426991224</v>
      </c>
      <c r="AW15" s="17" t="n">
        <f aca="false">IFERROR(AVERAGEIF('Pemetaan Variant'!$A$5:$A$32,$B15,'Pemetaan Variant'!$AA$5:$AA$32),"n/a")</f>
        <v>17300</v>
      </c>
      <c r="AX15" s="7" t="n">
        <f aca="false">IFERROR(IF(ISNUMBER(AW15),(AW15-AVERAGEIF('Pemetaan Variant'!$A$5:$A$32,$B15,'Pemetaan Variant'!$G$5:$G$32))/AVERAGEIF('Pemetaan Variant'!$A$5:$A$32,$B15,'Pemetaan Variant'!$G$5:$G$32)*100,"n/a"),"n/a")</f>
        <v>1.49603989439718</v>
      </c>
      <c r="AY15" s="7" t="n">
        <f aca="false">IFERROR(IF(ISNUMBER(AX15),$C15*AX15,"n/a"),"n/a")</f>
        <v>0.0289711426991224</v>
      </c>
      <c r="AZ15" s="17" t="n">
        <f aca="false">IFERROR(AVERAGEIF('Pemetaan Variant'!$A$5:$A$32,$B15,'Pemetaan Variant'!$AB$5:$AB$32),"n/a")</f>
        <v>17300</v>
      </c>
      <c r="BA15" s="7" t="n">
        <f aca="false">IFERROR(IF(ISNUMBER(AZ15),(AZ15-AVERAGEIF('Pemetaan Variant'!$A$5:$A$32,$B15,'Pemetaan Variant'!$G$5:$G$32))/AVERAGEIF('Pemetaan Variant'!$A$5:$A$32,$B15,'Pemetaan Variant'!$G$5:$G$32)*100,"n/a"),"n/a")</f>
        <v>1.49603989439718</v>
      </c>
      <c r="BB15" s="7" t="n">
        <f aca="false">IFERROR(IF(ISNUMBER(BA15),$C15*BA15,"n/a"),"n/a")</f>
        <v>0.0289711426991224</v>
      </c>
      <c r="BC15" s="17" t="n">
        <f aca="false">IFERROR(AVERAGEIF('Pemetaan Variant'!$A$5:$A$32,$B15,'Pemetaan Variant'!$AC$5:$AC$32),"n/a")</f>
        <v>17300</v>
      </c>
      <c r="BD15" s="7" t="n">
        <f aca="false">IFERROR(IF(ISNUMBER(BC15),(BC15-AVERAGEIF('Pemetaan Variant'!$A$5:$A$32,$B15,'Pemetaan Variant'!$G$5:$G$32))/AVERAGEIF('Pemetaan Variant'!$A$5:$A$32,$B15,'Pemetaan Variant'!$G$5:$G$32)*100,"n/a"),"n/a")</f>
        <v>1.49603989439718</v>
      </c>
      <c r="BE15" s="7" t="n">
        <f aca="false">IFERROR(IF(ISNUMBER(BD15),$C15*BD15,"n/a"),"n/a")</f>
        <v>0.0289711426991224</v>
      </c>
      <c r="BF15" s="17" t="n">
        <f aca="false">IFERROR(AVERAGEIF('Pemetaan Variant'!$A$5:$A$32,$B15,'Pemetaan Variant'!$AD$5:$AD$32),"n/a")</f>
        <v>17100</v>
      </c>
      <c r="BG15" s="7" t="n">
        <f aca="false">IFERROR(IF(ISNUMBER(BF15),(BF15-AVERAGEIF('Pemetaan Variant'!$A$5:$A$32,$B15,'Pemetaan Variant'!$G$5:$G$32))/AVERAGEIF('Pemetaan Variant'!$A$5:$A$32,$B15,'Pemetaan Variant'!$G$5:$G$32)*100,"n/a"),"n/a")</f>
        <v>0.322675271340569</v>
      </c>
      <c r="BH15" s="7" t="n">
        <f aca="false">IFERROR(IF(ISNUMBER(BG15),$C15*BG15,"n/a"),"n/a")</f>
        <v>0.00624867783706562</v>
      </c>
      <c r="BI15" s="17" t="str">
        <f aca="false">IFERROR(AVERAGEIF('Pemetaan Variant'!$A$5:$A$32,$B15,'Pemetaan Variant'!$AE$5:$AE$32),"n/a")</f>
        <v>n/a</v>
      </c>
      <c r="BJ15" s="7" t="str">
        <f aca="false">IFERROR(IF(ISNUMBER(BI15),(BI15-AVERAGEIF('Pemetaan Variant'!$A$5:$A$32,$B15,'Pemetaan Variant'!$H$5:$H$32))/AVERAGEIF('Pemetaan Variant'!$A$5:$A$32,$B15,'Pemetaan Variant'!$H$5:$H$32)*100,"n/a"),"n/a")</f>
        <v>n/a</v>
      </c>
      <c r="BK15" s="7" t="str">
        <f aca="false">IFERROR(IF(ISNUMBER(BJ15),$C15*BJ15,"n/a"),"n/a")</f>
        <v>n/a</v>
      </c>
      <c r="BL15" s="17" t="n">
        <f aca="false">IFERROR(AVERAGEIF('Pemetaan Variant'!$A$5:$A$32,$B15,'Pemetaan Variant'!$AF$5:$AF$32),"n/a")</f>
        <v>16500</v>
      </c>
      <c r="BM15" s="7" t="n">
        <f aca="false">IFERROR(IF(ISNUMBER(BL15),(BL15-AVERAGEIF('Pemetaan Variant'!$A$5:$A$32,$B15,'Pemetaan Variant'!$H$5:$H$32))/AVERAGEIF('Pemetaan Variant'!$A$5:$A$32,$B15,'Pemetaan Variant'!$H$5:$H$32)*100,"n/a"),"n/a")</f>
        <v>-4.41379310344828</v>
      </c>
      <c r="BN15" s="7" t="n">
        <f aca="false">IFERROR(IF(ISNUMBER(BM15),$C15*BM15,"n/a"),"n/a")</f>
        <v>-0.0854740774783468</v>
      </c>
      <c r="BO15" s="17" t="n">
        <f aca="false">IFERROR(AVERAGEIF('Pemetaan Variant'!$A$5:$A$32,$B15,'Pemetaan Variant'!$AG$5:$AG$32),"n/a")</f>
        <v>16500</v>
      </c>
      <c r="BP15" s="7" t="n">
        <f aca="false">IFERROR(IF(ISNUMBER(BO15),(BO15-AVERAGEIF('Pemetaan Variant'!$A$5:$A$32,$B15,'Pemetaan Variant'!$H$5:$H$32))/AVERAGEIF('Pemetaan Variant'!$A$5:$A$32,$B15,'Pemetaan Variant'!$H$5:$H$32)*100,"n/a"),"n/a")</f>
        <v>-4.41379310344828</v>
      </c>
      <c r="BQ15" s="7" t="n">
        <f aca="false">IFERROR(IF(ISNUMBER(BP15),$C15*BP15,"n/a"),"n/a")</f>
        <v>-0.0854740774783468</v>
      </c>
      <c r="BR15" s="17" t="n">
        <f aca="false">IFERROR(AVERAGEIF('Pemetaan Variant'!$A$5:$A$32,$B15,'Pemetaan Variant'!$AH$5:$AH$32),"n/a")</f>
        <v>16500</v>
      </c>
      <c r="BS15" s="7" t="n">
        <f aca="false">IFERROR(IF(ISNUMBER(BR15),(BR15-AVERAGEIF('Pemetaan Variant'!$A$5:$A$32,$B15,'Pemetaan Variant'!$H$5:$H$32))/AVERAGEIF('Pemetaan Variant'!$A$5:$A$32,$B15,'Pemetaan Variant'!$H$5:$H$32)*100,"n/a"),"n/a")</f>
        <v>-4.41379310344828</v>
      </c>
      <c r="BT15" s="7" t="n">
        <f aca="false">IFERROR(IF(ISNUMBER(BS15),$C15*BS15,"n/a"),"n/a")</f>
        <v>-0.0854740774783468</v>
      </c>
      <c r="BU15" s="17" t="n">
        <f aca="false">IFERROR(AVERAGEIF('Pemetaan Variant'!$A$5:$A$32,$B15,'Pemetaan Variant'!$AI$5:$AI$32),"n/a")</f>
        <v>16500</v>
      </c>
      <c r="BV15" s="7" t="n">
        <f aca="false">IFERROR(IF(ISNUMBER(BU15),(BU15-AVERAGEIF('Pemetaan Variant'!$A$5:$A$32,$B15,'Pemetaan Variant'!$H$5:$H$32))/AVERAGEIF('Pemetaan Variant'!$A$5:$A$32,$B15,'Pemetaan Variant'!$H$5:$H$32)*100,"n/a"),"n/a")</f>
        <v>-4.41379310344828</v>
      </c>
      <c r="BW15" s="7" t="n">
        <f aca="false">IFERROR(IF(ISNUMBER(BV15),$C15*BV15,"n/a"),"n/a")</f>
        <v>-0.0854740774783468</v>
      </c>
      <c r="BX15" s="17" t="n">
        <f aca="false">IFERROR(AVERAGEIF('Pemetaan Variant'!$A$5:$A$32,$B15,'Pemetaan Variant'!$AJ$5:$AJ$32),"n/a")</f>
        <v>16500</v>
      </c>
      <c r="BY15" s="7" t="n">
        <f aca="false">IFERROR(IF(ISNUMBER(BX15),(BX15-AVERAGEIF('Pemetaan Variant'!$A$5:$A$32,$B15,'Pemetaan Variant'!$I$5:$I$32))/AVERAGEIF('Pemetaan Variant'!$A$5:$A$32,$B15,'Pemetaan Variant'!$I$5:$I$32)*100,"n/a"),"n/a")</f>
        <v>0</v>
      </c>
      <c r="BZ15" s="7" t="n">
        <f aca="false">IFERROR(IF(ISNUMBER(BY15),$C15*BY15,"n/a"),"n/a")</f>
        <v>0</v>
      </c>
      <c r="CA15" s="17" t="n">
        <f aca="false">IFERROR(AVERAGEIF('Pemetaan Variant'!$A$5:$A$32,$B15,'Pemetaan Variant'!$AK$5:$AK$32),"n/a")</f>
        <v>16500</v>
      </c>
      <c r="CB15" s="7" t="n">
        <f aca="false">IFERROR(IF(ISNUMBER(CA15),(CA15-AVERAGEIF('Pemetaan Variant'!$A$5:$A$32,$B15,'Pemetaan Variant'!$I$5:$I$32))/AVERAGEIF('Pemetaan Variant'!$A$5:$A$32,$B15,'Pemetaan Variant'!$I$5:$I$32)*100,"n/a"),"n/a")</f>
        <v>0</v>
      </c>
      <c r="CC15" s="7" t="n">
        <f aca="false">IFERROR(IF(ISNUMBER(CB15),$C15*CB15,"n/a"),"n/a")</f>
        <v>0</v>
      </c>
      <c r="CD15" s="17" t="n">
        <f aca="false">IFERROR(AVERAGEIF('Pemetaan Variant'!$A$5:$A$32,$B15,'Pemetaan Variant'!$AL$5:$AL$32),"n/a")</f>
        <v>16500</v>
      </c>
      <c r="CE15" s="7" t="n">
        <f aca="false">IFERROR(IF(ISNUMBER(CD15),(CD15-AVERAGEIF('Pemetaan Variant'!$A$5:$A$32,$B15,'Pemetaan Variant'!$I$5:$I$32))/AVERAGEIF('Pemetaan Variant'!$A$5:$A$32,$B15,'Pemetaan Variant'!$I$5:$I$32)*100,"n/a"),"n/a")</f>
        <v>0</v>
      </c>
      <c r="CF15" s="7" t="n">
        <f aca="false">IFERROR(IF(ISNUMBER(CE15),$C15*CE15,"n/a"),"n/a")</f>
        <v>0</v>
      </c>
      <c r="CG15" s="17" t="n">
        <f aca="false">IFERROR(AVERAGEIF('Pemetaan Variant'!$A$5:$A$32,$B15,'Pemetaan Variant'!$AM$5:$AM$32),"n/a")</f>
        <v>16500</v>
      </c>
      <c r="CH15" s="7" t="n">
        <f aca="false">IFERROR(IF(ISNUMBER(CG15),(CG15-AVERAGEIF('Pemetaan Variant'!$A$5:$A$32,$B15,'Pemetaan Variant'!$I$5:$I$32))/AVERAGEIF('Pemetaan Variant'!$A$5:$A$32,$B15,'Pemetaan Variant'!$I$5:$I$32)*100,"n/a"),"n/a")</f>
        <v>0</v>
      </c>
      <c r="CI15" s="7" t="n">
        <f aca="false">IFERROR(IF(ISNUMBER(CH15),$C15*CH15,"n/a"),"n/a")</f>
        <v>0</v>
      </c>
      <c r="CJ15" s="17" t="n">
        <f aca="false">IFERROR(AVERAGEIF('Pemetaan Variant'!$A$5:$A$32,$B15,'Pemetaan Variant'!$AN$5:$AN$32),"n/a")</f>
        <v>16500</v>
      </c>
      <c r="CK15" s="7" t="n">
        <f aca="false">IFERROR(IF(ISNUMBER(CJ15),(CJ15-AVERAGEIF('Pemetaan Variant'!$A$5:$A$32,$B15,'Pemetaan Variant'!$I$5:$I$32))/AVERAGEIF('Pemetaan Variant'!$A$5:$A$32,$B15,'Pemetaan Variant'!$I$5:$I$32)*100,"n/a"),"n/a")</f>
        <v>0</v>
      </c>
      <c r="CL15" s="7" t="n">
        <f aca="false">IFERROR(IF(ISNUMBER(CK15),$C15*CK15,"n/a"),"n/a")</f>
        <v>0</v>
      </c>
      <c r="CM15" s="17" t="n">
        <f aca="false">IFERROR(AVERAGEIF('Pemetaan Variant'!$A$5:$A$32,$B15,'Pemetaan Variant'!$AO$5:$AO$32),"n/a")</f>
        <v>16500</v>
      </c>
      <c r="CN15" s="7" t="n">
        <f aca="false">IFERROR(IF(ISNUMBER(CM15),(CM15-AVERAGEIF('Pemetaan Variant'!$A$5:$A$32,$B15,'Pemetaan Variant'!$J$5:$J$32))/AVERAGEIF('Pemetaan Variant'!$A$5:$A$32,$B15,'Pemetaan Variant'!$J$5:$J$32)*100,"n/a"),"n/a")</f>
        <v>0</v>
      </c>
      <c r="CO15" s="7" t="n">
        <f aca="false">IFERROR(IF(ISNUMBER(CN15),$C15*CN15,"n/a"),"n/a")</f>
        <v>0</v>
      </c>
      <c r="CP15" s="17" t="n">
        <f aca="false">IFERROR(AVERAGEIF('Pemetaan Variant'!$A$5:$A$32,$B15,'Pemetaan Variant'!$AP$5:$AP$32),"n/a")</f>
        <v>16500</v>
      </c>
      <c r="CQ15" s="7" t="n">
        <f aca="false">IFERROR(IF(ISNUMBER(CP15),(CP15-AVERAGEIF('Pemetaan Variant'!$A$5:$A$32,$B15,'Pemetaan Variant'!$J$5:$J$32))/AVERAGEIF('Pemetaan Variant'!$A$5:$A$32,$B15,'Pemetaan Variant'!$J$5:$J$32)*100,"n/a"),"n/a")</f>
        <v>0</v>
      </c>
      <c r="CR15" s="7" t="n">
        <f aca="false">IFERROR(IF(ISNUMBER(CQ15),$C15*CQ15,"n/a"),"n/a")</f>
        <v>0</v>
      </c>
      <c r="CS15" s="17" t="n">
        <f aca="false">IFERROR(AVERAGEIF('Pemetaan Variant'!$A$5:$A$32,$B15,'Pemetaan Variant'!$AQ$5:$AQ$32),"n/a")</f>
        <v>16500</v>
      </c>
      <c r="CT15" s="7" t="n">
        <f aca="false">IFERROR(IF(ISNUMBER(CS15),(CS15-AVERAGEIF('Pemetaan Variant'!$A$5:$A$32,$B15,'Pemetaan Variant'!$J$5:$J$32))/AVERAGEIF('Pemetaan Variant'!$A$5:$A$32,$B15,'Pemetaan Variant'!$J$5:$J$32)*100,"n/a"),"n/a")</f>
        <v>0</v>
      </c>
      <c r="CU15" s="7" t="n">
        <f aca="false">IFERROR(IF(ISNUMBER(CT15),$C15*CT15,"n/a"),"n/a")</f>
        <v>0</v>
      </c>
      <c r="CV15" s="17" t="n">
        <f aca="false">IFERROR(AVERAGEIF('Pemetaan Variant'!$A$5:$A$32,$B15,'Pemetaan Variant'!$AR$5:$AR$32),"n/a")</f>
        <v>16500</v>
      </c>
      <c r="CW15" s="7" t="n">
        <f aca="false">IFERROR(IF(ISNUMBER(CV15),(CV15-AVERAGEIF('Pemetaan Variant'!$A$5:$A$32,$B15,'Pemetaan Variant'!$J$5:$J$32))/AVERAGEIF('Pemetaan Variant'!$A$5:$A$32,$B15,'Pemetaan Variant'!$J$5:$J$32)*100,"n/a"),"n/a")</f>
        <v>0</v>
      </c>
      <c r="CX15" s="7" t="n">
        <f aca="false">IFERROR(IF(ISNUMBER(CW15),$C15*CW15,"n/a"),"n/a")</f>
        <v>0</v>
      </c>
      <c r="CY15" s="17" t="n">
        <f aca="false">IFERROR(AVERAGEIF('Pemetaan Variant'!$A$5:$A$32,$B15,'Pemetaan Variant'!$AS$5:$AS$32),"n/a")</f>
        <v>16500</v>
      </c>
      <c r="CZ15" s="7" t="n">
        <f aca="false">IFERROR(IF(ISNUMBER(CY15),(CY15-AVERAGEIF('Pemetaan Variant'!$A$5:$A$32,$B15,'Pemetaan Variant'!$J$5:$J$32))/AVERAGEIF('Pemetaan Variant'!$A$5:$A$32,$B15,'Pemetaan Variant'!$J$5:$J$32)*100,"n/a"),"n/a")</f>
        <v>0</v>
      </c>
      <c r="DA15" s="7" t="n">
        <f aca="false">IFERROR(IF(ISNUMBER(CZ15),$C15*CZ15,"n/a"),"n/a")</f>
        <v>0</v>
      </c>
      <c r="DB15" s="17" t="n">
        <f aca="false">IFERROR(AVERAGEIF('Pemetaan Variant'!$A$5:$A$32,$B15,'Pemetaan Variant'!$AT$5:$AT$32),"n/a")</f>
        <v>16500</v>
      </c>
      <c r="DC15" s="7" t="n">
        <f aca="false">IFERROR(IF(ISNUMBER(DB15),(DB15-AVERAGEIF('Pemetaan Variant'!$A$5:$A$32,$B15,'Pemetaan Variant'!$K$5:$K$32))/AVERAGEIF('Pemetaan Variant'!$A$5:$A$32,$B15,'Pemetaan Variant'!$K$5:$K$32)*100,"n/a"),"n/a")</f>
        <v>0</v>
      </c>
      <c r="DD15" s="7" t="n">
        <f aca="false">IFERROR(IF(ISNUMBER(DC15),$C15*DC15,"n/a"),"n/a")</f>
        <v>0</v>
      </c>
      <c r="DE15" s="17" t="n">
        <f aca="false">IFERROR(AVERAGEIF('Pemetaan Variant'!$A$5:$A$32,$B15,'Pemetaan Variant'!$AU$5:$AU$32),"n/a")</f>
        <v>16500</v>
      </c>
      <c r="DF15" s="7" t="n">
        <f aca="false">IFERROR(IF(ISNUMBER(DE15),(DE15-AVERAGEIF('Pemetaan Variant'!$A$5:$A$32,$B15,'Pemetaan Variant'!$K$5:$K$32))/AVERAGEIF('Pemetaan Variant'!$A$5:$A$32,$B15,'Pemetaan Variant'!$K$5:$K$32)*100,"n/a"),"n/a")</f>
        <v>0</v>
      </c>
      <c r="DG15" s="7" t="n">
        <f aca="false">IFERROR(IF(ISNUMBER(DF15),$C15*DF15,"n/a"),"n/a")</f>
        <v>0</v>
      </c>
      <c r="DH15" s="17" t="n">
        <f aca="false">IFERROR(AVERAGEIF('Pemetaan Variant'!$A$5:$A$32,$B15,'Pemetaan Variant'!$AV$5:$AV$32),"n/a")</f>
        <v>16500</v>
      </c>
      <c r="DI15" s="7" t="n">
        <f aca="false">IFERROR(IF(ISNUMBER(DH15),(DH15-AVERAGEIF('Pemetaan Variant'!$A$5:$A$32,$B15,'Pemetaan Variant'!$K$5:$K$32))/AVERAGEIF('Pemetaan Variant'!$A$5:$A$32,$B15,'Pemetaan Variant'!$K$5:$K$32)*100,"n/a"),"n/a")</f>
        <v>0</v>
      </c>
      <c r="DJ15" s="7" t="n">
        <f aca="false">IFERROR(IF(ISNUMBER(DI15),$C15*DI15,"n/a"),"n/a")</f>
        <v>0</v>
      </c>
      <c r="DK15" s="17" t="n">
        <f aca="false">IFERROR(AVERAGEIF('Pemetaan Variant'!$A$5:$A$32,$B15,'Pemetaan Variant'!$AW$5:$AW$32),"n/a")</f>
        <v>16500</v>
      </c>
      <c r="DL15" s="7" t="n">
        <f aca="false">IFERROR(IF(ISNUMBER(DK15),(DK15-AVERAGEIF('Pemetaan Variant'!$A$5:$A$32,$B15,'Pemetaan Variant'!$K$5:$K$32))/AVERAGEIF('Pemetaan Variant'!$A$5:$A$32,$B15,'Pemetaan Variant'!$K$5:$K$32)*100,"n/a"),"n/a")</f>
        <v>0</v>
      </c>
      <c r="DM15" s="7" t="n">
        <f aca="false">IFERROR(IF(ISNUMBER(DL15),$C15*DL15,"n/a"),"n/a")</f>
        <v>0</v>
      </c>
      <c r="DN15" s="17" t="str">
        <f aca="false">IFERROR(AVERAGEIF('Pemetaan Variant'!$A$5:$A$32,$B15,'Pemetaan Variant'!$AX$5:$AX$32),"n/a")</f>
        <v>n/a</v>
      </c>
      <c r="DO15" s="7" t="str">
        <f aca="false">IFERROR(IF(ISNUMBER(DN15),(DN15-AVERAGEIF('Pemetaan Variant'!$A$5:$A$32,$B15,'Pemetaan Variant'!$K$5:$K$32))/AVERAGEIF('Pemetaan Variant'!$A$5:$A$32,$B15,'Pemetaan Variant'!$K$5:$K$32)*100,"n/a"),"n/a")</f>
        <v>n/a</v>
      </c>
      <c r="DP15" s="7" t="str">
        <f aca="false">IFERROR(IF(ISNUMBER(DO15),$C15*DO15,"n/a"),"n/a")</f>
        <v>n/a</v>
      </c>
      <c r="DQ15" s="18" t="n">
        <f aca="false">IFERROR(AVERAGEIF('Pemetaan Variant'!$A$5:$A$32,$B15,'Pemetaan Variant'!$AZ$5:$AZ$32),"n/a")</f>
        <v>16500</v>
      </c>
      <c r="DR15" s="11" t="n">
        <f aca="false">IFERROR(IF(ISNUMBER(DQ15),(DQ15-AVERAGEIF('Pemetaan Variant'!$A$5:$A$32,$B15,'Pemetaan Variant'!$AY$5:$AY$32))/AVERAGEIF('Pemetaan Variant'!$A$5:$A$32,$B15,'Pemetaan Variant'!$AY$5:$AY$32)*100,"n/a"),"n/a")</f>
        <v>0</v>
      </c>
      <c r="DS15" s="11" t="n">
        <f aca="false">IFERROR(IF(ISNUMBER(DR15),$C15*DR15,"n/a"),"n/a")</f>
        <v>0</v>
      </c>
      <c r="DT15" s="18" t="str">
        <f aca="false">IFERROR(AVERAGEIF('Pemetaan Variant'!$A$5:$A$32,$B15,'Pemetaan Variant'!$BA$5:$BA$32),"n/a")</f>
        <v>n/a</v>
      </c>
      <c r="DU15" s="11" t="str">
        <f aca="false">IFERROR(IF(ISNUMBER(DT15),(DT15-AVERAGEIF('Pemetaan Variant'!$A$5:$A$32,$B15,'Pemetaan Variant'!$AY$5:$AY$32))/AVERAGEIF('Pemetaan Variant'!$A$5:$A$32,$B15,'Pemetaan Variant'!$AY$5:$AY$32)*100,"n/a"),"n/a")</f>
        <v>n/a</v>
      </c>
      <c r="DV15" s="11" t="str">
        <f aca="false">IFERROR(IF(ISNUMBER(DU15),$C15*DU15,"n/a"),"n/a")</f>
        <v>n/a</v>
      </c>
      <c r="DW15" s="18" t="str">
        <f aca="false">IFERROR(AVERAGEIF('Pemetaan Variant'!$A$5:$A$32,$B15,'Pemetaan Variant'!$BB$5:$BB$32),"n/a")</f>
        <v>n/a</v>
      </c>
      <c r="DX15" s="11" t="str">
        <f aca="false">IFERROR(IF(ISNUMBER(DW15),(DW15-AVERAGEIF('Pemetaan Variant'!$A$5:$A$32,$B15,'Pemetaan Variant'!$AY$5:$AY$32))/AVERAGEIF('Pemetaan Variant'!$A$5:$A$32,$B15,'Pemetaan Variant'!$AY$5:$AY$32)*100,"n/a"),"n/a")</f>
        <v>n/a</v>
      </c>
      <c r="DY15" s="11" t="str">
        <f aca="false">IFERROR(IF(ISNUMBER(DX15),$C15*DX15,"n/a"),"n/a")</f>
        <v>n/a</v>
      </c>
      <c r="DZ15" s="18" t="str">
        <f aca="false">IFERROR(AVERAGEIF('Pemetaan Variant'!$A$5:$A$32,$B15,'Pemetaan Variant'!$BC$5:$BC$32),"n/a")</f>
        <v>n/a</v>
      </c>
      <c r="EA15" s="11" t="str">
        <f aca="false">IFERROR(IF(ISNUMBER(DZ15),(DZ15-AVERAGEIF('Pemetaan Variant'!$A$5:$A$32,$B15,'Pemetaan Variant'!$AY$5:$AY$32))/AVERAGEIF('Pemetaan Variant'!$A$5:$A$32,$B15,'Pemetaan Variant'!$AY$5:$AY$32)*100,"n/a"),"n/a")</f>
        <v>n/a</v>
      </c>
      <c r="EB15" s="11" t="str">
        <f aca="false">IFERROR(IF(ISNUMBER(EA15),$C15*EA15,"n/a"),"n/a")</f>
        <v>n/a</v>
      </c>
      <c r="EC15" s="18" t="str">
        <f aca="false">IFERROR(AVERAGEIF('Pemetaan Variant'!$A$5:$A$32,$B15,'Pemetaan Variant'!$BD$5:$BD$32),"n/a")</f>
        <v>n/a</v>
      </c>
      <c r="ED15" s="11" t="str">
        <f aca="false">IFERROR(IF(ISNUMBER(EC15),(EC15-AVERAGEIF('Pemetaan Variant'!$A$5:$A$32,$B15,'Pemetaan Variant'!$AY$5:$AY$32))/AVERAGEIF('Pemetaan Variant'!$A$5:$A$32,$B15,'Pemetaan Variant'!$AY$5:$AY$32)*100,"n/a"),"n/a")</f>
        <v>n/a</v>
      </c>
      <c r="EE15" s="11" t="str">
        <f aca="false">IFERROR(IF(ISNUMBER(ED15),$C15*ED15,"n/a"),"n/a")</f>
        <v>n/a</v>
      </c>
      <c r="EG15" s="11" t="n">
        <f aca="false">IFERROR(ABS(F15),0)</f>
        <v>0</v>
      </c>
      <c r="EH15" s="11" t="n">
        <f aca="false">IFERROR(ABS(I15),0)</f>
        <v>0</v>
      </c>
      <c r="EI15" s="11" t="n">
        <f aca="false">IFERROR(ABS(L15),0)</f>
        <v>0</v>
      </c>
      <c r="EJ15" s="11" t="n">
        <f aca="false">IFERROR(ABS(O15),0)</f>
        <v>0</v>
      </c>
      <c r="EK15" s="11" t="n">
        <f aca="false">IFERROR(ABS(R15),0)</f>
        <v>0</v>
      </c>
      <c r="EL15" s="11" t="n">
        <f aca="false">IFERROR(ABS(U15),0)</f>
        <v>0.0387304413573758</v>
      </c>
      <c r="EM15" s="11" t="n">
        <f aca="false">IFERROR(ABS(X15),0)</f>
        <v>0</v>
      </c>
      <c r="EN15" s="11" t="n">
        <f aca="false">IFERROR(ABS(AA15),0)</f>
        <v>0.129101471191253</v>
      </c>
      <c r="EO15" s="11" t="n">
        <f aca="false">IFERROR(ABS(AD15),0)</f>
        <v>0.116191324072127</v>
      </c>
      <c r="EP15" s="11" t="n">
        <f aca="false">IFERROR(ABS(AG15),0)</f>
        <v>0.124936907604438</v>
      </c>
      <c r="EQ15" s="11" t="n">
        <f aca="false">IFERROR(ABS(AJ15),0)</f>
        <v>0.16241797988577</v>
      </c>
      <c r="ER15" s="11" t="n">
        <f aca="false">IFERROR(ABS(AM15),0)</f>
        <v>0.249873815208876</v>
      </c>
      <c r="ES15" s="11" t="n">
        <f aca="false">IFERROR(ABS(AP15),0)</f>
        <v>0.241544688035247</v>
      </c>
      <c r="ET15" s="11" t="n">
        <f aca="false">IFERROR(ABS(AS15),0)</f>
        <v>0.224886433687989</v>
      </c>
      <c r="EU15" s="11" t="n">
        <f aca="false">IFERROR(ABS(AV15),0)</f>
        <v>0.0289711426991224</v>
      </c>
      <c r="EV15" s="11" t="n">
        <f aca="false">IFERROR(ABS(AY15),0)</f>
        <v>0.0289711426991224</v>
      </c>
      <c r="EW15" s="11" t="n">
        <f aca="false">IFERROR(ABS(BB15),0)</f>
        <v>0.0289711426991224</v>
      </c>
      <c r="EX15" s="11" t="n">
        <f aca="false">IFERROR(ABS(BE15),0)</f>
        <v>0.0289711426991224</v>
      </c>
      <c r="EY15" s="11" t="n">
        <f aca="false">IFERROR(ABS(BH15),0)</f>
        <v>0.00624867783706562</v>
      </c>
      <c r="EZ15" s="11" t="n">
        <f aca="false">IFERROR(ABS(BK15),0)</f>
        <v>0</v>
      </c>
      <c r="FA15" s="11" t="n">
        <f aca="false">IFERROR(ABS(BN15),0)</f>
        <v>0.0854740774783468</v>
      </c>
      <c r="FB15" s="11" t="n">
        <f aca="false">IFERROR(ABS(BQ15),0)</f>
        <v>0.0854740774783468</v>
      </c>
      <c r="FC15" s="11" t="n">
        <f aca="false">IFERROR(ABS(BT15),0)</f>
        <v>0.0854740774783468</v>
      </c>
      <c r="FD15" s="11" t="n">
        <f aca="false">IFERROR(ABS(BW15),0)</f>
        <v>0.0854740774783468</v>
      </c>
      <c r="FE15" s="11" t="n">
        <f aca="false">IFERROR(ABS(BZ15),0)</f>
        <v>0</v>
      </c>
      <c r="FF15" s="11" t="n">
        <f aca="false">IFERROR(ABS(CC15),0)</f>
        <v>0</v>
      </c>
      <c r="FG15" s="11" t="n">
        <f aca="false">IFERROR(ABS(CF15),0)</f>
        <v>0</v>
      </c>
      <c r="FH15" s="11" t="n">
        <f aca="false">IFERROR(ABS(CI15),0)</f>
        <v>0</v>
      </c>
      <c r="FI15" s="11" t="n">
        <f aca="false">IFERROR(ABS(CL15),0)</f>
        <v>0</v>
      </c>
      <c r="FJ15" s="11" t="n">
        <f aca="false">IFERROR(ABS(CO15),0)</f>
        <v>0</v>
      </c>
      <c r="FK15" s="11" t="n">
        <f aca="false">IFERROR(ABS(CR15),0)</f>
        <v>0</v>
      </c>
      <c r="FL15" s="11" t="n">
        <f aca="false">IFERROR(ABS(CU15),0)</f>
        <v>0</v>
      </c>
      <c r="FM15" s="11" t="n">
        <f aca="false">IFERROR(ABS(CX15),0)</f>
        <v>0</v>
      </c>
      <c r="FN15" s="11" t="n">
        <f aca="false">IFERROR(ABS(DA15),0)</f>
        <v>0</v>
      </c>
      <c r="FO15" s="11" t="n">
        <f aca="false">IFERROR(ABS(DD15),0)</f>
        <v>0</v>
      </c>
      <c r="FP15" s="11" t="n">
        <f aca="false">IFERROR(ABS(DG15),0)</f>
        <v>0</v>
      </c>
      <c r="FQ15" s="11" t="n">
        <f aca="false">IFERROR(ABS(DJ15),0)</f>
        <v>0</v>
      </c>
      <c r="FR15" s="11" t="n">
        <f aca="false">IFERROR(ABS(DM15),0)</f>
        <v>0</v>
      </c>
      <c r="FS15" s="11" t="n">
        <f aca="false">IFERROR(ABS(DP15),0)</f>
        <v>0</v>
      </c>
      <c r="FT15" s="11" t="n">
        <f aca="false">IFERROR(ABS(DS15),0)</f>
        <v>0</v>
      </c>
      <c r="FU15" s="11" t="n">
        <f aca="false">IFERROR(ABS(DV15),0)</f>
        <v>0</v>
      </c>
      <c r="FV15" s="11" t="n">
        <f aca="false">IFERROR(ABS(DY15),0)</f>
        <v>0</v>
      </c>
      <c r="FW15" s="11" t="n">
        <f aca="false">IFERROR(ABS(EB15),0)</f>
        <v>0</v>
      </c>
      <c r="FX15" s="11" t="n">
        <f aca="false">IFERROR(ABS(EE15),0)</f>
        <v>0</v>
      </c>
    </row>
    <row r="16" customFormat="false" ht="12.75" hidden="false" customHeight="true" outlineLevel="0" collapsed="false">
      <c r="A16" s="5" t="n">
        <v>11</v>
      </c>
      <c r="B16" s="6" t="s">
        <v>200</v>
      </c>
      <c r="C16" s="7" t="n">
        <f aca="false">'P0Q0 Dasar 2022'!F15</f>
        <v>0.0207715409161349</v>
      </c>
      <c r="D16" s="17" t="n">
        <f aca="false">IFERROR(AVERAGEIF('Pemetaan Variant'!$A$5:$A$32,$B16,'Pemetaan Variant'!$L$5:$L$32),"n/a")</f>
        <v>28000</v>
      </c>
      <c r="E16" s="7" t="n">
        <f aca="false">IFERROR(IF(ISNUMBER(D16),(D16-AVERAGEIF('Pemetaan Variant'!$A$5:$A$32,$B16,'Pemetaan Variant'!$D$5:$D$32))/AVERAGEIF('Pemetaan Variant'!$A$5:$A$32,$B16,'Pemetaan Variant'!$D$5:$D$32)*100,"n/a"),"n/a")</f>
        <v>0</v>
      </c>
      <c r="F16" s="7" t="n">
        <f aca="false">IFERROR(IF(ISNUMBER(E16),$C16*E16,"n/a"),"n/a")</f>
        <v>0</v>
      </c>
      <c r="G16" s="17" t="n">
        <f aca="false">IFERROR(AVERAGEIF('Pemetaan Variant'!$A$5:$A$32,$B16,'Pemetaan Variant'!$M$5:$M$32),"n/a")</f>
        <v>28000</v>
      </c>
      <c r="H16" s="7" t="n">
        <f aca="false">IFERROR(IF(ISNUMBER(G16),(G16-AVERAGEIF('Pemetaan Variant'!$A$5:$A$32,$B16,'Pemetaan Variant'!$D$5:$D$32))/AVERAGEIF('Pemetaan Variant'!$A$5:$A$32,$B16,'Pemetaan Variant'!$D$5:$D$32)*100,"n/a"),"n/a")</f>
        <v>0</v>
      </c>
      <c r="I16" s="7" t="n">
        <f aca="false">IFERROR(IF(ISNUMBER(H16),$C16*H16,"n/a"),"n/a")</f>
        <v>0</v>
      </c>
      <c r="J16" s="17" t="n">
        <f aca="false">IFERROR(AVERAGEIF('Pemetaan Variant'!$A$5:$A$32,$B16,'Pemetaan Variant'!$N$5:$N$32),"n/a")</f>
        <v>28000</v>
      </c>
      <c r="K16" s="7" t="n">
        <f aca="false">IFERROR(IF(ISNUMBER(J16),(J16-AVERAGEIF('Pemetaan Variant'!$A$5:$A$32,$B16,'Pemetaan Variant'!$D$5:$D$32))/AVERAGEIF('Pemetaan Variant'!$A$5:$A$32,$B16,'Pemetaan Variant'!$D$5:$D$32)*100,"n/a"),"n/a")</f>
        <v>0</v>
      </c>
      <c r="L16" s="7" t="n">
        <f aca="false">IFERROR(IF(ISNUMBER(K16),$C16*K16,"n/a"),"n/a")</f>
        <v>0</v>
      </c>
      <c r="M16" s="17" t="n">
        <f aca="false">IFERROR(AVERAGEIF('Pemetaan Variant'!$A$5:$A$32,$B16,'Pemetaan Variant'!$O$5:$O$32),"n/a")</f>
        <v>28000</v>
      </c>
      <c r="N16" s="7" t="n">
        <f aca="false">IFERROR(IF(ISNUMBER(M16),(M16-AVERAGEIF('Pemetaan Variant'!$A$5:$A$32,$B16,'Pemetaan Variant'!$D$5:$D$32))/AVERAGEIF('Pemetaan Variant'!$A$5:$A$32,$B16,'Pemetaan Variant'!$D$5:$D$32)*100,"n/a"),"n/a")</f>
        <v>0</v>
      </c>
      <c r="O16" s="7" t="n">
        <f aca="false">IFERROR(IF(ISNUMBER(N16),$C16*N16,"n/a"),"n/a")</f>
        <v>0</v>
      </c>
      <c r="P16" s="17" t="n">
        <f aca="false">IFERROR(AVERAGEIF('Pemetaan Variant'!$A$5:$A$32,$B16,'Pemetaan Variant'!$P$5:$P$32),"n/a")</f>
        <v>28000</v>
      </c>
      <c r="Q16" s="7" t="n">
        <f aca="false">IFERROR(IF(ISNUMBER(P16),(P16-AVERAGEIF('Pemetaan Variant'!$A$5:$A$32,$B16,'Pemetaan Variant'!$D$5:$D$32))/AVERAGEIF('Pemetaan Variant'!$A$5:$A$32,$B16,'Pemetaan Variant'!$D$5:$D$32)*100,"n/a"),"n/a")</f>
        <v>0</v>
      </c>
      <c r="R16" s="7" t="n">
        <f aca="false">IFERROR(IF(ISNUMBER(Q16),$C16*Q16,"n/a"),"n/a")</f>
        <v>0</v>
      </c>
      <c r="S16" s="17" t="n">
        <f aca="false">IFERROR(AVERAGEIF('Pemetaan Variant'!$A$5:$A$32,$B16,'Pemetaan Variant'!$Q$5:$Q$32),"n/a")</f>
        <v>29400</v>
      </c>
      <c r="T16" s="7" t="n">
        <f aca="false">IFERROR(IF(ISNUMBER(S16),(S16-AVERAGEIF('Pemetaan Variant'!$A$5:$A$32,$B16,'Pemetaan Variant'!$E$5:$E$32))/AVERAGEIF('Pemetaan Variant'!$A$5:$A$32,$B16,'Pemetaan Variant'!$E$5:$E$32)*100,"n/a"),"n/a")</f>
        <v>5</v>
      </c>
      <c r="U16" s="7" t="n">
        <f aca="false">IFERROR(IF(ISNUMBER(T16),$C16*T16,"n/a"),"n/a")</f>
        <v>0.103857704580674</v>
      </c>
      <c r="V16" s="17" t="n">
        <f aca="false">IFERROR(AVERAGEIF('Pemetaan Variant'!$A$5:$A$32,$B16,'Pemetaan Variant'!$R$5:$R$32),"n/a")</f>
        <v>28000</v>
      </c>
      <c r="W16" s="7" t="n">
        <f aca="false">IFERROR(IF(ISNUMBER(V16),(V16-AVERAGEIF('Pemetaan Variant'!$A$5:$A$32,$B16,'Pemetaan Variant'!$E$5:$E$32))/AVERAGEIF('Pemetaan Variant'!$A$5:$A$32,$B16,'Pemetaan Variant'!$E$5:$E$32)*100,"n/a"),"n/a")</f>
        <v>0</v>
      </c>
      <c r="X16" s="7" t="n">
        <f aca="false">IFERROR(IF(ISNUMBER(W16),$C16*W16,"n/a"),"n/a")</f>
        <v>0</v>
      </c>
      <c r="Y16" s="17" t="n">
        <f aca="false">IFERROR(AVERAGEIF('Pemetaan Variant'!$A$5:$A$32,$B16,'Pemetaan Variant'!$S$5:$S$32),"n/a")</f>
        <v>32666.6666666667</v>
      </c>
      <c r="Z16" s="7" t="n">
        <f aca="false">IFERROR(IF(ISNUMBER(Y16),(Y16-AVERAGEIF('Pemetaan Variant'!$A$5:$A$32,$B16,'Pemetaan Variant'!$E$5:$E$32))/AVERAGEIF('Pemetaan Variant'!$A$5:$A$32,$B16,'Pemetaan Variant'!$E$5:$E$32)*100,"n/a"),"n/a")</f>
        <v>16.6666666666667</v>
      </c>
      <c r="AA16" s="7" t="n">
        <f aca="false">IFERROR(IF(ISNUMBER(Z16),$C16*Z16,"n/a"),"n/a")</f>
        <v>0.346192348602248</v>
      </c>
      <c r="AB16" s="17" t="n">
        <f aca="false">IFERROR(AVERAGEIF('Pemetaan Variant'!$A$5:$A$32,$B16,'Pemetaan Variant'!$T$5:$T$32),"n/a")</f>
        <v>32200</v>
      </c>
      <c r="AC16" s="7" t="n">
        <f aca="false">IFERROR(IF(ISNUMBER(AB16),(AB16-AVERAGEIF('Pemetaan Variant'!$A$5:$A$32,$B16,'Pemetaan Variant'!$E$5:$E$32))/AVERAGEIF('Pemetaan Variant'!$A$5:$A$32,$B16,'Pemetaan Variant'!$E$5:$E$32)*100,"n/a"),"n/a")</f>
        <v>15</v>
      </c>
      <c r="AD16" s="7" t="n">
        <f aca="false">IFERROR(IF(ISNUMBER(AC16),$C16*AC16,"n/a"),"n/a")</f>
        <v>0.311573113742023</v>
      </c>
      <c r="AE16" s="17" t="n">
        <f aca="false">IFERROR(AVERAGEIF('Pemetaan Variant'!$A$5:$A$32,$B16,'Pemetaan Variant'!$U$5:$U$32),"n/a")</f>
        <v>35000</v>
      </c>
      <c r="AF16" s="7" t="n">
        <f aca="false">IFERROR(IF(ISNUMBER(AE16),(AE16-AVERAGEIF('Pemetaan Variant'!$A$5:$A$32,$B16,'Pemetaan Variant'!$F$5:$F$32))/AVERAGEIF('Pemetaan Variant'!$A$5:$A$32,$B16,'Pemetaan Variant'!$F$5:$F$32)*100,"n/a"),"n/a")</f>
        <v>15.3846153846154</v>
      </c>
      <c r="AG16" s="7" t="n">
        <f aca="false">IFERROR(IF(ISNUMBER(AF16),$C16*AF16,"n/a"),"n/a")</f>
        <v>0.319562167940537</v>
      </c>
      <c r="AH16" s="17" t="n">
        <f aca="false">IFERROR(AVERAGEIF('Pemetaan Variant'!$A$5:$A$32,$B16,'Pemetaan Variant'!$V$5:$V$32),"n/a")</f>
        <v>35000</v>
      </c>
      <c r="AI16" s="7" t="n">
        <f aca="false">IFERROR(IF(ISNUMBER(AH16),(AH16-AVERAGEIF('Pemetaan Variant'!$A$5:$A$32,$B16,'Pemetaan Variant'!$F$5:$F$32))/AVERAGEIF('Pemetaan Variant'!$A$5:$A$32,$B16,'Pemetaan Variant'!$F$5:$F$32)*100,"n/a"),"n/a")</f>
        <v>15.3846153846154</v>
      </c>
      <c r="AJ16" s="7" t="n">
        <f aca="false">IFERROR(IF(ISNUMBER(AI16),$C16*AI16,"n/a"),"n/a")</f>
        <v>0.319562167940537</v>
      </c>
      <c r="AK16" s="17" t="n">
        <f aca="false">IFERROR(AVERAGEIF('Pemetaan Variant'!$A$5:$A$32,$B16,'Pemetaan Variant'!$W$5:$W$32),"n/a")</f>
        <v>42000</v>
      </c>
      <c r="AL16" s="7" t="n">
        <f aca="false">IFERROR(IF(ISNUMBER(AK16),(AK16-AVERAGEIF('Pemetaan Variant'!$A$5:$A$32,$B16,'Pemetaan Variant'!$F$5:$F$32))/AVERAGEIF('Pemetaan Variant'!$A$5:$A$32,$B16,'Pemetaan Variant'!$F$5:$F$32)*100,"n/a"),"n/a")</f>
        <v>38.4615384615385</v>
      </c>
      <c r="AM16" s="7" t="n">
        <f aca="false">IFERROR(IF(ISNUMBER(AL16),$C16*AL16,"n/a"),"n/a")</f>
        <v>0.798905419851342</v>
      </c>
      <c r="AN16" s="17" t="n">
        <f aca="false">IFERROR(AVERAGEIF('Pemetaan Variant'!$A$5:$A$32,$B16,'Pemetaan Variant'!$X$5:$X$32),"n/a")</f>
        <v>45000</v>
      </c>
      <c r="AO16" s="7" t="n">
        <f aca="false">IFERROR(IF(ISNUMBER(AN16),(AN16-AVERAGEIF('Pemetaan Variant'!$A$5:$A$32,$B16,'Pemetaan Variant'!$F$5:$F$32))/AVERAGEIF('Pemetaan Variant'!$A$5:$A$32,$B16,'Pemetaan Variant'!$F$5:$F$32)*100,"n/a"),"n/a")</f>
        <v>48.3516483516484</v>
      </c>
      <c r="AP16" s="7" t="n">
        <f aca="false">IFERROR(IF(ISNUMBER(AO16),$C16*AO16,"n/a"),"n/a")</f>
        <v>1.00433824209883</v>
      </c>
      <c r="AQ16" s="17" t="n">
        <f aca="false">IFERROR(AVERAGEIF('Pemetaan Variant'!$A$5:$A$32,$B16,'Pemetaan Variant'!$Y$5:$Y$32),"n/a")</f>
        <v>45000</v>
      </c>
      <c r="AR16" s="7" t="n">
        <f aca="false">IFERROR(IF(ISNUMBER(AQ16),(AQ16-AVERAGEIF('Pemetaan Variant'!$A$5:$A$32,$B16,'Pemetaan Variant'!$F$5:$F$32))/AVERAGEIF('Pemetaan Variant'!$A$5:$A$32,$B16,'Pemetaan Variant'!$F$5:$F$32)*100,"n/a"),"n/a")</f>
        <v>48.3516483516484</v>
      </c>
      <c r="AS16" s="7" t="n">
        <f aca="false">IFERROR(IF(ISNUMBER(AR16),$C16*AR16,"n/a"),"n/a")</f>
        <v>1.00433824209883</v>
      </c>
      <c r="AT16" s="17" t="n">
        <f aca="false">IFERROR(AVERAGEIF('Pemetaan Variant'!$A$5:$A$32,$B16,'Pemetaan Variant'!$Z$5:$Z$32),"n/a")</f>
        <v>45000</v>
      </c>
      <c r="AU16" s="7" t="n">
        <f aca="false">IFERROR(IF(ISNUMBER(AT16),(AT16-AVERAGEIF('Pemetaan Variant'!$A$5:$A$32,$B16,'Pemetaan Variant'!$G$5:$G$32))/AVERAGEIF('Pemetaan Variant'!$A$5:$A$32,$B16,'Pemetaan Variant'!$G$5:$G$32)*100,"n/a"),"n/a")</f>
        <v>14.6496815286624</v>
      </c>
      <c r="AV16" s="7" t="n">
        <f aca="false">IFERROR(IF(ISNUMBER(AU16),$C16*AU16,"n/a"),"n/a")</f>
        <v>0.304296459280957</v>
      </c>
      <c r="AW16" s="17" t="n">
        <f aca="false">IFERROR(AVERAGEIF('Pemetaan Variant'!$A$5:$A$32,$B16,'Pemetaan Variant'!$AA$5:$AA$32),"n/a")</f>
        <v>45000</v>
      </c>
      <c r="AX16" s="7" t="n">
        <f aca="false">IFERROR(IF(ISNUMBER(AW16),(AW16-AVERAGEIF('Pemetaan Variant'!$A$5:$A$32,$B16,'Pemetaan Variant'!$G$5:$G$32))/AVERAGEIF('Pemetaan Variant'!$A$5:$A$32,$B16,'Pemetaan Variant'!$G$5:$G$32)*100,"n/a"),"n/a")</f>
        <v>14.6496815286624</v>
      </c>
      <c r="AY16" s="7" t="n">
        <f aca="false">IFERROR(IF(ISNUMBER(AX16),$C16*AX16,"n/a"),"n/a")</f>
        <v>0.304296459280957</v>
      </c>
      <c r="AZ16" s="17" t="n">
        <f aca="false">IFERROR(AVERAGEIF('Pemetaan Variant'!$A$5:$A$32,$B16,'Pemetaan Variant'!$AB$5:$AB$32),"n/a")</f>
        <v>45000</v>
      </c>
      <c r="BA16" s="7" t="n">
        <f aca="false">IFERROR(IF(ISNUMBER(AZ16),(AZ16-AVERAGEIF('Pemetaan Variant'!$A$5:$A$32,$B16,'Pemetaan Variant'!$G$5:$G$32))/AVERAGEIF('Pemetaan Variant'!$A$5:$A$32,$B16,'Pemetaan Variant'!$G$5:$G$32)*100,"n/a"),"n/a")</f>
        <v>14.6496815286624</v>
      </c>
      <c r="BB16" s="7" t="n">
        <f aca="false">IFERROR(IF(ISNUMBER(BA16),$C16*BA16,"n/a"),"n/a")</f>
        <v>0.304296459280957</v>
      </c>
      <c r="BC16" s="17" t="n">
        <f aca="false">IFERROR(AVERAGEIF('Pemetaan Variant'!$A$5:$A$32,$B16,'Pemetaan Variant'!$AC$5:$AC$32),"n/a")</f>
        <v>45000</v>
      </c>
      <c r="BD16" s="7" t="n">
        <f aca="false">IFERROR(IF(ISNUMBER(BC16),(BC16-AVERAGEIF('Pemetaan Variant'!$A$5:$A$32,$B16,'Pemetaan Variant'!$G$5:$G$32))/AVERAGEIF('Pemetaan Variant'!$A$5:$A$32,$B16,'Pemetaan Variant'!$G$5:$G$32)*100,"n/a"),"n/a")</f>
        <v>14.6496815286624</v>
      </c>
      <c r="BE16" s="7" t="n">
        <f aca="false">IFERROR(IF(ISNUMBER(BD16),$C16*BD16,"n/a"),"n/a")</f>
        <v>0.304296459280957</v>
      </c>
      <c r="BF16" s="17" t="n">
        <f aca="false">IFERROR(AVERAGEIF('Pemetaan Variant'!$A$5:$A$32,$B16,'Pemetaan Variant'!$AD$5:$AD$32),"n/a")</f>
        <v>45000</v>
      </c>
      <c r="BG16" s="7" t="n">
        <f aca="false">IFERROR(IF(ISNUMBER(BF16),(BF16-AVERAGEIF('Pemetaan Variant'!$A$5:$A$32,$B16,'Pemetaan Variant'!$G$5:$G$32))/AVERAGEIF('Pemetaan Variant'!$A$5:$A$32,$B16,'Pemetaan Variant'!$G$5:$G$32)*100,"n/a"),"n/a")</f>
        <v>14.6496815286624</v>
      </c>
      <c r="BH16" s="7" t="n">
        <f aca="false">IFERROR(IF(ISNUMBER(BG16),$C16*BG16,"n/a"),"n/a")</f>
        <v>0.304296459280957</v>
      </c>
      <c r="BI16" s="17" t="str">
        <f aca="false">IFERROR(AVERAGEIF('Pemetaan Variant'!$A$5:$A$32,$B16,'Pemetaan Variant'!$AE$5:$AE$32),"n/a")</f>
        <v>n/a</v>
      </c>
      <c r="BJ16" s="7" t="str">
        <f aca="false">IFERROR(IF(ISNUMBER(BI16),(BI16-AVERAGEIF('Pemetaan Variant'!$A$5:$A$32,$B16,'Pemetaan Variant'!$H$5:$H$32))/AVERAGEIF('Pemetaan Variant'!$A$5:$A$32,$B16,'Pemetaan Variant'!$H$5:$H$32)*100,"n/a"),"n/a")</f>
        <v>n/a</v>
      </c>
      <c r="BK16" s="7" t="str">
        <f aca="false">IFERROR(IF(ISNUMBER(BJ16),$C16*BJ16,"n/a"),"n/a")</f>
        <v>n/a</v>
      </c>
      <c r="BL16" s="17" t="n">
        <f aca="false">IFERROR(AVERAGEIF('Pemetaan Variant'!$A$5:$A$32,$B16,'Pemetaan Variant'!$AF$5:$AF$32),"n/a")</f>
        <v>45000</v>
      </c>
      <c r="BM16" s="7" t="n">
        <f aca="false">IFERROR(IF(ISNUMBER(BL16),(BL16-AVERAGEIF('Pemetaan Variant'!$A$5:$A$32,$B16,'Pemetaan Variant'!$H$5:$H$32))/AVERAGEIF('Pemetaan Variant'!$A$5:$A$32,$B16,'Pemetaan Variant'!$H$5:$H$32)*100,"n/a"),"n/a")</f>
        <v>0</v>
      </c>
      <c r="BN16" s="7" t="n">
        <f aca="false">IFERROR(IF(ISNUMBER(BM16),$C16*BM16,"n/a"),"n/a")</f>
        <v>0</v>
      </c>
      <c r="BO16" s="17" t="n">
        <f aca="false">IFERROR(AVERAGEIF('Pemetaan Variant'!$A$5:$A$32,$B16,'Pemetaan Variant'!$AG$5:$AG$32),"n/a")</f>
        <v>45000</v>
      </c>
      <c r="BP16" s="7" t="n">
        <f aca="false">IFERROR(IF(ISNUMBER(BO16),(BO16-AVERAGEIF('Pemetaan Variant'!$A$5:$A$32,$B16,'Pemetaan Variant'!$H$5:$H$32))/AVERAGEIF('Pemetaan Variant'!$A$5:$A$32,$B16,'Pemetaan Variant'!$H$5:$H$32)*100,"n/a"),"n/a")</f>
        <v>0</v>
      </c>
      <c r="BQ16" s="7" t="n">
        <f aca="false">IFERROR(IF(ISNUMBER(BP16),$C16*BP16,"n/a"),"n/a")</f>
        <v>0</v>
      </c>
      <c r="BR16" s="17" t="n">
        <f aca="false">IFERROR(AVERAGEIF('Pemetaan Variant'!$A$5:$A$32,$B16,'Pemetaan Variant'!$AH$5:$AH$32),"n/a")</f>
        <v>45000</v>
      </c>
      <c r="BS16" s="7" t="n">
        <f aca="false">IFERROR(IF(ISNUMBER(BR16),(BR16-AVERAGEIF('Pemetaan Variant'!$A$5:$A$32,$B16,'Pemetaan Variant'!$H$5:$H$32))/AVERAGEIF('Pemetaan Variant'!$A$5:$A$32,$B16,'Pemetaan Variant'!$H$5:$H$32)*100,"n/a"),"n/a")</f>
        <v>0</v>
      </c>
      <c r="BT16" s="7" t="n">
        <f aca="false">IFERROR(IF(ISNUMBER(BS16),$C16*BS16,"n/a"),"n/a")</f>
        <v>0</v>
      </c>
      <c r="BU16" s="17" t="n">
        <f aca="false">IFERROR(AVERAGEIF('Pemetaan Variant'!$A$5:$A$32,$B16,'Pemetaan Variant'!$AI$5:$AI$32),"n/a")</f>
        <v>45000</v>
      </c>
      <c r="BV16" s="7" t="n">
        <f aca="false">IFERROR(IF(ISNUMBER(BU16),(BU16-AVERAGEIF('Pemetaan Variant'!$A$5:$A$32,$B16,'Pemetaan Variant'!$H$5:$H$32))/AVERAGEIF('Pemetaan Variant'!$A$5:$A$32,$B16,'Pemetaan Variant'!$H$5:$H$32)*100,"n/a"),"n/a")</f>
        <v>0</v>
      </c>
      <c r="BW16" s="7" t="n">
        <f aca="false">IFERROR(IF(ISNUMBER(BV16),$C16*BV16,"n/a"),"n/a")</f>
        <v>0</v>
      </c>
      <c r="BX16" s="17" t="n">
        <f aca="false">IFERROR(AVERAGEIF('Pemetaan Variant'!$A$5:$A$32,$B16,'Pemetaan Variant'!$AJ$5:$AJ$32),"n/a")</f>
        <v>45000</v>
      </c>
      <c r="BY16" s="7" t="n">
        <f aca="false">IFERROR(IF(ISNUMBER(BX16),(BX16-AVERAGEIF('Pemetaan Variant'!$A$5:$A$32,$B16,'Pemetaan Variant'!$I$5:$I$32))/AVERAGEIF('Pemetaan Variant'!$A$5:$A$32,$B16,'Pemetaan Variant'!$I$5:$I$32)*100,"n/a"),"n/a")</f>
        <v>0</v>
      </c>
      <c r="BZ16" s="7" t="n">
        <f aca="false">IFERROR(IF(ISNUMBER(BY16),$C16*BY16,"n/a"),"n/a")</f>
        <v>0</v>
      </c>
      <c r="CA16" s="17" t="n">
        <f aca="false">IFERROR(AVERAGEIF('Pemetaan Variant'!$A$5:$A$32,$B16,'Pemetaan Variant'!$AK$5:$AK$32),"n/a")</f>
        <v>45000</v>
      </c>
      <c r="CB16" s="7" t="n">
        <f aca="false">IFERROR(IF(ISNUMBER(CA16),(CA16-AVERAGEIF('Pemetaan Variant'!$A$5:$A$32,$B16,'Pemetaan Variant'!$I$5:$I$32))/AVERAGEIF('Pemetaan Variant'!$A$5:$A$32,$B16,'Pemetaan Variant'!$I$5:$I$32)*100,"n/a"),"n/a")</f>
        <v>0</v>
      </c>
      <c r="CC16" s="7" t="n">
        <f aca="false">IFERROR(IF(ISNUMBER(CB16),$C16*CB16,"n/a"),"n/a")</f>
        <v>0</v>
      </c>
      <c r="CD16" s="17" t="n">
        <f aca="false">IFERROR(AVERAGEIF('Pemetaan Variant'!$A$5:$A$32,$B16,'Pemetaan Variant'!$AL$5:$AL$32),"n/a")</f>
        <v>45000</v>
      </c>
      <c r="CE16" s="7" t="n">
        <f aca="false">IFERROR(IF(ISNUMBER(CD16),(CD16-AVERAGEIF('Pemetaan Variant'!$A$5:$A$32,$B16,'Pemetaan Variant'!$I$5:$I$32))/AVERAGEIF('Pemetaan Variant'!$A$5:$A$32,$B16,'Pemetaan Variant'!$I$5:$I$32)*100,"n/a"),"n/a")</f>
        <v>0</v>
      </c>
      <c r="CF16" s="7" t="n">
        <f aca="false">IFERROR(IF(ISNUMBER(CE16),$C16*CE16,"n/a"),"n/a")</f>
        <v>0</v>
      </c>
      <c r="CG16" s="17" t="n">
        <f aca="false">IFERROR(AVERAGEIF('Pemetaan Variant'!$A$5:$A$32,$B16,'Pemetaan Variant'!$AM$5:$AM$32),"n/a")</f>
        <v>45000</v>
      </c>
      <c r="CH16" s="7" t="n">
        <f aca="false">IFERROR(IF(ISNUMBER(CG16),(CG16-AVERAGEIF('Pemetaan Variant'!$A$5:$A$32,$B16,'Pemetaan Variant'!$I$5:$I$32))/AVERAGEIF('Pemetaan Variant'!$A$5:$A$32,$B16,'Pemetaan Variant'!$I$5:$I$32)*100,"n/a"),"n/a")</f>
        <v>0</v>
      </c>
      <c r="CI16" s="7" t="n">
        <f aca="false">IFERROR(IF(ISNUMBER(CH16),$C16*CH16,"n/a"),"n/a")</f>
        <v>0</v>
      </c>
      <c r="CJ16" s="17" t="n">
        <f aca="false">IFERROR(AVERAGEIF('Pemetaan Variant'!$A$5:$A$32,$B16,'Pemetaan Variant'!$AN$5:$AN$32),"n/a")</f>
        <v>45000</v>
      </c>
      <c r="CK16" s="7" t="n">
        <f aca="false">IFERROR(IF(ISNUMBER(CJ16),(CJ16-AVERAGEIF('Pemetaan Variant'!$A$5:$A$32,$B16,'Pemetaan Variant'!$I$5:$I$32))/AVERAGEIF('Pemetaan Variant'!$A$5:$A$32,$B16,'Pemetaan Variant'!$I$5:$I$32)*100,"n/a"),"n/a")</f>
        <v>0</v>
      </c>
      <c r="CL16" s="7" t="n">
        <f aca="false">IFERROR(IF(ISNUMBER(CK16),$C16*CK16,"n/a"),"n/a")</f>
        <v>0</v>
      </c>
      <c r="CM16" s="17" t="n">
        <f aca="false">IFERROR(AVERAGEIF('Pemetaan Variant'!$A$5:$A$32,$B16,'Pemetaan Variant'!$AO$5:$AO$32),"n/a")</f>
        <v>45000</v>
      </c>
      <c r="CN16" s="7" t="n">
        <f aca="false">IFERROR(IF(ISNUMBER(CM16),(CM16-AVERAGEIF('Pemetaan Variant'!$A$5:$A$32,$B16,'Pemetaan Variant'!$J$5:$J$32))/AVERAGEIF('Pemetaan Variant'!$A$5:$A$32,$B16,'Pemetaan Variant'!$J$5:$J$32)*100,"n/a"),"n/a")</f>
        <v>0</v>
      </c>
      <c r="CO16" s="7" t="n">
        <f aca="false">IFERROR(IF(ISNUMBER(CN16),$C16*CN16,"n/a"),"n/a")</f>
        <v>0</v>
      </c>
      <c r="CP16" s="17" t="n">
        <f aca="false">IFERROR(AVERAGEIF('Pemetaan Variant'!$A$5:$A$32,$B16,'Pemetaan Variant'!$AP$5:$AP$32),"n/a")</f>
        <v>45000</v>
      </c>
      <c r="CQ16" s="7" t="n">
        <f aca="false">IFERROR(IF(ISNUMBER(CP16),(CP16-AVERAGEIF('Pemetaan Variant'!$A$5:$A$32,$B16,'Pemetaan Variant'!$J$5:$J$32))/AVERAGEIF('Pemetaan Variant'!$A$5:$A$32,$B16,'Pemetaan Variant'!$J$5:$J$32)*100,"n/a"),"n/a")</f>
        <v>0</v>
      </c>
      <c r="CR16" s="7" t="n">
        <f aca="false">IFERROR(IF(ISNUMBER(CQ16),$C16*CQ16,"n/a"),"n/a")</f>
        <v>0</v>
      </c>
      <c r="CS16" s="17" t="n">
        <f aca="false">IFERROR(AVERAGEIF('Pemetaan Variant'!$A$5:$A$32,$B16,'Pemetaan Variant'!$AQ$5:$AQ$32),"n/a")</f>
        <v>45000</v>
      </c>
      <c r="CT16" s="7" t="n">
        <f aca="false">IFERROR(IF(ISNUMBER(CS16),(CS16-AVERAGEIF('Pemetaan Variant'!$A$5:$A$32,$B16,'Pemetaan Variant'!$J$5:$J$32))/AVERAGEIF('Pemetaan Variant'!$A$5:$A$32,$B16,'Pemetaan Variant'!$J$5:$J$32)*100,"n/a"),"n/a")</f>
        <v>0</v>
      </c>
      <c r="CU16" s="7" t="n">
        <f aca="false">IFERROR(IF(ISNUMBER(CT16),$C16*CT16,"n/a"),"n/a")</f>
        <v>0</v>
      </c>
      <c r="CV16" s="17" t="n">
        <f aca="false">IFERROR(AVERAGEIF('Pemetaan Variant'!$A$5:$A$32,$B16,'Pemetaan Variant'!$AR$5:$AR$32),"n/a")</f>
        <v>45000</v>
      </c>
      <c r="CW16" s="7" t="n">
        <f aca="false">IFERROR(IF(ISNUMBER(CV16),(CV16-AVERAGEIF('Pemetaan Variant'!$A$5:$A$32,$B16,'Pemetaan Variant'!$J$5:$J$32))/AVERAGEIF('Pemetaan Variant'!$A$5:$A$32,$B16,'Pemetaan Variant'!$J$5:$J$32)*100,"n/a"),"n/a")</f>
        <v>0</v>
      </c>
      <c r="CX16" s="7" t="n">
        <f aca="false">IFERROR(IF(ISNUMBER(CW16),$C16*CW16,"n/a"),"n/a")</f>
        <v>0</v>
      </c>
      <c r="CY16" s="17" t="n">
        <f aca="false">IFERROR(AVERAGEIF('Pemetaan Variant'!$A$5:$A$32,$B16,'Pemetaan Variant'!$AS$5:$AS$32),"n/a")</f>
        <v>45000</v>
      </c>
      <c r="CZ16" s="7" t="n">
        <f aca="false">IFERROR(IF(ISNUMBER(CY16),(CY16-AVERAGEIF('Pemetaan Variant'!$A$5:$A$32,$B16,'Pemetaan Variant'!$J$5:$J$32))/AVERAGEIF('Pemetaan Variant'!$A$5:$A$32,$B16,'Pemetaan Variant'!$J$5:$J$32)*100,"n/a"),"n/a")</f>
        <v>0</v>
      </c>
      <c r="DA16" s="7" t="n">
        <f aca="false">IFERROR(IF(ISNUMBER(CZ16),$C16*CZ16,"n/a"),"n/a")</f>
        <v>0</v>
      </c>
      <c r="DB16" s="17" t="n">
        <f aca="false">IFERROR(AVERAGEIF('Pemetaan Variant'!$A$5:$A$32,$B16,'Pemetaan Variant'!$AT$5:$AT$32),"n/a")</f>
        <v>45000</v>
      </c>
      <c r="DC16" s="7" t="n">
        <f aca="false">IFERROR(IF(ISNUMBER(DB16),(DB16-AVERAGEIF('Pemetaan Variant'!$A$5:$A$32,$B16,'Pemetaan Variant'!$K$5:$K$32))/AVERAGEIF('Pemetaan Variant'!$A$5:$A$32,$B16,'Pemetaan Variant'!$K$5:$K$32)*100,"n/a"),"n/a")</f>
        <v>0</v>
      </c>
      <c r="DD16" s="7" t="n">
        <f aca="false">IFERROR(IF(ISNUMBER(DC16),$C16*DC16,"n/a"),"n/a")</f>
        <v>0</v>
      </c>
      <c r="DE16" s="17" t="n">
        <f aca="false">IFERROR(AVERAGEIF('Pemetaan Variant'!$A$5:$A$32,$B16,'Pemetaan Variant'!$AU$5:$AU$32),"n/a")</f>
        <v>45000</v>
      </c>
      <c r="DF16" s="7" t="n">
        <f aca="false">IFERROR(IF(ISNUMBER(DE16),(DE16-AVERAGEIF('Pemetaan Variant'!$A$5:$A$32,$B16,'Pemetaan Variant'!$K$5:$K$32))/AVERAGEIF('Pemetaan Variant'!$A$5:$A$32,$B16,'Pemetaan Variant'!$K$5:$K$32)*100,"n/a"),"n/a")</f>
        <v>0</v>
      </c>
      <c r="DG16" s="7" t="n">
        <f aca="false">IFERROR(IF(ISNUMBER(DF16),$C16*DF16,"n/a"),"n/a")</f>
        <v>0</v>
      </c>
      <c r="DH16" s="17" t="n">
        <f aca="false">IFERROR(AVERAGEIF('Pemetaan Variant'!$A$5:$A$32,$B16,'Pemetaan Variant'!$AV$5:$AV$32),"n/a")</f>
        <v>45000</v>
      </c>
      <c r="DI16" s="7" t="n">
        <f aca="false">IFERROR(IF(ISNUMBER(DH16),(DH16-AVERAGEIF('Pemetaan Variant'!$A$5:$A$32,$B16,'Pemetaan Variant'!$K$5:$K$32))/AVERAGEIF('Pemetaan Variant'!$A$5:$A$32,$B16,'Pemetaan Variant'!$K$5:$K$32)*100,"n/a"),"n/a")</f>
        <v>0</v>
      </c>
      <c r="DJ16" s="7" t="n">
        <f aca="false">IFERROR(IF(ISNUMBER(DI16),$C16*DI16,"n/a"),"n/a")</f>
        <v>0</v>
      </c>
      <c r="DK16" s="17" t="n">
        <f aca="false">IFERROR(AVERAGEIF('Pemetaan Variant'!$A$5:$A$32,$B16,'Pemetaan Variant'!$AW$5:$AW$32),"n/a")</f>
        <v>45000</v>
      </c>
      <c r="DL16" s="7" t="n">
        <f aca="false">IFERROR(IF(ISNUMBER(DK16),(DK16-AVERAGEIF('Pemetaan Variant'!$A$5:$A$32,$B16,'Pemetaan Variant'!$K$5:$K$32))/AVERAGEIF('Pemetaan Variant'!$A$5:$A$32,$B16,'Pemetaan Variant'!$K$5:$K$32)*100,"n/a"),"n/a")</f>
        <v>0</v>
      </c>
      <c r="DM16" s="7" t="n">
        <f aca="false">IFERROR(IF(ISNUMBER(DL16),$C16*DL16,"n/a"),"n/a")</f>
        <v>0</v>
      </c>
      <c r="DN16" s="17" t="str">
        <f aca="false">IFERROR(AVERAGEIF('Pemetaan Variant'!$A$5:$A$32,$B16,'Pemetaan Variant'!$AX$5:$AX$32),"n/a")</f>
        <v>n/a</v>
      </c>
      <c r="DO16" s="7" t="str">
        <f aca="false">IFERROR(IF(ISNUMBER(DN16),(DN16-AVERAGEIF('Pemetaan Variant'!$A$5:$A$32,$B16,'Pemetaan Variant'!$K$5:$K$32))/AVERAGEIF('Pemetaan Variant'!$A$5:$A$32,$B16,'Pemetaan Variant'!$K$5:$K$32)*100,"n/a"),"n/a")</f>
        <v>n/a</v>
      </c>
      <c r="DP16" s="7" t="str">
        <f aca="false">IFERROR(IF(ISNUMBER(DO16),$C16*DO16,"n/a"),"n/a")</f>
        <v>n/a</v>
      </c>
      <c r="DQ16" s="18" t="n">
        <f aca="false">IFERROR(AVERAGEIF('Pemetaan Variant'!$A$5:$A$32,$B16,'Pemetaan Variant'!$AZ$5:$AZ$32),"n/a")</f>
        <v>45000</v>
      </c>
      <c r="DR16" s="11" t="n">
        <f aca="false">IFERROR(IF(ISNUMBER(DQ16),(DQ16-AVERAGEIF('Pemetaan Variant'!$A$5:$A$32,$B16,'Pemetaan Variant'!$AY$5:$AY$32))/AVERAGEIF('Pemetaan Variant'!$A$5:$A$32,$B16,'Pemetaan Variant'!$AY$5:$AY$32)*100,"n/a"),"n/a")</f>
        <v>0</v>
      </c>
      <c r="DS16" s="11" t="n">
        <f aca="false">IFERROR(IF(ISNUMBER(DR16),$C16*DR16,"n/a"),"n/a")</f>
        <v>0</v>
      </c>
      <c r="DT16" s="18" t="str">
        <f aca="false">IFERROR(AVERAGEIF('Pemetaan Variant'!$A$5:$A$32,$B16,'Pemetaan Variant'!$BA$5:$BA$32),"n/a")</f>
        <v>n/a</v>
      </c>
      <c r="DU16" s="11" t="str">
        <f aca="false">IFERROR(IF(ISNUMBER(DT16),(DT16-AVERAGEIF('Pemetaan Variant'!$A$5:$A$32,$B16,'Pemetaan Variant'!$AY$5:$AY$32))/AVERAGEIF('Pemetaan Variant'!$A$5:$A$32,$B16,'Pemetaan Variant'!$AY$5:$AY$32)*100,"n/a"),"n/a")</f>
        <v>n/a</v>
      </c>
      <c r="DV16" s="11" t="str">
        <f aca="false">IFERROR(IF(ISNUMBER(DU16),$C16*DU16,"n/a"),"n/a")</f>
        <v>n/a</v>
      </c>
      <c r="DW16" s="18" t="str">
        <f aca="false">IFERROR(AVERAGEIF('Pemetaan Variant'!$A$5:$A$32,$B16,'Pemetaan Variant'!$BB$5:$BB$32),"n/a")</f>
        <v>n/a</v>
      </c>
      <c r="DX16" s="11" t="str">
        <f aca="false">IFERROR(IF(ISNUMBER(DW16),(DW16-AVERAGEIF('Pemetaan Variant'!$A$5:$A$32,$B16,'Pemetaan Variant'!$AY$5:$AY$32))/AVERAGEIF('Pemetaan Variant'!$A$5:$A$32,$B16,'Pemetaan Variant'!$AY$5:$AY$32)*100,"n/a"),"n/a")</f>
        <v>n/a</v>
      </c>
      <c r="DY16" s="11" t="str">
        <f aca="false">IFERROR(IF(ISNUMBER(DX16),$C16*DX16,"n/a"),"n/a")</f>
        <v>n/a</v>
      </c>
      <c r="DZ16" s="18" t="str">
        <f aca="false">IFERROR(AVERAGEIF('Pemetaan Variant'!$A$5:$A$32,$B16,'Pemetaan Variant'!$BC$5:$BC$32),"n/a")</f>
        <v>n/a</v>
      </c>
      <c r="EA16" s="11" t="str">
        <f aca="false">IFERROR(IF(ISNUMBER(DZ16),(DZ16-AVERAGEIF('Pemetaan Variant'!$A$5:$A$32,$B16,'Pemetaan Variant'!$AY$5:$AY$32))/AVERAGEIF('Pemetaan Variant'!$A$5:$A$32,$B16,'Pemetaan Variant'!$AY$5:$AY$32)*100,"n/a"),"n/a")</f>
        <v>n/a</v>
      </c>
      <c r="EB16" s="11" t="str">
        <f aca="false">IFERROR(IF(ISNUMBER(EA16),$C16*EA16,"n/a"),"n/a")</f>
        <v>n/a</v>
      </c>
      <c r="EC16" s="18" t="str">
        <f aca="false">IFERROR(AVERAGEIF('Pemetaan Variant'!$A$5:$A$32,$B16,'Pemetaan Variant'!$BD$5:$BD$32),"n/a")</f>
        <v>n/a</v>
      </c>
      <c r="ED16" s="11" t="str">
        <f aca="false">IFERROR(IF(ISNUMBER(EC16),(EC16-AVERAGEIF('Pemetaan Variant'!$A$5:$A$32,$B16,'Pemetaan Variant'!$AY$5:$AY$32))/AVERAGEIF('Pemetaan Variant'!$A$5:$A$32,$B16,'Pemetaan Variant'!$AY$5:$AY$32)*100,"n/a"),"n/a")</f>
        <v>n/a</v>
      </c>
      <c r="EE16" s="11" t="str">
        <f aca="false">IFERROR(IF(ISNUMBER(ED16),$C16*ED16,"n/a"),"n/a")</f>
        <v>n/a</v>
      </c>
      <c r="EG16" s="11" t="n">
        <f aca="false">IFERROR(ABS(F16),0)</f>
        <v>0</v>
      </c>
      <c r="EH16" s="11" t="n">
        <f aca="false">IFERROR(ABS(I16),0)</f>
        <v>0</v>
      </c>
      <c r="EI16" s="11" t="n">
        <f aca="false">IFERROR(ABS(L16),0)</f>
        <v>0</v>
      </c>
      <c r="EJ16" s="11" t="n">
        <f aca="false">IFERROR(ABS(O16),0)</f>
        <v>0</v>
      </c>
      <c r="EK16" s="11" t="n">
        <f aca="false">IFERROR(ABS(R16),0)</f>
        <v>0</v>
      </c>
      <c r="EL16" s="11" t="n">
        <f aca="false">IFERROR(ABS(U16),0)</f>
        <v>0.103857704580674</v>
      </c>
      <c r="EM16" s="11" t="n">
        <f aca="false">IFERROR(ABS(X16),0)</f>
        <v>0</v>
      </c>
      <c r="EN16" s="11" t="n">
        <f aca="false">IFERROR(ABS(AA16),0)</f>
        <v>0.346192348602248</v>
      </c>
      <c r="EO16" s="11" t="n">
        <f aca="false">IFERROR(ABS(AD16),0)</f>
        <v>0.311573113742023</v>
      </c>
      <c r="EP16" s="11" t="n">
        <f aca="false">IFERROR(ABS(AG16),0)</f>
        <v>0.319562167940537</v>
      </c>
      <c r="EQ16" s="11" t="n">
        <f aca="false">IFERROR(ABS(AJ16),0)</f>
        <v>0.319562167940537</v>
      </c>
      <c r="ER16" s="11" t="n">
        <f aca="false">IFERROR(ABS(AM16),0)</f>
        <v>0.798905419851342</v>
      </c>
      <c r="ES16" s="11" t="n">
        <f aca="false">IFERROR(ABS(AP16),0)</f>
        <v>1.00433824209883</v>
      </c>
      <c r="ET16" s="11" t="n">
        <f aca="false">IFERROR(ABS(AS16),0)</f>
        <v>1.00433824209883</v>
      </c>
      <c r="EU16" s="11" t="n">
        <f aca="false">IFERROR(ABS(AV16),0)</f>
        <v>0.304296459280957</v>
      </c>
      <c r="EV16" s="11" t="n">
        <f aca="false">IFERROR(ABS(AY16),0)</f>
        <v>0.304296459280957</v>
      </c>
      <c r="EW16" s="11" t="n">
        <f aca="false">IFERROR(ABS(BB16),0)</f>
        <v>0.304296459280957</v>
      </c>
      <c r="EX16" s="11" t="n">
        <f aca="false">IFERROR(ABS(BE16),0)</f>
        <v>0.304296459280957</v>
      </c>
      <c r="EY16" s="11" t="n">
        <f aca="false">IFERROR(ABS(BH16),0)</f>
        <v>0.304296459280957</v>
      </c>
      <c r="EZ16" s="11" t="n">
        <f aca="false">IFERROR(ABS(BK16),0)</f>
        <v>0</v>
      </c>
      <c r="FA16" s="11" t="n">
        <f aca="false">IFERROR(ABS(BN16),0)</f>
        <v>0</v>
      </c>
      <c r="FB16" s="11" t="n">
        <f aca="false">IFERROR(ABS(BQ16),0)</f>
        <v>0</v>
      </c>
      <c r="FC16" s="11" t="n">
        <f aca="false">IFERROR(ABS(BT16),0)</f>
        <v>0</v>
      </c>
      <c r="FD16" s="11" t="n">
        <f aca="false">IFERROR(ABS(BW16),0)</f>
        <v>0</v>
      </c>
      <c r="FE16" s="11" t="n">
        <f aca="false">IFERROR(ABS(BZ16),0)</f>
        <v>0</v>
      </c>
      <c r="FF16" s="11" t="n">
        <f aca="false">IFERROR(ABS(CC16),0)</f>
        <v>0</v>
      </c>
      <c r="FG16" s="11" t="n">
        <f aca="false">IFERROR(ABS(CF16),0)</f>
        <v>0</v>
      </c>
      <c r="FH16" s="11" t="n">
        <f aca="false">IFERROR(ABS(CI16),0)</f>
        <v>0</v>
      </c>
      <c r="FI16" s="11" t="n">
        <f aca="false">IFERROR(ABS(CL16),0)</f>
        <v>0</v>
      </c>
      <c r="FJ16" s="11" t="n">
        <f aca="false">IFERROR(ABS(CO16),0)</f>
        <v>0</v>
      </c>
      <c r="FK16" s="11" t="n">
        <f aca="false">IFERROR(ABS(CR16),0)</f>
        <v>0</v>
      </c>
      <c r="FL16" s="11" t="n">
        <f aca="false">IFERROR(ABS(CU16),0)</f>
        <v>0</v>
      </c>
      <c r="FM16" s="11" t="n">
        <f aca="false">IFERROR(ABS(CX16),0)</f>
        <v>0</v>
      </c>
      <c r="FN16" s="11" t="n">
        <f aca="false">IFERROR(ABS(DA16),0)</f>
        <v>0</v>
      </c>
      <c r="FO16" s="11" t="n">
        <f aca="false">IFERROR(ABS(DD16),0)</f>
        <v>0</v>
      </c>
      <c r="FP16" s="11" t="n">
        <f aca="false">IFERROR(ABS(DG16),0)</f>
        <v>0</v>
      </c>
      <c r="FQ16" s="11" t="n">
        <f aca="false">IFERROR(ABS(DJ16),0)</f>
        <v>0</v>
      </c>
      <c r="FR16" s="11" t="n">
        <f aca="false">IFERROR(ABS(DM16),0)</f>
        <v>0</v>
      </c>
      <c r="FS16" s="11" t="n">
        <f aca="false">IFERROR(ABS(DP16),0)</f>
        <v>0</v>
      </c>
      <c r="FT16" s="11" t="n">
        <f aca="false">IFERROR(ABS(DS16),0)</f>
        <v>0</v>
      </c>
      <c r="FU16" s="11" t="n">
        <f aca="false">IFERROR(ABS(DV16),0)</f>
        <v>0</v>
      </c>
      <c r="FV16" s="11" t="n">
        <f aca="false">IFERROR(ABS(DY16),0)</f>
        <v>0</v>
      </c>
      <c r="FW16" s="11" t="n">
        <f aca="false">IFERROR(ABS(EB16),0)</f>
        <v>0</v>
      </c>
      <c r="FX16" s="11" t="n">
        <f aca="false">IFERROR(ABS(EE16),0)</f>
        <v>0</v>
      </c>
    </row>
    <row r="17" customFormat="false" ht="12.75" hidden="false" customHeight="true" outlineLevel="0" collapsed="false">
      <c r="A17" s="5" t="n">
        <v>12</v>
      </c>
      <c r="B17" s="6" t="s">
        <v>201</v>
      </c>
      <c r="C17" s="7" t="n">
        <f aca="false">'P0Q0 Dasar 2022'!F16</f>
        <v>0.219464201786494</v>
      </c>
      <c r="D17" s="17" t="n">
        <f aca="false">IFERROR(AVERAGEIF('Pemetaan Variant'!$A$5:$A$32,$B17,'Pemetaan Variant'!$L$5:$L$32),"n/a")</f>
        <v>42000</v>
      </c>
      <c r="E17" s="7" t="n">
        <f aca="false">IFERROR(IF(ISNUMBER(D17),(D17-AVERAGEIF('Pemetaan Variant'!$A$5:$A$32,$B17,'Pemetaan Variant'!$D$5:$D$32))/AVERAGEIF('Pemetaan Variant'!$A$5:$A$32,$B17,'Pemetaan Variant'!$D$5:$D$32)*100,"n/a"),"n/a")</f>
        <v>0</v>
      </c>
      <c r="F17" s="7" t="n">
        <f aca="false">IFERROR(IF(ISNUMBER(E17),$C17*E17,"n/a"),"n/a")</f>
        <v>0</v>
      </c>
      <c r="G17" s="17" t="n">
        <f aca="false">IFERROR(AVERAGEIF('Pemetaan Variant'!$A$5:$A$32,$B17,'Pemetaan Variant'!$M$5:$M$32),"n/a")</f>
        <v>42000</v>
      </c>
      <c r="H17" s="7" t="n">
        <f aca="false">IFERROR(IF(ISNUMBER(G17),(G17-AVERAGEIF('Pemetaan Variant'!$A$5:$A$32,$B17,'Pemetaan Variant'!$D$5:$D$32))/AVERAGEIF('Pemetaan Variant'!$A$5:$A$32,$B17,'Pemetaan Variant'!$D$5:$D$32)*100,"n/a"),"n/a")</f>
        <v>0</v>
      </c>
      <c r="I17" s="7" t="n">
        <f aca="false">IFERROR(IF(ISNUMBER(H17),$C17*H17,"n/a"),"n/a")</f>
        <v>0</v>
      </c>
      <c r="J17" s="17" t="n">
        <f aca="false">IFERROR(AVERAGEIF('Pemetaan Variant'!$A$5:$A$32,$B17,'Pemetaan Variant'!$N$5:$N$32),"n/a")</f>
        <v>42000</v>
      </c>
      <c r="K17" s="7" t="n">
        <f aca="false">IFERROR(IF(ISNUMBER(J17),(J17-AVERAGEIF('Pemetaan Variant'!$A$5:$A$32,$B17,'Pemetaan Variant'!$D$5:$D$32))/AVERAGEIF('Pemetaan Variant'!$A$5:$A$32,$B17,'Pemetaan Variant'!$D$5:$D$32)*100,"n/a"),"n/a")</f>
        <v>0</v>
      </c>
      <c r="L17" s="7" t="n">
        <f aca="false">IFERROR(IF(ISNUMBER(K17),$C17*K17,"n/a"),"n/a")</f>
        <v>0</v>
      </c>
      <c r="M17" s="17" t="n">
        <f aca="false">IFERROR(AVERAGEIF('Pemetaan Variant'!$A$5:$A$32,$B17,'Pemetaan Variant'!$O$5:$O$32),"n/a")</f>
        <v>42000</v>
      </c>
      <c r="N17" s="7" t="n">
        <f aca="false">IFERROR(IF(ISNUMBER(M17),(M17-AVERAGEIF('Pemetaan Variant'!$A$5:$A$32,$B17,'Pemetaan Variant'!$D$5:$D$32))/AVERAGEIF('Pemetaan Variant'!$A$5:$A$32,$B17,'Pemetaan Variant'!$D$5:$D$32)*100,"n/a"),"n/a")</f>
        <v>0</v>
      </c>
      <c r="O17" s="7" t="n">
        <f aca="false">IFERROR(IF(ISNUMBER(N17),$C17*N17,"n/a"),"n/a")</f>
        <v>0</v>
      </c>
      <c r="P17" s="17" t="n">
        <f aca="false">IFERROR(AVERAGEIF('Pemetaan Variant'!$A$5:$A$32,$B17,'Pemetaan Variant'!$P$5:$P$32),"n/a")</f>
        <v>42000</v>
      </c>
      <c r="Q17" s="7" t="n">
        <f aca="false">IFERROR(IF(ISNUMBER(P17),(P17-AVERAGEIF('Pemetaan Variant'!$A$5:$A$32,$B17,'Pemetaan Variant'!$D$5:$D$32))/AVERAGEIF('Pemetaan Variant'!$A$5:$A$32,$B17,'Pemetaan Variant'!$D$5:$D$32)*100,"n/a"),"n/a")</f>
        <v>0</v>
      </c>
      <c r="R17" s="7" t="n">
        <f aca="false">IFERROR(IF(ISNUMBER(Q17),$C17*Q17,"n/a"),"n/a")</f>
        <v>0</v>
      </c>
      <c r="S17" s="17" t="n">
        <f aca="false">IFERROR(AVERAGEIF('Pemetaan Variant'!$A$5:$A$32,$B17,'Pemetaan Variant'!$Q$5:$Q$32),"n/a")</f>
        <v>42000</v>
      </c>
      <c r="T17" s="7" t="n">
        <f aca="false">IFERROR(IF(ISNUMBER(S17),(S17-AVERAGEIF('Pemetaan Variant'!$A$5:$A$32,$B17,'Pemetaan Variant'!$E$5:$E$32))/AVERAGEIF('Pemetaan Variant'!$A$5:$A$32,$B17,'Pemetaan Variant'!$E$5:$E$32)*100,"n/a"),"n/a")</f>
        <v>0</v>
      </c>
      <c r="U17" s="7" t="n">
        <f aca="false">IFERROR(IF(ISNUMBER(T17),$C17*T17,"n/a"),"n/a")</f>
        <v>0</v>
      </c>
      <c r="V17" s="17" t="n">
        <f aca="false">IFERROR(AVERAGEIF('Pemetaan Variant'!$A$5:$A$32,$B17,'Pemetaan Variant'!$R$5:$R$32),"n/a")</f>
        <v>42000</v>
      </c>
      <c r="W17" s="7" t="n">
        <f aca="false">IFERROR(IF(ISNUMBER(V17),(V17-AVERAGEIF('Pemetaan Variant'!$A$5:$A$32,$B17,'Pemetaan Variant'!$E$5:$E$32))/AVERAGEIF('Pemetaan Variant'!$A$5:$A$32,$B17,'Pemetaan Variant'!$E$5:$E$32)*100,"n/a"),"n/a")</f>
        <v>0</v>
      </c>
      <c r="X17" s="7" t="n">
        <f aca="false">IFERROR(IF(ISNUMBER(W17),$C17*W17,"n/a"),"n/a")</f>
        <v>0</v>
      </c>
      <c r="Y17" s="17" t="n">
        <f aca="false">IFERROR(AVERAGEIF('Pemetaan Variant'!$A$5:$A$32,$B17,'Pemetaan Variant'!$S$5:$S$32),"n/a")</f>
        <v>42000</v>
      </c>
      <c r="Z17" s="7" t="n">
        <f aca="false">IFERROR(IF(ISNUMBER(Y17),(Y17-AVERAGEIF('Pemetaan Variant'!$A$5:$A$32,$B17,'Pemetaan Variant'!$E$5:$E$32))/AVERAGEIF('Pemetaan Variant'!$A$5:$A$32,$B17,'Pemetaan Variant'!$E$5:$E$32)*100,"n/a"),"n/a")</f>
        <v>0</v>
      </c>
      <c r="AA17" s="7" t="n">
        <f aca="false">IFERROR(IF(ISNUMBER(Z17),$C17*Z17,"n/a"),"n/a")</f>
        <v>0</v>
      </c>
      <c r="AB17" s="17" t="n">
        <f aca="false">IFERROR(AVERAGEIF('Pemetaan Variant'!$A$5:$A$32,$B17,'Pemetaan Variant'!$T$5:$T$32),"n/a")</f>
        <v>42000</v>
      </c>
      <c r="AC17" s="7" t="n">
        <f aca="false">IFERROR(IF(ISNUMBER(AB17),(AB17-AVERAGEIF('Pemetaan Variant'!$A$5:$A$32,$B17,'Pemetaan Variant'!$E$5:$E$32))/AVERAGEIF('Pemetaan Variant'!$A$5:$A$32,$B17,'Pemetaan Variant'!$E$5:$E$32)*100,"n/a"),"n/a")</f>
        <v>0</v>
      </c>
      <c r="AD17" s="7" t="n">
        <f aca="false">IFERROR(IF(ISNUMBER(AC17),$C17*AC17,"n/a"),"n/a")</f>
        <v>0</v>
      </c>
      <c r="AE17" s="17" t="n">
        <f aca="false">IFERROR(AVERAGEIF('Pemetaan Variant'!$A$5:$A$32,$B17,'Pemetaan Variant'!$U$5:$U$32),"n/a")</f>
        <v>42000</v>
      </c>
      <c r="AF17" s="7" t="n">
        <f aca="false">IFERROR(IF(ISNUMBER(AE17),(AE17-AVERAGEIF('Pemetaan Variant'!$A$5:$A$32,$B17,'Pemetaan Variant'!$F$5:$F$32))/AVERAGEIF('Pemetaan Variant'!$A$5:$A$32,$B17,'Pemetaan Variant'!$F$5:$F$32)*100,"n/a"),"n/a")</f>
        <v>0</v>
      </c>
      <c r="AG17" s="7" t="n">
        <f aca="false">IFERROR(IF(ISNUMBER(AF17),$C17*AF17,"n/a"),"n/a")</f>
        <v>0</v>
      </c>
      <c r="AH17" s="17" t="n">
        <f aca="false">IFERROR(AVERAGEIF('Pemetaan Variant'!$A$5:$A$32,$B17,'Pemetaan Variant'!$V$5:$V$32),"n/a")</f>
        <v>42000</v>
      </c>
      <c r="AI17" s="7" t="n">
        <f aca="false">IFERROR(IF(ISNUMBER(AH17),(AH17-AVERAGEIF('Pemetaan Variant'!$A$5:$A$32,$B17,'Pemetaan Variant'!$F$5:$F$32))/AVERAGEIF('Pemetaan Variant'!$A$5:$A$32,$B17,'Pemetaan Variant'!$F$5:$F$32)*100,"n/a"),"n/a")</f>
        <v>0</v>
      </c>
      <c r="AJ17" s="7" t="n">
        <f aca="false">IFERROR(IF(ISNUMBER(AI17),$C17*AI17,"n/a"),"n/a")</f>
        <v>0</v>
      </c>
      <c r="AK17" s="17" t="n">
        <f aca="false">IFERROR(AVERAGEIF('Pemetaan Variant'!$A$5:$A$32,$B17,'Pemetaan Variant'!$W$5:$W$32),"n/a")</f>
        <v>42000</v>
      </c>
      <c r="AL17" s="7" t="n">
        <f aca="false">IFERROR(IF(ISNUMBER(AK17),(AK17-AVERAGEIF('Pemetaan Variant'!$A$5:$A$32,$B17,'Pemetaan Variant'!$F$5:$F$32))/AVERAGEIF('Pemetaan Variant'!$A$5:$A$32,$B17,'Pemetaan Variant'!$F$5:$F$32)*100,"n/a"),"n/a")</f>
        <v>0</v>
      </c>
      <c r="AM17" s="7" t="n">
        <f aca="false">IFERROR(IF(ISNUMBER(AL17),$C17*AL17,"n/a"),"n/a")</f>
        <v>0</v>
      </c>
      <c r="AN17" s="17" t="n">
        <f aca="false">IFERROR(AVERAGEIF('Pemetaan Variant'!$A$5:$A$32,$B17,'Pemetaan Variant'!$X$5:$X$32),"n/a")</f>
        <v>42000</v>
      </c>
      <c r="AO17" s="7" t="n">
        <f aca="false">IFERROR(IF(ISNUMBER(AN17),(AN17-AVERAGEIF('Pemetaan Variant'!$A$5:$A$32,$B17,'Pemetaan Variant'!$F$5:$F$32))/AVERAGEIF('Pemetaan Variant'!$A$5:$A$32,$B17,'Pemetaan Variant'!$F$5:$F$32)*100,"n/a"),"n/a")</f>
        <v>0</v>
      </c>
      <c r="AP17" s="7" t="n">
        <f aca="false">IFERROR(IF(ISNUMBER(AO17),$C17*AO17,"n/a"),"n/a")</f>
        <v>0</v>
      </c>
      <c r="AQ17" s="17" t="n">
        <f aca="false">IFERROR(AVERAGEIF('Pemetaan Variant'!$A$5:$A$32,$B17,'Pemetaan Variant'!$Y$5:$Y$32),"n/a")</f>
        <v>42000</v>
      </c>
      <c r="AR17" s="7" t="n">
        <f aca="false">IFERROR(IF(ISNUMBER(AQ17),(AQ17-AVERAGEIF('Pemetaan Variant'!$A$5:$A$32,$B17,'Pemetaan Variant'!$F$5:$F$32))/AVERAGEIF('Pemetaan Variant'!$A$5:$A$32,$B17,'Pemetaan Variant'!$F$5:$F$32)*100,"n/a"),"n/a")</f>
        <v>0</v>
      </c>
      <c r="AS17" s="7" t="n">
        <f aca="false">IFERROR(IF(ISNUMBER(AR17),$C17*AR17,"n/a"),"n/a")</f>
        <v>0</v>
      </c>
      <c r="AT17" s="17" t="n">
        <f aca="false">IFERROR(AVERAGEIF('Pemetaan Variant'!$A$5:$A$32,$B17,'Pemetaan Variant'!$Z$5:$Z$32),"n/a")</f>
        <v>42000</v>
      </c>
      <c r="AU17" s="7" t="n">
        <f aca="false">IFERROR(IF(ISNUMBER(AT17),(AT17-AVERAGEIF('Pemetaan Variant'!$A$5:$A$32,$B17,'Pemetaan Variant'!$G$5:$G$32))/AVERAGEIF('Pemetaan Variant'!$A$5:$A$32,$B17,'Pemetaan Variant'!$G$5:$G$32)*100,"n/a"),"n/a")</f>
        <v>0</v>
      </c>
      <c r="AV17" s="7" t="n">
        <f aca="false">IFERROR(IF(ISNUMBER(AU17),$C17*AU17,"n/a"),"n/a")</f>
        <v>0</v>
      </c>
      <c r="AW17" s="17" t="n">
        <f aca="false">IFERROR(AVERAGEIF('Pemetaan Variant'!$A$5:$A$32,$B17,'Pemetaan Variant'!$AA$5:$AA$32),"n/a")</f>
        <v>42000</v>
      </c>
      <c r="AX17" s="7" t="n">
        <f aca="false">IFERROR(IF(ISNUMBER(AW17),(AW17-AVERAGEIF('Pemetaan Variant'!$A$5:$A$32,$B17,'Pemetaan Variant'!$G$5:$G$32))/AVERAGEIF('Pemetaan Variant'!$A$5:$A$32,$B17,'Pemetaan Variant'!$G$5:$G$32)*100,"n/a"),"n/a")</f>
        <v>0</v>
      </c>
      <c r="AY17" s="7" t="n">
        <f aca="false">IFERROR(IF(ISNUMBER(AX17),$C17*AX17,"n/a"),"n/a")</f>
        <v>0</v>
      </c>
      <c r="AZ17" s="17" t="n">
        <f aca="false">IFERROR(AVERAGEIF('Pemetaan Variant'!$A$5:$A$32,$B17,'Pemetaan Variant'!$AB$5:$AB$32),"n/a")</f>
        <v>42000</v>
      </c>
      <c r="BA17" s="7" t="n">
        <f aca="false">IFERROR(IF(ISNUMBER(AZ17),(AZ17-AVERAGEIF('Pemetaan Variant'!$A$5:$A$32,$B17,'Pemetaan Variant'!$G$5:$G$32))/AVERAGEIF('Pemetaan Variant'!$A$5:$A$32,$B17,'Pemetaan Variant'!$G$5:$G$32)*100,"n/a"),"n/a")</f>
        <v>0</v>
      </c>
      <c r="BB17" s="7" t="n">
        <f aca="false">IFERROR(IF(ISNUMBER(BA17),$C17*BA17,"n/a"),"n/a")</f>
        <v>0</v>
      </c>
      <c r="BC17" s="17" t="n">
        <f aca="false">IFERROR(AVERAGEIF('Pemetaan Variant'!$A$5:$A$32,$B17,'Pemetaan Variant'!$AC$5:$AC$32),"n/a")</f>
        <v>42000</v>
      </c>
      <c r="BD17" s="7" t="n">
        <f aca="false">IFERROR(IF(ISNUMBER(BC17),(BC17-AVERAGEIF('Pemetaan Variant'!$A$5:$A$32,$B17,'Pemetaan Variant'!$G$5:$G$32))/AVERAGEIF('Pemetaan Variant'!$A$5:$A$32,$B17,'Pemetaan Variant'!$G$5:$G$32)*100,"n/a"),"n/a")</f>
        <v>0</v>
      </c>
      <c r="BE17" s="7" t="n">
        <f aca="false">IFERROR(IF(ISNUMBER(BD17),$C17*BD17,"n/a"),"n/a")</f>
        <v>0</v>
      </c>
      <c r="BF17" s="17" t="n">
        <f aca="false">IFERROR(AVERAGEIF('Pemetaan Variant'!$A$5:$A$32,$B17,'Pemetaan Variant'!$AD$5:$AD$32),"n/a")</f>
        <v>42000</v>
      </c>
      <c r="BG17" s="7" t="n">
        <f aca="false">IFERROR(IF(ISNUMBER(BF17),(BF17-AVERAGEIF('Pemetaan Variant'!$A$5:$A$32,$B17,'Pemetaan Variant'!$G$5:$G$32))/AVERAGEIF('Pemetaan Variant'!$A$5:$A$32,$B17,'Pemetaan Variant'!$G$5:$G$32)*100,"n/a"),"n/a")</f>
        <v>0</v>
      </c>
      <c r="BH17" s="7" t="n">
        <f aca="false">IFERROR(IF(ISNUMBER(BG17),$C17*BG17,"n/a"),"n/a")</f>
        <v>0</v>
      </c>
      <c r="BI17" s="17" t="str">
        <f aca="false">IFERROR(AVERAGEIF('Pemetaan Variant'!$A$5:$A$32,$B17,'Pemetaan Variant'!$AE$5:$AE$32),"n/a")</f>
        <v>n/a</v>
      </c>
      <c r="BJ17" s="7" t="str">
        <f aca="false">IFERROR(IF(ISNUMBER(BI17),(BI17-AVERAGEIF('Pemetaan Variant'!$A$5:$A$32,$B17,'Pemetaan Variant'!$H$5:$H$32))/AVERAGEIF('Pemetaan Variant'!$A$5:$A$32,$B17,'Pemetaan Variant'!$H$5:$H$32)*100,"n/a"),"n/a")</f>
        <v>n/a</v>
      </c>
      <c r="BK17" s="7" t="str">
        <f aca="false">IFERROR(IF(ISNUMBER(BJ17),$C17*BJ17,"n/a"),"n/a")</f>
        <v>n/a</v>
      </c>
      <c r="BL17" s="17" t="n">
        <f aca="false">IFERROR(AVERAGEIF('Pemetaan Variant'!$A$5:$A$32,$B17,'Pemetaan Variant'!$AF$5:$AF$32),"n/a")</f>
        <v>42000</v>
      </c>
      <c r="BM17" s="7" t="n">
        <f aca="false">IFERROR(IF(ISNUMBER(BL17),(BL17-AVERAGEIF('Pemetaan Variant'!$A$5:$A$32,$B17,'Pemetaan Variant'!$H$5:$H$32))/AVERAGEIF('Pemetaan Variant'!$A$5:$A$32,$B17,'Pemetaan Variant'!$H$5:$H$32)*100,"n/a"),"n/a")</f>
        <v>0</v>
      </c>
      <c r="BN17" s="7" t="n">
        <f aca="false">IFERROR(IF(ISNUMBER(BM17),$C17*BM17,"n/a"),"n/a")</f>
        <v>0</v>
      </c>
      <c r="BO17" s="17" t="n">
        <f aca="false">IFERROR(AVERAGEIF('Pemetaan Variant'!$A$5:$A$32,$B17,'Pemetaan Variant'!$AG$5:$AG$32),"n/a")</f>
        <v>42000</v>
      </c>
      <c r="BP17" s="7" t="n">
        <f aca="false">IFERROR(IF(ISNUMBER(BO17),(BO17-AVERAGEIF('Pemetaan Variant'!$A$5:$A$32,$B17,'Pemetaan Variant'!$H$5:$H$32))/AVERAGEIF('Pemetaan Variant'!$A$5:$A$32,$B17,'Pemetaan Variant'!$H$5:$H$32)*100,"n/a"),"n/a")</f>
        <v>0</v>
      </c>
      <c r="BQ17" s="7" t="n">
        <f aca="false">IFERROR(IF(ISNUMBER(BP17),$C17*BP17,"n/a"),"n/a")</f>
        <v>0</v>
      </c>
      <c r="BR17" s="17" t="n">
        <f aca="false">IFERROR(AVERAGEIF('Pemetaan Variant'!$A$5:$A$32,$B17,'Pemetaan Variant'!$AH$5:$AH$32),"n/a")</f>
        <v>42000</v>
      </c>
      <c r="BS17" s="7" t="n">
        <f aca="false">IFERROR(IF(ISNUMBER(BR17),(BR17-AVERAGEIF('Pemetaan Variant'!$A$5:$A$32,$B17,'Pemetaan Variant'!$H$5:$H$32))/AVERAGEIF('Pemetaan Variant'!$A$5:$A$32,$B17,'Pemetaan Variant'!$H$5:$H$32)*100,"n/a"),"n/a")</f>
        <v>0</v>
      </c>
      <c r="BT17" s="7" t="n">
        <f aca="false">IFERROR(IF(ISNUMBER(BS17),$C17*BS17,"n/a"),"n/a")</f>
        <v>0</v>
      </c>
      <c r="BU17" s="17" t="n">
        <f aca="false">IFERROR(AVERAGEIF('Pemetaan Variant'!$A$5:$A$32,$B17,'Pemetaan Variant'!$AI$5:$AI$32),"n/a")</f>
        <v>42000</v>
      </c>
      <c r="BV17" s="7" t="n">
        <f aca="false">IFERROR(IF(ISNUMBER(BU17),(BU17-AVERAGEIF('Pemetaan Variant'!$A$5:$A$32,$B17,'Pemetaan Variant'!$H$5:$H$32))/AVERAGEIF('Pemetaan Variant'!$A$5:$A$32,$B17,'Pemetaan Variant'!$H$5:$H$32)*100,"n/a"),"n/a")</f>
        <v>0</v>
      </c>
      <c r="BW17" s="7" t="n">
        <f aca="false">IFERROR(IF(ISNUMBER(BV17),$C17*BV17,"n/a"),"n/a")</f>
        <v>0</v>
      </c>
      <c r="BX17" s="17" t="n">
        <f aca="false">IFERROR(AVERAGEIF('Pemetaan Variant'!$A$5:$A$32,$B17,'Pemetaan Variant'!$AJ$5:$AJ$32),"n/a")</f>
        <v>42000</v>
      </c>
      <c r="BY17" s="7" t="n">
        <f aca="false">IFERROR(IF(ISNUMBER(BX17),(BX17-AVERAGEIF('Pemetaan Variant'!$A$5:$A$32,$B17,'Pemetaan Variant'!$I$5:$I$32))/AVERAGEIF('Pemetaan Variant'!$A$5:$A$32,$B17,'Pemetaan Variant'!$I$5:$I$32)*100,"n/a"),"n/a")</f>
        <v>0</v>
      </c>
      <c r="BZ17" s="7" t="n">
        <f aca="false">IFERROR(IF(ISNUMBER(BY17),$C17*BY17,"n/a"),"n/a")</f>
        <v>0</v>
      </c>
      <c r="CA17" s="17" t="n">
        <f aca="false">IFERROR(AVERAGEIF('Pemetaan Variant'!$A$5:$A$32,$B17,'Pemetaan Variant'!$AK$5:$AK$32),"n/a")</f>
        <v>42000</v>
      </c>
      <c r="CB17" s="7" t="n">
        <f aca="false">IFERROR(IF(ISNUMBER(CA17),(CA17-AVERAGEIF('Pemetaan Variant'!$A$5:$A$32,$B17,'Pemetaan Variant'!$I$5:$I$32))/AVERAGEIF('Pemetaan Variant'!$A$5:$A$32,$B17,'Pemetaan Variant'!$I$5:$I$32)*100,"n/a"),"n/a")</f>
        <v>0</v>
      </c>
      <c r="CC17" s="7" t="n">
        <f aca="false">IFERROR(IF(ISNUMBER(CB17),$C17*CB17,"n/a"),"n/a")</f>
        <v>0</v>
      </c>
      <c r="CD17" s="17" t="n">
        <f aca="false">IFERROR(AVERAGEIF('Pemetaan Variant'!$A$5:$A$32,$B17,'Pemetaan Variant'!$AL$5:$AL$32),"n/a")</f>
        <v>42000</v>
      </c>
      <c r="CE17" s="7" t="n">
        <f aca="false">IFERROR(IF(ISNUMBER(CD17),(CD17-AVERAGEIF('Pemetaan Variant'!$A$5:$A$32,$B17,'Pemetaan Variant'!$I$5:$I$32))/AVERAGEIF('Pemetaan Variant'!$A$5:$A$32,$B17,'Pemetaan Variant'!$I$5:$I$32)*100,"n/a"),"n/a")</f>
        <v>0</v>
      </c>
      <c r="CF17" s="7" t="n">
        <f aca="false">IFERROR(IF(ISNUMBER(CE17),$C17*CE17,"n/a"),"n/a")</f>
        <v>0</v>
      </c>
      <c r="CG17" s="17" t="n">
        <f aca="false">IFERROR(AVERAGEIF('Pemetaan Variant'!$A$5:$A$32,$B17,'Pemetaan Variant'!$AM$5:$AM$32),"n/a")</f>
        <v>42000</v>
      </c>
      <c r="CH17" s="7" t="n">
        <f aca="false">IFERROR(IF(ISNUMBER(CG17),(CG17-AVERAGEIF('Pemetaan Variant'!$A$5:$A$32,$B17,'Pemetaan Variant'!$I$5:$I$32))/AVERAGEIF('Pemetaan Variant'!$A$5:$A$32,$B17,'Pemetaan Variant'!$I$5:$I$32)*100,"n/a"),"n/a")</f>
        <v>0</v>
      </c>
      <c r="CI17" s="7" t="n">
        <f aca="false">IFERROR(IF(ISNUMBER(CH17),$C17*CH17,"n/a"),"n/a")</f>
        <v>0</v>
      </c>
      <c r="CJ17" s="17" t="n">
        <f aca="false">IFERROR(AVERAGEIF('Pemetaan Variant'!$A$5:$A$32,$B17,'Pemetaan Variant'!$AN$5:$AN$32),"n/a")</f>
        <v>42000</v>
      </c>
      <c r="CK17" s="7" t="n">
        <f aca="false">IFERROR(IF(ISNUMBER(CJ17),(CJ17-AVERAGEIF('Pemetaan Variant'!$A$5:$A$32,$B17,'Pemetaan Variant'!$I$5:$I$32))/AVERAGEIF('Pemetaan Variant'!$A$5:$A$32,$B17,'Pemetaan Variant'!$I$5:$I$32)*100,"n/a"),"n/a")</f>
        <v>0</v>
      </c>
      <c r="CL17" s="7" t="n">
        <f aca="false">IFERROR(IF(ISNUMBER(CK17),$C17*CK17,"n/a"),"n/a")</f>
        <v>0</v>
      </c>
      <c r="CM17" s="17" t="n">
        <f aca="false">IFERROR(AVERAGEIF('Pemetaan Variant'!$A$5:$A$32,$B17,'Pemetaan Variant'!$AO$5:$AO$32),"n/a")</f>
        <v>42000</v>
      </c>
      <c r="CN17" s="7" t="n">
        <f aca="false">IFERROR(IF(ISNUMBER(CM17),(CM17-AVERAGEIF('Pemetaan Variant'!$A$5:$A$32,$B17,'Pemetaan Variant'!$J$5:$J$32))/AVERAGEIF('Pemetaan Variant'!$A$5:$A$32,$B17,'Pemetaan Variant'!$J$5:$J$32)*100,"n/a"),"n/a")</f>
        <v>0</v>
      </c>
      <c r="CO17" s="7" t="n">
        <f aca="false">IFERROR(IF(ISNUMBER(CN17),$C17*CN17,"n/a"),"n/a")</f>
        <v>0</v>
      </c>
      <c r="CP17" s="17" t="n">
        <f aca="false">IFERROR(AVERAGEIF('Pemetaan Variant'!$A$5:$A$32,$B17,'Pemetaan Variant'!$AP$5:$AP$32),"n/a")</f>
        <v>42000</v>
      </c>
      <c r="CQ17" s="7" t="n">
        <f aca="false">IFERROR(IF(ISNUMBER(CP17),(CP17-AVERAGEIF('Pemetaan Variant'!$A$5:$A$32,$B17,'Pemetaan Variant'!$J$5:$J$32))/AVERAGEIF('Pemetaan Variant'!$A$5:$A$32,$B17,'Pemetaan Variant'!$J$5:$J$32)*100,"n/a"),"n/a")</f>
        <v>0</v>
      </c>
      <c r="CR17" s="7" t="n">
        <f aca="false">IFERROR(IF(ISNUMBER(CQ17),$C17*CQ17,"n/a"),"n/a")</f>
        <v>0</v>
      </c>
      <c r="CS17" s="17" t="n">
        <f aca="false">IFERROR(AVERAGEIF('Pemetaan Variant'!$A$5:$A$32,$B17,'Pemetaan Variant'!$AQ$5:$AQ$32),"n/a")</f>
        <v>42000</v>
      </c>
      <c r="CT17" s="7" t="n">
        <f aca="false">IFERROR(IF(ISNUMBER(CS17),(CS17-AVERAGEIF('Pemetaan Variant'!$A$5:$A$32,$B17,'Pemetaan Variant'!$J$5:$J$32))/AVERAGEIF('Pemetaan Variant'!$A$5:$A$32,$B17,'Pemetaan Variant'!$J$5:$J$32)*100,"n/a"),"n/a")</f>
        <v>0</v>
      </c>
      <c r="CU17" s="7" t="n">
        <f aca="false">IFERROR(IF(ISNUMBER(CT17),$C17*CT17,"n/a"),"n/a")</f>
        <v>0</v>
      </c>
      <c r="CV17" s="17" t="n">
        <f aca="false">IFERROR(AVERAGEIF('Pemetaan Variant'!$A$5:$A$32,$B17,'Pemetaan Variant'!$AR$5:$AR$32),"n/a")</f>
        <v>42000</v>
      </c>
      <c r="CW17" s="7" t="n">
        <f aca="false">IFERROR(IF(ISNUMBER(CV17),(CV17-AVERAGEIF('Pemetaan Variant'!$A$5:$A$32,$B17,'Pemetaan Variant'!$J$5:$J$32))/AVERAGEIF('Pemetaan Variant'!$A$5:$A$32,$B17,'Pemetaan Variant'!$J$5:$J$32)*100,"n/a"),"n/a")</f>
        <v>0</v>
      </c>
      <c r="CX17" s="7" t="n">
        <f aca="false">IFERROR(IF(ISNUMBER(CW17),$C17*CW17,"n/a"),"n/a")</f>
        <v>0</v>
      </c>
      <c r="CY17" s="17" t="n">
        <f aca="false">IFERROR(AVERAGEIF('Pemetaan Variant'!$A$5:$A$32,$B17,'Pemetaan Variant'!$AS$5:$AS$32),"n/a")</f>
        <v>42000</v>
      </c>
      <c r="CZ17" s="7" t="n">
        <f aca="false">IFERROR(IF(ISNUMBER(CY17),(CY17-AVERAGEIF('Pemetaan Variant'!$A$5:$A$32,$B17,'Pemetaan Variant'!$J$5:$J$32))/AVERAGEIF('Pemetaan Variant'!$A$5:$A$32,$B17,'Pemetaan Variant'!$J$5:$J$32)*100,"n/a"),"n/a")</f>
        <v>0</v>
      </c>
      <c r="DA17" s="7" t="n">
        <f aca="false">IFERROR(IF(ISNUMBER(CZ17),$C17*CZ17,"n/a"),"n/a")</f>
        <v>0</v>
      </c>
      <c r="DB17" s="17" t="n">
        <f aca="false">IFERROR(AVERAGEIF('Pemetaan Variant'!$A$5:$A$32,$B17,'Pemetaan Variant'!$AT$5:$AT$32),"n/a")</f>
        <v>42000</v>
      </c>
      <c r="DC17" s="7" t="n">
        <f aca="false">IFERROR(IF(ISNUMBER(DB17),(DB17-AVERAGEIF('Pemetaan Variant'!$A$5:$A$32,$B17,'Pemetaan Variant'!$K$5:$K$32))/AVERAGEIF('Pemetaan Variant'!$A$5:$A$32,$B17,'Pemetaan Variant'!$K$5:$K$32)*100,"n/a"),"n/a")</f>
        <v>0</v>
      </c>
      <c r="DD17" s="7" t="n">
        <f aca="false">IFERROR(IF(ISNUMBER(DC17),$C17*DC17,"n/a"),"n/a")</f>
        <v>0</v>
      </c>
      <c r="DE17" s="17" t="n">
        <f aca="false">IFERROR(AVERAGEIF('Pemetaan Variant'!$A$5:$A$32,$B17,'Pemetaan Variant'!$AU$5:$AU$32),"n/a")</f>
        <v>42000</v>
      </c>
      <c r="DF17" s="7" t="n">
        <f aca="false">IFERROR(IF(ISNUMBER(DE17),(DE17-AVERAGEIF('Pemetaan Variant'!$A$5:$A$32,$B17,'Pemetaan Variant'!$K$5:$K$32))/AVERAGEIF('Pemetaan Variant'!$A$5:$A$32,$B17,'Pemetaan Variant'!$K$5:$K$32)*100,"n/a"),"n/a")</f>
        <v>0</v>
      </c>
      <c r="DG17" s="7" t="n">
        <f aca="false">IFERROR(IF(ISNUMBER(DF17),$C17*DF17,"n/a"),"n/a")</f>
        <v>0</v>
      </c>
      <c r="DH17" s="17" t="n">
        <f aca="false">IFERROR(AVERAGEIF('Pemetaan Variant'!$A$5:$A$32,$B17,'Pemetaan Variant'!$AV$5:$AV$32),"n/a")</f>
        <v>42000</v>
      </c>
      <c r="DI17" s="7" t="n">
        <f aca="false">IFERROR(IF(ISNUMBER(DH17),(DH17-AVERAGEIF('Pemetaan Variant'!$A$5:$A$32,$B17,'Pemetaan Variant'!$K$5:$K$32))/AVERAGEIF('Pemetaan Variant'!$A$5:$A$32,$B17,'Pemetaan Variant'!$K$5:$K$32)*100,"n/a"),"n/a")</f>
        <v>0</v>
      </c>
      <c r="DJ17" s="7" t="n">
        <f aca="false">IFERROR(IF(ISNUMBER(DI17),$C17*DI17,"n/a"),"n/a")</f>
        <v>0</v>
      </c>
      <c r="DK17" s="17" t="n">
        <f aca="false">IFERROR(AVERAGEIF('Pemetaan Variant'!$A$5:$A$32,$B17,'Pemetaan Variant'!$AW$5:$AW$32),"n/a")</f>
        <v>42000</v>
      </c>
      <c r="DL17" s="7" t="n">
        <f aca="false">IFERROR(IF(ISNUMBER(DK17),(DK17-AVERAGEIF('Pemetaan Variant'!$A$5:$A$32,$B17,'Pemetaan Variant'!$K$5:$K$32))/AVERAGEIF('Pemetaan Variant'!$A$5:$A$32,$B17,'Pemetaan Variant'!$K$5:$K$32)*100,"n/a"),"n/a")</f>
        <v>0</v>
      </c>
      <c r="DM17" s="7" t="n">
        <f aca="false">IFERROR(IF(ISNUMBER(DL17),$C17*DL17,"n/a"),"n/a")</f>
        <v>0</v>
      </c>
      <c r="DN17" s="17" t="str">
        <f aca="false">IFERROR(AVERAGEIF('Pemetaan Variant'!$A$5:$A$32,$B17,'Pemetaan Variant'!$AX$5:$AX$32),"n/a")</f>
        <v>n/a</v>
      </c>
      <c r="DO17" s="7" t="str">
        <f aca="false">IFERROR(IF(ISNUMBER(DN17),(DN17-AVERAGEIF('Pemetaan Variant'!$A$5:$A$32,$B17,'Pemetaan Variant'!$K$5:$K$32))/AVERAGEIF('Pemetaan Variant'!$A$5:$A$32,$B17,'Pemetaan Variant'!$K$5:$K$32)*100,"n/a"),"n/a")</f>
        <v>n/a</v>
      </c>
      <c r="DP17" s="7" t="str">
        <f aca="false">IFERROR(IF(ISNUMBER(DO17),$C17*DO17,"n/a"),"n/a")</f>
        <v>n/a</v>
      </c>
      <c r="DQ17" s="18" t="n">
        <f aca="false">IFERROR(AVERAGEIF('Pemetaan Variant'!$A$5:$A$32,$B17,'Pemetaan Variant'!$AZ$5:$AZ$32),"n/a")</f>
        <v>42000</v>
      </c>
      <c r="DR17" s="11" t="n">
        <f aca="false">IFERROR(IF(ISNUMBER(DQ17),(DQ17-AVERAGEIF('Pemetaan Variant'!$A$5:$A$32,$B17,'Pemetaan Variant'!$AY$5:$AY$32))/AVERAGEIF('Pemetaan Variant'!$A$5:$A$32,$B17,'Pemetaan Variant'!$AY$5:$AY$32)*100,"n/a"),"n/a")</f>
        <v>0</v>
      </c>
      <c r="DS17" s="11" t="n">
        <f aca="false">IFERROR(IF(ISNUMBER(DR17),$C17*DR17,"n/a"),"n/a")</f>
        <v>0</v>
      </c>
      <c r="DT17" s="18" t="str">
        <f aca="false">IFERROR(AVERAGEIF('Pemetaan Variant'!$A$5:$A$32,$B17,'Pemetaan Variant'!$BA$5:$BA$32),"n/a")</f>
        <v>n/a</v>
      </c>
      <c r="DU17" s="11" t="str">
        <f aca="false">IFERROR(IF(ISNUMBER(DT17),(DT17-AVERAGEIF('Pemetaan Variant'!$A$5:$A$32,$B17,'Pemetaan Variant'!$AY$5:$AY$32))/AVERAGEIF('Pemetaan Variant'!$A$5:$A$32,$B17,'Pemetaan Variant'!$AY$5:$AY$32)*100,"n/a"),"n/a")</f>
        <v>n/a</v>
      </c>
      <c r="DV17" s="11" t="str">
        <f aca="false">IFERROR(IF(ISNUMBER(DU17),$C17*DU17,"n/a"),"n/a")</f>
        <v>n/a</v>
      </c>
      <c r="DW17" s="18" t="str">
        <f aca="false">IFERROR(AVERAGEIF('Pemetaan Variant'!$A$5:$A$32,$B17,'Pemetaan Variant'!$BB$5:$BB$32),"n/a")</f>
        <v>n/a</v>
      </c>
      <c r="DX17" s="11" t="str">
        <f aca="false">IFERROR(IF(ISNUMBER(DW17),(DW17-AVERAGEIF('Pemetaan Variant'!$A$5:$A$32,$B17,'Pemetaan Variant'!$AY$5:$AY$32))/AVERAGEIF('Pemetaan Variant'!$A$5:$A$32,$B17,'Pemetaan Variant'!$AY$5:$AY$32)*100,"n/a"),"n/a")</f>
        <v>n/a</v>
      </c>
      <c r="DY17" s="11" t="str">
        <f aca="false">IFERROR(IF(ISNUMBER(DX17),$C17*DX17,"n/a"),"n/a")</f>
        <v>n/a</v>
      </c>
      <c r="DZ17" s="18" t="str">
        <f aca="false">IFERROR(AVERAGEIF('Pemetaan Variant'!$A$5:$A$32,$B17,'Pemetaan Variant'!$BC$5:$BC$32),"n/a")</f>
        <v>n/a</v>
      </c>
      <c r="EA17" s="11" t="str">
        <f aca="false">IFERROR(IF(ISNUMBER(DZ17),(DZ17-AVERAGEIF('Pemetaan Variant'!$A$5:$A$32,$B17,'Pemetaan Variant'!$AY$5:$AY$32))/AVERAGEIF('Pemetaan Variant'!$A$5:$A$32,$B17,'Pemetaan Variant'!$AY$5:$AY$32)*100,"n/a"),"n/a")</f>
        <v>n/a</v>
      </c>
      <c r="EB17" s="11" t="str">
        <f aca="false">IFERROR(IF(ISNUMBER(EA17),$C17*EA17,"n/a"),"n/a")</f>
        <v>n/a</v>
      </c>
      <c r="EC17" s="18" t="str">
        <f aca="false">IFERROR(AVERAGEIF('Pemetaan Variant'!$A$5:$A$32,$B17,'Pemetaan Variant'!$BD$5:$BD$32),"n/a")</f>
        <v>n/a</v>
      </c>
      <c r="ED17" s="11" t="str">
        <f aca="false">IFERROR(IF(ISNUMBER(EC17),(EC17-AVERAGEIF('Pemetaan Variant'!$A$5:$A$32,$B17,'Pemetaan Variant'!$AY$5:$AY$32))/AVERAGEIF('Pemetaan Variant'!$A$5:$A$32,$B17,'Pemetaan Variant'!$AY$5:$AY$32)*100,"n/a"),"n/a")</f>
        <v>n/a</v>
      </c>
      <c r="EE17" s="11" t="str">
        <f aca="false">IFERROR(IF(ISNUMBER(ED17),$C17*ED17,"n/a"),"n/a")</f>
        <v>n/a</v>
      </c>
      <c r="EG17" s="11" t="n">
        <f aca="false">IFERROR(ABS(F17),0)</f>
        <v>0</v>
      </c>
      <c r="EH17" s="11" t="n">
        <f aca="false">IFERROR(ABS(I17),0)</f>
        <v>0</v>
      </c>
      <c r="EI17" s="11" t="n">
        <f aca="false">IFERROR(ABS(L17),0)</f>
        <v>0</v>
      </c>
      <c r="EJ17" s="11" t="n">
        <f aca="false">IFERROR(ABS(O17),0)</f>
        <v>0</v>
      </c>
      <c r="EK17" s="11" t="n">
        <f aca="false">IFERROR(ABS(R17),0)</f>
        <v>0</v>
      </c>
      <c r="EL17" s="11" t="n">
        <f aca="false">IFERROR(ABS(U17),0)</f>
        <v>0</v>
      </c>
      <c r="EM17" s="11" t="n">
        <f aca="false">IFERROR(ABS(X17),0)</f>
        <v>0</v>
      </c>
      <c r="EN17" s="11" t="n">
        <f aca="false">IFERROR(ABS(AA17),0)</f>
        <v>0</v>
      </c>
      <c r="EO17" s="11" t="n">
        <f aca="false">IFERROR(ABS(AD17),0)</f>
        <v>0</v>
      </c>
      <c r="EP17" s="11" t="n">
        <f aca="false">IFERROR(ABS(AG17),0)</f>
        <v>0</v>
      </c>
      <c r="EQ17" s="11" t="n">
        <f aca="false">IFERROR(ABS(AJ17),0)</f>
        <v>0</v>
      </c>
      <c r="ER17" s="11" t="n">
        <f aca="false">IFERROR(ABS(AM17),0)</f>
        <v>0</v>
      </c>
      <c r="ES17" s="11" t="n">
        <f aca="false">IFERROR(ABS(AP17),0)</f>
        <v>0</v>
      </c>
      <c r="ET17" s="11" t="n">
        <f aca="false">IFERROR(ABS(AS17),0)</f>
        <v>0</v>
      </c>
      <c r="EU17" s="11" t="n">
        <f aca="false">IFERROR(ABS(AV17),0)</f>
        <v>0</v>
      </c>
      <c r="EV17" s="11" t="n">
        <f aca="false">IFERROR(ABS(AY17),0)</f>
        <v>0</v>
      </c>
      <c r="EW17" s="11" t="n">
        <f aca="false">IFERROR(ABS(BB17),0)</f>
        <v>0</v>
      </c>
      <c r="EX17" s="11" t="n">
        <f aca="false">IFERROR(ABS(BE17),0)</f>
        <v>0</v>
      </c>
      <c r="EY17" s="11" t="n">
        <f aca="false">IFERROR(ABS(BH17),0)</f>
        <v>0</v>
      </c>
      <c r="EZ17" s="11" t="n">
        <f aca="false">IFERROR(ABS(BK17),0)</f>
        <v>0</v>
      </c>
      <c r="FA17" s="11" t="n">
        <f aca="false">IFERROR(ABS(BN17),0)</f>
        <v>0</v>
      </c>
      <c r="FB17" s="11" t="n">
        <f aca="false">IFERROR(ABS(BQ17),0)</f>
        <v>0</v>
      </c>
      <c r="FC17" s="11" t="n">
        <f aca="false">IFERROR(ABS(BT17),0)</f>
        <v>0</v>
      </c>
      <c r="FD17" s="11" t="n">
        <f aca="false">IFERROR(ABS(BW17),0)</f>
        <v>0</v>
      </c>
      <c r="FE17" s="11" t="n">
        <f aca="false">IFERROR(ABS(BZ17),0)</f>
        <v>0</v>
      </c>
      <c r="FF17" s="11" t="n">
        <f aca="false">IFERROR(ABS(CC17),0)</f>
        <v>0</v>
      </c>
      <c r="FG17" s="11" t="n">
        <f aca="false">IFERROR(ABS(CF17),0)</f>
        <v>0</v>
      </c>
      <c r="FH17" s="11" t="n">
        <f aca="false">IFERROR(ABS(CI17),0)</f>
        <v>0</v>
      </c>
      <c r="FI17" s="11" t="n">
        <f aca="false">IFERROR(ABS(CL17),0)</f>
        <v>0</v>
      </c>
      <c r="FJ17" s="11" t="n">
        <f aca="false">IFERROR(ABS(CO17),0)</f>
        <v>0</v>
      </c>
      <c r="FK17" s="11" t="n">
        <f aca="false">IFERROR(ABS(CR17),0)</f>
        <v>0</v>
      </c>
      <c r="FL17" s="11" t="n">
        <f aca="false">IFERROR(ABS(CU17),0)</f>
        <v>0</v>
      </c>
      <c r="FM17" s="11" t="n">
        <f aca="false">IFERROR(ABS(CX17),0)</f>
        <v>0</v>
      </c>
      <c r="FN17" s="11" t="n">
        <f aca="false">IFERROR(ABS(DA17),0)</f>
        <v>0</v>
      </c>
      <c r="FO17" s="11" t="n">
        <f aca="false">IFERROR(ABS(DD17),0)</f>
        <v>0</v>
      </c>
      <c r="FP17" s="11" t="n">
        <f aca="false">IFERROR(ABS(DG17),0)</f>
        <v>0</v>
      </c>
      <c r="FQ17" s="11" t="n">
        <f aca="false">IFERROR(ABS(DJ17),0)</f>
        <v>0</v>
      </c>
      <c r="FR17" s="11" t="n">
        <f aca="false">IFERROR(ABS(DM17),0)</f>
        <v>0</v>
      </c>
      <c r="FS17" s="11" t="n">
        <f aca="false">IFERROR(ABS(DP17),0)</f>
        <v>0</v>
      </c>
      <c r="FT17" s="11" t="n">
        <f aca="false">IFERROR(ABS(DS17),0)</f>
        <v>0</v>
      </c>
      <c r="FU17" s="11" t="n">
        <f aca="false">IFERROR(ABS(DV17),0)</f>
        <v>0</v>
      </c>
      <c r="FV17" s="11" t="n">
        <f aca="false">IFERROR(ABS(DY17),0)</f>
        <v>0</v>
      </c>
      <c r="FW17" s="11" t="n">
        <f aca="false">IFERROR(ABS(EB17),0)</f>
        <v>0</v>
      </c>
      <c r="FX17" s="11" t="n">
        <f aca="false">IFERROR(ABS(EE17),0)</f>
        <v>0</v>
      </c>
    </row>
    <row r="18" customFormat="false" ht="12.75" hidden="false" customHeight="true" outlineLevel="0" collapsed="false">
      <c r="A18" s="5" t="n">
        <v>13</v>
      </c>
      <c r="B18" s="6" t="s">
        <v>202</v>
      </c>
      <c r="C18" s="7" t="n">
        <f aca="false">'P0Q0 Dasar 2022'!F17</f>
        <v>0.0194434650422287</v>
      </c>
      <c r="D18" s="17" t="n">
        <f aca="false">IFERROR(AVERAGEIF('Pemetaan Variant'!$A$5:$A$32,$B18,'Pemetaan Variant'!$L$5:$L$32),"n/a")</f>
        <v>28000</v>
      </c>
      <c r="E18" s="7" t="n">
        <f aca="false">IFERROR(IF(ISNUMBER(D18),(D18-AVERAGEIF('Pemetaan Variant'!$A$5:$A$32,$B18,'Pemetaan Variant'!$D$5:$D$32))/AVERAGEIF('Pemetaan Variant'!$A$5:$A$32,$B18,'Pemetaan Variant'!$D$5:$D$32)*100,"n/a"),"n/a")</f>
        <v>4.81283422459893</v>
      </c>
      <c r="F18" s="7" t="n">
        <f aca="false">IFERROR(IF(ISNUMBER(E18),$C18*E18,"n/a"),"n/a")</f>
        <v>0.0935781740000312</v>
      </c>
      <c r="G18" s="17" t="n">
        <f aca="false">IFERROR(AVERAGEIF('Pemetaan Variant'!$A$5:$A$32,$B18,'Pemetaan Variant'!$M$5:$M$32),"n/a")</f>
        <v>28000</v>
      </c>
      <c r="H18" s="7" t="n">
        <f aca="false">IFERROR(IF(ISNUMBER(G18),(G18-AVERAGEIF('Pemetaan Variant'!$A$5:$A$32,$B18,'Pemetaan Variant'!$D$5:$D$32))/AVERAGEIF('Pemetaan Variant'!$A$5:$A$32,$B18,'Pemetaan Variant'!$D$5:$D$32)*100,"n/a"),"n/a")</f>
        <v>4.81283422459893</v>
      </c>
      <c r="I18" s="7" t="n">
        <f aca="false">IFERROR(IF(ISNUMBER(H18),$C18*H18,"n/a"),"n/a")</f>
        <v>0.0935781740000312</v>
      </c>
      <c r="J18" s="17" t="n">
        <f aca="false">IFERROR(AVERAGEIF('Pemetaan Variant'!$A$5:$A$32,$B18,'Pemetaan Variant'!$N$5:$N$32),"n/a")</f>
        <v>28000</v>
      </c>
      <c r="K18" s="7" t="n">
        <f aca="false">IFERROR(IF(ISNUMBER(J18),(J18-AVERAGEIF('Pemetaan Variant'!$A$5:$A$32,$B18,'Pemetaan Variant'!$D$5:$D$32))/AVERAGEIF('Pemetaan Variant'!$A$5:$A$32,$B18,'Pemetaan Variant'!$D$5:$D$32)*100,"n/a"),"n/a")</f>
        <v>4.81283422459893</v>
      </c>
      <c r="L18" s="7" t="n">
        <f aca="false">IFERROR(IF(ISNUMBER(K18),$C18*K18,"n/a"),"n/a")</f>
        <v>0.0935781740000312</v>
      </c>
      <c r="M18" s="17" t="n">
        <f aca="false">IFERROR(AVERAGEIF('Pemetaan Variant'!$A$5:$A$32,$B18,'Pemetaan Variant'!$O$5:$O$32),"n/a")</f>
        <v>28000</v>
      </c>
      <c r="N18" s="7" t="n">
        <f aca="false">IFERROR(IF(ISNUMBER(M18),(M18-AVERAGEIF('Pemetaan Variant'!$A$5:$A$32,$B18,'Pemetaan Variant'!$D$5:$D$32))/AVERAGEIF('Pemetaan Variant'!$A$5:$A$32,$B18,'Pemetaan Variant'!$D$5:$D$32)*100,"n/a"),"n/a")</f>
        <v>4.81283422459893</v>
      </c>
      <c r="O18" s="7" t="n">
        <f aca="false">IFERROR(IF(ISNUMBER(N18),$C18*N18,"n/a"),"n/a")</f>
        <v>0.0935781740000312</v>
      </c>
      <c r="P18" s="17" t="n">
        <f aca="false">IFERROR(AVERAGEIF('Pemetaan Variant'!$A$5:$A$32,$B18,'Pemetaan Variant'!$P$5:$P$32),"n/a")</f>
        <v>28000</v>
      </c>
      <c r="Q18" s="7" t="n">
        <f aca="false">IFERROR(IF(ISNUMBER(P18),(P18-AVERAGEIF('Pemetaan Variant'!$A$5:$A$32,$B18,'Pemetaan Variant'!$D$5:$D$32))/AVERAGEIF('Pemetaan Variant'!$A$5:$A$32,$B18,'Pemetaan Variant'!$D$5:$D$32)*100,"n/a"),"n/a")</f>
        <v>4.81283422459893</v>
      </c>
      <c r="R18" s="7" t="n">
        <f aca="false">IFERROR(IF(ISNUMBER(Q18),$C18*Q18,"n/a"),"n/a")</f>
        <v>0.0935781740000312</v>
      </c>
      <c r="S18" s="17" t="n">
        <f aca="false">IFERROR(AVERAGEIF('Pemetaan Variant'!$A$5:$A$32,$B18,'Pemetaan Variant'!$Q$5:$Q$32),"n/a")</f>
        <v>28400</v>
      </c>
      <c r="T18" s="7" t="n">
        <f aca="false">IFERROR(IF(ISNUMBER(S18),(S18-AVERAGEIF('Pemetaan Variant'!$A$5:$A$32,$B18,'Pemetaan Variant'!$E$5:$E$32))/AVERAGEIF('Pemetaan Variant'!$A$5:$A$32,$B18,'Pemetaan Variant'!$E$5:$E$32)*100,"n/a"),"n/a")</f>
        <v>1.42857142857143</v>
      </c>
      <c r="U18" s="7" t="n">
        <f aca="false">IFERROR(IF(ISNUMBER(T18),$C18*T18,"n/a"),"n/a")</f>
        <v>0.0277763786317553</v>
      </c>
      <c r="V18" s="17" t="n">
        <f aca="false">IFERROR(AVERAGEIF('Pemetaan Variant'!$A$5:$A$32,$B18,'Pemetaan Variant'!$R$5:$R$32),"n/a")</f>
        <v>29200</v>
      </c>
      <c r="W18" s="7" t="n">
        <f aca="false">IFERROR(IF(ISNUMBER(V18),(V18-AVERAGEIF('Pemetaan Variant'!$A$5:$A$32,$B18,'Pemetaan Variant'!$E$5:$E$32))/AVERAGEIF('Pemetaan Variant'!$A$5:$A$32,$B18,'Pemetaan Variant'!$E$5:$E$32)*100,"n/a"),"n/a")</f>
        <v>4.28571428571429</v>
      </c>
      <c r="X18" s="7" t="n">
        <f aca="false">IFERROR(IF(ISNUMBER(W18),$C18*W18,"n/a"),"n/a")</f>
        <v>0.0833291358952659</v>
      </c>
      <c r="Y18" s="17" t="n">
        <f aca="false">IFERROR(AVERAGEIF('Pemetaan Variant'!$A$5:$A$32,$B18,'Pemetaan Variant'!$S$5:$S$32),"n/a")</f>
        <v>30000</v>
      </c>
      <c r="Z18" s="7" t="n">
        <f aca="false">IFERROR(IF(ISNUMBER(Y18),(Y18-AVERAGEIF('Pemetaan Variant'!$A$5:$A$32,$B18,'Pemetaan Variant'!$E$5:$E$32))/AVERAGEIF('Pemetaan Variant'!$A$5:$A$32,$B18,'Pemetaan Variant'!$E$5:$E$32)*100,"n/a"),"n/a")</f>
        <v>7.14285714285714</v>
      </c>
      <c r="AA18" s="7" t="n">
        <f aca="false">IFERROR(IF(ISNUMBER(Z18),$C18*Z18,"n/a"),"n/a")</f>
        <v>0.138881893158776</v>
      </c>
      <c r="AB18" s="17" t="n">
        <f aca="false">IFERROR(AVERAGEIF('Pemetaan Variant'!$A$5:$A$32,$B18,'Pemetaan Variant'!$T$5:$T$32),"n/a")</f>
        <v>30000</v>
      </c>
      <c r="AC18" s="7" t="n">
        <f aca="false">IFERROR(IF(ISNUMBER(AB18),(AB18-AVERAGEIF('Pemetaan Variant'!$A$5:$A$32,$B18,'Pemetaan Variant'!$E$5:$E$32))/AVERAGEIF('Pemetaan Variant'!$A$5:$A$32,$B18,'Pemetaan Variant'!$E$5:$E$32)*100,"n/a"),"n/a")</f>
        <v>7.14285714285714</v>
      </c>
      <c r="AD18" s="7" t="n">
        <f aca="false">IFERROR(IF(ISNUMBER(AC18),$C18*AC18,"n/a"),"n/a")</f>
        <v>0.138881893158776</v>
      </c>
      <c r="AE18" s="17" t="n">
        <f aca="false">IFERROR(AVERAGEIF('Pemetaan Variant'!$A$5:$A$32,$B18,'Pemetaan Variant'!$U$5:$U$32),"n/a")</f>
        <v>30000</v>
      </c>
      <c r="AF18" s="7" t="n">
        <f aca="false">IFERROR(IF(ISNUMBER(AE18),(AE18-AVERAGEIF('Pemetaan Variant'!$A$5:$A$32,$B18,'Pemetaan Variant'!$F$5:$F$32))/AVERAGEIF('Pemetaan Variant'!$A$5:$A$32,$B18,'Pemetaan Variant'!$F$5:$F$32)*100,"n/a"),"n/a")</f>
        <v>2.27272727272728</v>
      </c>
      <c r="AG18" s="7" t="n">
        <f aca="false">IFERROR(IF(ISNUMBER(AF18),$C18*AF18,"n/a"),"n/a")</f>
        <v>0.0441896932777926</v>
      </c>
      <c r="AH18" s="17" t="n">
        <f aca="false">IFERROR(AVERAGEIF('Pemetaan Variant'!$A$5:$A$32,$B18,'Pemetaan Variant'!$V$5:$V$32),"n/a")</f>
        <v>31200</v>
      </c>
      <c r="AI18" s="7" t="n">
        <f aca="false">IFERROR(IF(ISNUMBER(AH18),(AH18-AVERAGEIF('Pemetaan Variant'!$A$5:$A$32,$B18,'Pemetaan Variant'!$F$5:$F$32))/AVERAGEIF('Pemetaan Variant'!$A$5:$A$32,$B18,'Pemetaan Variant'!$F$5:$F$32)*100,"n/a"),"n/a")</f>
        <v>6.36363636363637</v>
      </c>
      <c r="AJ18" s="7" t="n">
        <f aca="false">IFERROR(IF(ISNUMBER(AI18),$C18*AI18,"n/a"),"n/a")</f>
        <v>0.123731141177819</v>
      </c>
      <c r="AK18" s="17" t="n">
        <f aca="false">IFERROR(AVERAGEIF('Pemetaan Variant'!$A$5:$A$32,$B18,'Pemetaan Variant'!$W$5:$W$32),"n/a")</f>
        <v>30000</v>
      </c>
      <c r="AL18" s="7" t="n">
        <f aca="false">IFERROR(IF(ISNUMBER(AK18),(AK18-AVERAGEIF('Pemetaan Variant'!$A$5:$A$32,$B18,'Pemetaan Variant'!$F$5:$F$32))/AVERAGEIF('Pemetaan Variant'!$A$5:$A$32,$B18,'Pemetaan Variant'!$F$5:$F$32)*100,"n/a"),"n/a")</f>
        <v>2.27272727272728</v>
      </c>
      <c r="AM18" s="7" t="n">
        <f aca="false">IFERROR(IF(ISNUMBER(AL18),$C18*AL18,"n/a"),"n/a")</f>
        <v>0.0441896932777926</v>
      </c>
      <c r="AN18" s="17" t="n">
        <f aca="false">IFERROR(AVERAGEIF('Pemetaan Variant'!$A$5:$A$32,$B18,'Pemetaan Variant'!$X$5:$X$32),"n/a")</f>
        <v>30000</v>
      </c>
      <c r="AO18" s="7" t="n">
        <f aca="false">IFERROR(IF(ISNUMBER(AN18),(AN18-AVERAGEIF('Pemetaan Variant'!$A$5:$A$32,$B18,'Pemetaan Variant'!$F$5:$F$32))/AVERAGEIF('Pemetaan Variant'!$A$5:$A$32,$B18,'Pemetaan Variant'!$F$5:$F$32)*100,"n/a"),"n/a")</f>
        <v>2.27272727272728</v>
      </c>
      <c r="AP18" s="7" t="n">
        <f aca="false">IFERROR(IF(ISNUMBER(AO18),$C18*AO18,"n/a"),"n/a")</f>
        <v>0.0441896932777926</v>
      </c>
      <c r="AQ18" s="17" t="n">
        <f aca="false">IFERROR(AVERAGEIF('Pemetaan Variant'!$A$5:$A$32,$B18,'Pemetaan Variant'!$Y$5:$Y$32),"n/a")</f>
        <v>30000</v>
      </c>
      <c r="AR18" s="7" t="n">
        <f aca="false">IFERROR(IF(ISNUMBER(AQ18),(AQ18-AVERAGEIF('Pemetaan Variant'!$A$5:$A$32,$B18,'Pemetaan Variant'!$F$5:$F$32))/AVERAGEIF('Pemetaan Variant'!$A$5:$A$32,$B18,'Pemetaan Variant'!$F$5:$F$32)*100,"n/a"),"n/a")</f>
        <v>2.27272727272728</v>
      </c>
      <c r="AS18" s="7" t="n">
        <f aca="false">IFERROR(IF(ISNUMBER(AR18),$C18*AR18,"n/a"),"n/a")</f>
        <v>0.0441896932777926</v>
      </c>
      <c r="AT18" s="17" t="n">
        <f aca="false">IFERROR(AVERAGEIF('Pemetaan Variant'!$A$5:$A$32,$B18,'Pemetaan Variant'!$Z$5:$Z$32),"n/a")</f>
        <v>28000</v>
      </c>
      <c r="AU18" s="7" t="n">
        <f aca="false">IFERROR(IF(ISNUMBER(AT18),(AT18-AVERAGEIF('Pemetaan Variant'!$A$5:$A$32,$B18,'Pemetaan Variant'!$G$5:$G$32))/AVERAGEIF('Pemetaan Variant'!$A$5:$A$32,$B18,'Pemetaan Variant'!$G$5:$G$32)*100,"n/a"),"n/a")</f>
        <v>-7.59075907590759</v>
      </c>
      <c r="AV18" s="7" t="n">
        <f aca="false">IFERROR(IF(ISNUMBER(AU18),$C18*AU18,"n/a"),"n/a")</f>
        <v>-0.147590658736389</v>
      </c>
      <c r="AW18" s="17" t="n">
        <f aca="false">IFERROR(AVERAGEIF('Pemetaan Variant'!$A$5:$A$32,$B18,'Pemetaan Variant'!$AA$5:$AA$32),"n/a")</f>
        <v>30000</v>
      </c>
      <c r="AX18" s="7" t="n">
        <f aca="false">IFERROR(IF(ISNUMBER(AW18),(AW18-AVERAGEIF('Pemetaan Variant'!$A$5:$A$32,$B18,'Pemetaan Variant'!$G$5:$G$32))/AVERAGEIF('Pemetaan Variant'!$A$5:$A$32,$B18,'Pemetaan Variant'!$G$5:$G$32)*100,"n/a"),"n/a")</f>
        <v>-0.99009900990099</v>
      </c>
      <c r="AY18" s="7" t="n">
        <f aca="false">IFERROR(IF(ISNUMBER(AX18),$C18*AX18,"n/a"),"n/a")</f>
        <v>-0.0192509554873552</v>
      </c>
      <c r="AZ18" s="17" t="n">
        <f aca="false">IFERROR(AVERAGEIF('Pemetaan Variant'!$A$5:$A$32,$B18,'Pemetaan Variant'!$AB$5:$AB$32),"n/a")</f>
        <v>28000</v>
      </c>
      <c r="BA18" s="7" t="n">
        <f aca="false">IFERROR(IF(ISNUMBER(AZ18),(AZ18-AVERAGEIF('Pemetaan Variant'!$A$5:$A$32,$B18,'Pemetaan Variant'!$G$5:$G$32))/AVERAGEIF('Pemetaan Variant'!$A$5:$A$32,$B18,'Pemetaan Variant'!$G$5:$G$32)*100,"n/a"),"n/a")</f>
        <v>-7.59075907590759</v>
      </c>
      <c r="BB18" s="7" t="n">
        <f aca="false">IFERROR(IF(ISNUMBER(BA18),$C18*BA18,"n/a"),"n/a")</f>
        <v>-0.147590658736389</v>
      </c>
      <c r="BC18" s="17" t="n">
        <f aca="false">IFERROR(AVERAGEIF('Pemetaan Variant'!$A$5:$A$32,$B18,'Pemetaan Variant'!$AC$5:$AC$32),"n/a")</f>
        <v>29600</v>
      </c>
      <c r="BD18" s="7" t="n">
        <f aca="false">IFERROR(IF(ISNUMBER(BC18),(BC18-AVERAGEIF('Pemetaan Variant'!$A$5:$A$32,$B18,'Pemetaan Variant'!$G$5:$G$32))/AVERAGEIF('Pemetaan Variant'!$A$5:$A$32,$B18,'Pemetaan Variant'!$G$5:$G$32)*100,"n/a"),"n/a")</f>
        <v>-2.31023102310231</v>
      </c>
      <c r="BE18" s="7" t="n">
        <f aca="false">IFERROR(IF(ISNUMBER(BD18),$C18*BD18,"n/a"),"n/a")</f>
        <v>-0.044918896137162</v>
      </c>
      <c r="BF18" s="17" t="n">
        <f aca="false">IFERROR(AVERAGEIF('Pemetaan Variant'!$A$5:$A$32,$B18,'Pemetaan Variant'!$AD$5:$AD$32),"n/a")</f>
        <v>33000</v>
      </c>
      <c r="BG18" s="7" t="n">
        <f aca="false">IFERROR(IF(ISNUMBER(BF18),(BF18-AVERAGEIF('Pemetaan Variant'!$A$5:$A$32,$B18,'Pemetaan Variant'!$G$5:$G$32))/AVERAGEIF('Pemetaan Variant'!$A$5:$A$32,$B18,'Pemetaan Variant'!$G$5:$G$32)*100,"n/a"),"n/a")</f>
        <v>8.91089108910891</v>
      </c>
      <c r="BH18" s="7" t="n">
        <f aca="false">IFERROR(IF(ISNUMBER(BG18),$C18*BG18,"n/a"),"n/a")</f>
        <v>0.173258599386196</v>
      </c>
      <c r="BI18" s="17" t="str">
        <f aca="false">IFERROR(AVERAGEIF('Pemetaan Variant'!$A$5:$A$32,$B18,'Pemetaan Variant'!$AE$5:$AE$32),"n/a")</f>
        <v>n/a</v>
      </c>
      <c r="BJ18" s="7" t="str">
        <f aca="false">IFERROR(IF(ISNUMBER(BI18),(BI18-AVERAGEIF('Pemetaan Variant'!$A$5:$A$32,$B18,'Pemetaan Variant'!$H$5:$H$32))/AVERAGEIF('Pemetaan Variant'!$A$5:$A$32,$B18,'Pemetaan Variant'!$H$5:$H$32)*100,"n/a"),"n/a")</f>
        <v>n/a</v>
      </c>
      <c r="BK18" s="7" t="str">
        <f aca="false">IFERROR(IF(ISNUMBER(BJ18),$C18*BJ18,"n/a"),"n/a")</f>
        <v>n/a</v>
      </c>
      <c r="BL18" s="17" t="n">
        <f aca="false">IFERROR(AVERAGEIF('Pemetaan Variant'!$A$5:$A$32,$B18,'Pemetaan Variant'!$AF$5:$AF$32),"n/a")</f>
        <v>37000</v>
      </c>
      <c r="BM18" s="7" t="n">
        <f aca="false">IFERROR(IF(ISNUMBER(BL18),(BL18-AVERAGEIF('Pemetaan Variant'!$A$5:$A$32,$B18,'Pemetaan Variant'!$H$5:$H$32))/AVERAGEIF('Pemetaan Variant'!$A$5:$A$32,$B18,'Pemetaan Variant'!$H$5:$H$32)*100,"n/a"),"n/a")</f>
        <v>24.1214057507987</v>
      </c>
      <c r="BN18" s="7" t="n">
        <f aca="false">IFERROR(IF(ISNUMBER(BM18),$C18*BM18,"n/a"),"n/a")</f>
        <v>0.469003709485069</v>
      </c>
      <c r="BO18" s="17" t="n">
        <f aca="false">IFERROR(AVERAGEIF('Pemetaan Variant'!$A$5:$A$32,$B18,'Pemetaan Variant'!$AG$5:$AG$32),"n/a")</f>
        <v>36000</v>
      </c>
      <c r="BP18" s="7" t="n">
        <f aca="false">IFERROR(IF(ISNUMBER(BO18),(BO18-AVERAGEIF('Pemetaan Variant'!$A$5:$A$32,$B18,'Pemetaan Variant'!$H$5:$H$32))/AVERAGEIF('Pemetaan Variant'!$A$5:$A$32,$B18,'Pemetaan Variant'!$H$5:$H$32)*100,"n/a"),"n/a")</f>
        <v>20.7667731629393</v>
      </c>
      <c r="BQ18" s="7" t="n">
        <f aca="false">IFERROR(IF(ISNUMBER(BP18),$C18*BP18,"n/a"),"n/a")</f>
        <v>0.403778028033503</v>
      </c>
      <c r="BR18" s="17" t="n">
        <f aca="false">IFERROR(AVERAGEIF('Pemetaan Variant'!$A$5:$A$32,$B18,'Pemetaan Variant'!$AH$5:$AH$32),"n/a")</f>
        <v>37600</v>
      </c>
      <c r="BS18" s="7" t="n">
        <f aca="false">IFERROR(IF(ISNUMBER(BR18),(BR18-AVERAGEIF('Pemetaan Variant'!$A$5:$A$32,$B18,'Pemetaan Variant'!$H$5:$H$32))/AVERAGEIF('Pemetaan Variant'!$A$5:$A$32,$B18,'Pemetaan Variant'!$H$5:$H$32)*100,"n/a"),"n/a")</f>
        <v>26.1341853035144</v>
      </c>
      <c r="BT18" s="7" t="n">
        <f aca="false">IFERROR(IF(ISNUMBER(BS18),$C18*BS18,"n/a"),"n/a")</f>
        <v>0.508139118356009</v>
      </c>
      <c r="BU18" s="17" t="n">
        <f aca="false">IFERROR(AVERAGEIF('Pemetaan Variant'!$A$5:$A$32,$B18,'Pemetaan Variant'!$AI$5:$AI$32),"n/a")</f>
        <v>37333.3333333333</v>
      </c>
      <c r="BV18" s="7" t="n">
        <f aca="false">IFERROR(IF(ISNUMBER(BU18),(BU18-AVERAGEIF('Pemetaan Variant'!$A$5:$A$32,$B18,'Pemetaan Variant'!$H$5:$H$32))/AVERAGEIF('Pemetaan Variant'!$A$5:$A$32,$B18,'Pemetaan Variant'!$H$5:$H$32)*100,"n/a"),"n/a")</f>
        <v>25.2396166134185</v>
      </c>
      <c r="BW18" s="7" t="n">
        <f aca="false">IFERROR(IF(ISNUMBER(BV18),$C18*BV18,"n/a"),"n/a")</f>
        <v>0.490745603302258</v>
      </c>
      <c r="BX18" s="17" t="n">
        <f aca="false">IFERROR(AVERAGEIF('Pemetaan Variant'!$A$5:$A$32,$B18,'Pemetaan Variant'!$AJ$5:$AJ$32),"n/a")</f>
        <v>35000</v>
      </c>
      <c r="BY18" s="7" t="n">
        <f aca="false">IFERROR(IF(ISNUMBER(BX18),(BX18-AVERAGEIF('Pemetaan Variant'!$A$5:$A$32,$B18,'Pemetaan Variant'!$I$5:$I$32))/AVERAGEIF('Pemetaan Variant'!$A$5:$A$32,$B18,'Pemetaan Variant'!$I$5:$I$32)*100,"n/a"),"n/a")</f>
        <v>-5.56492411467116</v>
      </c>
      <c r="BZ18" s="7" t="n">
        <f aca="false">IFERROR(IF(ISNUMBER(BY18),$C18*BY18,"n/a"),"n/a")</f>
        <v>-0.108201407486264</v>
      </c>
      <c r="CA18" s="17" t="n">
        <f aca="false">IFERROR(AVERAGEIF('Pemetaan Variant'!$A$5:$A$32,$B18,'Pemetaan Variant'!$AK$5:$AK$32),"n/a")</f>
        <v>36400</v>
      </c>
      <c r="CB18" s="7" t="n">
        <f aca="false">IFERROR(IF(ISNUMBER(CA18),(CA18-AVERAGEIF('Pemetaan Variant'!$A$5:$A$32,$B18,'Pemetaan Variant'!$I$5:$I$32))/AVERAGEIF('Pemetaan Variant'!$A$5:$A$32,$B18,'Pemetaan Variant'!$I$5:$I$32)*100,"n/a"),"n/a")</f>
        <v>-1.78752107925801</v>
      </c>
      <c r="CC18" s="7" t="n">
        <f aca="false">IFERROR(IF(ISNUMBER(CB18),$C18*CB18,"n/a"),"n/a")</f>
        <v>-0.0347556036168</v>
      </c>
      <c r="CD18" s="17" t="n">
        <f aca="false">IFERROR(AVERAGEIF('Pemetaan Variant'!$A$5:$A$32,$B18,'Pemetaan Variant'!$AL$5:$AL$32),"n/a")</f>
        <v>39500</v>
      </c>
      <c r="CE18" s="7" t="n">
        <f aca="false">IFERROR(IF(ISNUMBER(CD18),(CD18-AVERAGEIF('Pemetaan Variant'!$A$5:$A$32,$B18,'Pemetaan Variant'!$I$5:$I$32))/AVERAGEIF('Pemetaan Variant'!$A$5:$A$32,$B18,'Pemetaan Variant'!$I$5:$I$32)*100,"n/a"),"n/a")</f>
        <v>6.57672849915683</v>
      </c>
      <c r="CF18" s="7" t="n">
        <f aca="false">IFERROR(IF(ISNUMBER(CE18),$C18*CE18,"n/a"),"n/a")</f>
        <v>0.127874390665585</v>
      </c>
      <c r="CG18" s="17" t="n">
        <f aca="false">IFERROR(AVERAGEIF('Pemetaan Variant'!$A$5:$A$32,$B18,'Pemetaan Variant'!$AM$5:$AM$32),"n/a")</f>
        <v>36000</v>
      </c>
      <c r="CH18" s="7" t="n">
        <f aca="false">IFERROR(IF(ISNUMBER(CG18),(CG18-AVERAGEIF('Pemetaan Variant'!$A$5:$A$32,$B18,'Pemetaan Variant'!$I$5:$I$32))/AVERAGEIF('Pemetaan Variant'!$A$5:$A$32,$B18,'Pemetaan Variant'!$I$5:$I$32)*100,"n/a"),"n/a")</f>
        <v>-2.86677908937605</v>
      </c>
      <c r="CI18" s="7" t="n">
        <f aca="false">IFERROR(IF(ISNUMBER(CH18),$C18*CH18,"n/a"),"n/a")</f>
        <v>-0.0557401190080755</v>
      </c>
      <c r="CJ18" s="17" t="n">
        <f aca="false">IFERROR(AVERAGEIF('Pemetaan Variant'!$A$5:$A$32,$B18,'Pemetaan Variant'!$AN$5:$AN$32),"n/a")</f>
        <v>35500</v>
      </c>
      <c r="CK18" s="7" t="n">
        <f aca="false">IFERROR(IF(ISNUMBER(CJ18),(CJ18-AVERAGEIF('Pemetaan Variant'!$A$5:$A$32,$B18,'Pemetaan Variant'!$I$5:$I$32))/AVERAGEIF('Pemetaan Variant'!$A$5:$A$32,$B18,'Pemetaan Variant'!$I$5:$I$32)*100,"n/a"),"n/a")</f>
        <v>-4.21585160202361</v>
      </c>
      <c r="CL18" s="7" t="n">
        <f aca="false">IFERROR(IF(ISNUMBER(CK18),$C18*CK18,"n/a"),"n/a")</f>
        <v>-0.0819707632471699</v>
      </c>
      <c r="CM18" s="17" t="n">
        <f aca="false">IFERROR(AVERAGEIF('Pemetaan Variant'!$A$5:$A$32,$B18,'Pemetaan Variant'!$AO$5:$AO$32),"n/a")</f>
        <v>35000</v>
      </c>
      <c r="CN18" s="7" t="n">
        <f aca="false">IFERROR(IF(ISNUMBER(CM18),(CM18-AVERAGEIF('Pemetaan Variant'!$A$5:$A$32,$B18,'Pemetaan Variant'!$J$5:$J$32))/AVERAGEIF('Pemetaan Variant'!$A$5:$A$32,$B18,'Pemetaan Variant'!$J$5:$J$32)*100,"n/a"),"n/a")</f>
        <v>-4.24076607387141</v>
      </c>
      <c r="CO18" s="7" t="n">
        <f aca="false">IFERROR(IF(ISNUMBER(CN18),$C18*CN18,"n/a"),"n/a")</f>
        <v>-0.0824551869095882</v>
      </c>
      <c r="CP18" s="17" t="n">
        <f aca="false">IFERROR(AVERAGEIF('Pemetaan Variant'!$A$5:$A$32,$B18,'Pemetaan Variant'!$AP$5:$AP$32),"n/a")</f>
        <v>35000</v>
      </c>
      <c r="CQ18" s="7" t="n">
        <f aca="false">IFERROR(IF(ISNUMBER(CP18),(CP18-AVERAGEIF('Pemetaan Variant'!$A$5:$A$32,$B18,'Pemetaan Variant'!$J$5:$J$32))/AVERAGEIF('Pemetaan Variant'!$A$5:$A$32,$B18,'Pemetaan Variant'!$J$5:$J$32)*100,"n/a"),"n/a")</f>
        <v>-4.24076607387141</v>
      </c>
      <c r="CR18" s="7" t="n">
        <f aca="false">IFERROR(IF(ISNUMBER(CQ18),$C18*CQ18,"n/a"),"n/a")</f>
        <v>-0.0824551869095882</v>
      </c>
      <c r="CS18" s="17" t="n">
        <f aca="false">IFERROR(AVERAGEIF('Pemetaan Variant'!$A$5:$A$32,$B18,'Pemetaan Variant'!$AQ$5:$AQ$32),"n/a")</f>
        <v>35000</v>
      </c>
      <c r="CT18" s="7" t="n">
        <f aca="false">IFERROR(IF(ISNUMBER(CS18),(CS18-AVERAGEIF('Pemetaan Variant'!$A$5:$A$32,$B18,'Pemetaan Variant'!$J$5:$J$32))/AVERAGEIF('Pemetaan Variant'!$A$5:$A$32,$B18,'Pemetaan Variant'!$J$5:$J$32)*100,"n/a"),"n/a")</f>
        <v>-4.24076607387141</v>
      </c>
      <c r="CU18" s="7" t="n">
        <f aca="false">IFERROR(IF(ISNUMBER(CT18),$C18*CT18,"n/a"),"n/a")</f>
        <v>-0.0824551869095882</v>
      </c>
      <c r="CV18" s="17" t="n">
        <f aca="false">IFERROR(AVERAGEIF('Pemetaan Variant'!$A$5:$A$32,$B18,'Pemetaan Variant'!$AR$5:$AR$32),"n/a")</f>
        <v>35000</v>
      </c>
      <c r="CW18" s="7" t="n">
        <f aca="false">IFERROR(IF(ISNUMBER(CV18),(CV18-AVERAGEIF('Pemetaan Variant'!$A$5:$A$32,$B18,'Pemetaan Variant'!$J$5:$J$32))/AVERAGEIF('Pemetaan Variant'!$A$5:$A$32,$B18,'Pemetaan Variant'!$J$5:$J$32)*100,"n/a"),"n/a")</f>
        <v>-4.24076607387141</v>
      </c>
      <c r="CX18" s="7" t="n">
        <f aca="false">IFERROR(IF(ISNUMBER(CW18),$C18*CW18,"n/a"),"n/a")</f>
        <v>-0.0824551869095882</v>
      </c>
      <c r="CY18" s="17" t="n">
        <f aca="false">IFERROR(AVERAGEIF('Pemetaan Variant'!$A$5:$A$32,$B18,'Pemetaan Variant'!$AS$5:$AS$32),"n/a")</f>
        <v>33200</v>
      </c>
      <c r="CZ18" s="7" t="n">
        <f aca="false">IFERROR(IF(ISNUMBER(CY18),(CY18-AVERAGEIF('Pemetaan Variant'!$A$5:$A$32,$B18,'Pemetaan Variant'!$J$5:$J$32))/AVERAGEIF('Pemetaan Variant'!$A$5:$A$32,$B18,'Pemetaan Variant'!$J$5:$J$32)*100,"n/a"),"n/a")</f>
        <v>-9.16552667578659</v>
      </c>
      <c r="DA18" s="7" t="n">
        <f aca="false">IFERROR(IF(ISNUMBER(CZ18),$C18*CZ18,"n/a"),"n/a")</f>
        <v>-0.178209597514271</v>
      </c>
      <c r="DB18" s="17" t="n">
        <f aca="false">IFERROR(AVERAGEIF('Pemetaan Variant'!$A$5:$A$32,$B18,'Pemetaan Variant'!$AT$5:$AT$32),"n/a")</f>
        <v>30800</v>
      </c>
      <c r="DC18" s="7" t="n">
        <f aca="false">IFERROR(IF(ISNUMBER(DB18),(DB18-AVERAGEIF('Pemetaan Variant'!$A$5:$A$32,$B18,'Pemetaan Variant'!$K$5:$K$32))/AVERAGEIF('Pemetaan Variant'!$A$5:$A$32,$B18,'Pemetaan Variant'!$K$5:$K$32)*100,"n/a"),"n/a")</f>
        <v>-11.0050251256281</v>
      </c>
      <c r="DD18" s="7" t="n">
        <f aca="false">IFERROR(IF(ISNUMBER(DC18),$C18*DC18,"n/a"),"n/a")</f>
        <v>-0.213975821318999</v>
      </c>
      <c r="DE18" s="17" t="n">
        <f aca="false">IFERROR(AVERAGEIF('Pemetaan Variant'!$A$5:$A$32,$B18,'Pemetaan Variant'!$AU$5:$AU$32),"n/a")</f>
        <v>30000</v>
      </c>
      <c r="DF18" s="7" t="n">
        <f aca="false">IFERROR(IF(ISNUMBER(DE18),(DE18-AVERAGEIF('Pemetaan Variant'!$A$5:$A$32,$B18,'Pemetaan Variant'!$K$5:$K$32))/AVERAGEIF('Pemetaan Variant'!$A$5:$A$32,$B18,'Pemetaan Variant'!$K$5:$K$32)*100,"n/a"),"n/a")</f>
        <v>-13.3165829145729</v>
      </c>
      <c r="DG18" s="7" t="n">
        <f aca="false">IFERROR(IF(ISNUMBER(DF18),$C18*DF18,"n/a"),"n/a")</f>
        <v>-0.258920514381437</v>
      </c>
      <c r="DH18" s="17" t="n">
        <f aca="false">IFERROR(AVERAGEIF('Pemetaan Variant'!$A$5:$A$32,$B18,'Pemetaan Variant'!$AV$5:$AV$32),"n/a")</f>
        <v>30000</v>
      </c>
      <c r="DI18" s="7" t="n">
        <f aca="false">IFERROR(IF(ISNUMBER(DH18),(DH18-AVERAGEIF('Pemetaan Variant'!$A$5:$A$32,$B18,'Pemetaan Variant'!$K$5:$K$32))/AVERAGEIF('Pemetaan Variant'!$A$5:$A$32,$B18,'Pemetaan Variant'!$K$5:$K$32)*100,"n/a"),"n/a")</f>
        <v>-13.3165829145729</v>
      </c>
      <c r="DJ18" s="7" t="n">
        <f aca="false">IFERROR(IF(ISNUMBER(DI18),$C18*DI18,"n/a"),"n/a")</f>
        <v>-0.258920514381437</v>
      </c>
      <c r="DK18" s="17" t="n">
        <f aca="false">IFERROR(AVERAGEIF('Pemetaan Variant'!$A$5:$A$32,$B18,'Pemetaan Variant'!$AW$5:$AW$32),"n/a")</f>
        <v>30000</v>
      </c>
      <c r="DL18" s="7" t="n">
        <f aca="false">IFERROR(IF(ISNUMBER(DK18),(DK18-AVERAGEIF('Pemetaan Variant'!$A$5:$A$32,$B18,'Pemetaan Variant'!$K$5:$K$32))/AVERAGEIF('Pemetaan Variant'!$A$5:$A$32,$B18,'Pemetaan Variant'!$K$5:$K$32)*100,"n/a"),"n/a")</f>
        <v>-13.3165829145729</v>
      </c>
      <c r="DM18" s="7" t="n">
        <f aca="false">IFERROR(IF(ISNUMBER(DL18),$C18*DL18,"n/a"),"n/a")</f>
        <v>-0.258920514381437</v>
      </c>
      <c r="DN18" s="17" t="str">
        <f aca="false">IFERROR(AVERAGEIF('Pemetaan Variant'!$A$5:$A$32,$B18,'Pemetaan Variant'!$AX$5:$AX$32),"n/a")</f>
        <v>n/a</v>
      </c>
      <c r="DO18" s="7" t="str">
        <f aca="false">IFERROR(IF(ISNUMBER(DN18),(DN18-AVERAGEIF('Pemetaan Variant'!$A$5:$A$32,$B18,'Pemetaan Variant'!$K$5:$K$32))/AVERAGEIF('Pemetaan Variant'!$A$5:$A$32,$B18,'Pemetaan Variant'!$K$5:$K$32)*100,"n/a"),"n/a")</f>
        <v>n/a</v>
      </c>
      <c r="DP18" s="7" t="str">
        <f aca="false">IFERROR(IF(ISNUMBER(DO18),$C18*DO18,"n/a"),"n/a")</f>
        <v>n/a</v>
      </c>
      <c r="DQ18" s="18" t="n">
        <f aca="false">IFERROR(AVERAGEIF('Pemetaan Variant'!$A$5:$A$32,$B18,'Pemetaan Variant'!$AZ$5:$AZ$32),"n/a")</f>
        <v>30000</v>
      </c>
      <c r="DR18" s="11" t="n">
        <f aca="false">IFERROR(IF(ISNUMBER(DQ18),(DQ18-AVERAGEIF('Pemetaan Variant'!$A$5:$A$32,$B18,'Pemetaan Variant'!$AY$5:$AY$32))/AVERAGEIF('Pemetaan Variant'!$A$5:$A$32,$B18,'Pemetaan Variant'!$AY$5:$AY$32)*100,"n/a"),"n/a")</f>
        <v>-0.73529411764706</v>
      </c>
      <c r="DS18" s="11" t="n">
        <f aca="false">IFERROR(IF(ISNUMBER(DR18),$C18*DR18,"n/a"),"n/a")</f>
        <v>-0.014296665472227</v>
      </c>
      <c r="DT18" s="18" t="str">
        <f aca="false">IFERROR(AVERAGEIF('Pemetaan Variant'!$A$5:$A$32,$B18,'Pemetaan Variant'!$BA$5:$BA$32),"n/a")</f>
        <v>n/a</v>
      </c>
      <c r="DU18" s="11" t="str">
        <f aca="false">IFERROR(IF(ISNUMBER(DT18),(DT18-AVERAGEIF('Pemetaan Variant'!$A$5:$A$32,$B18,'Pemetaan Variant'!$AY$5:$AY$32))/AVERAGEIF('Pemetaan Variant'!$A$5:$A$32,$B18,'Pemetaan Variant'!$AY$5:$AY$32)*100,"n/a"),"n/a")</f>
        <v>n/a</v>
      </c>
      <c r="DV18" s="11" t="str">
        <f aca="false">IFERROR(IF(ISNUMBER(DU18),$C18*DU18,"n/a"),"n/a")</f>
        <v>n/a</v>
      </c>
      <c r="DW18" s="18" t="str">
        <f aca="false">IFERROR(AVERAGEIF('Pemetaan Variant'!$A$5:$A$32,$B18,'Pemetaan Variant'!$BB$5:$BB$32),"n/a")</f>
        <v>n/a</v>
      </c>
      <c r="DX18" s="11" t="str">
        <f aca="false">IFERROR(IF(ISNUMBER(DW18),(DW18-AVERAGEIF('Pemetaan Variant'!$A$5:$A$32,$B18,'Pemetaan Variant'!$AY$5:$AY$32))/AVERAGEIF('Pemetaan Variant'!$A$5:$A$32,$B18,'Pemetaan Variant'!$AY$5:$AY$32)*100,"n/a"),"n/a")</f>
        <v>n/a</v>
      </c>
      <c r="DY18" s="11" t="str">
        <f aca="false">IFERROR(IF(ISNUMBER(DX18),$C18*DX18,"n/a"),"n/a")</f>
        <v>n/a</v>
      </c>
      <c r="DZ18" s="18" t="str">
        <f aca="false">IFERROR(AVERAGEIF('Pemetaan Variant'!$A$5:$A$32,$B18,'Pemetaan Variant'!$BC$5:$BC$32),"n/a")</f>
        <v>n/a</v>
      </c>
      <c r="EA18" s="11" t="str">
        <f aca="false">IFERROR(IF(ISNUMBER(DZ18),(DZ18-AVERAGEIF('Pemetaan Variant'!$A$5:$A$32,$B18,'Pemetaan Variant'!$AY$5:$AY$32))/AVERAGEIF('Pemetaan Variant'!$A$5:$A$32,$B18,'Pemetaan Variant'!$AY$5:$AY$32)*100,"n/a"),"n/a")</f>
        <v>n/a</v>
      </c>
      <c r="EB18" s="11" t="str">
        <f aca="false">IFERROR(IF(ISNUMBER(EA18),$C18*EA18,"n/a"),"n/a")</f>
        <v>n/a</v>
      </c>
      <c r="EC18" s="18" t="str">
        <f aca="false">IFERROR(AVERAGEIF('Pemetaan Variant'!$A$5:$A$32,$B18,'Pemetaan Variant'!$BD$5:$BD$32),"n/a")</f>
        <v>n/a</v>
      </c>
      <c r="ED18" s="11" t="str">
        <f aca="false">IFERROR(IF(ISNUMBER(EC18),(EC18-AVERAGEIF('Pemetaan Variant'!$A$5:$A$32,$B18,'Pemetaan Variant'!$AY$5:$AY$32))/AVERAGEIF('Pemetaan Variant'!$A$5:$A$32,$B18,'Pemetaan Variant'!$AY$5:$AY$32)*100,"n/a"),"n/a")</f>
        <v>n/a</v>
      </c>
      <c r="EE18" s="11" t="str">
        <f aca="false">IFERROR(IF(ISNUMBER(ED18),$C18*ED18,"n/a"),"n/a")</f>
        <v>n/a</v>
      </c>
      <c r="EG18" s="11" t="n">
        <f aca="false">IFERROR(ABS(F18),0)</f>
        <v>0.0935781740000312</v>
      </c>
      <c r="EH18" s="11" t="n">
        <f aca="false">IFERROR(ABS(I18),0)</f>
        <v>0.0935781740000312</v>
      </c>
      <c r="EI18" s="11" t="n">
        <f aca="false">IFERROR(ABS(L18),0)</f>
        <v>0.0935781740000312</v>
      </c>
      <c r="EJ18" s="11" t="n">
        <f aca="false">IFERROR(ABS(O18),0)</f>
        <v>0.0935781740000312</v>
      </c>
      <c r="EK18" s="11" t="n">
        <f aca="false">IFERROR(ABS(R18),0)</f>
        <v>0.0935781740000312</v>
      </c>
      <c r="EL18" s="11" t="n">
        <f aca="false">IFERROR(ABS(U18),0)</f>
        <v>0.0277763786317553</v>
      </c>
      <c r="EM18" s="11" t="n">
        <f aca="false">IFERROR(ABS(X18),0)</f>
        <v>0.0833291358952659</v>
      </c>
      <c r="EN18" s="11" t="n">
        <f aca="false">IFERROR(ABS(AA18),0)</f>
        <v>0.138881893158776</v>
      </c>
      <c r="EO18" s="11" t="n">
        <f aca="false">IFERROR(ABS(AD18),0)</f>
        <v>0.138881893158776</v>
      </c>
      <c r="EP18" s="11" t="n">
        <f aca="false">IFERROR(ABS(AG18),0)</f>
        <v>0.0441896932777926</v>
      </c>
      <c r="EQ18" s="11" t="n">
        <f aca="false">IFERROR(ABS(AJ18),0)</f>
        <v>0.123731141177819</v>
      </c>
      <c r="ER18" s="11" t="n">
        <f aca="false">IFERROR(ABS(AM18),0)</f>
        <v>0.0441896932777926</v>
      </c>
      <c r="ES18" s="11" t="n">
        <f aca="false">IFERROR(ABS(AP18),0)</f>
        <v>0.0441896932777926</v>
      </c>
      <c r="ET18" s="11" t="n">
        <f aca="false">IFERROR(ABS(AS18),0)</f>
        <v>0.0441896932777926</v>
      </c>
      <c r="EU18" s="11" t="n">
        <f aca="false">IFERROR(ABS(AV18),0)</f>
        <v>0.147590658736389</v>
      </c>
      <c r="EV18" s="11" t="n">
        <f aca="false">IFERROR(ABS(AY18),0)</f>
        <v>0.0192509554873552</v>
      </c>
      <c r="EW18" s="11" t="n">
        <f aca="false">IFERROR(ABS(BB18),0)</f>
        <v>0.147590658736389</v>
      </c>
      <c r="EX18" s="11" t="n">
        <f aca="false">IFERROR(ABS(BE18),0)</f>
        <v>0.044918896137162</v>
      </c>
      <c r="EY18" s="11" t="n">
        <f aca="false">IFERROR(ABS(BH18),0)</f>
        <v>0.173258599386196</v>
      </c>
      <c r="EZ18" s="11" t="n">
        <f aca="false">IFERROR(ABS(BK18),0)</f>
        <v>0</v>
      </c>
      <c r="FA18" s="11" t="n">
        <f aca="false">IFERROR(ABS(BN18),0)</f>
        <v>0.469003709485069</v>
      </c>
      <c r="FB18" s="11" t="n">
        <f aca="false">IFERROR(ABS(BQ18),0)</f>
        <v>0.403778028033503</v>
      </c>
      <c r="FC18" s="11" t="n">
        <f aca="false">IFERROR(ABS(BT18),0)</f>
        <v>0.508139118356009</v>
      </c>
      <c r="FD18" s="11" t="n">
        <f aca="false">IFERROR(ABS(BW18),0)</f>
        <v>0.490745603302258</v>
      </c>
      <c r="FE18" s="11" t="n">
        <f aca="false">IFERROR(ABS(BZ18),0)</f>
        <v>0.108201407486264</v>
      </c>
      <c r="FF18" s="11" t="n">
        <f aca="false">IFERROR(ABS(CC18),0)</f>
        <v>0.0347556036168</v>
      </c>
      <c r="FG18" s="11" t="n">
        <f aca="false">IFERROR(ABS(CF18),0)</f>
        <v>0.127874390665585</v>
      </c>
      <c r="FH18" s="11" t="n">
        <f aca="false">IFERROR(ABS(CI18),0)</f>
        <v>0.0557401190080755</v>
      </c>
      <c r="FI18" s="11" t="n">
        <f aca="false">IFERROR(ABS(CL18),0)</f>
        <v>0.0819707632471699</v>
      </c>
      <c r="FJ18" s="11" t="n">
        <f aca="false">IFERROR(ABS(CO18),0)</f>
        <v>0.0824551869095882</v>
      </c>
      <c r="FK18" s="11" t="n">
        <f aca="false">IFERROR(ABS(CR18),0)</f>
        <v>0.0824551869095882</v>
      </c>
      <c r="FL18" s="11" t="n">
        <f aca="false">IFERROR(ABS(CU18),0)</f>
        <v>0.0824551869095882</v>
      </c>
      <c r="FM18" s="11" t="n">
        <f aca="false">IFERROR(ABS(CX18),0)</f>
        <v>0.0824551869095882</v>
      </c>
      <c r="FN18" s="11" t="n">
        <f aca="false">IFERROR(ABS(DA18),0)</f>
        <v>0.178209597514271</v>
      </c>
      <c r="FO18" s="11" t="n">
        <f aca="false">IFERROR(ABS(DD18),0)</f>
        <v>0.213975821318999</v>
      </c>
      <c r="FP18" s="11" t="n">
        <f aca="false">IFERROR(ABS(DG18),0)</f>
        <v>0.258920514381437</v>
      </c>
      <c r="FQ18" s="11" t="n">
        <f aca="false">IFERROR(ABS(DJ18),0)</f>
        <v>0.258920514381437</v>
      </c>
      <c r="FR18" s="11" t="n">
        <f aca="false">IFERROR(ABS(DM18),0)</f>
        <v>0.258920514381437</v>
      </c>
      <c r="FS18" s="11" t="n">
        <f aca="false">IFERROR(ABS(DP18),0)</f>
        <v>0</v>
      </c>
      <c r="FT18" s="11" t="n">
        <f aca="false">IFERROR(ABS(DS18),0)</f>
        <v>0.014296665472227</v>
      </c>
      <c r="FU18" s="11" t="n">
        <f aca="false">IFERROR(ABS(DV18),0)</f>
        <v>0</v>
      </c>
      <c r="FV18" s="11" t="n">
        <f aca="false">IFERROR(ABS(DY18),0)</f>
        <v>0</v>
      </c>
      <c r="FW18" s="11" t="n">
        <f aca="false">IFERROR(ABS(EB18),0)</f>
        <v>0</v>
      </c>
      <c r="FX18" s="11" t="n">
        <f aca="false">IFERROR(ABS(EE18),0)</f>
        <v>0</v>
      </c>
    </row>
    <row r="19" customFormat="false" ht="12.75" hidden="false" customHeight="true" outlineLevel="0" collapsed="false">
      <c r="A19" s="5" t="n">
        <v>14</v>
      </c>
      <c r="B19" s="6" t="s">
        <v>203</v>
      </c>
      <c r="C19" s="7" t="n">
        <f aca="false">'P0Q0 Dasar 2022'!F18</f>
        <v>0.0128006139283175</v>
      </c>
      <c r="D19" s="17" t="n">
        <f aca="false">IFERROR(AVERAGEIF('Pemetaan Variant'!$A$5:$A$32,$B19,'Pemetaan Variant'!$L$5:$L$32),"n/a")</f>
        <v>27000</v>
      </c>
      <c r="E19" s="7" t="n">
        <f aca="false">IFERROR(IF(ISNUMBER(D19),(D19-AVERAGEIF('Pemetaan Variant'!$A$5:$A$32,$B19,'Pemetaan Variant'!$D$5:$D$32))/AVERAGEIF('Pemetaan Variant'!$A$5:$A$32,$B19,'Pemetaan Variant'!$D$5:$D$32)*100,"n/a"),"n/a")</f>
        <v>1.15967885816235</v>
      </c>
      <c r="F19" s="7" t="n">
        <f aca="false">IFERROR(IF(ISNUMBER(E19),$C19*E19,"n/a"),"n/a")</f>
        <v>0.0148446013441684</v>
      </c>
      <c r="G19" s="17" t="n">
        <f aca="false">IFERROR(AVERAGEIF('Pemetaan Variant'!$A$5:$A$32,$B19,'Pemetaan Variant'!$M$5:$M$32),"n/a")</f>
        <v>27000</v>
      </c>
      <c r="H19" s="7" t="n">
        <f aca="false">IFERROR(IF(ISNUMBER(G19),(G19-AVERAGEIF('Pemetaan Variant'!$A$5:$A$32,$B19,'Pemetaan Variant'!$D$5:$D$32))/AVERAGEIF('Pemetaan Variant'!$A$5:$A$32,$B19,'Pemetaan Variant'!$D$5:$D$32)*100,"n/a"),"n/a")</f>
        <v>1.15967885816235</v>
      </c>
      <c r="I19" s="7" t="n">
        <f aca="false">IFERROR(IF(ISNUMBER(H19),$C19*H19,"n/a"),"n/a")</f>
        <v>0.0148446013441684</v>
      </c>
      <c r="J19" s="17" t="n">
        <f aca="false">IFERROR(AVERAGEIF('Pemetaan Variant'!$A$5:$A$32,$B19,'Pemetaan Variant'!$N$5:$N$32),"n/a")</f>
        <v>27000</v>
      </c>
      <c r="K19" s="7" t="n">
        <f aca="false">IFERROR(IF(ISNUMBER(J19),(J19-AVERAGEIF('Pemetaan Variant'!$A$5:$A$32,$B19,'Pemetaan Variant'!$D$5:$D$32))/AVERAGEIF('Pemetaan Variant'!$A$5:$A$32,$B19,'Pemetaan Variant'!$D$5:$D$32)*100,"n/a"),"n/a")</f>
        <v>1.15967885816235</v>
      </c>
      <c r="L19" s="7" t="n">
        <f aca="false">IFERROR(IF(ISNUMBER(K19),$C19*K19,"n/a"),"n/a")</f>
        <v>0.0148446013441684</v>
      </c>
      <c r="M19" s="17" t="n">
        <f aca="false">IFERROR(AVERAGEIF('Pemetaan Variant'!$A$5:$A$32,$B19,'Pemetaan Variant'!$O$5:$O$32),"n/a")</f>
        <v>27000</v>
      </c>
      <c r="N19" s="7" t="n">
        <f aca="false">IFERROR(IF(ISNUMBER(M19),(M19-AVERAGEIF('Pemetaan Variant'!$A$5:$A$32,$B19,'Pemetaan Variant'!$D$5:$D$32))/AVERAGEIF('Pemetaan Variant'!$A$5:$A$32,$B19,'Pemetaan Variant'!$D$5:$D$32)*100,"n/a"),"n/a")</f>
        <v>1.15967885816235</v>
      </c>
      <c r="O19" s="7" t="n">
        <f aca="false">IFERROR(IF(ISNUMBER(N19),$C19*N19,"n/a"),"n/a")</f>
        <v>0.0148446013441684</v>
      </c>
      <c r="P19" s="17" t="n">
        <f aca="false">IFERROR(AVERAGEIF('Pemetaan Variant'!$A$5:$A$32,$B19,'Pemetaan Variant'!$P$5:$P$32),"n/a")</f>
        <v>27000</v>
      </c>
      <c r="Q19" s="7" t="n">
        <f aca="false">IFERROR(IF(ISNUMBER(P19),(P19-AVERAGEIF('Pemetaan Variant'!$A$5:$A$32,$B19,'Pemetaan Variant'!$D$5:$D$32))/AVERAGEIF('Pemetaan Variant'!$A$5:$A$32,$B19,'Pemetaan Variant'!$D$5:$D$32)*100,"n/a"),"n/a")</f>
        <v>1.15967885816235</v>
      </c>
      <c r="R19" s="7" t="n">
        <f aca="false">IFERROR(IF(ISNUMBER(Q19),$C19*Q19,"n/a"),"n/a")</f>
        <v>0.0148446013441684</v>
      </c>
      <c r="S19" s="17" t="n">
        <f aca="false">IFERROR(AVERAGEIF('Pemetaan Variant'!$A$5:$A$32,$B19,'Pemetaan Variant'!$Q$5:$Q$32),"n/a")</f>
        <v>28100</v>
      </c>
      <c r="T19" s="7" t="n">
        <f aca="false">IFERROR(IF(ISNUMBER(S19),(S19-AVERAGEIF('Pemetaan Variant'!$A$5:$A$32,$B19,'Pemetaan Variant'!$E$5:$E$32))/AVERAGEIF('Pemetaan Variant'!$A$5:$A$32,$B19,'Pemetaan Variant'!$E$5:$E$32)*100,"n/a"),"n/a")</f>
        <v>4.07407407407407</v>
      </c>
      <c r="U19" s="7" t="n">
        <f aca="false">IFERROR(IF(ISNUMBER(T19),$C19*T19,"n/a"),"n/a")</f>
        <v>0.0521506493375898</v>
      </c>
      <c r="V19" s="17" t="n">
        <f aca="false">IFERROR(AVERAGEIF('Pemetaan Variant'!$A$5:$A$32,$B19,'Pemetaan Variant'!$R$5:$R$32),"n/a")</f>
        <v>27300</v>
      </c>
      <c r="W19" s="7" t="n">
        <f aca="false">IFERROR(IF(ISNUMBER(V19),(V19-AVERAGEIF('Pemetaan Variant'!$A$5:$A$32,$B19,'Pemetaan Variant'!$E$5:$E$32))/AVERAGEIF('Pemetaan Variant'!$A$5:$A$32,$B19,'Pemetaan Variant'!$E$5:$E$32)*100,"n/a"),"n/a")</f>
        <v>1.11111111111111</v>
      </c>
      <c r="X19" s="7" t="n">
        <f aca="false">IFERROR(IF(ISNUMBER(W19),$C19*W19,"n/a"),"n/a")</f>
        <v>0.0142229043647972</v>
      </c>
      <c r="Y19" s="17" t="n">
        <f aca="false">IFERROR(AVERAGEIF('Pemetaan Variant'!$A$5:$A$32,$B19,'Pemetaan Variant'!$S$5:$S$32),"n/a")</f>
        <v>30833.3333333333</v>
      </c>
      <c r="Z19" s="7" t="n">
        <f aca="false">IFERROR(IF(ISNUMBER(Y19),(Y19-AVERAGEIF('Pemetaan Variant'!$A$5:$A$32,$B19,'Pemetaan Variant'!$E$5:$E$32))/AVERAGEIF('Pemetaan Variant'!$A$5:$A$32,$B19,'Pemetaan Variant'!$E$5:$E$32)*100,"n/a"),"n/a")</f>
        <v>14.1975308641975</v>
      </c>
      <c r="AA19" s="7" t="n">
        <f aca="false">IFERROR(IF(ISNUMBER(Z19),$C19*Z19,"n/a"),"n/a")</f>
        <v>0.181737111327965</v>
      </c>
      <c r="AB19" s="17" t="n">
        <f aca="false">IFERROR(AVERAGEIF('Pemetaan Variant'!$A$5:$A$32,$B19,'Pemetaan Variant'!$T$5:$T$32),"n/a")</f>
        <v>30500</v>
      </c>
      <c r="AC19" s="7" t="n">
        <f aca="false">IFERROR(IF(ISNUMBER(AB19),(AB19-AVERAGEIF('Pemetaan Variant'!$A$5:$A$32,$B19,'Pemetaan Variant'!$E$5:$E$32))/AVERAGEIF('Pemetaan Variant'!$A$5:$A$32,$B19,'Pemetaan Variant'!$E$5:$E$32)*100,"n/a"),"n/a")</f>
        <v>12.962962962963</v>
      </c>
      <c r="AD19" s="7" t="n">
        <f aca="false">IFERROR(IF(ISNUMBER(AC19),$C19*AC19,"n/a"),"n/a")</f>
        <v>0.165933884255968</v>
      </c>
      <c r="AE19" s="17" t="n">
        <f aca="false">IFERROR(AVERAGEIF('Pemetaan Variant'!$A$5:$A$32,$B19,'Pemetaan Variant'!$U$5:$U$32),"n/a")</f>
        <v>32400</v>
      </c>
      <c r="AF19" s="7" t="n">
        <f aca="false">IFERROR(IF(ISNUMBER(AE19),(AE19-AVERAGEIF('Pemetaan Variant'!$A$5:$A$32,$B19,'Pemetaan Variant'!$F$5:$F$32))/AVERAGEIF('Pemetaan Variant'!$A$5:$A$32,$B19,'Pemetaan Variant'!$F$5:$F$32)*100,"n/a"),"n/a")</f>
        <v>11.7241379310345</v>
      </c>
      <c r="AG19" s="7" t="n">
        <f aca="false">IFERROR(IF(ISNUMBER(AF19),$C19*AF19,"n/a"),"n/a")</f>
        <v>0.150076163297516</v>
      </c>
      <c r="AH19" s="17" t="n">
        <f aca="false">IFERROR(AVERAGEIF('Pemetaan Variant'!$A$5:$A$32,$B19,'Pemetaan Variant'!$V$5:$V$32),"n/a")</f>
        <v>32200</v>
      </c>
      <c r="AI19" s="7" t="n">
        <f aca="false">IFERROR(IF(ISNUMBER(AH19),(AH19-AVERAGEIF('Pemetaan Variant'!$A$5:$A$32,$B19,'Pemetaan Variant'!$F$5:$F$32))/AVERAGEIF('Pemetaan Variant'!$A$5:$A$32,$B19,'Pemetaan Variant'!$F$5:$F$32)*100,"n/a"),"n/a")</f>
        <v>11.0344827586207</v>
      </c>
      <c r="AJ19" s="7" t="n">
        <f aca="false">IFERROR(IF(ISNUMBER(AI19),$C19*AI19,"n/a"),"n/a")</f>
        <v>0.141248153691779</v>
      </c>
      <c r="AK19" s="17" t="n">
        <f aca="false">IFERROR(AVERAGEIF('Pemetaan Variant'!$A$5:$A$32,$B19,'Pemetaan Variant'!$W$5:$W$32),"n/a")</f>
        <v>32800</v>
      </c>
      <c r="AL19" s="7" t="n">
        <f aca="false">IFERROR(IF(ISNUMBER(AK19),(AK19-AVERAGEIF('Pemetaan Variant'!$A$5:$A$32,$B19,'Pemetaan Variant'!$F$5:$F$32))/AVERAGEIF('Pemetaan Variant'!$A$5:$A$32,$B19,'Pemetaan Variant'!$F$5:$F$32)*100,"n/a"),"n/a")</f>
        <v>13.1034482758621</v>
      </c>
      <c r="AM19" s="7" t="n">
        <f aca="false">IFERROR(IF(ISNUMBER(AL19),$C19*AL19,"n/a"),"n/a")</f>
        <v>0.167732182508988</v>
      </c>
      <c r="AN19" s="17" t="n">
        <f aca="false">IFERROR(AVERAGEIF('Pemetaan Variant'!$A$5:$A$32,$B19,'Pemetaan Variant'!$X$5:$X$32),"n/a")</f>
        <v>34000</v>
      </c>
      <c r="AO19" s="7" t="n">
        <f aca="false">IFERROR(IF(ISNUMBER(AN19),(AN19-AVERAGEIF('Pemetaan Variant'!$A$5:$A$32,$B19,'Pemetaan Variant'!$F$5:$F$32))/AVERAGEIF('Pemetaan Variant'!$A$5:$A$32,$B19,'Pemetaan Variant'!$F$5:$F$32)*100,"n/a"),"n/a")</f>
        <v>17.2413793103448</v>
      </c>
      <c r="AP19" s="7" t="n">
        <f aca="false">IFERROR(IF(ISNUMBER(AO19),$C19*AO19,"n/a"),"n/a")</f>
        <v>0.220700240143405</v>
      </c>
      <c r="AQ19" s="17" t="n">
        <f aca="false">IFERROR(AVERAGEIF('Pemetaan Variant'!$A$5:$A$32,$B19,'Pemetaan Variant'!$Y$5:$Y$32),"n/a")</f>
        <v>34000</v>
      </c>
      <c r="AR19" s="7" t="n">
        <f aca="false">IFERROR(IF(ISNUMBER(AQ19),(AQ19-AVERAGEIF('Pemetaan Variant'!$A$5:$A$32,$B19,'Pemetaan Variant'!$F$5:$F$32))/AVERAGEIF('Pemetaan Variant'!$A$5:$A$32,$B19,'Pemetaan Variant'!$F$5:$F$32)*100,"n/a"),"n/a")</f>
        <v>17.2413793103448</v>
      </c>
      <c r="AS19" s="7" t="n">
        <f aca="false">IFERROR(IF(ISNUMBER(AR19),$C19*AR19,"n/a"),"n/a")</f>
        <v>0.220700240143405</v>
      </c>
      <c r="AT19" s="17" t="n">
        <f aca="false">IFERROR(AVERAGEIF('Pemetaan Variant'!$A$5:$A$32,$B19,'Pemetaan Variant'!$Z$5:$Z$32),"n/a")</f>
        <v>33000</v>
      </c>
      <c r="AU19" s="7" t="n">
        <f aca="false">IFERROR(IF(ISNUMBER(AT19),(AT19-AVERAGEIF('Pemetaan Variant'!$A$5:$A$32,$B19,'Pemetaan Variant'!$G$5:$G$32))/AVERAGEIF('Pemetaan Variant'!$A$5:$A$32,$B19,'Pemetaan Variant'!$G$5:$G$32)*100,"n/a"),"n/a")</f>
        <v>0.45662100456621</v>
      </c>
      <c r="AV19" s="7" t="n">
        <f aca="false">IFERROR(IF(ISNUMBER(AU19),$C19*AU19,"n/a"),"n/a")</f>
        <v>0.00584502919101256</v>
      </c>
      <c r="AW19" s="17" t="n">
        <f aca="false">IFERROR(AVERAGEIF('Pemetaan Variant'!$A$5:$A$32,$B19,'Pemetaan Variant'!$AA$5:$AA$32),"n/a")</f>
        <v>33600</v>
      </c>
      <c r="AX19" s="7" t="n">
        <f aca="false">IFERROR(IF(ISNUMBER(AW19),(AW19-AVERAGEIF('Pemetaan Variant'!$A$5:$A$32,$B19,'Pemetaan Variant'!$G$5:$G$32))/AVERAGEIF('Pemetaan Variant'!$A$5:$A$32,$B19,'Pemetaan Variant'!$G$5:$G$32)*100,"n/a"),"n/a")</f>
        <v>2.28310502283105</v>
      </c>
      <c r="AY19" s="7" t="n">
        <f aca="false">IFERROR(IF(ISNUMBER(AX19),$C19*AX19,"n/a"),"n/a")</f>
        <v>0.0292251459550628</v>
      </c>
      <c r="AZ19" s="17" t="n">
        <f aca="false">IFERROR(AVERAGEIF('Pemetaan Variant'!$A$5:$A$32,$B19,'Pemetaan Variant'!$AB$5:$AB$32),"n/a")</f>
        <v>33000</v>
      </c>
      <c r="BA19" s="7" t="n">
        <f aca="false">IFERROR(IF(ISNUMBER(AZ19),(AZ19-AVERAGEIF('Pemetaan Variant'!$A$5:$A$32,$B19,'Pemetaan Variant'!$G$5:$G$32))/AVERAGEIF('Pemetaan Variant'!$A$5:$A$32,$B19,'Pemetaan Variant'!$G$5:$G$32)*100,"n/a"),"n/a")</f>
        <v>0.45662100456621</v>
      </c>
      <c r="BB19" s="7" t="n">
        <f aca="false">IFERROR(IF(ISNUMBER(BA19),$C19*BA19,"n/a"),"n/a")</f>
        <v>0.00584502919101256</v>
      </c>
      <c r="BC19" s="17" t="n">
        <f aca="false">IFERROR(AVERAGEIF('Pemetaan Variant'!$A$5:$A$32,$B19,'Pemetaan Variant'!$AC$5:$AC$32),"n/a")</f>
        <v>32800</v>
      </c>
      <c r="BD19" s="7" t="n">
        <f aca="false">IFERROR(IF(ISNUMBER(BC19),(BC19-AVERAGEIF('Pemetaan Variant'!$A$5:$A$32,$B19,'Pemetaan Variant'!$G$5:$G$32))/AVERAGEIF('Pemetaan Variant'!$A$5:$A$32,$B19,'Pemetaan Variant'!$G$5:$G$32)*100,"n/a"),"n/a")</f>
        <v>-0.15220700152207</v>
      </c>
      <c r="BE19" s="7" t="n">
        <f aca="false">IFERROR(IF(ISNUMBER(BD19),$C19*BD19,"n/a"),"n/a")</f>
        <v>-0.00194834306367085</v>
      </c>
      <c r="BF19" s="17" t="n">
        <f aca="false">IFERROR(AVERAGEIF('Pemetaan Variant'!$A$5:$A$32,$B19,'Pemetaan Variant'!$AD$5:$AD$32),"n/a")</f>
        <v>32500</v>
      </c>
      <c r="BG19" s="7" t="n">
        <f aca="false">IFERROR(IF(ISNUMBER(BF19),(BF19-AVERAGEIF('Pemetaan Variant'!$A$5:$A$32,$B19,'Pemetaan Variant'!$G$5:$G$32))/AVERAGEIF('Pemetaan Variant'!$A$5:$A$32,$B19,'Pemetaan Variant'!$G$5:$G$32)*100,"n/a"),"n/a")</f>
        <v>-1.06544901065449</v>
      </c>
      <c r="BH19" s="7" t="n">
        <f aca="false">IFERROR(IF(ISNUMBER(BG19),$C19*BG19,"n/a"),"n/a")</f>
        <v>-0.013638401445696</v>
      </c>
      <c r="BI19" s="17" t="str">
        <f aca="false">IFERROR(AVERAGEIF('Pemetaan Variant'!$A$5:$A$32,$B19,'Pemetaan Variant'!$AE$5:$AE$32),"n/a")</f>
        <v>n/a</v>
      </c>
      <c r="BJ19" s="7" t="str">
        <f aca="false">IFERROR(IF(ISNUMBER(BI19),(BI19-AVERAGEIF('Pemetaan Variant'!$A$5:$A$32,$B19,'Pemetaan Variant'!$H$5:$H$32))/AVERAGEIF('Pemetaan Variant'!$A$5:$A$32,$B19,'Pemetaan Variant'!$H$5:$H$32)*100,"n/a"),"n/a")</f>
        <v>n/a</v>
      </c>
      <c r="BK19" s="7" t="str">
        <f aca="false">IFERROR(IF(ISNUMBER(BJ19),$C19*BJ19,"n/a"),"n/a")</f>
        <v>n/a</v>
      </c>
      <c r="BL19" s="17" t="n">
        <f aca="false">IFERROR(AVERAGEIF('Pemetaan Variant'!$A$5:$A$32,$B19,'Pemetaan Variant'!$AF$5:$AF$32),"n/a")</f>
        <v>33500</v>
      </c>
      <c r="BM19" s="7" t="n">
        <f aca="false">IFERROR(IF(ISNUMBER(BL19),(BL19-AVERAGEIF('Pemetaan Variant'!$A$5:$A$32,$B19,'Pemetaan Variant'!$H$5:$H$32))/AVERAGEIF('Pemetaan Variant'!$A$5:$A$32,$B19,'Pemetaan Variant'!$H$5:$H$32)*100,"n/a"),"n/a")</f>
        <v>1.51515151515152</v>
      </c>
      <c r="BN19" s="7" t="n">
        <f aca="false">IFERROR(IF(ISNUMBER(BM19),$C19*BM19,"n/a"),"n/a")</f>
        <v>0.0193948695883599</v>
      </c>
      <c r="BO19" s="17" t="n">
        <f aca="false">IFERROR(AVERAGEIF('Pemetaan Variant'!$A$5:$A$32,$B19,'Pemetaan Variant'!$AG$5:$AG$32),"n/a")</f>
        <v>33333.3333333333</v>
      </c>
      <c r="BP19" s="7" t="n">
        <f aca="false">IFERROR(IF(ISNUMBER(BO19),(BO19-AVERAGEIF('Pemetaan Variant'!$A$5:$A$32,$B19,'Pemetaan Variant'!$H$5:$H$32))/AVERAGEIF('Pemetaan Variant'!$A$5:$A$32,$B19,'Pemetaan Variant'!$H$5:$H$32)*100,"n/a"),"n/a")</f>
        <v>1.01010101010102</v>
      </c>
      <c r="BQ19" s="7" t="n">
        <f aca="false">IFERROR(IF(ISNUMBER(BP19),$C19*BP19,"n/a"),"n/a")</f>
        <v>0.0129299130589067</v>
      </c>
      <c r="BR19" s="17" t="n">
        <f aca="false">IFERROR(AVERAGEIF('Pemetaan Variant'!$A$5:$A$32,$B19,'Pemetaan Variant'!$AH$5:$AH$32),"n/a")</f>
        <v>32800</v>
      </c>
      <c r="BS19" s="7" t="n">
        <f aca="false">IFERROR(IF(ISNUMBER(BR19),(BR19-AVERAGEIF('Pemetaan Variant'!$A$5:$A$32,$B19,'Pemetaan Variant'!$H$5:$H$32))/AVERAGEIF('Pemetaan Variant'!$A$5:$A$32,$B19,'Pemetaan Variant'!$H$5:$H$32)*100,"n/a"),"n/a")</f>
        <v>-0.606060606060606</v>
      </c>
      <c r="BT19" s="7" t="n">
        <f aca="false">IFERROR(IF(ISNUMBER(BS19),$C19*BS19,"n/a"),"n/a")</f>
        <v>-0.00775794783534394</v>
      </c>
      <c r="BU19" s="17" t="n">
        <f aca="false">IFERROR(AVERAGEIF('Pemetaan Variant'!$A$5:$A$32,$B19,'Pemetaan Variant'!$AI$5:$AI$32),"n/a")</f>
        <v>32500</v>
      </c>
      <c r="BV19" s="7" t="n">
        <f aca="false">IFERROR(IF(ISNUMBER(BU19),(BU19-AVERAGEIF('Pemetaan Variant'!$A$5:$A$32,$B19,'Pemetaan Variant'!$H$5:$H$32))/AVERAGEIF('Pemetaan Variant'!$A$5:$A$32,$B19,'Pemetaan Variant'!$H$5:$H$32)*100,"n/a"),"n/a")</f>
        <v>-1.51515151515152</v>
      </c>
      <c r="BW19" s="7" t="n">
        <f aca="false">IFERROR(IF(ISNUMBER(BV19),$C19*BV19,"n/a"),"n/a")</f>
        <v>-0.0193948695883599</v>
      </c>
      <c r="BX19" s="17" t="n">
        <f aca="false">IFERROR(AVERAGEIF('Pemetaan Variant'!$A$5:$A$32,$B19,'Pemetaan Variant'!$AJ$5:$AJ$32),"n/a")</f>
        <v>32125</v>
      </c>
      <c r="BY19" s="7" t="n">
        <f aca="false">IFERROR(IF(ISNUMBER(BX19),(BX19-AVERAGEIF('Pemetaan Variant'!$A$5:$A$32,$B19,'Pemetaan Variant'!$I$5:$I$32))/AVERAGEIF('Pemetaan Variant'!$A$5:$A$32,$B19,'Pemetaan Variant'!$I$5:$I$32)*100,"n/a"),"n/a")</f>
        <v>-2.83553875236295</v>
      </c>
      <c r="BZ19" s="7" t="n">
        <f aca="false">IFERROR(IF(ISNUMBER(BY19),$C19*BY19,"n/a"),"n/a")</f>
        <v>-0.0362966368477812</v>
      </c>
      <c r="CA19" s="17" t="n">
        <f aca="false">IFERROR(AVERAGEIF('Pemetaan Variant'!$A$5:$A$32,$B19,'Pemetaan Variant'!$AK$5:$AK$32),"n/a")</f>
        <v>32100</v>
      </c>
      <c r="CB19" s="7" t="n">
        <f aca="false">IFERROR(IF(ISNUMBER(CA19),(CA19-AVERAGEIF('Pemetaan Variant'!$A$5:$A$32,$B19,'Pemetaan Variant'!$I$5:$I$32))/AVERAGEIF('Pemetaan Variant'!$A$5:$A$32,$B19,'Pemetaan Variant'!$I$5:$I$32)*100,"n/a"),"n/a")</f>
        <v>-2.91115311909263</v>
      </c>
      <c r="CC19" s="7" t="n">
        <f aca="false">IFERROR(IF(ISNUMBER(CB19),$C19*CB19,"n/a"),"n/a")</f>
        <v>-0.037264547163722</v>
      </c>
      <c r="CD19" s="17" t="n">
        <f aca="false">IFERROR(AVERAGEIF('Pemetaan Variant'!$A$5:$A$32,$B19,'Pemetaan Variant'!$AL$5:$AL$32),"n/a")</f>
        <v>35500</v>
      </c>
      <c r="CE19" s="7" t="n">
        <f aca="false">IFERROR(IF(ISNUMBER(CD19),(CD19-AVERAGEIF('Pemetaan Variant'!$A$5:$A$32,$B19,'Pemetaan Variant'!$I$5:$I$32))/AVERAGEIF('Pemetaan Variant'!$A$5:$A$32,$B19,'Pemetaan Variant'!$I$5:$I$32)*100,"n/a"),"n/a")</f>
        <v>7.37240075614367</v>
      </c>
      <c r="CF19" s="7" t="n">
        <f aca="false">IFERROR(IF(ISNUMBER(CE19),$C19*CE19,"n/a"),"n/a")</f>
        <v>0.0943712558042311</v>
      </c>
      <c r="CG19" s="17" t="n">
        <f aca="false">IFERROR(AVERAGEIF('Pemetaan Variant'!$A$5:$A$32,$B19,'Pemetaan Variant'!$AM$5:$AM$32),"n/a")</f>
        <v>35500</v>
      </c>
      <c r="CH19" s="7" t="n">
        <f aca="false">IFERROR(IF(ISNUMBER(CG19),(CG19-AVERAGEIF('Pemetaan Variant'!$A$5:$A$32,$B19,'Pemetaan Variant'!$I$5:$I$32))/AVERAGEIF('Pemetaan Variant'!$A$5:$A$32,$B19,'Pemetaan Variant'!$I$5:$I$32)*100,"n/a"),"n/a")</f>
        <v>7.37240075614367</v>
      </c>
      <c r="CI19" s="7" t="n">
        <f aca="false">IFERROR(IF(ISNUMBER(CH19),$C19*CH19,"n/a"),"n/a")</f>
        <v>0.0943712558042311</v>
      </c>
      <c r="CJ19" s="17" t="n">
        <f aca="false">IFERROR(AVERAGEIF('Pemetaan Variant'!$A$5:$A$32,$B19,'Pemetaan Variant'!$AN$5:$AN$32),"n/a")</f>
        <v>36000</v>
      </c>
      <c r="CK19" s="7" t="n">
        <f aca="false">IFERROR(IF(ISNUMBER(CJ19),(CJ19-AVERAGEIF('Pemetaan Variant'!$A$5:$A$32,$B19,'Pemetaan Variant'!$I$5:$I$32))/AVERAGEIF('Pemetaan Variant'!$A$5:$A$32,$B19,'Pemetaan Variant'!$I$5:$I$32)*100,"n/a"),"n/a")</f>
        <v>8.88468809073724</v>
      </c>
      <c r="CL19" s="7" t="n">
        <f aca="false">IFERROR(IF(ISNUMBER(CK19),$C19*CK19,"n/a"),"n/a")</f>
        <v>0.113729462123048</v>
      </c>
      <c r="CM19" s="17" t="n">
        <f aca="false">IFERROR(AVERAGEIF('Pemetaan Variant'!$A$5:$A$32,$B19,'Pemetaan Variant'!$AO$5:$AO$32),"n/a")</f>
        <v>36500</v>
      </c>
      <c r="CN19" s="7" t="n">
        <f aca="false">IFERROR(IF(ISNUMBER(CM19),(CM19-AVERAGEIF('Pemetaan Variant'!$A$5:$A$32,$B19,'Pemetaan Variant'!$J$5:$J$32))/AVERAGEIF('Pemetaan Variant'!$A$5:$A$32,$B19,'Pemetaan Variant'!$J$5:$J$32)*100,"n/a"),"n/a")</f>
        <v>7.27406318883174</v>
      </c>
      <c r="CO19" s="7" t="n">
        <f aca="false">IFERROR(IF(ISNUMBER(CN19),$C19*CN19,"n/a"),"n/a")</f>
        <v>0.0931124745704212</v>
      </c>
      <c r="CP19" s="17" t="n">
        <f aca="false">IFERROR(AVERAGEIF('Pemetaan Variant'!$A$5:$A$32,$B19,'Pemetaan Variant'!$AP$5:$AP$32),"n/a")</f>
        <v>36500</v>
      </c>
      <c r="CQ19" s="7" t="n">
        <f aca="false">IFERROR(IF(ISNUMBER(CP19),(CP19-AVERAGEIF('Pemetaan Variant'!$A$5:$A$32,$B19,'Pemetaan Variant'!$J$5:$J$32))/AVERAGEIF('Pemetaan Variant'!$A$5:$A$32,$B19,'Pemetaan Variant'!$J$5:$J$32)*100,"n/a"),"n/a")</f>
        <v>7.27406318883174</v>
      </c>
      <c r="CR19" s="7" t="n">
        <f aca="false">IFERROR(IF(ISNUMBER(CQ19),$C19*CQ19,"n/a"),"n/a")</f>
        <v>0.0931124745704212</v>
      </c>
      <c r="CS19" s="17" t="n">
        <f aca="false">IFERROR(AVERAGEIF('Pemetaan Variant'!$A$5:$A$32,$B19,'Pemetaan Variant'!$AQ$5:$AQ$32),"n/a")</f>
        <v>36500</v>
      </c>
      <c r="CT19" s="7" t="n">
        <f aca="false">IFERROR(IF(ISNUMBER(CS19),(CS19-AVERAGEIF('Pemetaan Variant'!$A$5:$A$32,$B19,'Pemetaan Variant'!$J$5:$J$32))/AVERAGEIF('Pemetaan Variant'!$A$5:$A$32,$B19,'Pemetaan Variant'!$J$5:$J$32)*100,"n/a"),"n/a")</f>
        <v>7.27406318883174</v>
      </c>
      <c r="CU19" s="7" t="n">
        <f aca="false">IFERROR(IF(ISNUMBER(CT19),$C19*CT19,"n/a"),"n/a")</f>
        <v>0.0931124745704212</v>
      </c>
      <c r="CV19" s="17" t="n">
        <f aca="false">IFERROR(AVERAGEIF('Pemetaan Variant'!$A$5:$A$32,$B19,'Pemetaan Variant'!$AR$5:$AR$32),"n/a")</f>
        <v>36500</v>
      </c>
      <c r="CW19" s="7" t="n">
        <f aca="false">IFERROR(IF(ISNUMBER(CV19),(CV19-AVERAGEIF('Pemetaan Variant'!$A$5:$A$32,$B19,'Pemetaan Variant'!$J$5:$J$32))/AVERAGEIF('Pemetaan Variant'!$A$5:$A$32,$B19,'Pemetaan Variant'!$J$5:$J$32)*100,"n/a"),"n/a")</f>
        <v>7.27406318883174</v>
      </c>
      <c r="CX19" s="7" t="n">
        <f aca="false">IFERROR(IF(ISNUMBER(CW19),$C19*CW19,"n/a"),"n/a")</f>
        <v>0.0931124745704212</v>
      </c>
      <c r="CY19" s="17" t="n">
        <f aca="false">IFERROR(AVERAGEIF('Pemetaan Variant'!$A$5:$A$32,$B19,'Pemetaan Variant'!$AS$5:$AS$32),"n/a")</f>
        <v>35600</v>
      </c>
      <c r="CZ19" s="7" t="n">
        <f aca="false">IFERROR(IF(ISNUMBER(CY19),(CY19-AVERAGEIF('Pemetaan Variant'!$A$5:$A$32,$B19,'Pemetaan Variant'!$J$5:$J$32))/AVERAGEIF('Pemetaan Variant'!$A$5:$A$32,$B19,'Pemetaan Variant'!$J$5:$J$32)*100,"n/a"),"n/a")</f>
        <v>4.62894930198384</v>
      </c>
      <c r="DA19" s="7" t="n">
        <f aca="false">IFERROR(IF(ISNUMBER(CZ19),$C19*CZ19,"n/a"),"n/a")</f>
        <v>0.0592533929084499</v>
      </c>
      <c r="DB19" s="17" t="n">
        <f aca="false">IFERROR(AVERAGEIF('Pemetaan Variant'!$A$5:$A$32,$B19,'Pemetaan Variant'!$AT$5:$AT$32),"n/a")</f>
        <v>34400</v>
      </c>
      <c r="DC19" s="7" t="n">
        <f aca="false">IFERROR(IF(ISNUMBER(DB19),(DB19-AVERAGEIF('Pemetaan Variant'!$A$5:$A$32,$B19,'Pemetaan Variant'!$K$5:$K$32))/AVERAGEIF('Pemetaan Variant'!$A$5:$A$32,$B19,'Pemetaan Variant'!$K$5:$K$32)*100,"n/a"),"n/a")</f>
        <v>-5.24550898203594</v>
      </c>
      <c r="DD19" s="7" t="n">
        <f aca="false">IFERROR(IF(ISNUMBER(DC19),$C19*DC19,"n/a"),"n/a")</f>
        <v>-0.0671457353365638</v>
      </c>
      <c r="DE19" s="17" t="n">
        <f aca="false">IFERROR(AVERAGEIF('Pemetaan Variant'!$A$5:$A$32,$B19,'Pemetaan Variant'!$AU$5:$AU$32),"n/a")</f>
        <v>34000</v>
      </c>
      <c r="DF19" s="7" t="n">
        <f aca="false">IFERROR(IF(ISNUMBER(DE19),(DE19-AVERAGEIF('Pemetaan Variant'!$A$5:$A$32,$B19,'Pemetaan Variant'!$K$5:$K$32))/AVERAGEIF('Pemetaan Variant'!$A$5:$A$32,$B19,'Pemetaan Variant'!$K$5:$K$32)*100,"n/a"),"n/a")</f>
        <v>-6.34730538922157</v>
      </c>
      <c r="DG19" s="7" t="n">
        <f aca="false">IFERROR(IF(ISNUMBER(DF19),$C19*DF19,"n/a"),"n/a")</f>
        <v>-0.0812494057725543</v>
      </c>
      <c r="DH19" s="17" t="n">
        <f aca="false">IFERROR(AVERAGEIF('Pemetaan Variant'!$A$5:$A$32,$B19,'Pemetaan Variant'!$AV$5:$AV$32),"n/a")</f>
        <v>34000</v>
      </c>
      <c r="DI19" s="7" t="n">
        <f aca="false">IFERROR(IF(ISNUMBER(DH19),(DH19-AVERAGEIF('Pemetaan Variant'!$A$5:$A$32,$B19,'Pemetaan Variant'!$K$5:$K$32))/AVERAGEIF('Pemetaan Variant'!$A$5:$A$32,$B19,'Pemetaan Variant'!$K$5:$K$32)*100,"n/a"),"n/a")</f>
        <v>-6.34730538922157</v>
      </c>
      <c r="DJ19" s="7" t="n">
        <f aca="false">IFERROR(IF(ISNUMBER(DI19),$C19*DI19,"n/a"),"n/a")</f>
        <v>-0.0812494057725543</v>
      </c>
      <c r="DK19" s="17" t="n">
        <f aca="false">IFERROR(AVERAGEIF('Pemetaan Variant'!$A$5:$A$32,$B19,'Pemetaan Variant'!$AW$5:$AW$32),"n/a")</f>
        <v>34000</v>
      </c>
      <c r="DL19" s="7" t="n">
        <f aca="false">IFERROR(IF(ISNUMBER(DK19),(DK19-AVERAGEIF('Pemetaan Variant'!$A$5:$A$32,$B19,'Pemetaan Variant'!$K$5:$K$32))/AVERAGEIF('Pemetaan Variant'!$A$5:$A$32,$B19,'Pemetaan Variant'!$K$5:$K$32)*100,"n/a"),"n/a")</f>
        <v>-6.34730538922157</v>
      </c>
      <c r="DM19" s="7" t="n">
        <f aca="false">IFERROR(IF(ISNUMBER(DL19),$C19*DL19,"n/a"),"n/a")</f>
        <v>-0.0812494057725543</v>
      </c>
      <c r="DN19" s="17" t="str">
        <f aca="false">IFERROR(AVERAGEIF('Pemetaan Variant'!$A$5:$A$32,$B19,'Pemetaan Variant'!$AX$5:$AX$32),"n/a")</f>
        <v>n/a</v>
      </c>
      <c r="DO19" s="7" t="str">
        <f aca="false">IFERROR(IF(ISNUMBER(DN19),(DN19-AVERAGEIF('Pemetaan Variant'!$A$5:$A$32,$B19,'Pemetaan Variant'!$K$5:$K$32))/AVERAGEIF('Pemetaan Variant'!$A$5:$A$32,$B19,'Pemetaan Variant'!$K$5:$K$32)*100,"n/a"),"n/a")</f>
        <v>n/a</v>
      </c>
      <c r="DP19" s="7" t="str">
        <f aca="false">IFERROR(IF(ISNUMBER(DO19),$C19*DO19,"n/a"),"n/a")</f>
        <v>n/a</v>
      </c>
      <c r="DQ19" s="18" t="n">
        <f aca="false">IFERROR(AVERAGEIF('Pemetaan Variant'!$A$5:$A$32,$B19,'Pemetaan Variant'!$AZ$5:$AZ$32),"n/a")</f>
        <v>34000</v>
      </c>
      <c r="DR19" s="11" t="n">
        <f aca="false">IFERROR(IF(ISNUMBER(DQ19),(DQ19-AVERAGEIF('Pemetaan Variant'!$A$5:$A$32,$B19,'Pemetaan Variant'!$AY$5:$AY$32))/AVERAGEIF('Pemetaan Variant'!$A$5:$A$32,$B19,'Pemetaan Variant'!$AY$5:$AY$32)*100,"n/a"),"n/a")</f>
        <v>-0.325732899022797</v>
      </c>
      <c r="DS19" s="11" t="n">
        <f aca="false">IFERROR(IF(ISNUMBER(DR19),$C19*DR19,"n/a"),"n/a")</f>
        <v>-0.00416958108414245</v>
      </c>
      <c r="DT19" s="18" t="str">
        <f aca="false">IFERROR(AVERAGEIF('Pemetaan Variant'!$A$5:$A$32,$B19,'Pemetaan Variant'!$BA$5:$BA$32),"n/a")</f>
        <v>n/a</v>
      </c>
      <c r="DU19" s="11" t="str">
        <f aca="false">IFERROR(IF(ISNUMBER(DT19),(DT19-AVERAGEIF('Pemetaan Variant'!$A$5:$A$32,$B19,'Pemetaan Variant'!$AY$5:$AY$32))/AVERAGEIF('Pemetaan Variant'!$A$5:$A$32,$B19,'Pemetaan Variant'!$AY$5:$AY$32)*100,"n/a"),"n/a")</f>
        <v>n/a</v>
      </c>
      <c r="DV19" s="11" t="str">
        <f aca="false">IFERROR(IF(ISNUMBER(DU19),$C19*DU19,"n/a"),"n/a")</f>
        <v>n/a</v>
      </c>
      <c r="DW19" s="18" t="str">
        <f aca="false">IFERROR(AVERAGEIF('Pemetaan Variant'!$A$5:$A$32,$B19,'Pemetaan Variant'!$BB$5:$BB$32),"n/a")</f>
        <v>n/a</v>
      </c>
      <c r="DX19" s="11" t="str">
        <f aca="false">IFERROR(IF(ISNUMBER(DW19),(DW19-AVERAGEIF('Pemetaan Variant'!$A$5:$A$32,$B19,'Pemetaan Variant'!$AY$5:$AY$32))/AVERAGEIF('Pemetaan Variant'!$A$5:$A$32,$B19,'Pemetaan Variant'!$AY$5:$AY$32)*100,"n/a"),"n/a")</f>
        <v>n/a</v>
      </c>
      <c r="DY19" s="11" t="str">
        <f aca="false">IFERROR(IF(ISNUMBER(DX19),$C19*DX19,"n/a"),"n/a")</f>
        <v>n/a</v>
      </c>
      <c r="DZ19" s="18" t="str">
        <f aca="false">IFERROR(AVERAGEIF('Pemetaan Variant'!$A$5:$A$32,$B19,'Pemetaan Variant'!$BC$5:$BC$32),"n/a")</f>
        <v>n/a</v>
      </c>
      <c r="EA19" s="11" t="str">
        <f aca="false">IFERROR(IF(ISNUMBER(DZ19),(DZ19-AVERAGEIF('Pemetaan Variant'!$A$5:$A$32,$B19,'Pemetaan Variant'!$AY$5:$AY$32))/AVERAGEIF('Pemetaan Variant'!$A$5:$A$32,$B19,'Pemetaan Variant'!$AY$5:$AY$32)*100,"n/a"),"n/a")</f>
        <v>n/a</v>
      </c>
      <c r="EB19" s="11" t="str">
        <f aca="false">IFERROR(IF(ISNUMBER(EA19),$C19*EA19,"n/a"),"n/a")</f>
        <v>n/a</v>
      </c>
      <c r="EC19" s="18" t="str">
        <f aca="false">IFERROR(AVERAGEIF('Pemetaan Variant'!$A$5:$A$32,$B19,'Pemetaan Variant'!$BD$5:$BD$32),"n/a")</f>
        <v>n/a</v>
      </c>
      <c r="ED19" s="11" t="str">
        <f aca="false">IFERROR(IF(ISNUMBER(EC19),(EC19-AVERAGEIF('Pemetaan Variant'!$A$5:$A$32,$B19,'Pemetaan Variant'!$AY$5:$AY$32))/AVERAGEIF('Pemetaan Variant'!$A$5:$A$32,$B19,'Pemetaan Variant'!$AY$5:$AY$32)*100,"n/a"),"n/a")</f>
        <v>n/a</v>
      </c>
      <c r="EE19" s="11" t="str">
        <f aca="false">IFERROR(IF(ISNUMBER(ED19),$C19*ED19,"n/a"),"n/a")</f>
        <v>n/a</v>
      </c>
      <c r="EG19" s="11" t="n">
        <f aca="false">IFERROR(ABS(F19),0)</f>
        <v>0.0148446013441684</v>
      </c>
      <c r="EH19" s="11" t="n">
        <f aca="false">IFERROR(ABS(I19),0)</f>
        <v>0.0148446013441684</v>
      </c>
      <c r="EI19" s="11" t="n">
        <f aca="false">IFERROR(ABS(L19),0)</f>
        <v>0.0148446013441684</v>
      </c>
      <c r="EJ19" s="11" t="n">
        <f aca="false">IFERROR(ABS(O19),0)</f>
        <v>0.0148446013441684</v>
      </c>
      <c r="EK19" s="11" t="n">
        <f aca="false">IFERROR(ABS(R19),0)</f>
        <v>0.0148446013441684</v>
      </c>
      <c r="EL19" s="11" t="n">
        <f aca="false">IFERROR(ABS(U19),0)</f>
        <v>0.0521506493375898</v>
      </c>
      <c r="EM19" s="11" t="n">
        <f aca="false">IFERROR(ABS(X19),0)</f>
        <v>0.0142229043647972</v>
      </c>
      <c r="EN19" s="11" t="n">
        <f aca="false">IFERROR(ABS(AA19),0)</f>
        <v>0.181737111327965</v>
      </c>
      <c r="EO19" s="11" t="n">
        <f aca="false">IFERROR(ABS(AD19),0)</f>
        <v>0.165933884255968</v>
      </c>
      <c r="EP19" s="11" t="n">
        <f aca="false">IFERROR(ABS(AG19),0)</f>
        <v>0.150076163297516</v>
      </c>
      <c r="EQ19" s="11" t="n">
        <f aca="false">IFERROR(ABS(AJ19),0)</f>
        <v>0.141248153691779</v>
      </c>
      <c r="ER19" s="11" t="n">
        <f aca="false">IFERROR(ABS(AM19),0)</f>
        <v>0.167732182508988</v>
      </c>
      <c r="ES19" s="11" t="n">
        <f aca="false">IFERROR(ABS(AP19),0)</f>
        <v>0.220700240143405</v>
      </c>
      <c r="ET19" s="11" t="n">
        <f aca="false">IFERROR(ABS(AS19),0)</f>
        <v>0.220700240143405</v>
      </c>
      <c r="EU19" s="11" t="n">
        <f aca="false">IFERROR(ABS(AV19),0)</f>
        <v>0.00584502919101256</v>
      </c>
      <c r="EV19" s="11" t="n">
        <f aca="false">IFERROR(ABS(AY19),0)</f>
        <v>0.0292251459550628</v>
      </c>
      <c r="EW19" s="11" t="n">
        <f aca="false">IFERROR(ABS(BB19),0)</f>
        <v>0.00584502919101256</v>
      </c>
      <c r="EX19" s="11" t="n">
        <f aca="false">IFERROR(ABS(BE19),0)</f>
        <v>0.00194834306367085</v>
      </c>
      <c r="EY19" s="11" t="n">
        <f aca="false">IFERROR(ABS(BH19),0)</f>
        <v>0.013638401445696</v>
      </c>
      <c r="EZ19" s="11" t="n">
        <f aca="false">IFERROR(ABS(BK19),0)</f>
        <v>0</v>
      </c>
      <c r="FA19" s="11" t="n">
        <f aca="false">IFERROR(ABS(BN19),0)</f>
        <v>0.0193948695883599</v>
      </c>
      <c r="FB19" s="11" t="n">
        <f aca="false">IFERROR(ABS(BQ19),0)</f>
        <v>0.0129299130589067</v>
      </c>
      <c r="FC19" s="11" t="n">
        <f aca="false">IFERROR(ABS(BT19),0)</f>
        <v>0.00775794783534394</v>
      </c>
      <c r="FD19" s="11" t="n">
        <f aca="false">IFERROR(ABS(BW19),0)</f>
        <v>0.0193948695883599</v>
      </c>
      <c r="FE19" s="11" t="n">
        <f aca="false">IFERROR(ABS(BZ19),0)</f>
        <v>0.0362966368477812</v>
      </c>
      <c r="FF19" s="11" t="n">
        <f aca="false">IFERROR(ABS(CC19),0)</f>
        <v>0.037264547163722</v>
      </c>
      <c r="FG19" s="11" t="n">
        <f aca="false">IFERROR(ABS(CF19),0)</f>
        <v>0.0943712558042311</v>
      </c>
      <c r="FH19" s="11" t="n">
        <f aca="false">IFERROR(ABS(CI19),0)</f>
        <v>0.0943712558042311</v>
      </c>
      <c r="FI19" s="11" t="n">
        <f aca="false">IFERROR(ABS(CL19),0)</f>
        <v>0.113729462123048</v>
      </c>
      <c r="FJ19" s="11" t="n">
        <f aca="false">IFERROR(ABS(CO19),0)</f>
        <v>0.0931124745704212</v>
      </c>
      <c r="FK19" s="11" t="n">
        <f aca="false">IFERROR(ABS(CR19),0)</f>
        <v>0.0931124745704212</v>
      </c>
      <c r="FL19" s="11" t="n">
        <f aca="false">IFERROR(ABS(CU19),0)</f>
        <v>0.0931124745704212</v>
      </c>
      <c r="FM19" s="11" t="n">
        <f aca="false">IFERROR(ABS(CX19),0)</f>
        <v>0.0931124745704212</v>
      </c>
      <c r="FN19" s="11" t="n">
        <f aca="false">IFERROR(ABS(DA19),0)</f>
        <v>0.0592533929084499</v>
      </c>
      <c r="FO19" s="11" t="n">
        <f aca="false">IFERROR(ABS(DD19),0)</f>
        <v>0.0671457353365638</v>
      </c>
      <c r="FP19" s="11" t="n">
        <f aca="false">IFERROR(ABS(DG19),0)</f>
        <v>0.0812494057725543</v>
      </c>
      <c r="FQ19" s="11" t="n">
        <f aca="false">IFERROR(ABS(DJ19),0)</f>
        <v>0.0812494057725543</v>
      </c>
      <c r="FR19" s="11" t="n">
        <f aca="false">IFERROR(ABS(DM19),0)</f>
        <v>0.0812494057725543</v>
      </c>
      <c r="FS19" s="11" t="n">
        <f aca="false">IFERROR(ABS(DP19),0)</f>
        <v>0</v>
      </c>
      <c r="FT19" s="11" t="n">
        <f aca="false">IFERROR(ABS(DS19),0)</f>
        <v>0.00416958108414245</v>
      </c>
      <c r="FU19" s="11" t="n">
        <f aca="false">IFERROR(ABS(DV19),0)</f>
        <v>0</v>
      </c>
      <c r="FV19" s="11" t="n">
        <f aca="false">IFERROR(ABS(DY19),0)</f>
        <v>0</v>
      </c>
      <c r="FW19" s="11" t="n">
        <f aca="false">IFERROR(ABS(EB19),0)</f>
        <v>0</v>
      </c>
      <c r="FX19" s="11" t="n">
        <f aca="false">IFERROR(ABS(EE19),0)</f>
        <v>0</v>
      </c>
    </row>
    <row r="20" customFormat="false" ht="12.75" hidden="false" customHeight="true" outlineLevel="0" collapsed="false">
      <c r="A20" s="5" t="n">
        <v>15</v>
      </c>
      <c r="B20" s="6" t="s">
        <v>204</v>
      </c>
      <c r="C20" s="7" t="n">
        <f aca="false">'P0Q0 Dasar 2022'!F19</f>
        <v>0.0255178686129323</v>
      </c>
      <c r="D20" s="17" t="n">
        <f aca="false">IFERROR(AVERAGEIF('Pemetaan Variant'!$A$5:$A$32,$B20,'Pemetaan Variant'!$L$5:$L$32),"n/a")</f>
        <v>2800</v>
      </c>
      <c r="E20" s="7" t="n">
        <f aca="false">IFERROR(IF(ISNUMBER(D20),(D20-AVERAGEIF('Pemetaan Variant'!$A$5:$A$32,$B20,'Pemetaan Variant'!$D$5:$D$32))/AVERAGEIF('Pemetaan Variant'!$A$5:$A$32,$B20,'Pemetaan Variant'!$D$5:$D$32)*100,"n/a"),"n/a")</f>
        <v>0</v>
      </c>
      <c r="F20" s="7" t="n">
        <f aca="false">IFERROR(IF(ISNUMBER(E20),$C20*E20,"n/a"),"n/a")</f>
        <v>0</v>
      </c>
      <c r="G20" s="17" t="n">
        <f aca="false">IFERROR(AVERAGEIF('Pemetaan Variant'!$A$5:$A$32,$B20,'Pemetaan Variant'!$M$5:$M$32),"n/a")</f>
        <v>2800</v>
      </c>
      <c r="H20" s="7" t="n">
        <f aca="false">IFERROR(IF(ISNUMBER(G20),(G20-AVERAGEIF('Pemetaan Variant'!$A$5:$A$32,$B20,'Pemetaan Variant'!$D$5:$D$32))/AVERAGEIF('Pemetaan Variant'!$A$5:$A$32,$B20,'Pemetaan Variant'!$D$5:$D$32)*100,"n/a"),"n/a")</f>
        <v>0</v>
      </c>
      <c r="I20" s="7" t="n">
        <f aca="false">IFERROR(IF(ISNUMBER(H20),$C20*H20,"n/a"),"n/a")</f>
        <v>0</v>
      </c>
      <c r="J20" s="17" t="n">
        <f aca="false">IFERROR(AVERAGEIF('Pemetaan Variant'!$A$5:$A$32,$B20,'Pemetaan Variant'!$N$5:$N$32),"n/a")</f>
        <v>2800</v>
      </c>
      <c r="K20" s="7" t="n">
        <f aca="false">IFERROR(IF(ISNUMBER(J20),(J20-AVERAGEIF('Pemetaan Variant'!$A$5:$A$32,$B20,'Pemetaan Variant'!$D$5:$D$32))/AVERAGEIF('Pemetaan Variant'!$A$5:$A$32,$B20,'Pemetaan Variant'!$D$5:$D$32)*100,"n/a"),"n/a")</f>
        <v>0</v>
      </c>
      <c r="L20" s="7" t="n">
        <f aca="false">IFERROR(IF(ISNUMBER(K20),$C20*K20,"n/a"),"n/a")</f>
        <v>0</v>
      </c>
      <c r="M20" s="17" t="n">
        <f aca="false">IFERROR(AVERAGEIF('Pemetaan Variant'!$A$5:$A$32,$B20,'Pemetaan Variant'!$O$5:$O$32),"n/a")</f>
        <v>2800</v>
      </c>
      <c r="N20" s="7" t="n">
        <f aca="false">IFERROR(IF(ISNUMBER(M20),(M20-AVERAGEIF('Pemetaan Variant'!$A$5:$A$32,$B20,'Pemetaan Variant'!$D$5:$D$32))/AVERAGEIF('Pemetaan Variant'!$A$5:$A$32,$B20,'Pemetaan Variant'!$D$5:$D$32)*100,"n/a"),"n/a")</f>
        <v>0</v>
      </c>
      <c r="O20" s="7" t="n">
        <f aca="false">IFERROR(IF(ISNUMBER(N20),$C20*N20,"n/a"),"n/a")</f>
        <v>0</v>
      </c>
      <c r="P20" s="17" t="n">
        <f aca="false">IFERROR(AVERAGEIF('Pemetaan Variant'!$A$5:$A$32,$B20,'Pemetaan Variant'!$P$5:$P$32),"n/a")</f>
        <v>2800</v>
      </c>
      <c r="Q20" s="7" t="n">
        <f aca="false">IFERROR(IF(ISNUMBER(P20),(P20-AVERAGEIF('Pemetaan Variant'!$A$5:$A$32,$B20,'Pemetaan Variant'!$D$5:$D$32))/AVERAGEIF('Pemetaan Variant'!$A$5:$A$32,$B20,'Pemetaan Variant'!$D$5:$D$32)*100,"n/a"),"n/a")</f>
        <v>0</v>
      </c>
      <c r="R20" s="7" t="n">
        <f aca="false">IFERROR(IF(ISNUMBER(Q20),$C20*Q20,"n/a"),"n/a")</f>
        <v>0</v>
      </c>
      <c r="S20" s="17" t="n">
        <f aca="false">IFERROR(AVERAGEIF('Pemetaan Variant'!$A$5:$A$32,$B20,'Pemetaan Variant'!$Q$5:$Q$32),"n/a")</f>
        <v>2800</v>
      </c>
      <c r="T20" s="7" t="n">
        <f aca="false">IFERROR(IF(ISNUMBER(S20),(S20-AVERAGEIF('Pemetaan Variant'!$A$5:$A$32,$B20,'Pemetaan Variant'!$E$5:$E$32))/AVERAGEIF('Pemetaan Variant'!$A$5:$A$32,$B20,'Pemetaan Variant'!$E$5:$E$32)*100,"n/a"),"n/a")</f>
        <v>0</v>
      </c>
      <c r="U20" s="7" t="n">
        <f aca="false">IFERROR(IF(ISNUMBER(T20),$C20*T20,"n/a"),"n/a")</f>
        <v>0</v>
      </c>
      <c r="V20" s="17" t="n">
        <f aca="false">IFERROR(AVERAGEIF('Pemetaan Variant'!$A$5:$A$32,$B20,'Pemetaan Variant'!$R$5:$R$32),"n/a")</f>
        <v>2800</v>
      </c>
      <c r="W20" s="7" t="n">
        <f aca="false">IFERROR(IF(ISNUMBER(V20),(V20-AVERAGEIF('Pemetaan Variant'!$A$5:$A$32,$B20,'Pemetaan Variant'!$E$5:$E$32))/AVERAGEIF('Pemetaan Variant'!$A$5:$A$32,$B20,'Pemetaan Variant'!$E$5:$E$32)*100,"n/a"),"n/a")</f>
        <v>0</v>
      </c>
      <c r="X20" s="7" t="n">
        <f aca="false">IFERROR(IF(ISNUMBER(W20),$C20*W20,"n/a"),"n/a")</f>
        <v>0</v>
      </c>
      <c r="Y20" s="17" t="n">
        <f aca="false">IFERROR(AVERAGEIF('Pemetaan Variant'!$A$5:$A$32,$B20,'Pemetaan Variant'!$S$5:$S$32),"n/a")</f>
        <v>2800</v>
      </c>
      <c r="Z20" s="7" t="n">
        <f aca="false">IFERROR(IF(ISNUMBER(Y20),(Y20-AVERAGEIF('Pemetaan Variant'!$A$5:$A$32,$B20,'Pemetaan Variant'!$E$5:$E$32))/AVERAGEIF('Pemetaan Variant'!$A$5:$A$32,$B20,'Pemetaan Variant'!$E$5:$E$32)*100,"n/a"),"n/a")</f>
        <v>0</v>
      </c>
      <c r="AA20" s="7" t="n">
        <f aca="false">IFERROR(IF(ISNUMBER(Z20),$C20*Z20,"n/a"),"n/a")</f>
        <v>0</v>
      </c>
      <c r="AB20" s="17" t="n">
        <f aca="false">IFERROR(AVERAGEIF('Pemetaan Variant'!$A$5:$A$32,$B20,'Pemetaan Variant'!$T$5:$T$32),"n/a")</f>
        <v>2800</v>
      </c>
      <c r="AC20" s="7" t="n">
        <f aca="false">IFERROR(IF(ISNUMBER(AB20),(AB20-AVERAGEIF('Pemetaan Variant'!$A$5:$A$32,$B20,'Pemetaan Variant'!$E$5:$E$32))/AVERAGEIF('Pemetaan Variant'!$A$5:$A$32,$B20,'Pemetaan Variant'!$E$5:$E$32)*100,"n/a"),"n/a")</f>
        <v>0</v>
      </c>
      <c r="AD20" s="7" t="n">
        <f aca="false">IFERROR(IF(ISNUMBER(AC20),$C20*AC20,"n/a"),"n/a")</f>
        <v>0</v>
      </c>
      <c r="AE20" s="17" t="n">
        <f aca="false">IFERROR(AVERAGEIF('Pemetaan Variant'!$A$5:$A$32,$B20,'Pemetaan Variant'!$U$5:$U$32),"n/a")</f>
        <v>2800</v>
      </c>
      <c r="AF20" s="7" t="n">
        <f aca="false">IFERROR(IF(ISNUMBER(AE20),(AE20-AVERAGEIF('Pemetaan Variant'!$A$5:$A$32,$B20,'Pemetaan Variant'!$F$5:$F$32))/AVERAGEIF('Pemetaan Variant'!$A$5:$A$32,$B20,'Pemetaan Variant'!$F$5:$F$32)*100,"n/a"),"n/a")</f>
        <v>0</v>
      </c>
      <c r="AG20" s="7" t="n">
        <f aca="false">IFERROR(IF(ISNUMBER(AF20),$C20*AF20,"n/a"),"n/a")</f>
        <v>0</v>
      </c>
      <c r="AH20" s="17" t="n">
        <f aca="false">IFERROR(AVERAGEIF('Pemetaan Variant'!$A$5:$A$32,$B20,'Pemetaan Variant'!$V$5:$V$32),"n/a")</f>
        <v>2800</v>
      </c>
      <c r="AI20" s="7" t="n">
        <f aca="false">IFERROR(IF(ISNUMBER(AH20),(AH20-AVERAGEIF('Pemetaan Variant'!$A$5:$A$32,$B20,'Pemetaan Variant'!$F$5:$F$32))/AVERAGEIF('Pemetaan Variant'!$A$5:$A$32,$B20,'Pemetaan Variant'!$F$5:$F$32)*100,"n/a"),"n/a")</f>
        <v>0</v>
      </c>
      <c r="AJ20" s="7" t="n">
        <f aca="false">IFERROR(IF(ISNUMBER(AI20),$C20*AI20,"n/a"),"n/a")</f>
        <v>0</v>
      </c>
      <c r="AK20" s="17" t="n">
        <f aca="false">IFERROR(AVERAGEIF('Pemetaan Variant'!$A$5:$A$32,$B20,'Pemetaan Variant'!$W$5:$W$32),"n/a")</f>
        <v>2800</v>
      </c>
      <c r="AL20" s="7" t="n">
        <f aca="false">IFERROR(IF(ISNUMBER(AK20),(AK20-AVERAGEIF('Pemetaan Variant'!$A$5:$A$32,$B20,'Pemetaan Variant'!$F$5:$F$32))/AVERAGEIF('Pemetaan Variant'!$A$5:$A$32,$B20,'Pemetaan Variant'!$F$5:$F$32)*100,"n/a"),"n/a")</f>
        <v>0</v>
      </c>
      <c r="AM20" s="7" t="n">
        <f aca="false">IFERROR(IF(ISNUMBER(AL20),$C20*AL20,"n/a"),"n/a")</f>
        <v>0</v>
      </c>
      <c r="AN20" s="17" t="n">
        <f aca="false">IFERROR(AVERAGEIF('Pemetaan Variant'!$A$5:$A$32,$B20,'Pemetaan Variant'!$X$5:$X$32),"n/a")</f>
        <v>2800</v>
      </c>
      <c r="AO20" s="7" t="n">
        <f aca="false">IFERROR(IF(ISNUMBER(AN20),(AN20-AVERAGEIF('Pemetaan Variant'!$A$5:$A$32,$B20,'Pemetaan Variant'!$F$5:$F$32))/AVERAGEIF('Pemetaan Variant'!$A$5:$A$32,$B20,'Pemetaan Variant'!$F$5:$F$32)*100,"n/a"),"n/a")</f>
        <v>0</v>
      </c>
      <c r="AP20" s="7" t="n">
        <f aca="false">IFERROR(IF(ISNUMBER(AO20),$C20*AO20,"n/a"),"n/a")</f>
        <v>0</v>
      </c>
      <c r="AQ20" s="17" t="n">
        <f aca="false">IFERROR(AVERAGEIF('Pemetaan Variant'!$A$5:$A$32,$B20,'Pemetaan Variant'!$Y$5:$Y$32),"n/a")</f>
        <v>2800</v>
      </c>
      <c r="AR20" s="7" t="n">
        <f aca="false">IFERROR(IF(ISNUMBER(AQ20),(AQ20-AVERAGEIF('Pemetaan Variant'!$A$5:$A$32,$B20,'Pemetaan Variant'!$F$5:$F$32))/AVERAGEIF('Pemetaan Variant'!$A$5:$A$32,$B20,'Pemetaan Variant'!$F$5:$F$32)*100,"n/a"),"n/a")</f>
        <v>0</v>
      </c>
      <c r="AS20" s="7" t="n">
        <f aca="false">IFERROR(IF(ISNUMBER(AR20),$C20*AR20,"n/a"),"n/a")</f>
        <v>0</v>
      </c>
      <c r="AT20" s="17" t="n">
        <f aca="false">IFERROR(AVERAGEIF('Pemetaan Variant'!$A$5:$A$32,$B20,'Pemetaan Variant'!$Z$5:$Z$32),"n/a")</f>
        <v>2800</v>
      </c>
      <c r="AU20" s="7" t="n">
        <f aca="false">IFERROR(IF(ISNUMBER(AT20),(AT20-AVERAGEIF('Pemetaan Variant'!$A$5:$A$32,$B20,'Pemetaan Variant'!$G$5:$G$32))/AVERAGEIF('Pemetaan Variant'!$A$5:$A$32,$B20,'Pemetaan Variant'!$G$5:$G$32)*100,"n/a"),"n/a")</f>
        <v>0</v>
      </c>
      <c r="AV20" s="7" t="n">
        <f aca="false">IFERROR(IF(ISNUMBER(AU20),$C20*AU20,"n/a"),"n/a")</f>
        <v>0</v>
      </c>
      <c r="AW20" s="17" t="n">
        <f aca="false">IFERROR(AVERAGEIF('Pemetaan Variant'!$A$5:$A$32,$B20,'Pemetaan Variant'!$AA$5:$AA$32),"n/a")</f>
        <v>2800</v>
      </c>
      <c r="AX20" s="7" t="n">
        <f aca="false">IFERROR(IF(ISNUMBER(AW20),(AW20-AVERAGEIF('Pemetaan Variant'!$A$5:$A$32,$B20,'Pemetaan Variant'!$G$5:$G$32))/AVERAGEIF('Pemetaan Variant'!$A$5:$A$32,$B20,'Pemetaan Variant'!$G$5:$G$32)*100,"n/a"),"n/a")</f>
        <v>0</v>
      </c>
      <c r="AY20" s="7" t="n">
        <f aca="false">IFERROR(IF(ISNUMBER(AX20),$C20*AX20,"n/a"),"n/a")</f>
        <v>0</v>
      </c>
      <c r="AZ20" s="17" t="n">
        <f aca="false">IFERROR(AVERAGEIF('Pemetaan Variant'!$A$5:$A$32,$B20,'Pemetaan Variant'!$AB$5:$AB$32),"n/a")</f>
        <v>2800</v>
      </c>
      <c r="BA20" s="7" t="n">
        <f aca="false">IFERROR(IF(ISNUMBER(AZ20),(AZ20-AVERAGEIF('Pemetaan Variant'!$A$5:$A$32,$B20,'Pemetaan Variant'!$G$5:$G$32))/AVERAGEIF('Pemetaan Variant'!$A$5:$A$32,$B20,'Pemetaan Variant'!$G$5:$G$32)*100,"n/a"),"n/a")</f>
        <v>0</v>
      </c>
      <c r="BB20" s="7" t="n">
        <f aca="false">IFERROR(IF(ISNUMBER(BA20),$C20*BA20,"n/a"),"n/a")</f>
        <v>0</v>
      </c>
      <c r="BC20" s="17" t="n">
        <f aca="false">IFERROR(AVERAGEIF('Pemetaan Variant'!$A$5:$A$32,$B20,'Pemetaan Variant'!$AC$5:$AC$32),"n/a")</f>
        <v>2800</v>
      </c>
      <c r="BD20" s="7" t="n">
        <f aca="false">IFERROR(IF(ISNUMBER(BC20),(BC20-AVERAGEIF('Pemetaan Variant'!$A$5:$A$32,$B20,'Pemetaan Variant'!$G$5:$G$32))/AVERAGEIF('Pemetaan Variant'!$A$5:$A$32,$B20,'Pemetaan Variant'!$G$5:$G$32)*100,"n/a"),"n/a")</f>
        <v>0</v>
      </c>
      <c r="BE20" s="7" t="n">
        <f aca="false">IFERROR(IF(ISNUMBER(BD20),$C20*BD20,"n/a"),"n/a")</f>
        <v>0</v>
      </c>
      <c r="BF20" s="17" t="n">
        <f aca="false">IFERROR(AVERAGEIF('Pemetaan Variant'!$A$5:$A$32,$B20,'Pemetaan Variant'!$AD$5:$AD$32),"n/a")</f>
        <v>2800</v>
      </c>
      <c r="BG20" s="7" t="n">
        <f aca="false">IFERROR(IF(ISNUMBER(BF20),(BF20-AVERAGEIF('Pemetaan Variant'!$A$5:$A$32,$B20,'Pemetaan Variant'!$G$5:$G$32))/AVERAGEIF('Pemetaan Variant'!$A$5:$A$32,$B20,'Pemetaan Variant'!$G$5:$G$32)*100,"n/a"),"n/a")</f>
        <v>0</v>
      </c>
      <c r="BH20" s="7" t="n">
        <f aca="false">IFERROR(IF(ISNUMBER(BG20),$C20*BG20,"n/a"),"n/a")</f>
        <v>0</v>
      </c>
      <c r="BI20" s="17" t="str">
        <f aca="false">IFERROR(AVERAGEIF('Pemetaan Variant'!$A$5:$A$32,$B20,'Pemetaan Variant'!$AE$5:$AE$32),"n/a")</f>
        <v>n/a</v>
      </c>
      <c r="BJ20" s="7" t="str">
        <f aca="false">IFERROR(IF(ISNUMBER(BI20),(BI20-AVERAGEIF('Pemetaan Variant'!$A$5:$A$32,$B20,'Pemetaan Variant'!$H$5:$H$32))/AVERAGEIF('Pemetaan Variant'!$A$5:$A$32,$B20,'Pemetaan Variant'!$H$5:$H$32)*100,"n/a"),"n/a")</f>
        <v>n/a</v>
      </c>
      <c r="BK20" s="7" t="str">
        <f aca="false">IFERROR(IF(ISNUMBER(BJ20),$C20*BJ20,"n/a"),"n/a")</f>
        <v>n/a</v>
      </c>
      <c r="BL20" s="17" t="n">
        <f aca="false">IFERROR(AVERAGEIF('Pemetaan Variant'!$A$5:$A$32,$B20,'Pemetaan Variant'!$AF$5:$AF$32),"n/a")</f>
        <v>2800</v>
      </c>
      <c r="BM20" s="7" t="n">
        <f aca="false">IFERROR(IF(ISNUMBER(BL20),(BL20-AVERAGEIF('Pemetaan Variant'!$A$5:$A$32,$B20,'Pemetaan Variant'!$H$5:$H$32))/AVERAGEIF('Pemetaan Variant'!$A$5:$A$32,$B20,'Pemetaan Variant'!$H$5:$H$32)*100,"n/a"),"n/a")</f>
        <v>0</v>
      </c>
      <c r="BN20" s="7" t="n">
        <f aca="false">IFERROR(IF(ISNUMBER(BM20),$C20*BM20,"n/a"),"n/a")</f>
        <v>0</v>
      </c>
      <c r="BO20" s="17" t="n">
        <f aca="false">IFERROR(AVERAGEIF('Pemetaan Variant'!$A$5:$A$32,$B20,'Pemetaan Variant'!$AG$5:$AG$32),"n/a")</f>
        <v>2800</v>
      </c>
      <c r="BP20" s="7" t="n">
        <f aca="false">IFERROR(IF(ISNUMBER(BO20),(BO20-AVERAGEIF('Pemetaan Variant'!$A$5:$A$32,$B20,'Pemetaan Variant'!$H$5:$H$32))/AVERAGEIF('Pemetaan Variant'!$A$5:$A$32,$B20,'Pemetaan Variant'!$H$5:$H$32)*100,"n/a"),"n/a")</f>
        <v>0</v>
      </c>
      <c r="BQ20" s="7" t="n">
        <f aca="false">IFERROR(IF(ISNUMBER(BP20),$C20*BP20,"n/a"),"n/a")</f>
        <v>0</v>
      </c>
      <c r="BR20" s="17" t="n">
        <f aca="false">IFERROR(AVERAGEIF('Pemetaan Variant'!$A$5:$A$32,$B20,'Pemetaan Variant'!$AH$5:$AH$32),"n/a")</f>
        <v>2800</v>
      </c>
      <c r="BS20" s="7" t="n">
        <f aca="false">IFERROR(IF(ISNUMBER(BR20),(BR20-AVERAGEIF('Pemetaan Variant'!$A$5:$A$32,$B20,'Pemetaan Variant'!$H$5:$H$32))/AVERAGEIF('Pemetaan Variant'!$A$5:$A$32,$B20,'Pemetaan Variant'!$H$5:$H$32)*100,"n/a"),"n/a")</f>
        <v>0</v>
      </c>
      <c r="BT20" s="7" t="n">
        <f aca="false">IFERROR(IF(ISNUMBER(BS20),$C20*BS20,"n/a"),"n/a")</f>
        <v>0</v>
      </c>
      <c r="BU20" s="17" t="n">
        <f aca="false">IFERROR(AVERAGEIF('Pemetaan Variant'!$A$5:$A$32,$B20,'Pemetaan Variant'!$AI$5:$AI$32),"n/a")</f>
        <v>2800</v>
      </c>
      <c r="BV20" s="7" t="n">
        <f aca="false">IFERROR(IF(ISNUMBER(BU20),(BU20-AVERAGEIF('Pemetaan Variant'!$A$5:$A$32,$B20,'Pemetaan Variant'!$H$5:$H$32))/AVERAGEIF('Pemetaan Variant'!$A$5:$A$32,$B20,'Pemetaan Variant'!$H$5:$H$32)*100,"n/a"),"n/a")</f>
        <v>0</v>
      </c>
      <c r="BW20" s="7" t="n">
        <f aca="false">IFERROR(IF(ISNUMBER(BV20),$C20*BV20,"n/a"),"n/a")</f>
        <v>0</v>
      </c>
      <c r="BX20" s="17" t="n">
        <f aca="false">IFERROR(AVERAGEIF('Pemetaan Variant'!$A$5:$A$32,$B20,'Pemetaan Variant'!$AJ$5:$AJ$32),"n/a")</f>
        <v>2800</v>
      </c>
      <c r="BY20" s="7" t="n">
        <f aca="false">IFERROR(IF(ISNUMBER(BX20),(BX20-AVERAGEIF('Pemetaan Variant'!$A$5:$A$32,$B20,'Pemetaan Variant'!$I$5:$I$32))/AVERAGEIF('Pemetaan Variant'!$A$5:$A$32,$B20,'Pemetaan Variant'!$I$5:$I$32)*100,"n/a"),"n/a")</f>
        <v>0</v>
      </c>
      <c r="BZ20" s="7" t="n">
        <f aca="false">IFERROR(IF(ISNUMBER(BY20),$C20*BY20,"n/a"),"n/a")</f>
        <v>0</v>
      </c>
      <c r="CA20" s="17" t="n">
        <f aca="false">IFERROR(AVERAGEIF('Pemetaan Variant'!$A$5:$A$32,$B20,'Pemetaan Variant'!$AK$5:$AK$32),"n/a")</f>
        <v>2800</v>
      </c>
      <c r="CB20" s="7" t="n">
        <f aca="false">IFERROR(IF(ISNUMBER(CA20),(CA20-AVERAGEIF('Pemetaan Variant'!$A$5:$A$32,$B20,'Pemetaan Variant'!$I$5:$I$32))/AVERAGEIF('Pemetaan Variant'!$A$5:$A$32,$B20,'Pemetaan Variant'!$I$5:$I$32)*100,"n/a"),"n/a")</f>
        <v>0</v>
      </c>
      <c r="CC20" s="7" t="n">
        <f aca="false">IFERROR(IF(ISNUMBER(CB20),$C20*CB20,"n/a"),"n/a")</f>
        <v>0</v>
      </c>
      <c r="CD20" s="17" t="n">
        <f aca="false">IFERROR(AVERAGEIF('Pemetaan Variant'!$A$5:$A$32,$B20,'Pemetaan Variant'!$AL$5:$AL$32),"n/a")</f>
        <v>2800</v>
      </c>
      <c r="CE20" s="7" t="n">
        <f aca="false">IFERROR(IF(ISNUMBER(CD20),(CD20-AVERAGEIF('Pemetaan Variant'!$A$5:$A$32,$B20,'Pemetaan Variant'!$I$5:$I$32))/AVERAGEIF('Pemetaan Variant'!$A$5:$A$32,$B20,'Pemetaan Variant'!$I$5:$I$32)*100,"n/a"),"n/a")</f>
        <v>0</v>
      </c>
      <c r="CF20" s="7" t="n">
        <f aca="false">IFERROR(IF(ISNUMBER(CE20),$C20*CE20,"n/a"),"n/a")</f>
        <v>0</v>
      </c>
      <c r="CG20" s="17" t="n">
        <f aca="false">IFERROR(AVERAGEIF('Pemetaan Variant'!$A$5:$A$32,$B20,'Pemetaan Variant'!$AM$5:$AM$32),"n/a")</f>
        <v>2800</v>
      </c>
      <c r="CH20" s="7" t="n">
        <f aca="false">IFERROR(IF(ISNUMBER(CG20),(CG20-AVERAGEIF('Pemetaan Variant'!$A$5:$A$32,$B20,'Pemetaan Variant'!$I$5:$I$32))/AVERAGEIF('Pemetaan Variant'!$A$5:$A$32,$B20,'Pemetaan Variant'!$I$5:$I$32)*100,"n/a"),"n/a")</f>
        <v>0</v>
      </c>
      <c r="CI20" s="7" t="n">
        <f aca="false">IFERROR(IF(ISNUMBER(CH20),$C20*CH20,"n/a"),"n/a")</f>
        <v>0</v>
      </c>
      <c r="CJ20" s="17" t="n">
        <f aca="false">IFERROR(AVERAGEIF('Pemetaan Variant'!$A$5:$A$32,$B20,'Pemetaan Variant'!$AN$5:$AN$32),"n/a")</f>
        <v>2800</v>
      </c>
      <c r="CK20" s="7" t="n">
        <f aca="false">IFERROR(IF(ISNUMBER(CJ20),(CJ20-AVERAGEIF('Pemetaan Variant'!$A$5:$A$32,$B20,'Pemetaan Variant'!$I$5:$I$32))/AVERAGEIF('Pemetaan Variant'!$A$5:$A$32,$B20,'Pemetaan Variant'!$I$5:$I$32)*100,"n/a"),"n/a")</f>
        <v>0</v>
      </c>
      <c r="CL20" s="7" t="n">
        <f aca="false">IFERROR(IF(ISNUMBER(CK20),$C20*CK20,"n/a"),"n/a")</f>
        <v>0</v>
      </c>
      <c r="CM20" s="17" t="n">
        <f aca="false">IFERROR(AVERAGEIF('Pemetaan Variant'!$A$5:$A$32,$B20,'Pemetaan Variant'!$AO$5:$AO$32),"n/a")</f>
        <v>2800</v>
      </c>
      <c r="CN20" s="7" t="n">
        <f aca="false">IFERROR(IF(ISNUMBER(CM20),(CM20-AVERAGEIF('Pemetaan Variant'!$A$5:$A$32,$B20,'Pemetaan Variant'!$J$5:$J$32))/AVERAGEIF('Pemetaan Variant'!$A$5:$A$32,$B20,'Pemetaan Variant'!$J$5:$J$32)*100,"n/a"),"n/a")</f>
        <v>0</v>
      </c>
      <c r="CO20" s="7" t="n">
        <f aca="false">IFERROR(IF(ISNUMBER(CN20),$C20*CN20,"n/a"),"n/a")</f>
        <v>0</v>
      </c>
      <c r="CP20" s="17" t="n">
        <f aca="false">IFERROR(AVERAGEIF('Pemetaan Variant'!$A$5:$A$32,$B20,'Pemetaan Variant'!$AP$5:$AP$32),"n/a")</f>
        <v>2800</v>
      </c>
      <c r="CQ20" s="7" t="n">
        <f aca="false">IFERROR(IF(ISNUMBER(CP20),(CP20-AVERAGEIF('Pemetaan Variant'!$A$5:$A$32,$B20,'Pemetaan Variant'!$J$5:$J$32))/AVERAGEIF('Pemetaan Variant'!$A$5:$A$32,$B20,'Pemetaan Variant'!$J$5:$J$32)*100,"n/a"),"n/a")</f>
        <v>0</v>
      </c>
      <c r="CR20" s="7" t="n">
        <f aca="false">IFERROR(IF(ISNUMBER(CQ20),$C20*CQ20,"n/a"),"n/a")</f>
        <v>0</v>
      </c>
      <c r="CS20" s="17" t="n">
        <f aca="false">IFERROR(AVERAGEIF('Pemetaan Variant'!$A$5:$A$32,$B20,'Pemetaan Variant'!$AQ$5:$AQ$32),"n/a")</f>
        <v>2800</v>
      </c>
      <c r="CT20" s="7" t="n">
        <f aca="false">IFERROR(IF(ISNUMBER(CS20),(CS20-AVERAGEIF('Pemetaan Variant'!$A$5:$A$32,$B20,'Pemetaan Variant'!$J$5:$J$32))/AVERAGEIF('Pemetaan Variant'!$A$5:$A$32,$B20,'Pemetaan Variant'!$J$5:$J$32)*100,"n/a"),"n/a")</f>
        <v>0</v>
      </c>
      <c r="CU20" s="7" t="n">
        <f aca="false">IFERROR(IF(ISNUMBER(CT20),$C20*CT20,"n/a"),"n/a")</f>
        <v>0</v>
      </c>
      <c r="CV20" s="17" t="n">
        <f aca="false">IFERROR(AVERAGEIF('Pemetaan Variant'!$A$5:$A$32,$B20,'Pemetaan Variant'!$AR$5:$AR$32),"n/a")</f>
        <v>2800</v>
      </c>
      <c r="CW20" s="7" t="n">
        <f aca="false">IFERROR(IF(ISNUMBER(CV20),(CV20-AVERAGEIF('Pemetaan Variant'!$A$5:$A$32,$B20,'Pemetaan Variant'!$J$5:$J$32))/AVERAGEIF('Pemetaan Variant'!$A$5:$A$32,$B20,'Pemetaan Variant'!$J$5:$J$32)*100,"n/a"),"n/a")</f>
        <v>0</v>
      </c>
      <c r="CX20" s="7" t="n">
        <f aca="false">IFERROR(IF(ISNUMBER(CW20),$C20*CW20,"n/a"),"n/a")</f>
        <v>0</v>
      </c>
      <c r="CY20" s="17" t="n">
        <f aca="false">IFERROR(AVERAGEIF('Pemetaan Variant'!$A$5:$A$32,$B20,'Pemetaan Variant'!$AS$5:$AS$32),"n/a")</f>
        <v>2800</v>
      </c>
      <c r="CZ20" s="7" t="n">
        <f aca="false">IFERROR(IF(ISNUMBER(CY20),(CY20-AVERAGEIF('Pemetaan Variant'!$A$5:$A$32,$B20,'Pemetaan Variant'!$J$5:$J$32))/AVERAGEIF('Pemetaan Variant'!$A$5:$A$32,$B20,'Pemetaan Variant'!$J$5:$J$32)*100,"n/a"),"n/a")</f>
        <v>0</v>
      </c>
      <c r="DA20" s="7" t="n">
        <f aca="false">IFERROR(IF(ISNUMBER(CZ20),$C20*CZ20,"n/a"),"n/a")</f>
        <v>0</v>
      </c>
      <c r="DB20" s="17" t="n">
        <f aca="false">IFERROR(AVERAGEIF('Pemetaan Variant'!$A$5:$A$32,$B20,'Pemetaan Variant'!$AT$5:$AT$32),"n/a")</f>
        <v>2800</v>
      </c>
      <c r="DC20" s="7" t="n">
        <f aca="false">IFERROR(IF(ISNUMBER(DB20),(DB20-AVERAGEIF('Pemetaan Variant'!$A$5:$A$32,$B20,'Pemetaan Variant'!$K$5:$K$32))/AVERAGEIF('Pemetaan Variant'!$A$5:$A$32,$B20,'Pemetaan Variant'!$K$5:$K$32)*100,"n/a"),"n/a")</f>
        <v>0</v>
      </c>
      <c r="DD20" s="7" t="n">
        <f aca="false">IFERROR(IF(ISNUMBER(DC20),$C20*DC20,"n/a"),"n/a")</f>
        <v>0</v>
      </c>
      <c r="DE20" s="17" t="n">
        <f aca="false">IFERROR(AVERAGEIF('Pemetaan Variant'!$A$5:$A$32,$B20,'Pemetaan Variant'!$AU$5:$AU$32),"n/a")</f>
        <v>2800</v>
      </c>
      <c r="DF20" s="7" t="n">
        <f aca="false">IFERROR(IF(ISNUMBER(DE20),(DE20-AVERAGEIF('Pemetaan Variant'!$A$5:$A$32,$B20,'Pemetaan Variant'!$K$5:$K$32))/AVERAGEIF('Pemetaan Variant'!$A$5:$A$32,$B20,'Pemetaan Variant'!$K$5:$K$32)*100,"n/a"),"n/a")</f>
        <v>0</v>
      </c>
      <c r="DG20" s="7" t="n">
        <f aca="false">IFERROR(IF(ISNUMBER(DF20),$C20*DF20,"n/a"),"n/a")</f>
        <v>0</v>
      </c>
      <c r="DH20" s="17" t="n">
        <f aca="false">IFERROR(AVERAGEIF('Pemetaan Variant'!$A$5:$A$32,$B20,'Pemetaan Variant'!$AV$5:$AV$32),"n/a")</f>
        <v>2800</v>
      </c>
      <c r="DI20" s="7" t="n">
        <f aca="false">IFERROR(IF(ISNUMBER(DH20),(DH20-AVERAGEIF('Pemetaan Variant'!$A$5:$A$32,$B20,'Pemetaan Variant'!$K$5:$K$32))/AVERAGEIF('Pemetaan Variant'!$A$5:$A$32,$B20,'Pemetaan Variant'!$K$5:$K$32)*100,"n/a"),"n/a")</f>
        <v>0</v>
      </c>
      <c r="DJ20" s="7" t="n">
        <f aca="false">IFERROR(IF(ISNUMBER(DI20),$C20*DI20,"n/a"),"n/a")</f>
        <v>0</v>
      </c>
      <c r="DK20" s="17" t="n">
        <f aca="false">IFERROR(AVERAGEIF('Pemetaan Variant'!$A$5:$A$32,$B20,'Pemetaan Variant'!$AW$5:$AW$32),"n/a")</f>
        <v>2800</v>
      </c>
      <c r="DL20" s="7" t="n">
        <f aca="false">IFERROR(IF(ISNUMBER(DK20),(DK20-AVERAGEIF('Pemetaan Variant'!$A$5:$A$32,$B20,'Pemetaan Variant'!$K$5:$K$32))/AVERAGEIF('Pemetaan Variant'!$A$5:$A$32,$B20,'Pemetaan Variant'!$K$5:$K$32)*100,"n/a"),"n/a")</f>
        <v>0</v>
      </c>
      <c r="DM20" s="7" t="n">
        <f aca="false">IFERROR(IF(ISNUMBER(DL20),$C20*DL20,"n/a"),"n/a")</f>
        <v>0</v>
      </c>
      <c r="DN20" s="17" t="str">
        <f aca="false">IFERROR(AVERAGEIF('Pemetaan Variant'!$A$5:$A$32,$B20,'Pemetaan Variant'!$AX$5:$AX$32),"n/a")</f>
        <v>n/a</v>
      </c>
      <c r="DO20" s="7" t="str">
        <f aca="false">IFERROR(IF(ISNUMBER(DN20),(DN20-AVERAGEIF('Pemetaan Variant'!$A$5:$A$32,$B20,'Pemetaan Variant'!$K$5:$K$32))/AVERAGEIF('Pemetaan Variant'!$A$5:$A$32,$B20,'Pemetaan Variant'!$K$5:$K$32)*100,"n/a"),"n/a")</f>
        <v>n/a</v>
      </c>
      <c r="DP20" s="7" t="str">
        <f aca="false">IFERROR(IF(ISNUMBER(DO20),$C20*DO20,"n/a"),"n/a")</f>
        <v>n/a</v>
      </c>
      <c r="DQ20" s="18" t="n">
        <f aca="false">IFERROR(AVERAGEIF('Pemetaan Variant'!$A$5:$A$32,$B20,'Pemetaan Variant'!$AZ$5:$AZ$32),"n/a")</f>
        <v>2800</v>
      </c>
      <c r="DR20" s="11" t="n">
        <f aca="false">IFERROR(IF(ISNUMBER(DQ20),(DQ20-AVERAGEIF('Pemetaan Variant'!$A$5:$A$32,$B20,'Pemetaan Variant'!$AY$5:$AY$32))/AVERAGEIF('Pemetaan Variant'!$A$5:$A$32,$B20,'Pemetaan Variant'!$AY$5:$AY$32)*100,"n/a"),"n/a")</f>
        <v>0</v>
      </c>
      <c r="DS20" s="11" t="n">
        <f aca="false">IFERROR(IF(ISNUMBER(DR20),$C20*DR20,"n/a"),"n/a")</f>
        <v>0</v>
      </c>
      <c r="DT20" s="18" t="str">
        <f aca="false">IFERROR(AVERAGEIF('Pemetaan Variant'!$A$5:$A$32,$B20,'Pemetaan Variant'!$BA$5:$BA$32),"n/a")</f>
        <v>n/a</v>
      </c>
      <c r="DU20" s="11" t="str">
        <f aca="false">IFERROR(IF(ISNUMBER(DT20),(DT20-AVERAGEIF('Pemetaan Variant'!$A$5:$A$32,$B20,'Pemetaan Variant'!$AY$5:$AY$32))/AVERAGEIF('Pemetaan Variant'!$A$5:$A$32,$B20,'Pemetaan Variant'!$AY$5:$AY$32)*100,"n/a"),"n/a")</f>
        <v>n/a</v>
      </c>
      <c r="DV20" s="11" t="str">
        <f aca="false">IFERROR(IF(ISNUMBER(DU20),$C20*DU20,"n/a"),"n/a")</f>
        <v>n/a</v>
      </c>
      <c r="DW20" s="18" t="str">
        <f aca="false">IFERROR(AVERAGEIF('Pemetaan Variant'!$A$5:$A$32,$B20,'Pemetaan Variant'!$BB$5:$BB$32),"n/a")</f>
        <v>n/a</v>
      </c>
      <c r="DX20" s="11" t="str">
        <f aca="false">IFERROR(IF(ISNUMBER(DW20),(DW20-AVERAGEIF('Pemetaan Variant'!$A$5:$A$32,$B20,'Pemetaan Variant'!$AY$5:$AY$32))/AVERAGEIF('Pemetaan Variant'!$A$5:$A$32,$B20,'Pemetaan Variant'!$AY$5:$AY$32)*100,"n/a"),"n/a")</f>
        <v>n/a</v>
      </c>
      <c r="DY20" s="11" t="str">
        <f aca="false">IFERROR(IF(ISNUMBER(DX20),$C20*DX20,"n/a"),"n/a")</f>
        <v>n/a</v>
      </c>
      <c r="DZ20" s="18" t="str">
        <f aca="false">IFERROR(AVERAGEIF('Pemetaan Variant'!$A$5:$A$32,$B20,'Pemetaan Variant'!$BC$5:$BC$32),"n/a")</f>
        <v>n/a</v>
      </c>
      <c r="EA20" s="11" t="str">
        <f aca="false">IFERROR(IF(ISNUMBER(DZ20),(DZ20-AVERAGEIF('Pemetaan Variant'!$A$5:$A$32,$B20,'Pemetaan Variant'!$AY$5:$AY$32))/AVERAGEIF('Pemetaan Variant'!$A$5:$A$32,$B20,'Pemetaan Variant'!$AY$5:$AY$32)*100,"n/a"),"n/a")</f>
        <v>n/a</v>
      </c>
      <c r="EB20" s="11" t="str">
        <f aca="false">IFERROR(IF(ISNUMBER(EA20),$C20*EA20,"n/a"),"n/a")</f>
        <v>n/a</v>
      </c>
      <c r="EC20" s="18" t="str">
        <f aca="false">IFERROR(AVERAGEIF('Pemetaan Variant'!$A$5:$A$32,$B20,'Pemetaan Variant'!$BD$5:$BD$32),"n/a")</f>
        <v>n/a</v>
      </c>
      <c r="ED20" s="11" t="str">
        <f aca="false">IFERROR(IF(ISNUMBER(EC20),(EC20-AVERAGEIF('Pemetaan Variant'!$A$5:$A$32,$B20,'Pemetaan Variant'!$AY$5:$AY$32))/AVERAGEIF('Pemetaan Variant'!$A$5:$A$32,$B20,'Pemetaan Variant'!$AY$5:$AY$32)*100,"n/a"),"n/a")</f>
        <v>n/a</v>
      </c>
      <c r="EE20" s="11" t="str">
        <f aca="false">IFERROR(IF(ISNUMBER(ED20),$C20*ED20,"n/a"),"n/a")</f>
        <v>n/a</v>
      </c>
      <c r="EG20" s="11" t="n">
        <f aca="false">IFERROR(ABS(F20),0)</f>
        <v>0</v>
      </c>
      <c r="EH20" s="11" t="n">
        <f aca="false">IFERROR(ABS(I20),0)</f>
        <v>0</v>
      </c>
      <c r="EI20" s="11" t="n">
        <f aca="false">IFERROR(ABS(L20),0)</f>
        <v>0</v>
      </c>
      <c r="EJ20" s="11" t="n">
        <f aca="false">IFERROR(ABS(O20),0)</f>
        <v>0</v>
      </c>
      <c r="EK20" s="11" t="n">
        <f aca="false">IFERROR(ABS(R20),0)</f>
        <v>0</v>
      </c>
      <c r="EL20" s="11" t="n">
        <f aca="false">IFERROR(ABS(U20),0)</f>
        <v>0</v>
      </c>
      <c r="EM20" s="11" t="n">
        <f aca="false">IFERROR(ABS(X20),0)</f>
        <v>0</v>
      </c>
      <c r="EN20" s="11" t="n">
        <f aca="false">IFERROR(ABS(AA20),0)</f>
        <v>0</v>
      </c>
      <c r="EO20" s="11" t="n">
        <f aca="false">IFERROR(ABS(AD20),0)</f>
        <v>0</v>
      </c>
      <c r="EP20" s="11" t="n">
        <f aca="false">IFERROR(ABS(AG20),0)</f>
        <v>0</v>
      </c>
      <c r="EQ20" s="11" t="n">
        <f aca="false">IFERROR(ABS(AJ20),0)</f>
        <v>0</v>
      </c>
      <c r="ER20" s="11" t="n">
        <f aca="false">IFERROR(ABS(AM20),0)</f>
        <v>0</v>
      </c>
      <c r="ES20" s="11" t="n">
        <f aca="false">IFERROR(ABS(AP20),0)</f>
        <v>0</v>
      </c>
      <c r="ET20" s="11" t="n">
        <f aca="false">IFERROR(ABS(AS20),0)</f>
        <v>0</v>
      </c>
      <c r="EU20" s="11" t="n">
        <f aca="false">IFERROR(ABS(AV20),0)</f>
        <v>0</v>
      </c>
      <c r="EV20" s="11" t="n">
        <f aca="false">IFERROR(ABS(AY20),0)</f>
        <v>0</v>
      </c>
      <c r="EW20" s="11" t="n">
        <f aca="false">IFERROR(ABS(BB20),0)</f>
        <v>0</v>
      </c>
      <c r="EX20" s="11" t="n">
        <f aca="false">IFERROR(ABS(BE20),0)</f>
        <v>0</v>
      </c>
      <c r="EY20" s="11" t="n">
        <f aca="false">IFERROR(ABS(BH20),0)</f>
        <v>0</v>
      </c>
      <c r="EZ20" s="11" t="n">
        <f aca="false">IFERROR(ABS(BK20),0)</f>
        <v>0</v>
      </c>
      <c r="FA20" s="11" t="n">
        <f aca="false">IFERROR(ABS(BN20),0)</f>
        <v>0</v>
      </c>
      <c r="FB20" s="11" t="n">
        <f aca="false">IFERROR(ABS(BQ20),0)</f>
        <v>0</v>
      </c>
      <c r="FC20" s="11" t="n">
        <f aca="false">IFERROR(ABS(BT20),0)</f>
        <v>0</v>
      </c>
      <c r="FD20" s="11" t="n">
        <f aca="false">IFERROR(ABS(BW20),0)</f>
        <v>0</v>
      </c>
      <c r="FE20" s="11" t="n">
        <f aca="false">IFERROR(ABS(BZ20),0)</f>
        <v>0</v>
      </c>
      <c r="FF20" s="11" t="n">
        <f aca="false">IFERROR(ABS(CC20),0)</f>
        <v>0</v>
      </c>
      <c r="FG20" s="11" t="n">
        <f aca="false">IFERROR(ABS(CF20),0)</f>
        <v>0</v>
      </c>
      <c r="FH20" s="11" t="n">
        <f aca="false">IFERROR(ABS(CI20),0)</f>
        <v>0</v>
      </c>
      <c r="FI20" s="11" t="n">
        <f aca="false">IFERROR(ABS(CL20),0)</f>
        <v>0</v>
      </c>
      <c r="FJ20" s="11" t="n">
        <f aca="false">IFERROR(ABS(CO20),0)</f>
        <v>0</v>
      </c>
      <c r="FK20" s="11" t="n">
        <f aca="false">IFERROR(ABS(CR20),0)</f>
        <v>0</v>
      </c>
      <c r="FL20" s="11" t="n">
        <f aca="false">IFERROR(ABS(CU20),0)</f>
        <v>0</v>
      </c>
      <c r="FM20" s="11" t="n">
        <f aca="false">IFERROR(ABS(CX20),0)</f>
        <v>0</v>
      </c>
      <c r="FN20" s="11" t="n">
        <f aca="false">IFERROR(ABS(DA20),0)</f>
        <v>0</v>
      </c>
      <c r="FO20" s="11" t="n">
        <f aca="false">IFERROR(ABS(DD20),0)</f>
        <v>0</v>
      </c>
      <c r="FP20" s="11" t="n">
        <f aca="false">IFERROR(ABS(DG20),0)</f>
        <v>0</v>
      </c>
      <c r="FQ20" s="11" t="n">
        <f aca="false">IFERROR(ABS(DJ20),0)</f>
        <v>0</v>
      </c>
      <c r="FR20" s="11" t="n">
        <f aca="false">IFERROR(ABS(DM20),0)</f>
        <v>0</v>
      </c>
      <c r="FS20" s="11" t="n">
        <f aca="false">IFERROR(ABS(DP20),0)</f>
        <v>0</v>
      </c>
      <c r="FT20" s="11" t="n">
        <f aca="false">IFERROR(ABS(DS20),0)</f>
        <v>0</v>
      </c>
      <c r="FU20" s="11" t="n">
        <f aca="false">IFERROR(ABS(DV20),0)</f>
        <v>0</v>
      </c>
      <c r="FV20" s="11" t="n">
        <f aca="false">IFERROR(ABS(DY20),0)</f>
        <v>0</v>
      </c>
      <c r="FW20" s="11" t="n">
        <f aca="false">IFERROR(ABS(EB20),0)</f>
        <v>0</v>
      </c>
      <c r="FX20" s="11" t="n">
        <f aca="false">IFERROR(ABS(EE20),0)</f>
        <v>0</v>
      </c>
    </row>
    <row r="21" customFormat="false" ht="12.75" hidden="false" customHeight="true" outlineLevel="0" collapsed="false">
      <c r="A21" s="5" t="n">
        <v>16</v>
      </c>
      <c r="B21" s="6" t="s">
        <v>205</v>
      </c>
      <c r="C21" s="7" t="n">
        <f aca="false">'P0Q0 Dasar 2022'!F20</f>
        <v>0.184613466503293</v>
      </c>
      <c r="D21" s="17" t="n">
        <f aca="false">IFERROR(AVERAGEIF('Pemetaan Variant'!$A$5:$A$32,$B21,'Pemetaan Variant'!$L$5:$L$32),"n/a")</f>
        <v>10500</v>
      </c>
      <c r="E21" s="7" t="n">
        <f aca="false">IFERROR(IF(ISNUMBER(D21),(D21-AVERAGEIF('Pemetaan Variant'!$A$5:$A$32,$B21,'Pemetaan Variant'!$D$5:$D$32))/AVERAGEIF('Pemetaan Variant'!$A$5:$A$32,$B21,'Pemetaan Variant'!$D$5:$D$32)*100,"n/a"),"n/a")</f>
        <v>0</v>
      </c>
      <c r="F21" s="7" t="n">
        <f aca="false">IFERROR(IF(ISNUMBER(E21),$C21*E21,"n/a"),"n/a")</f>
        <v>0</v>
      </c>
      <c r="G21" s="17" t="n">
        <f aca="false">IFERROR(AVERAGEIF('Pemetaan Variant'!$A$5:$A$32,$B21,'Pemetaan Variant'!$M$5:$M$32),"n/a")</f>
        <v>10500</v>
      </c>
      <c r="H21" s="7" t="n">
        <f aca="false">IFERROR(IF(ISNUMBER(G21),(G21-AVERAGEIF('Pemetaan Variant'!$A$5:$A$32,$B21,'Pemetaan Variant'!$D$5:$D$32))/AVERAGEIF('Pemetaan Variant'!$A$5:$A$32,$B21,'Pemetaan Variant'!$D$5:$D$32)*100,"n/a"),"n/a")</f>
        <v>0</v>
      </c>
      <c r="I21" s="7" t="n">
        <f aca="false">IFERROR(IF(ISNUMBER(H21),$C21*H21,"n/a"),"n/a")</f>
        <v>0</v>
      </c>
      <c r="J21" s="17" t="n">
        <f aca="false">IFERROR(AVERAGEIF('Pemetaan Variant'!$A$5:$A$32,$B21,'Pemetaan Variant'!$N$5:$N$32),"n/a")</f>
        <v>10500</v>
      </c>
      <c r="K21" s="7" t="n">
        <f aca="false">IFERROR(IF(ISNUMBER(J21),(J21-AVERAGEIF('Pemetaan Variant'!$A$5:$A$32,$B21,'Pemetaan Variant'!$D$5:$D$32))/AVERAGEIF('Pemetaan Variant'!$A$5:$A$32,$B21,'Pemetaan Variant'!$D$5:$D$32)*100,"n/a"),"n/a")</f>
        <v>0</v>
      </c>
      <c r="L21" s="7" t="n">
        <f aca="false">IFERROR(IF(ISNUMBER(K21),$C21*K21,"n/a"),"n/a")</f>
        <v>0</v>
      </c>
      <c r="M21" s="17" t="n">
        <f aca="false">IFERROR(AVERAGEIF('Pemetaan Variant'!$A$5:$A$32,$B21,'Pemetaan Variant'!$O$5:$O$32),"n/a")</f>
        <v>10500</v>
      </c>
      <c r="N21" s="7" t="n">
        <f aca="false">IFERROR(IF(ISNUMBER(M21),(M21-AVERAGEIF('Pemetaan Variant'!$A$5:$A$32,$B21,'Pemetaan Variant'!$D$5:$D$32))/AVERAGEIF('Pemetaan Variant'!$A$5:$A$32,$B21,'Pemetaan Variant'!$D$5:$D$32)*100,"n/a"),"n/a")</f>
        <v>0</v>
      </c>
      <c r="O21" s="7" t="n">
        <f aca="false">IFERROR(IF(ISNUMBER(N21),$C21*N21,"n/a"),"n/a")</f>
        <v>0</v>
      </c>
      <c r="P21" s="17" t="n">
        <f aca="false">IFERROR(AVERAGEIF('Pemetaan Variant'!$A$5:$A$32,$B21,'Pemetaan Variant'!$P$5:$P$32),"n/a")</f>
        <v>10500</v>
      </c>
      <c r="Q21" s="7" t="n">
        <f aca="false">IFERROR(IF(ISNUMBER(P21),(P21-AVERAGEIF('Pemetaan Variant'!$A$5:$A$32,$B21,'Pemetaan Variant'!$D$5:$D$32))/AVERAGEIF('Pemetaan Variant'!$A$5:$A$32,$B21,'Pemetaan Variant'!$D$5:$D$32)*100,"n/a"),"n/a")</f>
        <v>0</v>
      </c>
      <c r="R21" s="7" t="n">
        <f aca="false">IFERROR(IF(ISNUMBER(Q21),$C21*Q21,"n/a"),"n/a")</f>
        <v>0</v>
      </c>
      <c r="S21" s="17" t="n">
        <f aca="false">IFERROR(AVERAGEIF('Pemetaan Variant'!$A$5:$A$32,$B21,'Pemetaan Variant'!$Q$5:$Q$32),"n/a")</f>
        <v>10500</v>
      </c>
      <c r="T21" s="7" t="n">
        <f aca="false">IFERROR(IF(ISNUMBER(S21),(S21-AVERAGEIF('Pemetaan Variant'!$A$5:$A$32,$B21,'Pemetaan Variant'!$E$5:$E$32))/AVERAGEIF('Pemetaan Variant'!$A$5:$A$32,$B21,'Pemetaan Variant'!$E$5:$E$32)*100,"n/a"),"n/a")</f>
        <v>0</v>
      </c>
      <c r="U21" s="7" t="n">
        <f aca="false">IFERROR(IF(ISNUMBER(T21),$C21*T21,"n/a"),"n/a")</f>
        <v>0</v>
      </c>
      <c r="V21" s="17" t="n">
        <f aca="false">IFERROR(AVERAGEIF('Pemetaan Variant'!$A$5:$A$32,$B21,'Pemetaan Variant'!$R$5:$R$32),"n/a")</f>
        <v>10500</v>
      </c>
      <c r="W21" s="7" t="n">
        <f aca="false">IFERROR(IF(ISNUMBER(V21),(V21-AVERAGEIF('Pemetaan Variant'!$A$5:$A$32,$B21,'Pemetaan Variant'!$E$5:$E$32))/AVERAGEIF('Pemetaan Variant'!$A$5:$A$32,$B21,'Pemetaan Variant'!$E$5:$E$32)*100,"n/a"),"n/a")</f>
        <v>0</v>
      </c>
      <c r="X21" s="7" t="n">
        <f aca="false">IFERROR(IF(ISNUMBER(W21),$C21*W21,"n/a"),"n/a")</f>
        <v>0</v>
      </c>
      <c r="Y21" s="17" t="n">
        <f aca="false">IFERROR(AVERAGEIF('Pemetaan Variant'!$A$5:$A$32,$B21,'Pemetaan Variant'!$S$5:$S$32),"n/a")</f>
        <v>10500</v>
      </c>
      <c r="Z21" s="7" t="n">
        <f aca="false">IFERROR(IF(ISNUMBER(Y21),(Y21-AVERAGEIF('Pemetaan Variant'!$A$5:$A$32,$B21,'Pemetaan Variant'!$E$5:$E$32))/AVERAGEIF('Pemetaan Variant'!$A$5:$A$32,$B21,'Pemetaan Variant'!$E$5:$E$32)*100,"n/a"),"n/a")</f>
        <v>0</v>
      </c>
      <c r="AA21" s="7" t="n">
        <f aca="false">IFERROR(IF(ISNUMBER(Z21),$C21*Z21,"n/a"),"n/a")</f>
        <v>0</v>
      </c>
      <c r="AB21" s="17" t="n">
        <f aca="false">IFERROR(AVERAGEIF('Pemetaan Variant'!$A$5:$A$32,$B21,'Pemetaan Variant'!$T$5:$T$32),"n/a")</f>
        <v>10500</v>
      </c>
      <c r="AC21" s="7" t="n">
        <f aca="false">IFERROR(IF(ISNUMBER(AB21),(AB21-AVERAGEIF('Pemetaan Variant'!$A$5:$A$32,$B21,'Pemetaan Variant'!$E$5:$E$32))/AVERAGEIF('Pemetaan Variant'!$A$5:$A$32,$B21,'Pemetaan Variant'!$E$5:$E$32)*100,"n/a"),"n/a")</f>
        <v>0</v>
      </c>
      <c r="AD21" s="7" t="n">
        <f aca="false">IFERROR(IF(ISNUMBER(AC21),$C21*AC21,"n/a"),"n/a")</f>
        <v>0</v>
      </c>
      <c r="AE21" s="17" t="n">
        <f aca="false">IFERROR(AVERAGEIF('Pemetaan Variant'!$A$5:$A$32,$B21,'Pemetaan Variant'!$U$5:$U$32),"n/a")</f>
        <v>10500</v>
      </c>
      <c r="AF21" s="7" t="n">
        <f aca="false">IFERROR(IF(ISNUMBER(AE21),(AE21-AVERAGEIF('Pemetaan Variant'!$A$5:$A$32,$B21,'Pemetaan Variant'!$F$5:$F$32))/AVERAGEIF('Pemetaan Variant'!$A$5:$A$32,$B21,'Pemetaan Variant'!$F$5:$F$32)*100,"n/a"),"n/a")</f>
        <v>0</v>
      </c>
      <c r="AG21" s="7" t="n">
        <f aca="false">IFERROR(IF(ISNUMBER(AF21),$C21*AF21,"n/a"),"n/a")</f>
        <v>0</v>
      </c>
      <c r="AH21" s="17" t="n">
        <f aca="false">IFERROR(AVERAGEIF('Pemetaan Variant'!$A$5:$A$32,$B21,'Pemetaan Variant'!$V$5:$V$32),"n/a")</f>
        <v>10500</v>
      </c>
      <c r="AI21" s="7" t="n">
        <f aca="false">IFERROR(IF(ISNUMBER(AH21),(AH21-AVERAGEIF('Pemetaan Variant'!$A$5:$A$32,$B21,'Pemetaan Variant'!$F$5:$F$32))/AVERAGEIF('Pemetaan Variant'!$A$5:$A$32,$B21,'Pemetaan Variant'!$F$5:$F$32)*100,"n/a"),"n/a")</f>
        <v>0</v>
      </c>
      <c r="AJ21" s="7" t="n">
        <f aca="false">IFERROR(IF(ISNUMBER(AI21),$C21*AI21,"n/a"),"n/a")</f>
        <v>0</v>
      </c>
      <c r="AK21" s="17" t="n">
        <f aca="false">IFERROR(AVERAGEIF('Pemetaan Variant'!$A$5:$A$32,$B21,'Pemetaan Variant'!$W$5:$W$32),"n/a")</f>
        <v>10500</v>
      </c>
      <c r="AL21" s="7" t="n">
        <f aca="false">IFERROR(IF(ISNUMBER(AK21),(AK21-AVERAGEIF('Pemetaan Variant'!$A$5:$A$32,$B21,'Pemetaan Variant'!$F$5:$F$32))/AVERAGEIF('Pemetaan Variant'!$A$5:$A$32,$B21,'Pemetaan Variant'!$F$5:$F$32)*100,"n/a"),"n/a")</f>
        <v>0</v>
      </c>
      <c r="AM21" s="7" t="n">
        <f aca="false">IFERROR(IF(ISNUMBER(AL21),$C21*AL21,"n/a"),"n/a")</f>
        <v>0</v>
      </c>
      <c r="AN21" s="17" t="n">
        <f aca="false">IFERROR(AVERAGEIF('Pemetaan Variant'!$A$5:$A$32,$B21,'Pemetaan Variant'!$X$5:$X$32),"n/a")</f>
        <v>10500</v>
      </c>
      <c r="AO21" s="7" t="n">
        <f aca="false">IFERROR(IF(ISNUMBER(AN21),(AN21-AVERAGEIF('Pemetaan Variant'!$A$5:$A$32,$B21,'Pemetaan Variant'!$F$5:$F$32))/AVERAGEIF('Pemetaan Variant'!$A$5:$A$32,$B21,'Pemetaan Variant'!$F$5:$F$32)*100,"n/a"),"n/a")</f>
        <v>0</v>
      </c>
      <c r="AP21" s="7" t="n">
        <f aca="false">IFERROR(IF(ISNUMBER(AO21),$C21*AO21,"n/a"),"n/a")</f>
        <v>0</v>
      </c>
      <c r="AQ21" s="17" t="n">
        <f aca="false">IFERROR(AVERAGEIF('Pemetaan Variant'!$A$5:$A$32,$B21,'Pemetaan Variant'!$Y$5:$Y$32),"n/a")</f>
        <v>10500</v>
      </c>
      <c r="AR21" s="7" t="n">
        <f aca="false">IFERROR(IF(ISNUMBER(AQ21),(AQ21-AVERAGEIF('Pemetaan Variant'!$A$5:$A$32,$B21,'Pemetaan Variant'!$F$5:$F$32))/AVERAGEIF('Pemetaan Variant'!$A$5:$A$32,$B21,'Pemetaan Variant'!$F$5:$F$32)*100,"n/a"),"n/a")</f>
        <v>0</v>
      </c>
      <c r="AS21" s="7" t="n">
        <f aca="false">IFERROR(IF(ISNUMBER(AR21),$C21*AR21,"n/a"),"n/a")</f>
        <v>0</v>
      </c>
      <c r="AT21" s="17" t="n">
        <f aca="false">IFERROR(AVERAGEIF('Pemetaan Variant'!$A$5:$A$32,$B21,'Pemetaan Variant'!$Z$5:$Z$32),"n/a")</f>
        <v>10500</v>
      </c>
      <c r="AU21" s="7" t="n">
        <f aca="false">IFERROR(IF(ISNUMBER(AT21),(AT21-AVERAGEIF('Pemetaan Variant'!$A$5:$A$32,$B21,'Pemetaan Variant'!$G$5:$G$32))/AVERAGEIF('Pemetaan Variant'!$A$5:$A$32,$B21,'Pemetaan Variant'!$G$5:$G$32)*100,"n/a"),"n/a")</f>
        <v>0</v>
      </c>
      <c r="AV21" s="7" t="n">
        <f aca="false">IFERROR(IF(ISNUMBER(AU21),$C21*AU21,"n/a"),"n/a")</f>
        <v>0</v>
      </c>
      <c r="AW21" s="17" t="n">
        <f aca="false">IFERROR(AVERAGEIF('Pemetaan Variant'!$A$5:$A$32,$B21,'Pemetaan Variant'!$AA$5:$AA$32),"n/a")</f>
        <v>10500</v>
      </c>
      <c r="AX21" s="7" t="n">
        <f aca="false">IFERROR(IF(ISNUMBER(AW21),(AW21-AVERAGEIF('Pemetaan Variant'!$A$5:$A$32,$B21,'Pemetaan Variant'!$G$5:$G$32))/AVERAGEIF('Pemetaan Variant'!$A$5:$A$32,$B21,'Pemetaan Variant'!$G$5:$G$32)*100,"n/a"),"n/a")</f>
        <v>0</v>
      </c>
      <c r="AY21" s="7" t="n">
        <f aca="false">IFERROR(IF(ISNUMBER(AX21),$C21*AX21,"n/a"),"n/a")</f>
        <v>0</v>
      </c>
      <c r="AZ21" s="17" t="n">
        <f aca="false">IFERROR(AVERAGEIF('Pemetaan Variant'!$A$5:$A$32,$B21,'Pemetaan Variant'!$AB$5:$AB$32),"n/a")</f>
        <v>10500</v>
      </c>
      <c r="BA21" s="7" t="n">
        <f aca="false">IFERROR(IF(ISNUMBER(AZ21),(AZ21-AVERAGEIF('Pemetaan Variant'!$A$5:$A$32,$B21,'Pemetaan Variant'!$G$5:$G$32))/AVERAGEIF('Pemetaan Variant'!$A$5:$A$32,$B21,'Pemetaan Variant'!$G$5:$G$32)*100,"n/a"),"n/a")</f>
        <v>0</v>
      </c>
      <c r="BB21" s="7" t="n">
        <f aca="false">IFERROR(IF(ISNUMBER(BA21),$C21*BA21,"n/a"),"n/a")</f>
        <v>0</v>
      </c>
      <c r="BC21" s="17" t="n">
        <f aca="false">IFERROR(AVERAGEIF('Pemetaan Variant'!$A$5:$A$32,$B21,'Pemetaan Variant'!$AC$5:$AC$32),"n/a")</f>
        <v>10500</v>
      </c>
      <c r="BD21" s="7" t="n">
        <f aca="false">IFERROR(IF(ISNUMBER(BC21),(BC21-AVERAGEIF('Pemetaan Variant'!$A$5:$A$32,$B21,'Pemetaan Variant'!$G$5:$G$32))/AVERAGEIF('Pemetaan Variant'!$A$5:$A$32,$B21,'Pemetaan Variant'!$G$5:$G$32)*100,"n/a"),"n/a")</f>
        <v>0</v>
      </c>
      <c r="BE21" s="7" t="n">
        <f aca="false">IFERROR(IF(ISNUMBER(BD21),$C21*BD21,"n/a"),"n/a")</f>
        <v>0</v>
      </c>
      <c r="BF21" s="17" t="n">
        <f aca="false">IFERROR(AVERAGEIF('Pemetaan Variant'!$A$5:$A$32,$B21,'Pemetaan Variant'!$AD$5:$AD$32),"n/a")</f>
        <v>10500</v>
      </c>
      <c r="BG21" s="7" t="n">
        <f aca="false">IFERROR(IF(ISNUMBER(BF21),(BF21-AVERAGEIF('Pemetaan Variant'!$A$5:$A$32,$B21,'Pemetaan Variant'!$G$5:$G$32))/AVERAGEIF('Pemetaan Variant'!$A$5:$A$32,$B21,'Pemetaan Variant'!$G$5:$G$32)*100,"n/a"),"n/a")</f>
        <v>0</v>
      </c>
      <c r="BH21" s="7" t="n">
        <f aca="false">IFERROR(IF(ISNUMBER(BG21),$C21*BG21,"n/a"),"n/a")</f>
        <v>0</v>
      </c>
      <c r="BI21" s="17" t="str">
        <f aca="false">IFERROR(AVERAGEIF('Pemetaan Variant'!$A$5:$A$32,$B21,'Pemetaan Variant'!$AE$5:$AE$32),"n/a")</f>
        <v>n/a</v>
      </c>
      <c r="BJ21" s="7" t="str">
        <f aca="false">IFERROR(IF(ISNUMBER(BI21),(BI21-AVERAGEIF('Pemetaan Variant'!$A$5:$A$32,$B21,'Pemetaan Variant'!$H$5:$H$32))/AVERAGEIF('Pemetaan Variant'!$A$5:$A$32,$B21,'Pemetaan Variant'!$H$5:$H$32)*100,"n/a"),"n/a")</f>
        <v>n/a</v>
      </c>
      <c r="BK21" s="7" t="str">
        <f aca="false">IFERROR(IF(ISNUMBER(BJ21),$C21*BJ21,"n/a"),"n/a")</f>
        <v>n/a</v>
      </c>
      <c r="BL21" s="17" t="n">
        <f aca="false">IFERROR(AVERAGEIF('Pemetaan Variant'!$A$5:$A$32,$B21,'Pemetaan Variant'!$AF$5:$AF$32),"n/a")</f>
        <v>10500</v>
      </c>
      <c r="BM21" s="7" t="n">
        <f aca="false">IFERROR(IF(ISNUMBER(BL21),(BL21-AVERAGEIF('Pemetaan Variant'!$A$5:$A$32,$B21,'Pemetaan Variant'!$H$5:$H$32))/AVERAGEIF('Pemetaan Variant'!$A$5:$A$32,$B21,'Pemetaan Variant'!$H$5:$H$32)*100,"n/a"),"n/a")</f>
        <v>0</v>
      </c>
      <c r="BN21" s="7" t="n">
        <f aca="false">IFERROR(IF(ISNUMBER(BM21),$C21*BM21,"n/a"),"n/a")</f>
        <v>0</v>
      </c>
      <c r="BO21" s="17" t="n">
        <f aca="false">IFERROR(AVERAGEIF('Pemetaan Variant'!$A$5:$A$32,$B21,'Pemetaan Variant'!$AG$5:$AG$32),"n/a")</f>
        <v>10500</v>
      </c>
      <c r="BP21" s="7" t="n">
        <f aca="false">IFERROR(IF(ISNUMBER(BO21),(BO21-AVERAGEIF('Pemetaan Variant'!$A$5:$A$32,$B21,'Pemetaan Variant'!$H$5:$H$32))/AVERAGEIF('Pemetaan Variant'!$A$5:$A$32,$B21,'Pemetaan Variant'!$H$5:$H$32)*100,"n/a"),"n/a")</f>
        <v>0</v>
      </c>
      <c r="BQ21" s="7" t="n">
        <f aca="false">IFERROR(IF(ISNUMBER(BP21),$C21*BP21,"n/a"),"n/a")</f>
        <v>0</v>
      </c>
      <c r="BR21" s="17" t="n">
        <f aca="false">IFERROR(AVERAGEIF('Pemetaan Variant'!$A$5:$A$32,$B21,'Pemetaan Variant'!$AH$5:$AH$32),"n/a")</f>
        <v>10500</v>
      </c>
      <c r="BS21" s="7" t="n">
        <f aca="false">IFERROR(IF(ISNUMBER(BR21),(BR21-AVERAGEIF('Pemetaan Variant'!$A$5:$A$32,$B21,'Pemetaan Variant'!$H$5:$H$32))/AVERAGEIF('Pemetaan Variant'!$A$5:$A$32,$B21,'Pemetaan Variant'!$H$5:$H$32)*100,"n/a"),"n/a")</f>
        <v>0</v>
      </c>
      <c r="BT21" s="7" t="n">
        <f aca="false">IFERROR(IF(ISNUMBER(BS21),$C21*BS21,"n/a"),"n/a")</f>
        <v>0</v>
      </c>
      <c r="BU21" s="17" t="n">
        <f aca="false">IFERROR(AVERAGEIF('Pemetaan Variant'!$A$5:$A$32,$B21,'Pemetaan Variant'!$AI$5:$AI$32),"n/a")</f>
        <v>10500</v>
      </c>
      <c r="BV21" s="7" t="n">
        <f aca="false">IFERROR(IF(ISNUMBER(BU21),(BU21-AVERAGEIF('Pemetaan Variant'!$A$5:$A$32,$B21,'Pemetaan Variant'!$H$5:$H$32))/AVERAGEIF('Pemetaan Variant'!$A$5:$A$32,$B21,'Pemetaan Variant'!$H$5:$H$32)*100,"n/a"),"n/a")</f>
        <v>0</v>
      </c>
      <c r="BW21" s="7" t="n">
        <f aca="false">IFERROR(IF(ISNUMBER(BV21),$C21*BV21,"n/a"),"n/a")</f>
        <v>0</v>
      </c>
      <c r="BX21" s="17" t="n">
        <f aca="false">IFERROR(AVERAGEIF('Pemetaan Variant'!$A$5:$A$32,$B21,'Pemetaan Variant'!$AJ$5:$AJ$32),"n/a")</f>
        <v>10500</v>
      </c>
      <c r="BY21" s="7" t="n">
        <f aca="false">IFERROR(IF(ISNUMBER(BX21),(BX21-AVERAGEIF('Pemetaan Variant'!$A$5:$A$32,$B21,'Pemetaan Variant'!$I$5:$I$32))/AVERAGEIF('Pemetaan Variant'!$A$5:$A$32,$B21,'Pemetaan Variant'!$I$5:$I$32)*100,"n/a"),"n/a")</f>
        <v>0</v>
      </c>
      <c r="BZ21" s="7" t="n">
        <f aca="false">IFERROR(IF(ISNUMBER(BY21),$C21*BY21,"n/a"),"n/a")</f>
        <v>0</v>
      </c>
      <c r="CA21" s="17" t="n">
        <f aca="false">IFERROR(AVERAGEIF('Pemetaan Variant'!$A$5:$A$32,$B21,'Pemetaan Variant'!$AK$5:$AK$32),"n/a")</f>
        <v>10500</v>
      </c>
      <c r="CB21" s="7" t="n">
        <f aca="false">IFERROR(IF(ISNUMBER(CA21),(CA21-AVERAGEIF('Pemetaan Variant'!$A$5:$A$32,$B21,'Pemetaan Variant'!$I$5:$I$32))/AVERAGEIF('Pemetaan Variant'!$A$5:$A$32,$B21,'Pemetaan Variant'!$I$5:$I$32)*100,"n/a"),"n/a")</f>
        <v>0</v>
      </c>
      <c r="CC21" s="7" t="n">
        <f aca="false">IFERROR(IF(ISNUMBER(CB21),$C21*CB21,"n/a"),"n/a")</f>
        <v>0</v>
      </c>
      <c r="CD21" s="17" t="n">
        <f aca="false">IFERROR(AVERAGEIF('Pemetaan Variant'!$A$5:$A$32,$B21,'Pemetaan Variant'!$AL$5:$AL$32),"n/a")</f>
        <v>10500</v>
      </c>
      <c r="CE21" s="7" t="n">
        <f aca="false">IFERROR(IF(ISNUMBER(CD21),(CD21-AVERAGEIF('Pemetaan Variant'!$A$5:$A$32,$B21,'Pemetaan Variant'!$I$5:$I$32))/AVERAGEIF('Pemetaan Variant'!$A$5:$A$32,$B21,'Pemetaan Variant'!$I$5:$I$32)*100,"n/a"),"n/a")</f>
        <v>0</v>
      </c>
      <c r="CF21" s="7" t="n">
        <f aca="false">IFERROR(IF(ISNUMBER(CE21),$C21*CE21,"n/a"),"n/a")</f>
        <v>0</v>
      </c>
      <c r="CG21" s="17" t="n">
        <f aca="false">IFERROR(AVERAGEIF('Pemetaan Variant'!$A$5:$A$32,$B21,'Pemetaan Variant'!$AM$5:$AM$32),"n/a")</f>
        <v>10500</v>
      </c>
      <c r="CH21" s="7" t="n">
        <f aca="false">IFERROR(IF(ISNUMBER(CG21),(CG21-AVERAGEIF('Pemetaan Variant'!$A$5:$A$32,$B21,'Pemetaan Variant'!$I$5:$I$32))/AVERAGEIF('Pemetaan Variant'!$A$5:$A$32,$B21,'Pemetaan Variant'!$I$5:$I$32)*100,"n/a"),"n/a")</f>
        <v>0</v>
      </c>
      <c r="CI21" s="7" t="n">
        <f aca="false">IFERROR(IF(ISNUMBER(CH21),$C21*CH21,"n/a"),"n/a")</f>
        <v>0</v>
      </c>
      <c r="CJ21" s="17" t="n">
        <f aca="false">IFERROR(AVERAGEIF('Pemetaan Variant'!$A$5:$A$32,$B21,'Pemetaan Variant'!$AN$5:$AN$32),"n/a")</f>
        <v>10500</v>
      </c>
      <c r="CK21" s="7" t="n">
        <f aca="false">IFERROR(IF(ISNUMBER(CJ21),(CJ21-AVERAGEIF('Pemetaan Variant'!$A$5:$A$32,$B21,'Pemetaan Variant'!$I$5:$I$32))/AVERAGEIF('Pemetaan Variant'!$A$5:$A$32,$B21,'Pemetaan Variant'!$I$5:$I$32)*100,"n/a"),"n/a")</f>
        <v>0</v>
      </c>
      <c r="CL21" s="7" t="n">
        <f aca="false">IFERROR(IF(ISNUMBER(CK21),$C21*CK21,"n/a"),"n/a")</f>
        <v>0</v>
      </c>
      <c r="CM21" s="17" t="n">
        <f aca="false">IFERROR(AVERAGEIF('Pemetaan Variant'!$A$5:$A$32,$B21,'Pemetaan Variant'!$AO$5:$AO$32),"n/a")</f>
        <v>10500</v>
      </c>
      <c r="CN21" s="7" t="n">
        <f aca="false">IFERROR(IF(ISNUMBER(CM21),(CM21-AVERAGEIF('Pemetaan Variant'!$A$5:$A$32,$B21,'Pemetaan Variant'!$J$5:$J$32))/AVERAGEIF('Pemetaan Variant'!$A$5:$A$32,$B21,'Pemetaan Variant'!$J$5:$J$32)*100,"n/a"),"n/a")</f>
        <v>0</v>
      </c>
      <c r="CO21" s="7" t="n">
        <f aca="false">IFERROR(IF(ISNUMBER(CN21),$C21*CN21,"n/a"),"n/a")</f>
        <v>0</v>
      </c>
      <c r="CP21" s="17" t="n">
        <f aca="false">IFERROR(AVERAGEIF('Pemetaan Variant'!$A$5:$A$32,$B21,'Pemetaan Variant'!$AP$5:$AP$32),"n/a")</f>
        <v>10500</v>
      </c>
      <c r="CQ21" s="7" t="n">
        <f aca="false">IFERROR(IF(ISNUMBER(CP21),(CP21-AVERAGEIF('Pemetaan Variant'!$A$5:$A$32,$B21,'Pemetaan Variant'!$J$5:$J$32))/AVERAGEIF('Pemetaan Variant'!$A$5:$A$32,$B21,'Pemetaan Variant'!$J$5:$J$32)*100,"n/a"),"n/a")</f>
        <v>0</v>
      </c>
      <c r="CR21" s="7" t="n">
        <f aca="false">IFERROR(IF(ISNUMBER(CQ21),$C21*CQ21,"n/a"),"n/a")</f>
        <v>0</v>
      </c>
      <c r="CS21" s="17" t="n">
        <f aca="false">IFERROR(AVERAGEIF('Pemetaan Variant'!$A$5:$A$32,$B21,'Pemetaan Variant'!$AQ$5:$AQ$32),"n/a")</f>
        <v>10500</v>
      </c>
      <c r="CT21" s="7" t="n">
        <f aca="false">IFERROR(IF(ISNUMBER(CS21),(CS21-AVERAGEIF('Pemetaan Variant'!$A$5:$A$32,$B21,'Pemetaan Variant'!$J$5:$J$32))/AVERAGEIF('Pemetaan Variant'!$A$5:$A$32,$B21,'Pemetaan Variant'!$J$5:$J$32)*100,"n/a"),"n/a")</f>
        <v>0</v>
      </c>
      <c r="CU21" s="7" t="n">
        <f aca="false">IFERROR(IF(ISNUMBER(CT21),$C21*CT21,"n/a"),"n/a")</f>
        <v>0</v>
      </c>
      <c r="CV21" s="17" t="n">
        <f aca="false">IFERROR(AVERAGEIF('Pemetaan Variant'!$A$5:$A$32,$B21,'Pemetaan Variant'!$AR$5:$AR$32),"n/a")</f>
        <v>10500</v>
      </c>
      <c r="CW21" s="7" t="n">
        <f aca="false">IFERROR(IF(ISNUMBER(CV21),(CV21-AVERAGEIF('Pemetaan Variant'!$A$5:$A$32,$B21,'Pemetaan Variant'!$J$5:$J$32))/AVERAGEIF('Pemetaan Variant'!$A$5:$A$32,$B21,'Pemetaan Variant'!$J$5:$J$32)*100,"n/a"),"n/a")</f>
        <v>0</v>
      </c>
      <c r="CX21" s="7" t="n">
        <f aca="false">IFERROR(IF(ISNUMBER(CW21),$C21*CW21,"n/a"),"n/a")</f>
        <v>0</v>
      </c>
      <c r="CY21" s="17" t="n">
        <f aca="false">IFERROR(AVERAGEIF('Pemetaan Variant'!$A$5:$A$32,$B21,'Pemetaan Variant'!$AS$5:$AS$32),"n/a")</f>
        <v>10500</v>
      </c>
      <c r="CZ21" s="7" t="n">
        <f aca="false">IFERROR(IF(ISNUMBER(CY21),(CY21-AVERAGEIF('Pemetaan Variant'!$A$5:$A$32,$B21,'Pemetaan Variant'!$J$5:$J$32))/AVERAGEIF('Pemetaan Variant'!$A$5:$A$32,$B21,'Pemetaan Variant'!$J$5:$J$32)*100,"n/a"),"n/a")</f>
        <v>0</v>
      </c>
      <c r="DA21" s="7" t="n">
        <f aca="false">IFERROR(IF(ISNUMBER(CZ21),$C21*CZ21,"n/a"),"n/a")</f>
        <v>0</v>
      </c>
      <c r="DB21" s="17" t="n">
        <f aca="false">IFERROR(AVERAGEIF('Pemetaan Variant'!$A$5:$A$32,$B21,'Pemetaan Variant'!$AT$5:$AT$32),"n/a")</f>
        <v>10500</v>
      </c>
      <c r="DC21" s="7" t="n">
        <f aca="false">IFERROR(IF(ISNUMBER(DB21),(DB21-AVERAGEIF('Pemetaan Variant'!$A$5:$A$32,$B21,'Pemetaan Variant'!$K$5:$K$32))/AVERAGEIF('Pemetaan Variant'!$A$5:$A$32,$B21,'Pemetaan Variant'!$K$5:$K$32)*100,"n/a"),"n/a")</f>
        <v>0</v>
      </c>
      <c r="DD21" s="7" t="n">
        <f aca="false">IFERROR(IF(ISNUMBER(DC21),$C21*DC21,"n/a"),"n/a")</f>
        <v>0</v>
      </c>
      <c r="DE21" s="17" t="n">
        <f aca="false">IFERROR(AVERAGEIF('Pemetaan Variant'!$A$5:$A$32,$B21,'Pemetaan Variant'!$AU$5:$AU$32),"n/a")</f>
        <v>10500</v>
      </c>
      <c r="DF21" s="7" t="n">
        <f aca="false">IFERROR(IF(ISNUMBER(DE21),(DE21-AVERAGEIF('Pemetaan Variant'!$A$5:$A$32,$B21,'Pemetaan Variant'!$K$5:$K$32))/AVERAGEIF('Pemetaan Variant'!$A$5:$A$32,$B21,'Pemetaan Variant'!$K$5:$K$32)*100,"n/a"),"n/a")</f>
        <v>0</v>
      </c>
      <c r="DG21" s="7" t="n">
        <f aca="false">IFERROR(IF(ISNUMBER(DF21),$C21*DF21,"n/a"),"n/a")</f>
        <v>0</v>
      </c>
      <c r="DH21" s="17" t="n">
        <f aca="false">IFERROR(AVERAGEIF('Pemetaan Variant'!$A$5:$A$32,$B21,'Pemetaan Variant'!$AV$5:$AV$32),"n/a")</f>
        <v>10500</v>
      </c>
      <c r="DI21" s="7" t="n">
        <f aca="false">IFERROR(IF(ISNUMBER(DH21),(DH21-AVERAGEIF('Pemetaan Variant'!$A$5:$A$32,$B21,'Pemetaan Variant'!$K$5:$K$32))/AVERAGEIF('Pemetaan Variant'!$A$5:$A$32,$B21,'Pemetaan Variant'!$K$5:$K$32)*100,"n/a"),"n/a")</f>
        <v>0</v>
      </c>
      <c r="DJ21" s="7" t="n">
        <f aca="false">IFERROR(IF(ISNUMBER(DI21),$C21*DI21,"n/a"),"n/a")</f>
        <v>0</v>
      </c>
      <c r="DK21" s="17" t="n">
        <f aca="false">IFERROR(AVERAGEIF('Pemetaan Variant'!$A$5:$A$32,$B21,'Pemetaan Variant'!$AW$5:$AW$32),"n/a")</f>
        <v>10500</v>
      </c>
      <c r="DL21" s="7" t="n">
        <f aca="false">IFERROR(IF(ISNUMBER(DK21),(DK21-AVERAGEIF('Pemetaan Variant'!$A$5:$A$32,$B21,'Pemetaan Variant'!$K$5:$K$32))/AVERAGEIF('Pemetaan Variant'!$A$5:$A$32,$B21,'Pemetaan Variant'!$K$5:$K$32)*100,"n/a"),"n/a")</f>
        <v>0</v>
      </c>
      <c r="DM21" s="7" t="n">
        <f aca="false">IFERROR(IF(ISNUMBER(DL21),$C21*DL21,"n/a"),"n/a")</f>
        <v>0</v>
      </c>
      <c r="DN21" s="17" t="str">
        <f aca="false">IFERROR(AVERAGEIF('Pemetaan Variant'!$A$5:$A$32,$B21,'Pemetaan Variant'!$AX$5:$AX$32),"n/a")</f>
        <v>n/a</v>
      </c>
      <c r="DO21" s="7" t="str">
        <f aca="false">IFERROR(IF(ISNUMBER(DN21),(DN21-AVERAGEIF('Pemetaan Variant'!$A$5:$A$32,$B21,'Pemetaan Variant'!$K$5:$K$32))/AVERAGEIF('Pemetaan Variant'!$A$5:$A$32,$B21,'Pemetaan Variant'!$K$5:$K$32)*100,"n/a"),"n/a")</f>
        <v>n/a</v>
      </c>
      <c r="DP21" s="7" t="str">
        <f aca="false">IFERROR(IF(ISNUMBER(DO21),$C21*DO21,"n/a"),"n/a")</f>
        <v>n/a</v>
      </c>
      <c r="DQ21" s="18" t="n">
        <f aca="false">IFERROR(AVERAGEIF('Pemetaan Variant'!$A$5:$A$32,$B21,'Pemetaan Variant'!$AZ$5:$AZ$32),"n/a")</f>
        <v>10500</v>
      </c>
      <c r="DR21" s="11" t="n">
        <f aca="false">IFERROR(IF(ISNUMBER(DQ21),(DQ21-AVERAGEIF('Pemetaan Variant'!$A$5:$A$32,$B21,'Pemetaan Variant'!$AY$5:$AY$32))/AVERAGEIF('Pemetaan Variant'!$A$5:$A$32,$B21,'Pemetaan Variant'!$AY$5:$AY$32)*100,"n/a"),"n/a")</f>
        <v>0</v>
      </c>
      <c r="DS21" s="11" t="n">
        <f aca="false">IFERROR(IF(ISNUMBER(DR21),$C21*DR21,"n/a"),"n/a")</f>
        <v>0</v>
      </c>
      <c r="DT21" s="18" t="str">
        <f aca="false">IFERROR(AVERAGEIF('Pemetaan Variant'!$A$5:$A$32,$B21,'Pemetaan Variant'!$BA$5:$BA$32),"n/a")</f>
        <v>n/a</v>
      </c>
      <c r="DU21" s="11" t="str">
        <f aca="false">IFERROR(IF(ISNUMBER(DT21),(DT21-AVERAGEIF('Pemetaan Variant'!$A$5:$A$32,$B21,'Pemetaan Variant'!$AY$5:$AY$32))/AVERAGEIF('Pemetaan Variant'!$A$5:$A$32,$B21,'Pemetaan Variant'!$AY$5:$AY$32)*100,"n/a"),"n/a")</f>
        <v>n/a</v>
      </c>
      <c r="DV21" s="11" t="str">
        <f aca="false">IFERROR(IF(ISNUMBER(DU21),$C21*DU21,"n/a"),"n/a")</f>
        <v>n/a</v>
      </c>
      <c r="DW21" s="18" t="str">
        <f aca="false">IFERROR(AVERAGEIF('Pemetaan Variant'!$A$5:$A$32,$B21,'Pemetaan Variant'!$BB$5:$BB$32),"n/a")</f>
        <v>n/a</v>
      </c>
      <c r="DX21" s="11" t="str">
        <f aca="false">IFERROR(IF(ISNUMBER(DW21),(DW21-AVERAGEIF('Pemetaan Variant'!$A$5:$A$32,$B21,'Pemetaan Variant'!$AY$5:$AY$32))/AVERAGEIF('Pemetaan Variant'!$A$5:$A$32,$B21,'Pemetaan Variant'!$AY$5:$AY$32)*100,"n/a"),"n/a")</f>
        <v>n/a</v>
      </c>
      <c r="DY21" s="11" t="str">
        <f aca="false">IFERROR(IF(ISNUMBER(DX21),$C21*DX21,"n/a"),"n/a")</f>
        <v>n/a</v>
      </c>
      <c r="DZ21" s="18" t="str">
        <f aca="false">IFERROR(AVERAGEIF('Pemetaan Variant'!$A$5:$A$32,$B21,'Pemetaan Variant'!$BC$5:$BC$32),"n/a")</f>
        <v>n/a</v>
      </c>
      <c r="EA21" s="11" t="str">
        <f aca="false">IFERROR(IF(ISNUMBER(DZ21),(DZ21-AVERAGEIF('Pemetaan Variant'!$A$5:$A$32,$B21,'Pemetaan Variant'!$AY$5:$AY$32))/AVERAGEIF('Pemetaan Variant'!$A$5:$A$32,$B21,'Pemetaan Variant'!$AY$5:$AY$32)*100,"n/a"),"n/a")</f>
        <v>n/a</v>
      </c>
      <c r="EB21" s="11" t="str">
        <f aca="false">IFERROR(IF(ISNUMBER(EA21),$C21*EA21,"n/a"),"n/a")</f>
        <v>n/a</v>
      </c>
      <c r="EC21" s="18" t="str">
        <f aca="false">IFERROR(AVERAGEIF('Pemetaan Variant'!$A$5:$A$32,$B21,'Pemetaan Variant'!$BD$5:$BD$32),"n/a")</f>
        <v>n/a</v>
      </c>
      <c r="ED21" s="11" t="str">
        <f aca="false">IFERROR(IF(ISNUMBER(EC21),(EC21-AVERAGEIF('Pemetaan Variant'!$A$5:$A$32,$B21,'Pemetaan Variant'!$AY$5:$AY$32))/AVERAGEIF('Pemetaan Variant'!$A$5:$A$32,$B21,'Pemetaan Variant'!$AY$5:$AY$32)*100,"n/a"),"n/a")</f>
        <v>n/a</v>
      </c>
      <c r="EE21" s="11" t="str">
        <f aca="false">IFERROR(IF(ISNUMBER(ED21),$C21*ED21,"n/a"),"n/a")</f>
        <v>n/a</v>
      </c>
      <c r="EG21" s="11" t="n">
        <f aca="false">IFERROR(ABS(F21),0)</f>
        <v>0</v>
      </c>
      <c r="EH21" s="11" t="n">
        <f aca="false">IFERROR(ABS(I21),0)</f>
        <v>0</v>
      </c>
      <c r="EI21" s="11" t="n">
        <f aca="false">IFERROR(ABS(L21),0)</f>
        <v>0</v>
      </c>
      <c r="EJ21" s="11" t="n">
        <f aca="false">IFERROR(ABS(O21),0)</f>
        <v>0</v>
      </c>
      <c r="EK21" s="11" t="n">
        <f aca="false">IFERROR(ABS(R21),0)</f>
        <v>0</v>
      </c>
      <c r="EL21" s="11" t="n">
        <f aca="false">IFERROR(ABS(U21),0)</f>
        <v>0</v>
      </c>
      <c r="EM21" s="11" t="n">
        <f aca="false">IFERROR(ABS(X21),0)</f>
        <v>0</v>
      </c>
      <c r="EN21" s="11" t="n">
        <f aca="false">IFERROR(ABS(AA21),0)</f>
        <v>0</v>
      </c>
      <c r="EO21" s="11" t="n">
        <f aca="false">IFERROR(ABS(AD21),0)</f>
        <v>0</v>
      </c>
      <c r="EP21" s="11" t="n">
        <f aca="false">IFERROR(ABS(AG21),0)</f>
        <v>0</v>
      </c>
      <c r="EQ21" s="11" t="n">
        <f aca="false">IFERROR(ABS(AJ21),0)</f>
        <v>0</v>
      </c>
      <c r="ER21" s="11" t="n">
        <f aca="false">IFERROR(ABS(AM21),0)</f>
        <v>0</v>
      </c>
      <c r="ES21" s="11" t="n">
        <f aca="false">IFERROR(ABS(AP21),0)</f>
        <v>0</v>
      </c>
      <c r="ET21" s="11" t="n">
        <f aca="false">IFERROR(ABS(AS21),0)</f>
        <v>0</v>
      </c>
      <c r="EU21" s="11" t="n">
        <f aca="false">IFERROR(ABS(AV21),0)</f>
        <v>0</v>
      </c>
      <c r="EV21" s="11" t="n">
        <f aca="false">IFERROR(ABS(AY21),0)</f>
        <v>0</v>
      </c>
      <c r="EW21" s="11" t="n">
        <f aca="false">IFERROR(ABS(BB21),0)</f>
        <v>0</v>
      </c>
      <c r="EX21" s="11" t="n">
        <f aca="false">IFERROR(ABS(BE21),0)</f>
        <v>0</v>
      </c>
      <c r="EY21" s="11" t="n">
        <f aca="false">IFERROR(ABS(BH21),0)</f>
        <v>0</v>
      </c>
      <c r="EZ21" s="11" t="n">
        <f aca="false">IFERROR(ABS(BK21),0)</f>
        <v>0</v>
      </c>
      <c r="FA21" s="11" t="n">
        <f aca="false">IFERROR(ABS(BN21),0)</f>
        <v>0</v>
      </c>
      <c r="FB21" s="11" t="n">
        <f aca="false">IFERROR(ABS(BQ21),0)</f>
        <v>0</v>
      </c>
      <c r="FC21" s="11" t="n">
        <f aca="false">IFERROR(ABS(BT21),0)</f>
        <v>0</v>
      </c>
      <c r="FD21" s="11" t="n">
        <f aca="false">IFERROR(ABS(BW21),0)</f>
        <v>0</v>
      </c>
      <c r="FE21" s="11" t="n">
        <f aca="false">IFERROR(ABS(BZ21),0)</f>
        <v>0</v>
      </c>
      <c r="FF21" s="11" t="n">
        <f aca="false">IFERROR(ABS(CC21),0)</f>
        <v>0</v>
      </c>
      <c r="FG21" s="11" t="n">
        <f aca="false">IFERROR(ABS(CF21),0)</f>
        <v>0</v>
      </c>
      <c r="FH21" s="11" t="n">
        <f aca="false">IFERROR(ABS(CI21),0)</f>
        <v>0</v>
      </c>
      <c r="FI21" s="11" t="n">
        <f aca="false">IFERROR(ABS(CL21),0)</f>
        <v>0</v>
      </c>
      <c r="FJ21" s="11" t="n">
        <f aca="false">IFERROR(ABS(CO21),0)</f>
        <v>0</v>
      </c>
      <c r="FK21" s="11" t="n">
        <f aca="false">IFERROR(ABS(CR21),0)</f>
        <v>0</v>
      </c>
      <c r="FL21" s="11" t="n">
        <f aca="false">IFERROR(ABS(CU21),0)</f>
        <v>0</v>
      </c>
      <c r="FM21" s="11" t="n">
        <f aca="false">IFERROR(ABS(CX21),0)</f>
        <v>0</v>
      </c>
      <c r="FN21" s="11" t="n">
        <f aca="false">IFERROR(ABS(DA21),0)</f>
        <v>0</v>
      </c>
      <c r="FO21" s="11" t="n">
        <f aca="false">IFERROR(ABS(DD21),0)</f>
        <v>0</v>
      </c>
      <c r="FP21" s="11" t="n">
        <f aca="false">IFERROR(ABS(DG21),0)</f>
        <v>0</v>
      </c>
      <c r="FQ21" s="11" t="n">
        <f aca="false">IFERROR(ABS(DJ21),0)</f>
        <v>0</v>
      </c>
      <c r="FR21" s="11" t="n">
        <f aca="false">IFERROR(ABS(DM21),0)</f>
        <v>0</v>
      </c>
      <c r="FS21" s="11" t="n">
        <f aca="false">IFERROR(ABS(DP21),0)</f>
        <v>0</v>
      </c>
      <c r="FT21" s="11" t="n">
        <f aca="false">IFERROR(ABS(DS21),0)</f>
        <v>0</v>
      </c>
      <c r="FU21" s="11" t="n">
        <f aca="false">IFERROR(ABS(DV21),0)</f>
        <v>0</v>
      </c>
      <c r="FV21" s="11" t="n">
        <f aca="false">IFERROR(ABS(DY21),0)</f>
        <v>0</v>
      </c>
      <c r="FW21" s="11" t="n">
        <f aca="false">IFERROR(ABS(EB21),0)</f>
        <v>0</v>
      </c>
      <c r="FX21" s="11" t="n">
        <f aca="false">IFERROR(ABS(EE21),0)</f>
        <v>0</v>
      </c>
    </row>
    <row r="22" customFormat="false" ht="12.75" hidden="false" customHeight="true" outlineLevel="0" collapsed="false">
      <c r="A22" s="5" t="n">
        <v>17</v>
      </c>
      <c r="B22" s="6" t="s">
        <v>206</v>
      </c>
      <c r="C22" s="7" t="n">
        <f aca="false">'P0Q0 Dasar 2022'!F21</f>
        <v>0.0110208839376634</v>
      </c>
      <c r="D22" s="17" t="n">
        <f aca="false">IFERROR(AVERAGEIF('Pemetaan Variant'!$A$5:$A$32,$B22,'Pemetaan Variant'!$L$5:$L$32),"n/a")</f>
        <v>25000</v>
      </c>
      <c r="E22" s="7" t="n">
        <f aca="false">IFERROR(IF(ISNUMBER(D22),(D22-AVERAGEIF('Pemetaan Variant'!$A$5:$A$32,$B22,'Pemetaan Variant'!$D$5:$D$32))/AVERAGEIF('Pemetaan Variant'!$A$5:$A$32,$B22,'Pemetaan Variant'!$D$5:$D$32)*100,"n/a"),"n/a")</f>
        <v>-1.31578947368422</v>
      </c>
      <c r="F22" s="7" t="n">
        <f aca="false">IFERROR(IF(ISNUMBER(E22),$C22*E22,"n/a"),"n/a")</f>
        <v>-0.014501163075873</v>
      </c>
      <c r="G22" s="17" t="n">
        <f aca="false">IFERROR(AVERAGEIF('Pemetaan Variant'!$A$5:$A$32,$B22,'Pemetaan Variant'!$M$5:$M$32),"n/a")</f>
        <v>25000</v>
      </c>
      <c r="H22" s="7" t="n">
        <f aca="false">IFERROR(IF(ISNUMBER(G22),(G22-AVERAGEIF('Pemetaan Variant'!$A$5:$A$32,$B22,'Pemetaan Variant'!$D$5:$D$32))/AVERAGEIF('Pemetaan Variant'!$A$5:$A$32,$B22,'Pemetaan Variant'!$D$5:$D$32)*100,"n/a"),"n/a")</f>
        <v>-1.31578947368422</v>
      </c>
      <c r="I22" s="7" t="n">
        <f aca="false">IFERROR(IF(ISNUMBER(H22),$C22*H22,"n/a"),"n/a")</f>
        <v>-0.014501163075873</v>
      </c>
      <c r="J22" s="17" t="n">
        <f aca="false">IFERROR(AVERAGEIF('Pemetaan Variant'!$A$5:$A$32,$B22,'Pemetaan Variant'!$N$5:$N$32),"n/a")</f>
        <v>24250</v>
      </c>
      <c r="K22" s="7" t="n">
        <f aca="false">IFERROR(IF(ISNUMBER(J22),(J22-AVERAGEIF('Pemetaan Variant'!$A$5:$A$32,$B22,'Pemetaan Variant'!$D$5:$D$32))/AVERAGEIF('Pemetaan Variant'!$A$5:$A$32,$B22,'Pemetaan Variant'!$D$5:$D$32)*100,"n/a"),"n/a")</f>
        <v>-4.27631578947369</v>
      </c>
      <c r="L22" s="7" t="n">
        <f aca="false">IFERROR(IF(ISNUMBER(K22),$C22*K22,"n/a"),"n/a")</f>
        <v>-0.047128779996587</v>
      </c>
      <c r="M22" s="17" t="n">
        <f aca="false">IFERROR(AVERAGEIF('Pemetaan Variant'!$A$5:$A$32,$B22,'Pemetaan Variant'!$O$5:$O$32),"n/a")</f>
        <v>22000</v>
      </c>
      <c r="N22" s="7" t="n">
        <f aca="false">IFERROR(IF(ISNUMBER(M22),(M22-AVERAGEIF('Pemetaan Variant'!$A$5:$A$32,$B22,'Pemetaan Variant'!$D$5:$D$32))/AVERAGEIF('Pemetaan Variant'!$A$5:$A$32,$B22,'Pemetaan Variant'!$D$5:$D$32)*100,"n/a"),"n/a")</f>
        <v>-13.1578947368421</v>
      </c>
      <c r="O22" s="7" t="n">
        <f aca="false">IFERROR(IF(ISNUMBER(N22),$C22*N22,"n/a"),"n/a")</f>
        <v>-0.145011630758729</v>
      </c>
      <c r="P22" s="17" t="n">
        <f aca="false">IFERROR(AVERAGEIF('Pemetaan Variant'!$A$5:$A$32,$B22,'Pemetaan Variant'!$P$5:$P$32),"n/a")</f>
        <v>22000</v>
      </c>
      <c r="Q22" s="7" t="n">
        <f aca="false">IFERROR(IF(ISNUMBER(P22),(P22-AVERAGEIF('Pemetaan Variant'!$A$5:$A$32,$B22,'Pemetaan Variant'!$D$5:$D$32))/AVERAGEIF('Pemetaan Variant'!$A$5:$A$32,$B22,'Pemetaan Variant'!$D$5:$D$32)*100,"n/a"),"n/a")</f>
        <v>-13.1578947368421</v>
      </c>
      <c r="R22" s="7" t="n">
        <f aca="false">IFERROR(IF(ISNUMBER(Q22),$C22*Q22,"n/a"),"n/a")</f>
        <v>-0.145011630758729</v>
      </c>
      <c r="S22" s="17" t="n">
        <f aca="false">IFERROR(AVERAGEIF('Pemetaan Variant'!$A$5:$A$32,$B22,'Pemetaan Variant'!$Q$5:$Q$32),"n/a")</f>
        <v>22600</v>
      </c>
      <c r="T22" s="7" t="n">
        <f aca="false">IFERROR(IF(ISNUMBER(S22),(S22-AVERAGEIF('Pemetaan Variant'!$A$5:$A$32,$B22,'Pemetaan Variant'!$E$5:$E$32))/AVERAGEIF('Pemetaan Variant'!$A$5:$A$32,$B22,'Pemetaan Variant'!$E$5:$E$32)*100,"n/a"),"n/a")</f>
        <v>-3.21199143468951</v>
      </c>
      <c r="U22" s="7" t="n">
        <f aca="false">IFERROR(IF(ISNUMBER(T22),$C22*T22,"n/a"),"n/a")</f>
        <v>-0.035398984810482</v>
      </c>
      <c r="V22" s="17" t="n">
        <f aca="false">IFERROR(AVERAGEIF('Pemetaan Variant'!$A$5:$A$32,$B22,'Pemetaan Variant'!$R$5:$R$32),"n/a")</f>
        <v>22300</v>
      </c>
      <c r="W22" s="7" t="n">
        <f aca="false">IFERROR(IF(ISNUMBER(V22),(V22-AVERAGEIF('Pemetaan Variant'!$A$5:$A$32,$B22,'Pemetaan Variant'!$E$5:$E$32))/AVERAGEIF('Pemetaan Variant'!$A$5:$A$32,$B22,'Pemetaan Variant'!$E$5:$E$32)*100,"n/a"),"n/a")</f>
        <v>-4.49678800856531</v>
      </c>
      <c r="X22" s="7" t="n">
        <f aca="false">IFERROR(IF(ISNUMBER(W22),$C22*W22,"n/a"),"n/a")</f>
        <v>-0.0495585787346748</v>
      </c>
      <c r="Y22" s="17" t="n">
        <f aca="false">IFERROR(AVERAGEIF('Pemetaan Variant'!$A$5:$A$32,$B22,'Pemetaan Variant'!$S$5:$S$32),"n/a")</f>
        <v>24500</v>
      </c>
      <c r="Z22" s="7" t="n">
        <f aca="false">IFERROR(IF(ISNUMBER(Y22),(Y22-AVERAGEIF('Pemetaan Variant'!$A$5:$A$32,$B22,'Pemetaan Variant'!$E$5:$E$32))/AVERAGEIF('Pemetaan Variant'!$A$5:$A$32,$B22,'Pemetaan Variant'!$E$5:$E$32)*100,"n/a"),"n/a")</f>
        <v>4.92505353319058</v>
      </c>
      <c r="AA22" s="7" t="n">
        <f aca="false">IFERROR(IF(ISNUMBER(Z22),$C22*Z22,"n/a"),"n/a")</f>
        <v>0.0542784433760724</v>
      </c>
      <c r="AB22" s="17" t="n">
        <f aca="false">IFERROR(AVERAGEIF('Pemetaan Variant'!$A$5:$A$32,$B22,'Pemetaan Variant'!$T$5:$T$32),"n/a")</f>
        <v>25400</v>
      </c>
      <c r="AC22" s="7" t="n">
        <f aca="false">IFERROR(IF(ISNUMBER(AB22),(AB22-AVERAGEIF('Pemetaan Variant'!$A$5:$A$32,$B22,'Pemetaan Variant'!$E$5:$E$32))/AVERAGEIF('Pemetaan Variant'!$A$5:$A$32,$B22,'Pemetaan Variant'!$E$5:$E$32)*100,"n/a"),"n/a")</f>
        <v>8.77944325481799</v>
      </c>
      <c r="AD22" s="7" t="n">
        <f aca="false">IFERROR(IF(ISNUMBER(AC22),$C22*AC22,"n/a"),"n/a")</f>
        <v>0.0967572251486508</v>
      </c>
      <c r="AE22" s="17" t="n">
        <f aca="false">IFERROR(AVERAGEIF('Pemetaan Variant'!$A$5:$A$32,$B22,'Pemetaan Variant'!$U$5:$U$32),"n/a")</f>
        <v>26200</v>
      </c>
      <c r="AF22" s="7" t="n">
        <f aca="false">IFERROR(IF(ISNUMBER(AE22),(AE22-AVERAGEIF('Pemetaan Variant'!$A$5:$A$32,$B22,'Pemetaan Variant'!$F$5:$F$32))/AVERAGEIF('Pemetaan Variant'!$A$5:$A$32,$B22,'Pemetaan Variant'!$F$5:$F$32)*100,"n/a"),"n/a")</f>
        <v>10.9647058823529</v>
      </c>
      <c r="AG22" s="7" t="n">
        <f aca="false">IFERROR(IF(ISNUMBER(AF22),$C22*AF22,"n/a"),"n/a")</f>
        <v>0.120840750940027</v>
      </c>
      <c r="AH22" s="17" t="n">
        <f aca="false">IFERROR(AVERAGEIF('Pemetaan Variant'!$A$5:$A$32,$B22,'Pemetaan Variant'!$V$5:$V$32),"n/a")</f>
        <v>29800</v>
      </c>
      <c r="AI22" s="7" t="n">
        <f aca="false">IFERROR(IF(ISNUMBER(AH22),(AH22-AVERAGEIF('Pemetaan Variant'!$A$5:$A$32,$B22,'Pemetaan Variant'!$F$5:$F$32))/AVERAGEIF('Pemetaan Variant'!$A$5:$A$32,$B22,'Pemetaan Variant'!$F$5:$F$32)*100,"n/a"),"n/a")</f>
        <v>26.2117647058824</v>
      </c>
      <c r="AJ22" s="7" t="n">
        <f aca="false">IFERROR(IF(ISNUMBER(AI22),$C22*AI22,"n/a"),"n/a")</f>
        <v>0.288876816624871</v>
      </c>
      <c r="AK22" s="17" t="n">
        <f aca="false">IFERROR(AVERAGEIF('Pemetaan Variant'!$A$5:$A$32,$B22,'Pemetaan Variant'!$W$5:$W$32),"n/a")</f>
        <v>41100</v>
      </c>
      <c r="AL22" s="7" t="n">
        <f aca="false">IFERROR(IF(ISNUMBER(AK22),(AK22-AVERAGEIF('Pemetaan Variant'!$A$5:$A$32,$B22,'Pemetaan Variant'!$F$5:$F$32))/AVERAGEIF('Pemetaan Variant'!$A$5:$A$32,$B22,'Pemetaan Variant'!$F$5:$F$32)*100,"n/a"),"n/a")</f>
        <v>74.0705882352941</v>
      </c>
      <c r="AM22" s="7" t="n">
        <f aca="false">IFERROR(IF(ISNUMBER(AL22),$C22*AL22,"n/a"),"n/a")</f>
        <v>0.816323356135633</v>
      </c>
      <c r="AN22" s="17" t="n">
        <f aca="false">IFERROR(AVERAGEIF('Pemetaan Variant'!$A$5:$A$32,$B22,'Pemetaan Variant'!$X$5:$X$32),"n/a")</f>
        <v>32166.6666666667</v>
      </c>
      <c r="AO22" s="7" t="n">
        <f aca="false">IFERROR(IF(ISNUMBER(AN22),(AN22-AVERAGEIF('Pemetaan Variant'!$A$5:$A$32,$B22,'Pemetaan Variant'!$F$5:$F$32))/AVERAGEIF('Pemetaan Variant'!$A$5:$A$32,$B22,'Pemetaan Variant'!$F$5:$F$32)*100,"n/a"),"n/a")</f>
        <v>36.2352941176471</v>
      </c>
      <c r="AP22" s="7" t="n">
        <f aca="false">IFERROR(IF(ISNUMBER(AO22),$C22*AO22,"n/a"),"n/a")</f>
        <v>0.399344970917686</v>
      </c>
      <c r="AQ22" s="17" t="n">
        <f aca="false">IFERROR(AVERAGEIF('Pemetaan Variant'!$A$5:$A$32,$B22,'Pemetaan Variant'!$Y$5:$Y$32),"n/a")</f>
        <v>33750</v>
      </c>
      <c r="AR22" s="7" t="n">
        <f aca="false">IFERROR(IF(ISNUMBER(AQ22),(AQ22-AVERAGEIF('Pemetaan Variant'!$A$5:$A$32,$B22,'Pemetaan Variant'!$F$5:$F$32))/AVERAGEIF('Pemetaan Variant'!$A$5:$A$32,$B22,'Pemetaan Variant'!$F$5:$F$32)*100,"n/a"),"n/a")</f>
        <v>42.9411764705882</v>
      </c>
      <c r="AS22" s="7" t="n">
        <f aca="false">IFERROR(IF(ISNUMBER(AR22),$C22*AR22,"n/a"),"n/a")</f>
        <v>0.473249722029076</v>
      </c>
      <c r="AT22" s="17" t="n">
        <f aca="false">IFERROR(AVERAGEIF('Pemetaan Variant'!$A$5:$A$32,$B22,'Pemetaan Variant'!$Z$5:$Z$32),"n/a")</f>
        <v>30250</v>
      </c>
      <c r="AU22" s="7" t="n">
        <f aca="false">IFERROR(IF(ISNUMBER(AT22),(AT22-AVERAGEIF('Pemetaan Variant'!$A$5:$A$32,$B22,'Pemetaan Variant'!$G$5:$G$32))/AVERAGEIF('Pemetaan Variant'!$A$5:$A$32,$B22,'Pemetaan Variant'!$G$5:$G$32)*100,"n/a"),"n/a")</f>
        <v>-6.85142417244034</v>
      </c>
      <c r="AV22" s="7" t="n">
        <f aca="false">IFERROR(IF(ISNUMBER(AU22),$C22*AU22,"n/a"),"n/a")</f>
        <v>-0.0755087506121665</v>
      </c>
      <c r="AW22" s="17" t="n">
        <f aca="false">IFERROR(AVERAGEIF('Pemetaan Variant'!$A$5:$A$32,$B22,'Pemetaan Variant'!$AA$5:$AA$32),"n/a")</f>
        <v>30800</v>
      </c>
      <c r="AX22" s="7" t="n">
        <f aca="false">IFERROR(IF(ISNUMBER(AW22),(AW22-AVERAGEIF('Pemetaan Variant'!$A$5:$A$32,$B22,'Pemetaan Variant'!$G$5:$G$32))/AVERAGEIF('Pemetaan Variant'!$A$5:$A$32,$B22,'Pemetaan Variant'!$G$5:$G$32)*100,"n/a"),"n/a")</f>
        <v>-5.15781370284835</v>
      </c>
      <c r="AY22" s="7" t="n">
        <f aca="false">IFERROR(IF(ISNUMBER(AX22),$C22*AX22,"n/a"),"n/a")</f>
        <v>-0.0568436661911815</v>
      </c>
      <c r="AZ22" s="17" t="n">
        <f aca="false">IFERROR(AVERAGEIF('Pemetaan Variant'!$A$5:$A$32,$B22,'Pemetaan Variant'!$AB$5:$AB$32),"n/a")</f>
        <v>32600</v>
      </c>
      <c r="BA22" s="7" t="n">
        <f aca="false">IFERROR(IF(ISNUMBER(AZ22),(AZ22-AVERAGEIF('Pemetaan Variant'!$A$5:$A$32,$B22,'Pemetaan Variant'!$G$5:$G$32))/AVERAGEIF('Pemetaan Variant'!$A$5:$A$32,$B22,'Pemetaan Variant'!$G$5:$G$32)*100,"n/a"),"n/a")</f>
        <v>0.384911470361817</v>
      </c>
      <c r="BB22" s="7" t="n">
        <f aca="false">IFERROR(IF(ISNUMBER(BA22),$C22*BA22,"n/a"),"n/a")</f>
        <v>0.00424206464113295</v>
      </c>
      <c r="BC22" s="17" t="n">
        <f aca="false">IFERROR(AVERAGEIF('Pemetaan Variant'!$A$5:$A$32,$B22,'Pemetaan Variant'!$AC$5:$AC$32),"n/a")</f>
        <v>35000</v>
      </c>
      <c r="BD22" s="7" t="n">
        <f aca="false">IFERROR(IF(ISNUMBER(BC22),(BC22-AVERAGEIF('Pemetaan Variant'!$A$5:$A$32,$B22,'Pemetaan Variant'!$G$5:$G$32))/AVERAGEIF('Pemetaan Variant'!$A$5:$A$32,$B22,'Pemetaan Variant'!$G$5:$G$32)*100,"n/a"),"n/a")</f>
        <v>7.7752117013087</v>
      </c>
      <c r="BE22" s="7" t="n">
        <f aca="false">IFERROR(IF(ISNUMBER(BD22),$C22*BD22,"n/a"),"n/a")</f>
        <v>0.0856897057508856</v>
      </c>
      <c r="BF22" s="17" t="n">
        <f aca="false">IFERROR(AVERAGEIF('Pemetaan Variant'!$A$5:$A$32,$B22,'Pemetaan Variant'!$AD$5:$AD$32),"n/a")</f>
        <v>38000</v>
      </c>
      <c r="BG22" s="7" t="n">
        <f aca="false">IFERROR(IF(ISNUMBER(BF22),(BF22-AVERAGEIF('Pemetaan Variant'!$A$5:$A$32,$B22,'Pemetaan Variant'!$G$5:$G$32))/AVERAGEIF('Pemetaan Variant'!$A$5:$A$32,$B22,'Pemetaan Variant'!$G$5:$G$32)*100,"n/a"),"n/a")</f>
        <v>17.0130869899923</v>
      </c>
      <c r="BH22" s="7" t="n">
        <f aca="false">IFERROR(IF(ISNUMBER(BG22),$C22*BG22,"n/a"),"n/a")</f>
        <v>0.187499257138076</v>
      </c>
      <c r="BI22" s="17" t="str">
        <f aca="false">IFERROR(AVERAGEIF('Pemetaan Variant'!$A$5:$A$32,$B22,'Pemetaan Variant'!$AE$5:$AE$32),"n/a")</f>
        <v>n/a</v>
      </c>
      <c r="BJ22" s="7" t="str">
        <f aca="false">IFERROR(IF(ISNUMBER(BI22),(BI22-AVERAGEIF('Pemetaan Variant'!$A$5:$A$32,$B22,'Pemetaan Variant'!$H$5:$H$32))/AVERAGEIF('Pemetaan Variant'!$A$5:$A$32,$B22,'Pemetaan Variant'!$H$5:$H$32)*100,"n/a"),"n/a")</f>
        <v>n/a</v>
      </c>
      <c r="BK22" s="7" t="str">
        <f aca="false">IFERROR(IF(ISNUMBER(BJ22),$C22*BJ22,"n/a"),"n/a")</f>
        <v>n/a</v>
      </c>
      <c r="BL22" s="17" t="n">
        <f aca="false">IFERROR(AVERAGEIF('Pemetaan Variant'!$A$5:$A$32,$B22,'Pemetaan Variant'!$AF$5:$AF$32),"n/a")</f>
        <v>37500</v>
      </c>
      <c r="BM22" s="7" t="n">
        <f aca="false">IFERROR(IF(ISNUMBER(BL22),(BL22-AVERAGEIF('Pemetaan Variant'!$A$5:$A$32,$B22,'Pemetaan Variant'!$H$5:$H$32))/AVERAGEIF('Pemetaan Variant'!$A$5:$A$32,$B22,'Pemetaan Variant'!$H$5:$H$32)*100,"n/a"),"n/a")</f>
        <v>11.7814052519517</v>
      </c>
      <c r="BN22" s="7" t="n">
        <f aca="false">IFERROR(IF(ISNUMBER(BM22),$C22*BM22,"n/a"),"n/a")</f>
        <v>0.129841499904338</v>
      </c>
      <c r="BO22" s="17" t="n">
        <f aca="false">IFERROR(AVERAGEIF('Pemetaan Variant'!$A$5:$A$32,$B22,'Pemetaan Variant'!$AG$5:$AG$32),"n/a")</f>
        <v>43666.6666666667</v>
      </c>
      <c r="BP22" s="7" t="n">
        <f aca="false">IFERROR(IF(ISNUMBER(BO22),(BO22-AVERAGEIF('Pemetaan Variant'!$A$5:$A$32,$B22,'Pemetaan Variant'!$H$5:$H$32))/AVERAGEIF('Pemetaan Variant'!$A$5:$A$32,$B22,'Pemetaan Variant'!$H$5:$H$32)*100,"n/a"),"n/a")</f>
        <v>30.1632363378282</v>
      </c>
      <c r="BQ22" s="7" t="n">
        <f aca="false">IFERROR(IF(ISNUMBER(BP22),$C22*BP22,"n/a"),"n/a")</f>
        <v>0.332425526863516</v>
      </c>
      <c r="BR22" s="17" t="n">
        <f aca="false">IFERROR(AVERAGEIF('Pemetaan Variant'!$A$5:$A$32,$B22,'Pemetaan Variant'!$AH$5:$AH$32),"n/a")</f>
        <v>44700</v>
      </c>
      <c r="BS22" s="7" t="n">
        <f aca="false">IFERROR(IF(ISNUMBER(BR22),(BR22-AVERAGEIF('Pemetaan Variant'!$A$5:$A$32,$B22,'Pemetaan Variant'!$H$5:$H$32))/AVERAGEIF('Pemetaan Variant'!$A$5:$A$32,$B22,'Pemetaan Variant'!$H$5:$H$32)*100,"n/a"),"n/a")</f>
        <v>33.2434350603265</v>
      </c>
      <c r="BT22" s="7" t="n">
        <f aca="false">IFERROR(IF(ISNUMBER(BS22),$C22*BS22,"n/a"),"n/a")</f>
        <v>0.366372039489108</v>
      </c>
      <c r="BU22" s="17" t="n">
        <f aca="false">IFERROR(AVERAGEIF('Pemetaan Variant'!$A$5:$A$32,$B22,'Pemetaan Variant'!$AI$5:$AI$32),"n/a")</f>
        <v>48333.3333333333</v>
      </c>
      <c r="BV22" s="7" t="n">
        <f aca="false">IFERROR(IF(ISNUMBER(BU22),(BU22-AVERAGEIF('Pemetaan Variant'!$A$5:$A$32,$B22,'Pemetaan Variant'!$H$5:$H$32))/AVERAGEIF('Pemetaan Variant'!$A$5:$A$32,$B22,'Pemetaan Variant'!$H$5:$H$32)*100,"n/a"),"n/a")</f>
        <v>44.0738112136267</v>
      </c>
      <c r="BW22" s="7" t="n">
        <f aca="false">IFERROR(IF(ISNUMBER(BV22),$C22*BV22,"n/a"),"n/a")</f>
        <v>0.485732358075867</v>
      </c>
      <c r="BX22" s="17" t="n">
        <f aca="false">IFERROR(AVERAGEIF('Pemetaan Variant'!$A$5:$A$32,$B22,'Pemetaan Variant'!$AJ$5:$AJ$32),"n/a")</f>
        <v>46000</v>
      </c>
      <c r="BY22" s="7" t="n">
        <f aca="false">IFERROR(IF(ISNUMBER(BX22),(BX22-AVERAGEIF('Pemetaan Variant'!$A$5:$A$32,$B22,'Pemetaan Variant'!$I$5:$I$32))/AVERAGEIF('Pemetaan Variant'!$A$5:$A$32,$B22,'Pemetaan Variant'!$I$5:$I$32)*100,"n/a"),"n/a")</f>
        <v>7.13245997088792</v>
      </c>
      <c r="BZ22" s="7" t="n">
        <f aca="false">IFERROR(IF(ISNUMBER(BY22),$C22*BY22,"n/a"),"n/a")</f>
        <v>0.0786060135291858</v>
      </c>
      <c r="CA22" s="17" t="n">
        <f aca="false">IFERROR(AVERAGEIF('Pemetaan Variant'!$A$5:$A$32,$B22,'Pemetaan Variant'!$AK$5:$AK$32),"n/a")</f>
        <v>43500</v>
      </c>
      <c r="CB22" s="7" t="n">
        <f aca="false">IFERROR(IF(ISNUMBER(CA22),(CA22-AVERAGEIF('Pemetaan Variant'!$A$5:$A$32,$B22,'Pemetaan Variant'!$I$5:$I$32))/AVERAGEIF('Pemetaan Variant'!$A$5:$A$32,$B22,'Pemetaan Variant'!$I$5:$I$32)*100,"n/a"),"n/a")</f>
        <v>1.31004366812227</v>
      </c>
      <c r="CC22" s="7" t="n">
        <f aca="false">IFERROR(IF(ISNUMBER(CB22),$C22*CB22,"n/a"),"n/a")</f>
        <v>0.0144378392196464</v>
      </c>
      <c r="CD22" s="17" t="n">
        <f aca="false">IFERROR(AVERAGEIF('Pemetaan Variant'!$A$5:$A$32,$B22,'Pemetaan Variant'!$AL$5:$AL$32),"n/a")</f>
        <v>32375</v>
      </c>
      <c r="CE22" s="7" t="n">
        <f aca="false">IFERROR(IF(ISNUMBER(CD22),(CD22-AVERAGEIF('Pemetaan Variant'!$A$5:$A$32,$B22,'Pemetaan Variant'!$I$5:$I$32))/AVERAGEIF('Pemetaan Variant'!$A$5:$A$32,$B22,'Pemetaan Variant'!$I$5:$I$32)*100,"n/a"),"n/a")</f>
        <v>-24.5997088791849</v>
      </c>
      <c r="CF22" s="7" t="n">
        <f aca="false">IFERROR(IF(ISNUMBER(CE22),$C22*CE22,"n/a"),"n/a")</f>
        <v>-0.271110536457804</v>
      </c>
      <c r="CG22" s="17" t="n">
        <f aca="false">IFERROR(AVERAGEIF('Pemetaan Variant'!$A$5:$A$32,$B22,'Pemetaan Variant'!$AM$5:$AM$32),"n/a")</f>
        <v>30000</v>
      </c>
      <c r="CH22" s="7" t="n">
        <f aca="false">IFERROR(IF(ISNUMBER(CG22),(CG22-AVERAGEIF('Pemetaan Variant'!$A$5:$A$32,$B22,'Pemetaan Variant'!$I$5:$I$32))/AVERAGEIF('Pemetaan Variant'!$A$5:$A$32,$B22,'Pemetaan Variant'!$I$5:$I$32)*100,"n/a"),"n/a")</f>
        <v>-30.1310043668122</v>
      </c>
      <c r="CI22" s="7" t="n">
        <f aca="false">IFERROR(IF(ISNUMBER(CH22),$C22*CH22,"n/a"),"n/a")</f>
        <v>-0.332070302051867</v>
      </c>
      <c r="CJ22" s="17" t="n">
        <f aca="false">IFERROR(AVERAGEIF('Pemetaan Variant'!$A$5:$A$32,$B22,'Pemetaan Variant'!$AN$5:$AN$32),"n/a")</f>
        <v>29500</v>
      </c>
      <c r="CK22" s="7" t="n">
        <f aca="false">IFERROR(IF(ISNUMBER(CJ22),(CJ22-AVERAGEIF('Pemetaan Variant'!$A$5:$A$32,$B22,'Pemetaan Variant'!$I$5:$I$32))/AVERAGEIF('Pemetaan Variant'!$A$5:$A$32,$B22,'Pemetaan Variant'!$I$5:$I$32)*100,"n/a"),"n/a")</f>
        <v>-31.2954876273654</v>
      </c>
      <c r="CL22" s="7" t="n">
        <f aca="false">IFERROR(IF(ISNUMBER(CK22),$C22*CK22,"n/a"),"n/a")</f>
        <v>-0.344903936913775</v>
      </c>
      <c r="CM22" s="17" t="n">
        <f aca="false">IFERROR(AVERAGEIF('Pemetaan Variant'!$A$5:$A$32,$B22,'Pemetaan Variant'!$AO$5:$AO$32),"n/a")</f>
        <v>29000</v>
      </c>
      <c r="CN22" s="7" t="n">
        <f aca="false">IFERROR(IF(ISNUMBER(CM22),(CM22-AVERAGEIF('Pemetaan Variant'!$A$5:$A$32,$B22,'Pemetaan Variant'!$J$5:$J$32))/AVERAGEIF('Pemetaan Variant'!$A$5:$A$32,$B22,'Pemetaan Variant'!$J$5:$J$32)*100,"n/a"),"n/a")</f>
        <v>-21.6216216216216</v>
      </c>
      <c r="CO22" s="7" t="n">
        <f aca="false">IFERROR(IF(ISNUMBER(CN22),$C22*CN22,"n/a"),"n/a")</f>
        <v>-0.238289382435965</v>
      </c>
      <c r="CP22" s="17" t="n">
        <f aca="false">IFERROR(AVERAGEIF('Pemetaan Variant'!$A$5:$A$32,$B22,'Pemetaan Variant'!$AP$5:$AP$32),"n/a")</f>
        <v>29000</v>
      </c>
      <c r="CQ22" s="7" t="n">
        <f aca="false">IFERROR(IF(ISNUMBER(CP22),(CP22-AVERAGEIF('Pemetaan Variant'!$A$5:$A$32,$B22,'Pemetaan Variant'!$J$5:$J$32))/AVERAGEIF('Pemetaan Variant'!$A$5:$A$32,$B22,'Pemetaan Variant'!$J$5:$J$32)*100,"n/a"),"n/a")</f>
        <v>-21.6216216216216</v>
      </c>
      <c r="CR22" s="7" t="n">
        <f aca="false">IFERROR(IF(ISNUMBER(CQ22),$C22*CQ22,"n/a"),"n/a")</f>
        <v>-0.238289382435965</v>
      </c>
      <c r="CS22" s="17" t="n">
        <f aca="false">IFERROR(AVERAGEIF('Pemetaan Variant'!$A$5:$A$32,$B22,'Pemetaan Variant'!$AQ$5:$AQ$32),"n/a")</f>
        <v>29000</v>
      </c>
      <c r="CT22" s="7" t="n">
        <f aca="false">IFERROR(IF(ISNUMBER(CS22),(CS22-AVERAGEIF('Pemetaan Variant'!$A$5:$A$32,$B22,'Pemetaan Variant'!$J$5:$J$32))/AVERAGEIF('Pemetaan Variant'!$A$5:$A$32,$B22,'Pemetaan Variant'!$J$5:$J$32)*100,"n/a"),"n/a")</f>
        <v>-21.6216216216216</v>
      </c>
      <c r="CU22" s="7" t="n">
        <f aca="false">IFERROR(IF(ISNUMBER(CT22),$C22*CT22,"n/a"),"n/a")</f>
        <v>-0.238289382435965</v>
      </c>
      <c r="CV22" s="17" t="n">
        <f aca="false">IFERROR(AVERAGEIF('Pemetaan Variant'!$A$5:$A$32,$B22,'Pemetaan Variant'!$AR$5:$AR$32),"n/a")</f>
        <v>29000</v>
      </c>
      <c r="CW22" s="7" t="n">
        <f aca="false">IFERROR(IF(ISNUMBER(CV22),(CV22-AVERAGEIF('Pemetaan Variant'!$A$5:$A$32,$B22,'Pemetaan Variant'!$J$5:$J$32))/AVERAGEIF('Pemetaan Variant'!$A$5:$A$32,$B22,'Pemetaan Variant'!$J$5:$J$32)*100,"n/a"),"n/a")</f>
        <v>-21.6216216216216</v>
      </c>
      <c r="CX22" s="7" t="n">
        <f aca="false">IFERROR(IF(ISNUMBER(CW22),$C22*CW22,"n/a"),"n/a")</f>
        <v>-0.238289382435965</v>
      </c>
      <c r="CY22" s="17" t="n">
        <f aca="false">IFERROR(AVERAGEIF('Pemetaan Variant'!$A$5:$A$32,$B22,'Pemetaan Variant'!$AS$5:$AS$32),"n/a")</f>
        <v>29000</v>
      </c>
      <c r="CZ22" s="7" t="n">
        <f aca="false">IFERROR(IF(ISNUMBER(CY22),(CY22-AVERAGEIF('Pemetaan Variant'!$A$5:$A$32,$B22,'Pemetaan Variant'!$J$5:$J$32))/AVERAGEIF('Pemetaan Variant'!$A$5:$A$32,$B22,'Pemetaan Variant'!$J$5:$J$32)*100,"n/a"),"n/a")</f>
        <v>-21.6216216216216</v>
      </c>
      <c r="DA22" s="7" t="n">
        <f aca="false">IFERROR(IF(ISNUMBER(CZ22),$C22*CZ22,"n/a"),"n/a")</f>
        <v>-0.238289382435965</v>
      </c>
      <c r="DB22" s="17" t="n">
        <f aca="false">IFERROR(AVERAGEIF('Pemetaan Variant'!$A$5:$A$32,$B22,'Pemetaan Variant'!$AT$5:$AT$32),"n/a")</f>
        <v>29000</v>
      </c>
      <c r="DC22" s="7" t="n">
        <f aca="false">IFERROR(IF(ISNUMBER(DB22),(DB22-AVERAGEIF('Pemetaan Variant'!$A$5:$A$32,$B22,'Pemetaan Variant'!$K$5:$K$32))/AVERAGEIF('Pemetaan Variant'!$A$5:$A$32,$B22,'Pemetaan Variant'!$K$5:$K$32)*100,"n/a"),"n/a")</f>
        <v>0</v>
      </c>
      <c r="DD22" s="7" t="n">
        <f aca="false">IFERROR(IF(ISNUMBER(DC22),$C22*DC22,"n/a"),"n/a")</f>
        <v>0</v>
      </c>
      <c r="DE22" s="17" t="n">
        <f aca="false">IFERROR(AVERAGEIF('Pemetaan Variant'!$A$5:$A$32,$B22,'Pemetaan Variant'!$AU$5:$AU$32),"n/a")</f>
        <v>29000</v>
      </c>
      <c r="DF22" s="7" t="n">
        <f aca="false">IFERROR(IF(ISNUMBER(DE22),(DE22-AVERAGEIF('Pemetaan Variant'!$A$5:$A$32,$B22,'Pemetaan Variant'!$K$5:$K$32))/AVERAGEIF('Pemetaan Variant'!$A$5:$A$32,$B22,'Pemetaan Variant'!$K$5:$K$32)*100,"n/a"),"n/a")</f>
        <v>0</v>
      </c>
      <c r="DG22" s="7" t="n">
        <f aca="false">IFERROR(IF(ISNUMBER(DF22),$C22*DF22,"n/a"),"n/a")</f>
        <v>0</v>
      </c>
      <c r="DH22" s="17" t="n">
        <f aca="false">IFERROR(AVERAGEIF('Pemetaan Variant'!$A$5:$A$32,$B22,'Pemetaan Variant'!$AV$5:$AV$32),"n/a")</f>
        <v>27500</v>
      </c>
      <c r="DI22" s="7" t="n">
        <f aca="false">IFERROR(IF(ISNUMBER(DH22),(DH22-AVERAGEIF('Pemetaan Variant'!$A$5:$A$32,$B22,'Pemetaan Variant'!$K$5:$K$32))/AVERAGEIF('Pemetaan Variant'!$A$5:$A$32,$B22,'Pemetaan Variant'!$K$5:$K$32)*100,"n/a"),"n/a")</f>
        <v>-5.17241379310345</v>
      </c>
      <c r="DJ22" s="7" t="n">
        <f aca="false">IFERROR(IF(ISNUMBER(DI22),$C22*DI22,"n/a"),"n/a")</f>
        <v>-0.0570045720913624</v>
      </c>
      <c r="DK22" s="17" t="n">
        <f aca="false">IFERROR(AVERAGEIF('Pemetaan Variant'!$A$5:$A$32,$B22,'Pemetaan Variant'!$AW$5:$AW$32),"n/a")</f>
        <v>27000</v>
      </c>
      <c r="DL22" s="7" t="n">
        <f aca="false">IFERROR(IF(ISNUMBER(DK22),(DK22-AVERAGEIF('Pemetaan Variant'!$A$5:$A$32,$B22,'Pemetaan Variant'!$K$5:$K$32))/AVERAGEIF('Pemetaan Variant'!$A$5:$A$32,$B22,'Pemetaan Variant'!$K$5:$K$32)*100,"n/a"),"n/a")</f>
        <v>-6.89655172413793</v>
      </c>
      <c r="DM22" s="7" t="n">
        <f aca="false">IFERROR(IF(ISNUMBER(DL22),$C22*DL22,"n/a"),"n/a")</f>
        <v>-0.0760060961218166</v>
      </c>
      <c r="DN22" s="17" t="str">
        <f aca="false">IFERROR(AVERAGEIF('Pemetaan Variant'!$A$5:$A$32,$B22,'Pemetaan Variant'!$AX$5:$AX$32),"n/a")</f>
        <v>n/a</v>
      </c>
      <c r="DO22" s="7" t="str">
        <f aca="false">IFERROR(IF(ISNUMBER(DN22),(DN22-AVERAGEIF('Pemetaan Variant'!$A$5:$A$32,$B22,'Pemetaan Variant'!$K$5:$K$32))/AVERAGEIF('Pemetaan Variant'!$A$5:$A$32,$B22,'Pemetaan Variant'!$K$5:$K$32)*100,"n/a"),"n/a")</f>
        <v>n/a</v>
      </c>
      <c r="DP22" s="7" t="str">
        <f aca="false">IFERROR(IF(ISNUMBER(DO22),$C22*DO22,"n/a"),"n/a")</f>
        <v>n/a</v>
      </c>
      <c r="DQ22" s="18" t="n">
        <f aca="false">IFERROR(AVERAGEIF('Pemetaan Variant'!$A$5:$A$32,$B22,'Pemetaan Variant'!$AZ$5:$AZ$32),"n/a")</f>
        <v>27000</v>
      </c>
      <c r="DR22" s="11" t="n">
        <f aca="false">IFERROR(IF(ISNUMBER(DQ22),(DQ22-AVERAGEIF('Pemetaan Variant'!$A$5:$A$32,$B22,'Pemetaan Variant'!$AY$5:$AY$32))/AVERAGEIF('Pemetaan Variant'!$A$5:$A$32,$B22,'Pemetaan Variant'!$AY$5:$AY$32)*100,"n/a"),"n/a")</f>
        <v>-4.33070866141732</v>
      </c>
      <c r="DS22" s="11" t="n">
        <f aca="false">IFERROR(IF(ISNUMBER(DR22),$C22*DR22,"n/a"),"n/a")</f>
        <v>-0.047728237525314</v>
      </c>
      <c r="DT22" s="18" t="str">
        <f aca="false">IFERROR(AVERAGEIF('Pemetaan Variant'!$A$5:$A$32,$B22,'Pemetaan Variant'!$BA$5:$BA$32),"n/a")</f>
        <v>n/a</v>
      </c>
      <c r="DU22" s="11" t="str">
        <f aca="false">IFERROR(IF(ISNUMBER(DT22),(DT22-AVERAGEIF('Pemetaan Variant'!$A$5:$A$32,$B22,'Pemetaan Variant'!$AY$5:$AY$32))/AVERAGEIF('Pemetaan Variant'!$A$5:$A$32,$B22,'Pemetaan Variant'!$AY$5:$AY$32)*100,"n/a"),"n/a")</f>
        <v>n/a</v>
      </c>
      <c r="DV22" s="11" t="str">
        <f aca="false">IFERROR(IF(ISNUMBER(DU22),$C22*DU22,"n/a"),"n/a")</f>
        <v>n/a</v>
      </c>
      <c r="DW22" s="18" t="str">
        <f aca="false">IFERROR(AVERAGEIF('Pemetaan Variant'!$A$5:$A$32,$B22,'Pemetaan Variant'!$BB$5:$BB$32),"n/a")</f>
        <v>n/a</v>
      </c>
      <c r="DX22" s="11" t="str">
        <f aca="false">IFERROR(IF(ISNUMBER(DW22),(DW22-AVERAGEIF('Pemetaan Variant'!$A$5:$A$32,$B22,'Pemetaan Variant'!$AY$5:$AY$32))/AVERAGEIF('Pemetaan Variant'!$A$5:$A$32,$B22,'Pemetaan Variant'!$AY$5:$AY$32)*100,"n/a"),"n/a")</f>
        <v>n/a</v>
      </c>
      <c r="DY22" s="11" t="str">
        <f aca="false">IFERROR(IF(ISNUMBER(DX22),$C22*DX22,"n/a"),"n/a")</f>
        <v>n/a</v>
      </c>
      <c r="DZ22" s="18" t="str">
        <f aca="false">IFERROR(AVERAGEIF('Pemetaan Variant'!$A$5:$A$32,$B22,'Pemetaan Variant'!$BC$5:$BC$32),"n/a")</f>
        <v>n/a</v>
      </c>
      <c r="EA22" s="11" t="str">
        <f aca="false">IFERROR(IF(ISNUMBER(DZ22),(DZ22-AVERAGEIF('Pemetaan Variant'!$A$5:$A$32,$B22,'Pemetaan Variant'!$AY$5:$AY$32))/AVERAGEIF('Pemetaan Variant'!$A$5:$A$32,$B22,'Pemetaan Variant'!$AY$5:$AY$32)*100,"n/a"),"n/a")</f>
        <v>n/a</v>
      </c>
      <c r="EB22" s="11" t="str">
        <f aca="false">IFERROR(IF(ISNUMBER(EA22),$C22*EA22,"n/a"),"n/a")</f>
        <v>n/a</v>
      </c>
      <c r="EC22" s="18" t="str">
        <f aca="false">IFERROR(AVERAGEIF('Pemetaan Variant'!$A$5:$A$32,$B22,'Pemetaan Variant'!$BD$5:$BD$32),"n/a")</f>
        <v>n/a</v>
      </c>
      <c r="ED22" s="11" t="str">
        <f aca="false">IFERROR(IF(ISNUMBER(EC22),(EC22-AVERAGEIF('Pemetaan Variant'!$A$5:$A$32,$B22,'Pemetaan Variant'!$AY$5:$AY$32))/AVERAGEIF('Pemetaan Variant'!$A$5:$A$32,$B22,'Pemetaan Variant'!$AY$5:$AY$32)*100,"n/a"),"n/a")</f>
        <v>n/a</v>
      </c>
      <c r="EE22" s="11" t="str">
        <f aca="false">IFERROR(IF(ISNUMBER(ED22),$C22*ED22,"n/a"),"n/a")</f>
        <v>n/a</v>
      </c>
      <c r="EG22" s="11" t="n">
        <f aca="false">IFERROR(ABS(F22),0)</f>
        <v>0.014501163075873</v>
      </c>
      <c r="EH22" s="11" t="n">
        <f aca="false">IFERROR(ABS(I22),0)</f>
        <v>0.014501163075873</v>
      </c>
      <c r="EI22" s="11" t="n">
        <f aca="false">IFERROR(ABS(L22),0)</f>
        <v>0.047128779996587</v>
      </c>
      <c r="EJ22" s="11" t="n">
        <f aca="false">IFERROR(ABS(O22),0)</f>
        <v>0.145011630758729</v>
      </c>
      <c r="EK22" s="11" t="n">
        <f aca="false">IFERROR(ABS(R22),0)</f>
        <v>0.145011630758729</v>
      </c>
      <c r="EL22" s="11" t="n">
        <f aca="false">IFERROR(ABS(U22),0)</f>
        <v>0.035398984810482</v>
      </c>
      <c r="EM22" s="11" t="n">
        <f aca="false">IFERROR(ABS(X22),0)</f>
        <v>0.0495585787346748</v>
      </c>
      <c r="EN22" s="11" t="n">
        <f aca="false">IFERROR(ABS(AA22),0)</f>
        <v>0.0542784433760724</v>
      </c>
      <c r="EO22" s="11" t="n">
        <f aca="false">IFERROR(ABS(AD22),0)</f>
        <v>0.0967572251486508</v>
      </c>
      <c r="EP22" s="11" t="n">
        <f aca="false">IFERROR(ABS(AG22),0)</f>
        <v>0.120840750940027</v>
      </c>
      <c r="EQ22" s="11" t="n">
        <f aca="false">IFERROR(ABS(AJ22),0)</f>
        <v>0.288876816624871</v>
      </c>
      <c r="ER22" s="11" t="n">
        <f aca="false">IFERROR(ABS(AM22),0)</f>
        <v>0.816323356135633</v>
      </c>
      <c r="ES22" s="11" t="n">
        <f aca="false">IFERROR(ABS(AP22),0)</f>
        <v>0.399344970917686</v>
      </c>
      <c r="ET22" s="11" t="n">
        <f aca="false">IFERROR(ABS(AS22),0)</f>
        <v>0.473249722029076</v>
      </c>
      <c r="EU22" s="11" t="n">
        <f aca="false">IFERROR(ABS(AV22),0)</f>
        <v>0.0755087506121665</v>
      </c>
      <c r="EV22" s="11" t="n">
        <f aca="false">IFERROR(ABS(AY22),0)</f>
        <v>0.0568436661911815</v>
      </c>
      <c r="EW22" s="11" t="n">
        <f aca="false">IFERROR(ABS(BB22),0)</f>
        <v>0.00424206464113295</v>
      </c>
      <c r="EX22" s="11" t="n">
        <f aca="false">IFERROR(ABS(BE22),0)</f>
        <v>0.0856897057508856</v>
      </c>
      <c r="EY22" s="11" t="n">
        <f aca="false">IFERROR(ABS(BH22),0)</f>
        <v>0.187499257138076</v>
      </c>
      <c r="EZ22" s="11" t="n">
        <f aca="false">IFERROR(ABS(BK22),0)</f>
        <v>0</v>
      </c>
      <c r="FA22" s="11" t="n">
        <f aca="false">IFERROR(ABS(BN22),0)</f>
        <v>0.129841499904338</v>
      </c>
      <c r="FB22" s="11" t="n">
        <f aca="false">IFERROR(ABS(BQ22),0)</f>
        <v>0.332425526863516</v>
      </c>
      <c r="FC22" s="11" t="n">
        <f aca="false">IFERROR(ABS(BT22),0)</f>
        <v>0.366372039489108</v>
      </c>
      <c r="FD22" s="11" t="n">
        <f aca="false">IFERROR(ABS(BW22),0)</f>
        <v>0.485732358075867</v>
      </c>
      <c r="FE22" s="11" t="n">
        <f aca="false">IFERROR(ABS(BZ22),0)</f>
        <v>0.0786060135291858</v>
      </c>
      <c r="FF22" s="11" t="n">
        <f aca="false">IFERROR(ABS(CC22),0)</f>
        <v>0.0144378392196464</v>
      </c>
      <c r="FG22" s="11" t="n">
        <f aca="false">IFERROR(ABS(CF22),0)</f>
        <v>0.271110536457804</v>
      </c>
      <c r="FH22" s="11" t="n">
        <f aca="false">IFERROR(ABS(CI22),0)</f>
        <v>0.332070302051867</v>
      </c>
      <c r="FI22" s="11" t="n">
        <f aca="false">IFERROR(ABS(CL22),0)</f>
        <v>0.344903936913775</v>
      </c>
      <c r="FJ22" s="11" t="n">
        <f aca="false">IFERROR(ABS(CO22),0)</f>
        <v>0.238289382435965</v>
      </c>
      <c r="FK22" s="11" t="n">
        <f aca="false">IFERROR(ABS(CR22),0)</f>
        <v>0.238289382435965</v>
      </c>
      <c r="FL22" s="11" t="n">
        <f aca="false">IFERROR(ABS(CU22),0)</f>
        <v>0.238289382435965</v>
      </c>
      <c r="FM22" s="11" t="n">
        <f aca="false">IFERROR(ABS(CX22),0)</f>
        <v>0.238289382435965</v>
      </c>
      <c r="FN22" s="11" t="n">
        <f aca="false">IFERROR(ABS(DA22),0)</f>
        <v>0.238289382435965</v>
      </c>
      <c r="FO22" s="11" t="n">
        <f aca="false">IFERROR(ABS(DD22),0)</f>
        <v>0</v>
      </c>
      <c r="FP22" s="11" t="n">
        <f aca="false">IFERROR(ABS(DG22),0)</f>
        <v>0</v>
      </c>
      <c r="FQ22" s="11" t="n">
        <f aca="false">IFERROR(ABS(DJ22),0)</f>
        <v>0.0570045720913624</v>
      </c>
      <c r="FR22" s="11" t="n">
        <f aca="false">IFERROR(ABS(DM22),0)</f>
        <v>0.0760060961218166</v>
      </c>
      <c r="FS22" s="11" t="n">
        <f aca="false">IFERROR(ABS(DP22),0)</f>
        <v>0</v>
      </c>
      <c r="FT22" s="11" t="n">
        <f aca="false">IFERROR(ABS(DS22),0)</f>
        <v>0.047728237525314</v>
      </c>
      <c r="FU22" s="11" t="n">
        <f aca="false">IFERROR(ABS(DV22),0)</f>
        <v>0</v>
      </c>
      <c r="FV22" s="11" t="n">
        <f aca="false">IFERROR(ABS(DY22),0)</f>
        <v>0</v>
      </c>
      <c r="FW22" s="11" t="n">
        <f aca="false">IFERROR(ABS(EB22),0)</f>
        <v>0</v>
      </c>
      <c r="FX22" s="11" t="n">
        <f aca="false">IFERROR(ABS(EE22),0)</f>
        <v>0</v>
      </c>
    </row>
    <row r="23" customFormat="false" ht="12.75" hidden="false" customHeight="true" outlineLevel="0" collapsed="false">
      <c r="A23" s="5" t="n">
        <v>18</v>
      </c>
      <c r="B23" s="6" t="s">
        <v>207</v>
      </c>
      <c r="C23" s="7" t="n">
        <f aca="false">'P0Q0 Dasar 2022'!F22</f>
        <v>0.0598704213474298</v>
      </c>
      <c r="D23" s="17" t="n">
        <f aca="false">IFERROR(AVERAGEIF('Pemetaan Variant'!$A$5:$A$32,$B23,'Pemetaan Variant'!$L$5:$L$32),"n/a")</f>
        <v>75000</v>
      </c>
      <c r="E23" s="7" t="n">
        <f aca="false">IFERROR(IF(ISNUMBER(D23),(D23-AVERAGEIF('Pemetaan Variant'!$A$5:$A$32,$B23,'Pemetaan Variant'!$D$5:$D$32))/AVERAGEIF('Pemetaan Variant'!$A$5:$A$32,$B23,'Pemetaan Variant'!$D$5:$D$32)*100,"n/a"),"n/a")</f>
        <v>0</v>
      </c>
      <c r="F23" s="7" t="n">
        <f aca="false">IFERROR(IF(ISNUMBER(E23),$C23*E23,"n/a"),"n/a")</f>
        <v>0</v>
      </c>
      <c r="G23" s="17" t="n">
        <f aca="false">IFERROR(AVERAGEIF('Pemetaan Variant'!$A$5:$A$32,$B23,'Pemetaan Variant'!$M$5:$M$32),"n/a")</f>
        <v>75000</v>
      </c>
      <c r="H23" s="7" t="n">
        <f aca="false">IFERROR(IF(ISNUMBER(G23),(G23-AVERAGEIF('Pemetaan Variant'!$A$5:$A$32,$B23,'Pemetaan Variant'!$D$5:$D$32))/AVERAGEIF('Pemetaan Variant'!$A$5:$A$32,$B23,'Pemetaan Variant'!$D$5:$D$32)*100,"n/a"),"n/a")</f>
        <v>0</v>
      </c>
      <c r="I23" s="7" t="n">
        <f aca="false">IFERROR(IF(ISNUMBER(H23),$C23*H23,"n/a"),"n/a")</f>
        <v>0</v>
      </c>
      <c r="J23" s="17" t="n">
        <f aca="false">IFERROR(AVERAGEIF('Pemetaan Variant'!$A$5:$A$32,$B23,'Pemetaan Variant'!$N$5:$N$32),"n/a")</f>
        <v>75000</v>
      </c>
      <c r="K23" s="7" t="n">
        <f aca="false">IFERROR(IF(ISNUMBER(J23),(J23-AVERAGEIF('Pemetaan Variant'!$A$5:$A$32,$B23,'Pemetaan Variant'!$D$5:$D$32))/AVERAGEIF('Pemetaan Variant'!$A$5:$A$32,$B23,'Pemetaan Variant'!$D$5:$D$32)*100,"n/a"),"n/a")</f>
        <v>0</v>
      </c>
      <c r="L23" s="7" t="n">
        <f aca="false">IFERROR(IF(ISNUMBER(K23),$C23*K23,"n/a"),"n/a")</f>
        <v>0</v>
      </c>
      <c r="M23" s="17" t="n">
        <f aca="false">IFERROR(AVERAGEIF('Pemetaan Variant'!$A$5:$A$32,$B23,'Pemetaan Variant'!$O$5:$O$32),"n/a")</f>
        <v>75000</v>
      </c>
      <c r="N23" s="7" t="n">
        <f aca="false">IFERROR(IF(ISNUMBER(M23),(M23-AVERAGEIF('Pemetaan Variant'!$A$5:$A$32,$B23,'Pemetaan Variant'!$D$5:$D$32))/AVERAGEIF('Pemetaan Variant'!$A$5:$A$32,$B23,'Pemetaan Variant'!$D$5:$D$32)*100,"n/a"),"n/a")</f>
        <v>0</v>
      </c>
      <c r="O23" s="7" t="n">
        <f aca="false">IFERROR(IF(ISNUMBER(N23),$C23*N23,"n/a"),"n/a")</f>
        <v>0</v>
      </c>
      <c r="P23" s="17" t="n">
        <f aca="false">IFERROR(AVERAGEIF('Pemetaan Variant'!$A$5:$A$32,$B23,'Pemetaan Variant'!$P$5:$P$32),"n/a")</f>
        <v>75000</v>
      </c>
      <c r="Q23" s="7" t="n">
        <f aca="false">IFERROR(IF(ISNUMBER(P23),(P23-AVERAGEIF('Pemetaan Variant'!$A$5:$A$32,$B23,'Pemetaan Variant'!$D$5:$D$32))/AVERAGEIF('Pemetaan Variant'!$A$5:$A$32,$B23,'Pemetaan Variant'!$D$5:$D$32)*100,"n/a"),"n/a")</f>
        <v>0</v>
      </c>
      <c r="R23" s="7" t="n">
        <f aca="false">IFERROR(IF(ISNUMBER(Q23),$C23*Q23,"n/a"),"n/a")</f>
        <v>0</v>
      </c>
      <c r="S23" s="17" t="n">
        <f aca="false">IFERROR(AVERAGEIF('Pemetaan Variant'!$A$5:$A$32,$B23,'Pemetaan Variant'!$Q$5:$Q$32),"n/a")</f>
        <v>76666.6666666667</v>
      </c>
      <c r="T23" s="7" t="n">
        <f aca="false">IFERROR(IF(ISNUMBER(S23),(S23-AVERAGEIF('Pemetaan Variant'!$A$5:$A$32,$B23,'Pemetaan Variant'!$E$5:$E$32))/AVERAGEIF('Pemetaan Variant'!$A$5:$A$32,$B23,'Pemetaan Variant'!$E$5:$E$32)*100,"n/a"),"n/a")</f>
        <v>2.22222222222223</v>
      </c>
      <c r="U23" s="7" t="n">
        <f aca="false">IFERROR(IF(ISNUMBER(T23),$C23*T23,"n/a"),"n/a")</f>
        <v>0.133045380772067</v>
      </c>
      <c r="V23" s="17" t="n">
        <f aca="false">IFERROR(AVERAGEIF('Pemetaan Variant'!$A$5:$A$32,$B23,'Pemetaan Variant'!$R$5:$R$32),"n/a")</f>
        <v>75000</v>
      </c>
      <c r="W23" s="7" t="n">
        <f aca="false">IFERROR(IF(ISNUMBER(V23),(V23-AVERAGEIF('Pemetaan Variant'!$A$5:$A$32,$B23,'Pemetaan Variant'!$E$5:$E$32))/AVERAGEIF('Pemetaan Variant'!$A$5:$A$32,$B23,'Pemetaan Variant'!$E$5:$E$32)*100,"n/a"),"n/a")</f>
        <v>0</v>
      </c>
      <c r="X23" s="7" t="n">
        <f aca="false">IFERROR(IF(ISNUMBER(W23),$C23*W23,"n/a"),"n/a")</f>
        <v>0</v>
      </c>
      <c r="Y23" s="17" t="n">
        <f aca="false">IFERROR(AVERAGEIF('Pemetaan Variant'!$A$5:$A$32,$B23,'Pemetaan Variant'!$S$5:$S$32),"n/a")</f>
        <v>80555.5555555556</v>
      </c>
      <c r="Z23" s="7" t="n">
        <f aca="false">IFERROR(IF(ISNUMBER(Y23),(Y23-AVERAGEIF('Pemetaan Variant'!$A$5:$A$32,$B23,'Pemetaan Variant'!$E$5:$E$32))/AVERAGEIF('Pemetaan Variant'!$A$5:$A$32,$B23,'Pemetaan Variant'!$E$5:$E$32)*100,"n/a"),"n/a")</f>
        <v>7.40740740740742</v>
      </c>
      <c r="AA23" s="7" t="n">
        <f aca="false">IFERROR(IF(ISNUMBER(Z23),$C23*Z23,"n/a"),"n/a")</f>
        <v>0.443484602573555</v>
      </c>
      <c r="AB23" s="17" t="n">
        <f aca="false">IFERROR(AVERAGEIF('Pemetaan Variant'!$A$5:$A$32,$B23,'Pemetaan Variant'!$T$5:$T$32),"n/a")</f>
        <v>80000</v>
      </c>
      <c r="AC23" s="7" t="n">
        <f aca="false">IFERROR(IF(ISNUMBER(AB23),(AB23-AVERAGEIF('Pemetaan Variant'!$A$5:$A$32,$B23,'Pemetaan Variant'!$E$5:$E$32))/AVERAGEIF('Pemetaan Variant'!$A$5:$A$32,$B23,'Pemetaan Variant'!$E$5:$E$32)*100,"n/a"),"n/a")</f>
        <v>6.66666666666667</v>
      </c>
      <c r="AD23" s="7" t="n">
        <f aca="false">IFERROR(IF(ISNUMBER(AC23),$C23*AC23,"n/a"),"n/a")</f>
        <v>0.399136142316199</v>
      </c>
      <c r="AE23" s="17" t="n">
        <f aca="false">IFERROR(AVERAGEIF('Pemetaan Variant'!$A$5:$A$32,$B23,'Pemetaan Variant'!$U$5:$U$32),"n/a")</f>
        <v>83333.3333333333</v>
      </c>
      <c r="AF23" s="7" t="n">
        <f aca="false">IFERROR(IF(ISNUMBER(AE23),(AE23-AVERAGEIF('Pemetaan Variant'!$A$5:$A$32,$B23,'Pemetaan Variant'!$F$5:$F$32))/AVERAGEIF('Pemetaan Variant'!$A$5:$A$32,$B23,'Pemetaan Variant'!$F$5:$F$32)*100,"n/a"),"n/a")</f>
        <v>7.14285714285713</v>
      </c>
      <c r="AG23" s="7" t="n">
        <f aca="false">IFERROR(IF(ISNUMBER(AF23),$C23*AF23,"n/a"),"n/a")</f>
        <v>0.427645866767355</v>
      </c>
      <c r="AH23" s="17" t="n">
        <f aca="false">IFERROR(AVERAGEIF('Pemetaan Variant'!$A$5:$A$32,$B23,'Pemetaan Variant'!$V$5:$V$32),"n/a")</f>
        <v>84400</v>
      </c>
      <c r="AI23" s="7" t="n">
        <f aca="false">IFERROR(IF(ISNUMBER(AH23),(AH23-AVERAGEIF('Pemetaan Variant'!$A$5:$A$32,$B23,'Pemetaan Variant'!$F$5:$F$32))/AVERAGEIF('Pemetaan Variant'!$A$5:$A$32,$B23,'Pemetaan Variant'!$F$5:$F$32)*100,"n/a"),"n/a")</f>
        <v>8.51428571428571</v>
      </c>
      <c r="AJ23" s="7" t="n">
        <f aca="false">IFERROR(IF(ISNUMBER(AI23),$C23*AI23,"n/a"),"n/a")</f>
        <v>0.509753873186688</v>
      </c>
      <c r="AK23" s="17" t="n">
        <f aca="false">IFERROR(AVERAGEIF('Pemetaan Variant'!$A$5:$A$32,$B23,'Pemetaan Variant'!$W$5:$W$32),"n/a")</f>
        <v>89000</v>
      </c>
      <c r="AL23" s="7" t="n">
        <f aca="false">IFERROR(IF(ISNUMBER(AK23),(AK23-AVERAGEIF('Pemetaan Variant'!$A$5:$A$32,$B23,'Pemetaan Variant'!$F$5:$F$32))/AVERAGEIF('Pemetaan Variant'!$A$5:$A$32,$B23,'Pemetaan Variant'!$F$5:$F$32)*100,"n/a"),"n/a")</f>
        <v>14.4285714285714</v>
      </c>
      <c r="AM23" s="7" t="n">
        <f aca="false">IFERROR(IF(ISNUMBER(AL23),$C23*AL23,"n/a"),"n/a")</f>
        <v>0.863844650870058</v>
      </c>
      <c r="AN23" s="17" t="n">
        <f aca="false">IFERROR(AVERAGEIF('Pemetaan Variant'!$A$5:$A$32,$B23,'Pemetaan Variant'!$X$5:$X$32),"n/a")</f>
        <v>88333.3333333333</v>
      </c>
      <c r="AO23" s="7" t="n">
        <f aca="false">IFERROR(IF(ISNUMBER(AN23),(AN23-AVERAGEIF('Pemetaan Variant'!$A$5:$A$32,$B23,'Pemetaan Variant'!$F$5:$F$32))/AVERAGEIF('Pemetaan Variant'!$A$5:$A$32,$B23,'Pemetaan Variant'!$F$5:$F$32)*100,"n/a"),"n/a")</f>
        <v>13.5714285714286</v>
      </c>
      <c r="AP23" s="7" t="n">
        <f aca="false">IFERROR(IF(ISNUMBER(AO23),$C23*AO23,"n/a"),"n/a")</f>
        <v>0.812527146857975</v>
      </c>
      <c r="AQ23" s="17" t="n">
        <f aca="false">IFERROR(AVERAGEIF('Pemetaan Variant'!$A$5:$A$32,$B23,'Pemetaan Variant'!$Y$5:$Y$32),"n/a")</f>
        <v>88333.3333333333</v>
      </c>
      <c r="AR23" s="7" t="n">
        <f aca="false">IFERROR(IF(ISNUMBER(AQ23),(AQ23-AVERAGEIF('Pemetaan Variant'!$A$5:$A$32,$B23,'Pemetaan Variant'!$F$5:$F$32))/AVERAGEIF('Pemetaan Variant'!$A$5:$A$32,$B23,'Pemetaan Variant'!$F$5:$F$32)*100,"n/a"),"n/a")</f>
        <v>13.5714285714286</v>
      </c>
      <c r="AS23" s="7" t="n">
        <f aca="false">IFERROR(IF(ISNUMBER(AR23),$C23*AR23,"n/a"),"n/a")</f>
        <v>0.812527146857975</v>
      </c>
      <c r="AT23" s="17" t="n">
        <f aca="false">IFERROR(AVERAGEIF('Pemetaan Variant'!$A$5:$A$32,$B23,'Pemetaan Variant'!$Z$5:$Z$32),"n/a")</f>
        <v>88000</v>
      </c>
      <c r="AU23" s="7" t="n">
        <f aca="false">IFERROR(IF(ISNUMBER(AT23),(AT23-AVERAGEIF('Pemetaan Variant'!$A$5:$A$32,$B23,'Pemetaan Variant'!$G$5:$G$32))/AVERAGEIF('Pemetaan Variant'!$A$5:$A$32,$B23,'Pemetaan Variant'!$G$5:$G$32)*100,"n/a"),"n/a")</f>
        <v>2.00927357032457</v>
      </c>
      <c r="AV23" s="7" t="n">
        <f aca="false">IFERROR(IF(ISNUMBER(AU23),$C23*AU23,"n/a"),"n/a")</f>
        <v>0.120296055257587</v>
      </c>
      <c r="AW23" s="17" t="n">
        <f aca="false">IFERROR(AVERAGEIF('Pemetaan Variant'!$A$5:$A$32,$B23,'Pemetaan Variant'!$AA$5:$AA$32),"n/a")</f>
        <v>88000</v>
      </c>
      <c r="AX23" s="7" t="n">
        <f aca="false">IFERROR(IF(ISNUMBER(AW23),(AW23-AVERAGEIF('Pemetaan Variant'!$A$5:$A$32,$B23,'Pemetaan Variant'!$G$5:$G$32))/AVERAGEIF('Pemetaan Variant'!$A$5:$A$32,$B23,'Pemetaan Variant'!$G$5:$G$32)*100,"n/a"),"n/a")</f>
        <v>2.00927357032457</v>
      </c>
      <c r="AY23" s="7" t="n">
        <f aca="false">IFERROR(IF(ISNUMBER(AX23),$C23*AX23,"n/a"),"n/a")</f>
        <v>0.120296055257587</v>
      </c>
      <c r="AZ23" s="17" t="n">
        <f aca="false">IFERROR(AVERAGEIF('Pemetaan Variant'!$A$5:$A$32,$B23,'Pemetaan Variant'!$AB$5:$AB$32),"n/a")</f>
        <v>88000</v>
      </c>
      <c r="BA23" s="7" t="n">
        <f aca="false">IFERROR(IF(ISNUMBER(AZ23),(AZ23-AVERAGEIF('Pemetaan Variant'!$A$5:$A$32,$B23,'Pemetaan Variant'!$G$5:$G$32))/AVERAGEIF('Pemetaan Variant'!$A$5:$A$32,$B23,'Pemetaan Variant'!$G$5:$G$32)*100,"n/a"),"n/a")</f>
        <v>2.00927357032457</v>
      </c>
      <c r="BB23" s="7" t="n">
        <f aca="false">IFERROR(IF(ISNUMBER(BA23),$C23*BA23,"n/a"),"n/a")</f>
        <v>0.120296055257587</v>
      </c>
      <c r="BC23" s="17" t="n">
        <f aca="false">IFERROR(AVERAGEIF('Pemetaan Variant'!$A$5:$A$32,$B23,'Pemetaan Variant'!$AC$5:$AC$32),"n/a")</f>
        <v>88000</v>
      </c>
      <c r="BD23" s="7" t="n">
        <f aca="false">IFERROR(IF(ISNUMBER(BC23),(BC23-AVERAGEIF('Pemetaan Variant'!$A$5:$A$32,$B23,'Pemetaan Variant'!$G$5:$G$32))/AVERAGEIF('Pemetaan Variant'!$A$5:$A$32,$B23,'Pemetaan Variant'!$G$5:$G$32)*100,"n/a"),"n/a")</f>
        <v>2.00927357032457</v>
      </c>
      <c r="BE23" s="7" t="n">
        <f aca="false">IFERROR(IF(ISNUMBER(BD23),$C23*BD23,"n/a"),"n/a")</f>
        <v>0.120296055257587</v>
      </c>
      <c r="BF23" s="17" t="n">
        <f aca="false">IFERROR(AVERAGEIF('Pemetaan Variant'!$A$5:$A$32,$B23,'Pemetaan Variant'!$AD$5:$AD$32),"n/a")</f>
        <v>88083.3333333333</v>
      </c>
      <c r="BG23" s="7" t="n">
        <f aca="false">IFERROR(IF(ISNUMBER(BF23),(BF23-AVERAGEIF('Pemetaan Variant'!$A$5:$A$32,$B23,'Pemetaan Variant'!$G$5:$G$32))/AVERAGEIF('Pemetaan Variant'!$A$5:$A$32,$B23,'Pemetaan Variant'!$G$5:$G$32)*100,"n/a"),"n/a")</f>
        <v>2.10587326120555</v>
      </c>
      <c r="BH23" s="7" t="n">
        <f aca="false">IFERROR(IF(ISNUMBER(BG23),$C23*BG23,"n/a"),"n/a")</f>
        <v>0.126079519452663</v>
      </c>
      <c r="BI23" s="17" t="str">
        <f aca="false">IFERROR(AVERAGEIF('Pemetaan Variant'!$A$5:$A$32,$B23,'Pemetaan Variant'!$AE$5:$AE$32),"n/a")</f>
        <v>n/a</v>
      </c>
      <c r="BJ23" s="7" t="str">
        <f aca="false">IFERROR(IF(ISNUMBER(BI23),(BI23-AVERAGEIF('Pemetaan Variant'!$A$5:$A$32,$B23,'Pemetaan Variant'!$H$5:$H$32))/AVERAGEIF('Pemetaan Variant'!$A$5:$A$32,$B23,'Pemetaan Variant'!$H$5:$H$32)*100,"n/a"),"n/a")</f>
        <v>n/a</v>
      </c>
      <c r="BK23" s="7" t="str">
        <f aca="false">IFERROR(IF(ISNUMBER(BJ23),$C23*BJ23,"n/a"),"n/a")</f>
        <v>n/a</v>
      </c>
      <c r="BL23" s="17" t="n">
        <f aca="false">IFERROR(AVERAGEIF('Pemetaan Variant'!$A$5:$A$32,$B23,'Pemetaan Variant'!$AF$5:$AF$32),"n/a")</f>
        <v>88333.3333333333</v>
      </c>
      <c r="BM23" s="7" t="n">
        <f aca="false">IFERROR(IF(ISNUMBER(BL23),(BL23-AVERAGEIF('Pemetaan Variant'!$A$5:$A$32,$B23,'Pemetaan Variant'!$H$5:$H$32))/AVERAGEIF('Pemetaan Variant'!$A$5:$A$32,$B23,'Pemetaan Variant'!$H$5:$H$32)*100,"n/a"),"n/a")</f>
        <v>0.360685302073933</v>
      </c>
      <c r="BN23" s="7" t="n">
        <f aca="false">IFERROR(IF(ISNUMBER(BM23),$C23*BM23,"n/a"),"n/a")</f>
        <v>0.0215943810089914</v>
      </c>
      <c r="BO23" s="17" t="n">
        <f aca="false">IFERROR(AVERAGEIF('Pemetaan Variant'!$A$5:$A$32,$B23,'Pemetaan Variant'!$AG$5:$AG$32),"n/a")</f>
        <v>88333.3333333333</v>
      </c>
      <c r="BP23" s="7" t="n">
        <f aca="false">IFERROR(IF(ISNUMBER(BO23),(BO23-AVERAGEIF('Pemetaan Variant'!$A$5:$A$32,$B23,'Pemetaan Variant'!$H$5:$H$32))/AVERAGEIF('Pemetaan Variant'!$A$5:$A$32,$B23,'Pemetaan Variant'!$H$5:$H$32)*100,"n/a"),"n/a")</f>
        <v>0.360685302073933</v>
      </c>
      <c r="BQ23" s="7" t="n">
        <f aca="false">IFERROR(IF(ISNUMBER(BP23),$C23*BP23,"n/a"),"n/a")</f>
        <v>0.0215943810089914</v>
      </c>
      <c r="BR23" s="17" t="n">
        <f aca="false">IFERROR(AVERAGEIF('Pemetaan Variant'!$A$5:$A$32,$B23,'Pemetaan Variant'!$AH$5:$AH$32),"n/a")</f>
        <v>88333.3333333333</v>
      </c>
      <c r="BS23" s="7" t="n">
        <f aca="false">IFERROR(IF(ISNUMBER(BR23),(BR23-AVERAGEIF('Pemetaan Variant'!$A$5:$A$32,$B23,'Pemetaan Variant'!$H$5:$H$32))/AVERAGEIF('Pemetaan Variant'!$A$5:$A$32,$B23,'Pemetaan Variant'!$H$5:$H$32)*100,"n/a"),"n/a")</f>
        <v>0.360685302073933</v>
      </c>
      <c r="BT23" s="7" t="n">
        <f aca="false">IFERROR(IF(ISNUMBER(BS23),$C23*BS23,"n/a"),"n/a")</f>
        <v>0.0215943810089914</v>
      </c>
      <c r="BU23" s="17" t="n">
        <f aca="false">IFERROR(AVERAGEIF('Pemetaan Variant'!$A$5:$A$32,$B23,'Pemetaan Variant'!$AI$5:$AI$32),"n/a")</f>
        <v>88333.3333333333</v>
      </c>
      <c r="BV23" s="7" t="n">
        <f aca="false">IFERROR(IF(ISNUMBER(BU23),(BU23-AVERAGEIF('Pemetaan Variant'!$A$5:$A$32,$B23,'Pemetaan Variant'!$H$5:$H$32))/AVERAGEIF('Pemetaan Variant'!$A$5:$A$32,$B23,'Pemetaan Variant'!$H$5:$H$32)*100,"n/a"),"n/a")</f>
        <v>0.360685302073933</v>
      </c>
      <c r="BW23" s="7" t="n">
        <f aca="false">IFERROR(IF(ISNUMBER(BV23),$C23*BV23,"n/a"),"n/a")</f>
        <v>0.0215943810089914</v>
      </c>
      <c r="BX23" s="17" t="n">
        <f aca="false">IFERROR(AVERAGEIF('Pemetaan Variant'!$A$5:$A$32,$B23,'Pemetaan Variant'!$AJ$5:$AJ$32),"n/a")</f>
        <v>88333.3333333333</v>
      </c>
      <c r="BY23" s="7" t="n">
        <f aca="false">IFERROR(IF(ISNUMBER(BX23),(BX23-AVERAGEIF('Pemetaan Variant'!$A$5:$A$32,$B23,'Pemetaan Variant'!$I$5:$I$32))/AVERAGEIF('Pemetaan Variant'!$A$5:$A$32,$B23,'Pemetaan Variant'!$I$5:$I$32)*100,"n/a"),"n/a")</f>
        <v>0</v>
      </c>
      <c r="BZ23" s="7" t="n">
        <f aca="false">IFERROR(IF(ISNUMBER(BY23),$C23*BY23,"n/a"),"n/a")</f>
        <v>0</v>
      </c>
      <c r="CA23" s="17" t="n">
        <f aca="false">IFERROR(AVERAGEIF('Pemetaan Variant'!$A$5:$A$32,$B23,'Pemetaan Variant'!$AK$5:$AK$32),"n/a")</f>
        <v>88600</v>
      </c>
      <c r="CB23" s="7" t="n">
        <f aca="false">IFERROR(IF(ISNUMBER(CA23),(CA23-AVERAGEIF('Pemetaan Variant'!$A$5:$A$32,$B23,'Pemetaan Variant'!$I$5:$I$32))/AVERAGEIF('Pemetaan Variant'!$A$5:$A$32,$B23,'Pemetaan Variant'!$I$5:$I$32)*100,"n/a"),"n/a")</f>
        <v>0.301886792452836</v>
      </c>
      <c r="CC23" s="7" t="n">
        <f aca="false">IFERROR(IF(ISNUMBER(CB23),$C23*CB23,"n/a"),"n/a")</f>
        <v>0.0180740894633754</v>
      </c>
      <c r="CD23" s="17" t="n">
        <f aca="false">IFERROR(AVERAGEIF('Pemetaan Variant'!$A$5:$A$32,$B23,'Pemetaan Variant'!$AL$5:$AL$32),"n/a")</f>
        <v>89333.3333333333</v>
      </c>
      <c r="CE23" s="7" t="n">
        <f aca="false">IFERROR(IF(ISNUMBER(CD23),(CD23-AVERAGEIF('Pemetaan Variant'!$A$5:$A$32,$B23,'Pemetaan Variant'!$I$5:$I$32))/AVERAGEIF('Pemetaan Variant'!$A$5:$A$32,$B23,'Pemetaan Variant'!$I$5:$I$32)*100,"n/a"),"n/a")</f>
        <v>1.13207547169811</v>
      </c>
      <c r="CF23" s="7" t="n">
        <f aca="false">IFERROR(IF(ISNUMBER(CE23),$C23*CE23,"n/a"),"n/a")</f>
        <v>0.0677778354876564</v>
      </c>
      <c r="CG23" s="17" t="n">
        <f aca="false">IFERROR(AVERAGEIF('Pemetaan Variant'!$A$5:$A$32,$B23,'Pemetaan Variant'!$AM$5:$AM$32),"n/a")</f>
        <v>90000</v>
      </c>
      <c r="CH23" s="7" t="n">
        <f aca="false">IFERROR(IF(ISNUMBER(CG23),(CG23-AVERAGEIF('Pemetaan Variant'!$A$5:$A$32,$B23,'Pemetaan Variant'!$I$5:$I$32))/AVERAGEIF('Pemetaan Variant'!$A$5:$A$32,$B23,'Pemetaan Variant'!$I$5:$I$32)*100,"n/a"),"n/a")</f>
        <v>1.88679245283019</v>
      </c>
      <c r="CI23" s="7" t="n">
        <f aca="false">IFERROR(IF(ISNUMBER(CH23),$C23*CH23,"n/a"),"n/a")</f>
        <v>0.112963059146094</v>
      </c>
      <c r="CJ23" s="17" t="n">
        <f aca="false">IFERROR(AVERAGEIF('Pemetaan Variant'!$A$5:$A$32,$B23,'Pemetaan Variant'!$AN$5:$AN$32),"n/a")</f>
        <v>90000</v>
      </c>
      <c r="CK23" s="7" t="n">
        <f aca="false">IFERROR(IF(ISNUMBER(CJ23),(CJ23-AVERAGEIF('Pemetaan Variant'!$A$5:$A$32,$B23,'Pemetaan Variant'!$I$5:$I$32))/AVERAGEIF('Pemetaan Variant'!$A$5:$A$32,$B23,'Pemetaan Variant'!$I$5:$I$32)*100,"n/a"),"n/a")</f>
        <v>1.88679245283019</v>
      </c>
      <c r="CL23" s="7" t="n">
        <f aca="false">IFERROR(IF(ISNUMBER(CK23),$C23*CK23,"n/a"),"n/a")</f>
        <v>0.112963059146094</v>
      </c>
      <c r="CM23" s="17" t="n">
        <f aca="false">IFERROR(AVERAGEIF('Pemetaan Variant'!$A$5:$A$32,$B23,'Pemetaan Variant'!$AO$5:$AO$32),"n/a")</f>
        <v>90000</v>
      </c>
      <c r="CN23" s="7" t="n">
        <f aca="false">IFERROR(IF(ISNUMBER(CM23),(CM23-AVERAGEIF('Pemetaan Variant'!$A$5:$A$32,$B23,'Pemetaan Variant'!$J$5:$J$32))/AVERAGEIF('Pemetaan Variant'!$A$5:$A$32,$B23,'Pemetaan Variant'!$J$5:$J$32)*100,"n/a"),"n/a")</f>
        <v>0.91571668846945</v>
      </c>
      <c r="CO23" s="7" t="n">
        <f aca="false">IFERROR(IF(ISNUMBER(CN23),$C23*CN23,"n/a"),"n/a")</f>
        <v>0.0548243439735391</v>
      </c>
      <c r="CP23" s="17" t="n">
        <f aca="false">IFERROR(AVERAGEIF('Pemetaan Variant'!$A$5:$A$32,$B23,'Pemetaan Variant'!$AP$5:$AP$32),"n/a")</f>
        <v>90000</v>
      </c>
      <c r="CQ23" s="7" t="n">
        <f aca="false">IFERROR(IF(ISNUMBER(CP23),(CP23-AVERAGEIF('Pemetaan Variant'!$A$5:$A$32,$B23,'Pemetaan Variant'!$J$5:$J$32))/AVERAGEIF('Pemetaan Variant'!$A$5:$A$32,$B23,'Pemetaan Variant'!$J$5:$J$32)*100,"n/a"),"n/a")</f>
        <v>0.91571668846945</v>
      </c>
      <c r="CR23" s="7" t="n">
        <f aca="false">IFERROR(IF(ISNUMBER(CQ23),$C23*CQ23,"n/a"),"n/a")</f>
        <v>0.0548243439735391</v>
      </c>
      <c r="CS23" s="17" t="n">
        <f aca="false">IFERROR(AVERAGEIF('Pemetaan Variant'!$A$5:$A$32,$B23,'Pemetaan Variant'!$AQ$5:$AQ$32),"n/a")</f>
        <v>90000</v>
      </c>
      <c r="CT23" s="7" t="n">
        <f aca="false">IFERROR(IF(ISNUMBER(CS23),(CS23-AVERAGEIF('Pemetaan Variant'!$A$5:$A$32,$B23,'Pemetaan Variant'!$J$5:$J$32))/AVERAGEIF('Pemetaan Variant'!$A$5:$A$32,$B23,'Pemetaan Variant'!$J$5:$J$32)*100,"n/a"),"n/a")</f>
        <v>0.91571668846945</v>
      </c>
      <c r="CU23" s="7" t="n">
        <f aca="false">IFERROR(IF(ISNUMBER(CT23),$C23*CT23,"n/a"),"n/a")</f>
        <v>0.0548243439735391</v>
      </c>
      <c r="CV23" s="17" t="n">
        <f aca="false">IFERROR(AVERAGEIF('Pemetaan Variant'!$A$5:$A$32,$B23,'Pemetaan Variant'!$AR$5:$AR$32),"n/a")</f>
        <v>90000</v>
      </c>
      <c r="CW23" s="7" t="n">
        <f aca="false">IFERROR(IF(ISNUMBER(CV23),(CV23-AVERAGEIF('Pemetaan Variant'!$A$5:$A$32,$B23,'Pemetaan Variant'!$J$5:$J$32))/AVERAGEIF('Pemetaan Variant'!$A$5:$A$32,$B23,'Pemetaan Variant'!$J$5:$J$32)*100,"n/a"),"n/a")</f>
        <v>0.91571668846945</v>
      </c>
      <c r="CX23" s="7" t="n">
        <f aca="false">IFERROR(IF(ISNUMBER(CW23),$C23*CW23,"n/a"),"n/a")</f>
        <v>0.0548243439735391</v>
      </c>
      <c r="CY23" s="17" t="n">
        <f aca="false">IFERROR(AVERAGEIF('Pemetaan Variant'!$A$5:$A$32,$B23,'Pemetaan Variant'!$AS$5:$AS$32),"n/a")</f>
        <v>90000</v>
      </c>
      <c r="CZ23" s="7" t="n">
        <f aca="false">IFERROR(IF(ISNUMBER(CY23),(CY23-AVERAGEIF('Pemetaan Variant'!$A$5:$A$32,$B23,'Pemetaan Variant'!$J$5:$J$32))/AVERAGEIF('Pemetaan Variant'!$A$5:$A$32,$B23,'Pemetaan Variant'!$J$5:$J$32)*100,"n/a"),"n/a")</f>
        <v>0.91571668846945</v>
      </c>
      <c r="DA23" s="7" t="n">
        <f aca="false">IFERROR(IF(ISNUMBER(CZ23),$C23*CZ23,"n/a"),"n/a")</f>
        <v>0.0548243439735391</v>
      </c>
      <c r="DB23" s="17" t="n">
        <f aca="false">IFERROR(AVERAGEIF('Pemetaan Variant'!$A$5:$A$32,$B23,'Pemetaan Variant'!$AT$5:$AT$32),"n/a")</f>
        <v>90000</v>
      </c>
      <c r="DC23" s="7" t="n">
        <f aca="false">IFERROR(IF(ISNUMBER(DB23),(DB23-AVERAGEIF('Pemetaan Variant'!$A$5:$A$32,$B23,'Pemetaan Variant'!$K$5:$K$32))/AVERAGEIF('Pemetaan Variant'!$A$5:$A$32,$B23,'Pemetaan Variant'!$K$5:$K$32)*100,"n/a"),"n/a")</f>
        <v>0</v>
      </c>
      <c r="DD23" s="7" t="n">
        <f aca="false">IFERROR(IF(ISNUMBER(DC23),$C23*DC23,"n/a"),"n/a")</f>
        <v>0</v>
      </c>
      <c r="DE23" s="17" t="n">
        <f aca="false">IFERROR(AVERAGEIF('Pemetaan Variant'!$A$5:$A$32,$B23,'Pemetaan Variant'!$AU$5:$AU$32),"n/a")</f>
        <v>90000</v>
      </c>
      <c r="DF23" s="7" t="n">
        <f aca="false">IFERROR(IF(ISNUMBER(DE23),(DE23-AVERAGEIF('Pemetaan Variant'!$A$5:$A$32,$B23,'Pemetaan Variant'!$K$5:$K$32))/AVERAGEIF('Pemetaan Variant'!$A$5:$A$32,$B23,'Pemetaan Variant'!$K$5:$K$32)*100,"n/a"),"n/a")</f>
        <v>0</v>
      </c>
      <c r="DG23" s="7" t="n">
        <f aca="false">IFERROR(IF(ISNUMBER(DF23),$C23*DF23,"n/a"),"n/a")</f>
        <v>0</v>
      </c>
      <c r="DH23" s="17" t="n">
        <f aca="false">IFERROR(AVERAGEIF('Pemetaan Variant'!$A$5:$A$32,$B23,'Pemetaan Variant'!$AV$5:$AV$32),"n/a")</f>
        <v>90000</v>
      </c>
      <c r="DI23" s="7" t="n">
        <f aca="false">IFERROR(IF(ISNUMBER(DH23),(DH23-AVERAGEIF('Pemetaan Variant'!$A$5:$A$32,$B23,'Pemetaan Variant'!$K$5:$K$32))/AVERAGEIF('Pemetaan Variant'!$A$5:$A$32,$B23,'Pemetaan Variant'!$K$5:$K$32)*100,"n/a"),"n/a")</f>
        <v>0</v>
      </c>
      <c r="DJ23" s="7" t="n">
        <f aca="false">IFERROR(IF(ISNUMBER(DI23),$C23*DI23,"n/a"),"n/a")</f>
        <v>0</v>
      </c>
      <c r="DK23" s="17" t="n">
        <f aca="false">IFERROR(AVERAGEIF('Pemetaan Variant'!$A$5:$A$32,$B23,'Pemetaan Variant'!$AW$5:$AW$32),"n/a")</f>
        <v>90000</v>
      </c>
      <c r="DL23" s="7" t="n">
        <f aca="false">IFERROR(IF(ISNUMBER(DK23),(DK23-AVERAGEIF('Pemetaan Variant'!$A$5:$A$32,$B23,'Pemetaan Variant'!$K$5:$K$32))/AVERAGEIF('Pemetaan Variant'!$A$5:$A$32,$B23,'Pemetaan Variant'!$K$5:$K$32)*100,"n/a"),"n/a")</f>
        <v>0</v>
      </c>
      <c r="DM23" s="7" t="n">
        <f aca="false">IFERROR(IF(ISNUMBER(DL23),$C23*DL23,"n/a"),"n/a")</f>
        <v>0</v>
      </c>
      <c r="DN23" s="17" t="str">
        <f aca="false">IFERROR(AVERAGEIF('Pemetaan Variant'!$A$5:$A$32,$B23,'Pemetaan Variant'!$AX$5:$AX$32),"n/a")</f>
        <v>n/a</v>
      </c>
      <c r="DO23" s="7" t="str">
        <f aca="false">IFERROR(IF(ISNUMBER(DN23),(DN23-AVERAGEIF('Pemetaan Variant'!$A$5:$A$32,$B23,'Pemetaan Variant'!$K$5:$K$32))/AVERAGEIF('Pemetaan Variant'!$A$5:$A$32,$B23,'Pemetaan Variant'!$K$5:$K$32)*100,"n/a"),"n/a")</f>
        <v>n/a</v>
      </c>
      <c r="DP23" s="7" t="str">
        <f aca="false">IFERROR(IF(ISNUMBER(DO23),$C23*DO23,"n/a"),"n/a")</f>
        <v>n/a</v>
      </c>
      <c r="DQ23" s="18" t="n">
        <f aca="false">IFERROR(AVERAGEIF('Pemetaan Variant'!$A$5:$A$32,$B23,'Pemetaan Variant'!$AZ$5:$AZ$32),"n/a")</f>
        <v>90000</v>
      </c>
      <c r="DR23" s="11" t="n">
        <f aca="false">IFERROR(IF(ISNUMBER(DQ23),(DQ23-AVERAGEIF('Pemetaan Variant'!$A$5:$A$32,$B23,'Pemetaan Variant'!$AY$5:$AY$32))/AVERAGEIF('Pemetaan Variant'!$A$5:$A$32,$B23,'Pemetaan Variant'!$AY$5:$AY$32)*100,"n/a"),"n/a")</f>
        <v>0</v>
      </c>
      <c r="DS23" s="11" t="n">
        <f aca="false">IFERROR(IF(ISNUMBER(DR23),$C23*DR23,"n/a"),"n/a")</f>
        <v>0</v>
      </c>
      <c r="DT23" s="18" t="str">
        <f aca="false">IFERROR(AVERAGEIF('Pemetaan Variant'!$A$5:$A$32,$B23,'Pemetaan Variant'!$BA$5:$BA$32),"n/a")</f>
        <v>n/a</v>
      </c>
      <c r="DU23" s="11" t="str">
        <f aca="false">IFERROR(IF(ISNUMBER(DT23),(DT23-AVERAGEIF('Pemetaan Variant'!$A$5:$A$32,$B23,'Pemetaan Variant'!$AY$5:$AY$32))/AVERAGEIF('Pemetaan Variant'!$A$5:$A$32,$B23,'Pemetaan Variant'!$AY$5:$AY$32)*100,"n/a"),"n/a")</f>
        <v>n/a</v>
      </c>
      <c r="DV23" s="11" t="str">
        <f aca="false">IFERROR(IF(ISNUMBER(DU23),$C23*DU23,"n/a"),"n/a")</f>
        <v>n/a</v>
      </c>
      <c r="DW23" s="18" t="str">
        <f aca="false">IFERROR(AVERAGEIF('Pemetaan Variant'!$A$5:$A$32,$B23,'Pemetaan Variant'!$BB$5:$BB$32),"n/a")</f>
        <v>n/a</v>
      </c>
      <c r="DX23" s="11" t="str">
        <f aca="false">IFERROR(IF(ISNUMBER(DW23),(DW23-AVERAGEIF('Pemetaan Variant'!$A$5:$A$32,$B23,'Pemetaan Variant'!$AY$5:$AY$32))/AVERAGEIF('Pemetaan Variant'!$A$5:$A$32,$B23,'Pemetaan Variant'!$AY$5:$AY$32)*100,"n/a"),"n/a")</f>
        <v>n/a</v>
      </c>
      <c r="DY23" s="11" t="str">
        <f aca="false">IFERROR(IF(ISNUMBER(DX23),$C23*DX23,"n/a"),"n/a")</f>
        <v>n/a</v>
      </c>
      <c r="DZ23" s="18" t="str">
        <f aca="false">IFERROR(AVERAGEIF('Pemetaan Variant'!$A$5:$A$32,$B23,'Pemetaan Variant'!$BC$5:$BC$32),"n/a")</f>
        <v>n/a</v>
      </c>
      <c r="EA23" s="11" t="str">
        <f aca="false">IFERROR(IF(ISNUMBER(DZ23),(DZ23-AVERAGEIF('Pemetaan Variant'!$A$5:$A$32,$B23,'Pemetaan Variant'!$AY$5:$AY$32))/AVERAGEIF('Pemetaan Variant'!$A$5:$A$32,$B23,'Pemetaan Variant'!$AY$5:$AY$32)*100,"n/a"),"n/a")</f>
        <v>n/a</v>
      </c>
      <c r="EB23" s="11" t="str">
        <f aca="false">IFERROR(IF(ISNUMBER(EA23),$C23*EA23,"n/a"),"n/a")</f>
        <v>n/a</v>
      </c>
      <c r="EC23" s="18" t="str">
        <f aca="false">IFERROR(AVERAGEIF('Pemetaan Variant'!$A$5:$A$32,$B23,'Pemetaan Variant'!$BD$5:$BD$32),"n/a")</f>
        <v>n/a</v>
      </c>
      <c r="ED23" s="11" t="str">
        <f aca="false">IFERROR(IF(ISNUMBER(EC23),(EC23-AVERAGEIF('Pemetaan Variant'!$A$5:$A$32,$B23,'Pemetaan Variant'!$AY$5:$AY$32))/AVERAGEIF('Pemetaan Variant'!$A$5:$A$32,$B23,'Pemetaan Variant'!$AY$5:$AY$32)*100,"n/a"),"n/a")</f>
        <v>n/a</v>
      </c>
      <c r="EE23" s="11" t="str">
        <f aca="false">IFERROR(IF(ISNUMBER(ED23),$C23*ED23,"n/a"),"n/a")</f>
        <v>n/a</v>
      </c>
      <c r="EG23" s="11" t="n">
        <f aca="false">IFERROR(ABS(F23),0)</f>
        <v>0</v>
      </c>
      <c r="EH23" s="11" t="n">
        <f aca="false">IFERROR(ABS(I23),0)</f>
        <v>0</v>
      </c>
      <c r="EI23" s="11" t="n">
        <f aca="false">IFERROR(ABS(L23),0)</f>
        <v>0</v>
      </c>
      <c r="EJ23" s="11" t="n">
        <f aca="false">IFERROR(ABS(O23),0)</f>
        <v>0</v>
      </c>
      <c r="EK23" s="11" t="n">
        <f aca="false">IFERROR(ABS(R23),0)</f>
        <v>0</v>
      </c>
      <c r="EL23" s="11" t="n">
        <f aca="false">IFERROR(ABS(U23),0)</f>
        <v>0.133045380772067</v>
      </c>
      <c r="EM23" s="11" t="n">
        <f aca="false">IFERROR(ABS(X23),0)</f>
        <v>0</v>
      </c>
      <c r="EN23" s="11" t="n">
        <f aca="false">IFERROR(ABS(AA23),0)</f>
        <v>0.443484602573555</v>
      </c>
      <c r="EO23" s="11" t="n">
        <f aca="false">IFERROR(ABS(AD23),0)</f>
        <v>0.399136142316199</v>
      </c>
      <c r="EP23" s="11" t="n">
        <f aca="false">IFERROR(ABS(AG23),0)</f>
        <v>0.427645866767355</v>
      </c>
      <c r="EQ23" s="11" t="n">
        <f aca="false">IFERROR(ABS(AJ23),0)</f>
        <v>0.509753873186688</v>
      </c>
      <c r="ER23" s="11" t="n">
        <f aca="false">IFERROR(ABS(AM23),0)</f>
        <v>0.863844650870058</v>
      </c>
      <c r="ES23" s="11" t="n">
        <f aca="false">IFERROR(ABS(AP23),0)</f>
        <v>0.812527146857975</v>
      </c>
      <c r="ET23" s="11" t="n">
        <f aca="false">IFERROR(ABS(AS23),0)</f>
        <v>0.812527146857975</v>
      </c>
      <c r="EU23" s="11" t="n">
        <f aca="false">IFERROR(ABS(AV23),0)</f>
        <v>0.120296055257587</v>
      </c>
      <c r="EV23" s="11" t="n">
        <f aca="false">IFERROR(ABS(AY23),0)</f>
        <v>0.120296055257587</v>
      </c>
      <c r="EW23" s="11" t="n">
        <f aca="false">IFERROR(ABS(BB23),0)</f>
        <v>0.120296055257587</v>
      </c>
      <c r="EX23" s="11" t="n">
        <f aca="false">IFERROR(ABS(BE23),0)</f>
        <v>0.120296055257587</v>
      </c>
      <c r="EY23" s="11" t="n">
        <f aca="false">IFERROR(ABS(BH23),0)</f>
        <v>0.126079519452663</v>
      </c>
      <c r="EZ23" s="11" t="n">
        <f aca="false">IFERROR(ABS(BK23),0)</f>
        <v>0</v>
      </c>
      <c r="FA23" s="11" t="n">
        <f aca="false">IFERROR(ABS(BN23),0)</f>
        <v>0.0215943810089914</v>
      </c>
      <c r="FB23" s="11" t="n">
        <f aca="false">IFERROR(ABS(BQ23),0)</f>
        <v>0.0215943810089914</v>
      </c>
      <c r="FC23" s="11" t="n">
        <f aca="false">IFERROR(ABS(BT23),0)</f>
        <v>0.0215943810089914</v>
      </c>
      <c r="FD23" s="11" t="n">
        <f aca="false">IFERROR(ABS(BW23),0)</f>
        <v>0.0215943810089914</v>
      </c>
      <c r="FE23" s="11" t="n">
        <f aca="false">IFERROR(ABS(BZ23),0)</f>
        <v>0</v>
      </c>
      <c r="FF23" s="11" t="n">
        <f aca="false">IFERROR(ABS(CC23),0)</f>
        <v>0.0180740894633754</v>
      </c>
      <c r="FG23" s="11" t="n">
        <f aca="false">IFERROR(ABS(CF23),0)</f>
        <v>0.0677778354876564</v>
      </c>
      <c r="FH23" s="11" t="n">
        <f aca="false">IFERROR(ABS(CI23),0)</f>
        <v>0.112963059146094</v>
      </c>
      <c r="FI23" s="11" t="n">
        <f aca="false">IFERROR(ABS(CL23),0)</f>
        <v>0.112963059146094</v>
      </c>
      <c r="FJ23" s="11" t="n">
        <f aca="false">IFERROR(ABS(CO23),0)</f>
        <v>0.0548243439735391</v>
      </c>
      <c r="FK23" s="11" t="n">
        <f aca="false">IFERROR(ABS(CR23),0)</f>
        <v>0.0548243439735391</v>
      </c>
      <c r="FL23" s="11" t="n">
        <f aca="false">IFERROR(ABS(CU23),0)</f>
        <v>0.0548243439735391</v>
      </c>
      <c r="FM23" s="11" t="n">
        <f aca="false">IFERROR(ABS(CX23),0)</f>
        <v>0.0548243439735391</v>
      </c>
      <c r="FN23" s="11" t="n">
        <f aca="false">IFERROR(ABS(DA23),0)</f>
        <v>0.0548243439735391</v>
      </c>
      <c r="FO23" s="11" t="n">
        <f aca="false">IFERROR(ABS(DD23),0)</f>
        <v>0</v>
      </c>
      <c r="FP23" s="11" t="n">
        <f aca="false">IFERROR(ABS(DG23),0)</f>
        <v>0</v>
      </c>
      <c r="FQ23" s="11" t="n">
        <f aca="false">IFERROR(ABS(DJ23),0)</f>
        <v>0</v>
      </c>
      <c r="FR23" s="11" t="n">
        <f aca="false">IFERROR(ABS(DM23),0)</f>
        <v>0</v>
      </c>
      <c r="FS23" s="11" t="n">
        <f aca="false">IFERROR(ABS(DP23),0)</f>
        <v>0</v>
      </c>
      <c r="FT23" s="11" t="n">
        <f aca="false">IFERROR(ABS(DS23),0)</f>
        <v>0</v>
      </c>
      <c r="FU23" s="11" t="n">
        <f aca="false">IFERROR(ABS(DV23),0)</f>
        <v>0</v>
      </c>
      <c r="FV23" s="11" t="n">
        <f aca="false">IFERROR(ABS(DY23),0)</f>
        <v>0</v>
      </c>
      <c r="FW23" s="11" t="n">
        <f aca="false">IFERROR(ABS(EB23),0)</f>
        <v>0</v>
      </c>
      <c r="FX23" s="11" t="n">
        <f aca="false">IFERROR(ABS(EE23),0)</f>
        <v>0</v>
      </c>
    </row>
    <row r="24" customFormat="false" ht="12.75" hidden="false" customHeight="true" outlineLevel="0" collapsed="false">
      <c r="A24" s="5" t="n">
        <v>19</v>
      </c>
      <c r="B24" s="6" t="s">
        <v>208</v>
      </c>
      <c r="C24" s="7" t="n">
        <f aca="false">'P0Q0 Dasar 2022'!F23</f>
        <v>0.0202825952223294</v>
      </c>
      <c r="D24" s="17" t="n">
        <f aca="false">IFERROR(AVERAGEIF('Pemetaan Variant'!$A$5:$A$32,$B24,'Pemetaan Variant'!$L$5:$L$32),"n/a")</f>
        <v>8000</v>
      </c>
      <c r="E24" s="7" t="n">
        <f aca="false">IFERROR(IF(ISNUMBER(D24),(D24-AVERAGEIF('Pemetaan Variant'!$A$5:$A$32,$B24,'Pemetaan Variant'!$D$5:$D$32))/AVERAGEIF('Pemetaan Variant'!$A$5:$A$32,$B24,'Pemetaan Variant'!$D$5:$D$32)*100,"n/a"),"n/a")</f>
        <v>0</v>
      </c>
      <c r="F24" s="7" t="n">
        <f aca="false">IFERROR(IF(ISNUMBER(E24),$C24*E24,"n/a"),"n/a")</f>
        <v>0</v>
      </c>
      <c r="G24" s="17" t="n">
        <f aca="false">IFERROR(AVERAGEIF('Pemetaan Variant'!$A$5:$A$32,$B24,'Pemetaan Variant'!$M$5:$M$32),"n/a")</f>
        <v>8000</v>
      </c>
      <c r="H24" s="7" t="n">
        <f aca="false">IFERROR(IF(ISNUMBER(G24),(G24-AVERAGEIF('Pemetaan Variant'!$A$5:$A$32,$B24,'Pemetaan Variant'!$D$5:$D$32))/AVERAGEIF('Pemetaan Variant'!$A$5:$A$32,$B24,'Pemetaan Variant'!$D$5:$D$32)*100,"n/a"),"n/a")</f>
        <v>0</v>
      </c>
      <c r="I24" s="7" t="n">
        <f aca="false">IFERROR(IF(ISNUMBER(H24),$C24*H24,"n/a"),"n/a")</f>
        <v>0</v>
      </c>
      <c r="J24" s="17" t="n">
        <f aca="false">IFERROR(AVERAGEIF('Pemetaan Variant'!$A$5:$A$32,$B24,'Pemetaan Variant'!$N$5:$N$32),"n/a")</f>
        <v>8000</v>
      </c>
      <c r="K24" s="7" t="n">
        <f aca="false">IFERROR(IF(ISNUMBER(J24),(J24-AVERAGEIF('Pemetaan Variant'!$A$5:$A$32,$B24,'Pemetaan Variant'!$D$5:$D$32))/AVERAGEIF('Pemetaan Variant'!$A$5:$A$32,$B24,'Pemetaan Variant'!$D$5:$D$32)*100,"n/a"),"n/a")</f>
        <v>0</v>
      </c>
      <c r="L24" s="7" t="n">
        <f aca="false">IFERROR(IF(ISNUMBER(K24),$C24*K24,"n/a"),"n/a")</f>
        <v>0</v>
      </c>
      <c r="M24" s="17" t="n">
        <f aca="false">IFERROR(AVERAGEIF('Pemetaan Variant'!$A$5:$A$32,$B24,'Pemetaan Variant'!$O$5:$O$32),"n/a")</f>
        <v>8000</v>
      </c>
      <c r="N24" s="7" t="n">
        <f aca="false">IFERROR(IF(ISNUMBER(M24),(M24-AVERAGEIF('Pemetaan Variant'!$A$5:$A$32,$B24,'Pemetaan Variant'!$D$5:$D$32))/AVERAGEIF('Pemetaan Variant'!$A$5:$A$32,$B24,'Pemetaan Variant'!$D$5:$D$32)*100,"n/a"),"n/a")</f>
        <v>0</v>
      </c>
      <c r="O24" s="7" t="n">
        <f aca="false">IFERROR(IF(ISNUMBER(N24),$C24*N24,"n/a"),"n/a")</f>
        <v>0</v>
      </c>
      <c r="P24" s="17" t="n">
        <f aca="false">IFERROR(AVERAGEIF('Pemetaan Variant'!$A$5:$A$32,$B24,'Pemetaan Variant'!$P$5:$P$32),"n/a")</f>
        <v>8000</v>
      </c>
      <c r="Q24" s="7" t="n">
        <f aca="false">IFERROR(IF(ISNUMBER(P24),(P24-AVERAGEIF('Pemetaan Variant'!$A$5:$A$32,$B24,'Pemetaan Variant'!$D$5:$D$32))/AVERAGEIF('Pemetaan Variant'!$A$5:$A$32,$B24,'Pemetaan Variant'!$D$5:$D$32)*100,"n/a"),"n/a")</f>
        <v>0</v>
      </c>
      <c r="R24" s="7" t="n">
        <f aca="false">IFERROR(IF(ISNUMBER(Q24),$C24*Q24,"n/a"),"n/a")</f>
        <v>0</v>
      </c>
      <c r="S24" s="17" t="n">
        <f aca="false">IFERROR(AVERAGEIF('Pemetaan Variant'!$A$5:$A$32,$B24,'Pemetaan Variant'!$Q$5:$Q$32),"n/a")</f>
        <v>8400</v>
      </c>
      <c r="T24" s="7" t="n">
        <f aca="false">IFERROR(IF(ISNUMBER(S24),(S24-AVERAGEIF('Pemetaan Variant'!$A$5:$A$32,$B24,'Pemetaan Variant'!$E$5:$E$32))/AVERAGEIF('Pemetaan Variant'!$A$5:$A$32,$B24,'Pemetaan Variant'!$E$5:$E$32)*100,"n/a"),"n/a")</f>
        <v>5</v>
      </c>
      <c r="U24" s="7" t="n">
        <f aca="false">IFERROR(IF(ISNUMBER(T24),$C24*T24,"n/a"),"n/a")</f>
        <v>0.101412976111647</v>
      </c>
      <c r="V24" s="17" t="n">
        <f aca="false">IFERROR(AVERAGEIF('Pemetaan Variant'!$A$5:$A$32,$B24,'Pemetaan Variant'!$R$5:$R$32),"n/a")</f>
        <v>8000</v>
      </c>
      <c r="W24" s="7" t="n">
        <f aca="false">IFERROR(IF(ISNUMBER(V24),(V24-AVERAGEIF('Pemetaan Variant'!$A$5:$A$32,$B24,'Pemetaan Variant'!$E$5:$E$32))/AVERAGEIF('Pemetaan Variant'!$A$5:$A$32,$B24,'Pemetaan Variant'!$E$5:$E$32)*100,"n/a"),"n/a")</f>
        <v>0</v>
      </c>
      <c r="X24" s="7" t="n">
        <f aca="false">IFERROR(IF(ISNUMBER(W24),$C24*W24,"n/a"),"n/a")</f>
        <v>0</v>
      </c>
      <c r="Y24" s="17" t="n">
        <f aca="false">IFERROR(AVERAGEIF('Pemetaan Variant'!$A$5:$A$32,$B24,'Pemetaan Variant'!$S$5:$S$32),"n/a")</f>
        <v>9333.33333333333</v>
      </c>
      <c r="Z24" s="7" t="n">
        <f aca="false">IFERROR(IF(ISNUMBER(Y24),(Y24-AVERAGEIF('Pemetaan Variant'!$A$5:$A$32,$B24,'Pemetaan Variant'!$E$5:$E$32))/AVERAGEIF('Pemetaan Variant'!$A$5:$A$32,$B24,'Pemetaan Variant'!$E$5:$E$32)*100,"n/a"),"n/a")</f>
        <v>16.6666666666667</v>
      </c>
      <c r="AA24" s="7" t="n">
        <f aca="false">IFERROR(IF(ISNUMBER(Z24),$C24*Z24,"n/a"),"n/a")</f>
        <v>0.33804325370549</v>
      </c>
      <c r="AB24" s="17" t="n">
        <f aca="false">IFERROR(AVERAGEIF('Pemetaan Variant'!$A$5:$A$32,$B24,'Pemetaan Variant'!$T$5:$T$32),"n/a")</f>
        <v>9200</v>
      </c>
      <c r="AC24" s="7" t="n">
        <f aca="false">IFERROR(IF(ISNUMBER(AB24),(AB24-AVERAGEIF('Pemetaan Variant'!$A$5:$A$32,$B24,'Pemetaan Variant'!$E$5:$E$32))/AVERAGEIF('Pemetaan Variant'!$A$5:$A$32,$B24,'Pemetaan Variant'!$E$5:$E$32)*100,"n/a"),"n/a")</f>
        <v>15</v>
      </c>
      <c r="AD24" s="7" t="n">
        <f aca="false">IFERROR(IF(ISNUMBER(AC24),$C24*AC24,"n/a"),"n/a")</f>
        <v>0.304238928334941</v>
      </c>
      <c r="AE24" s="17" t="n">
        <f aca="false">IFERROR(AVERAGEIF('Pemetaan Variant'!$A$5:$A$32,$B24,'Pemetaan Variant'!$U$5:$U$32),"n/a")</f>
        <v>10000</v>
      </c>
      <c r="AF24" s="7" t="n">
        <f aca="false">IFERROR(IF(ISNUMBER(AE24),(AE24-AVERAGEIF('Pemetaan Variant'!$A$5:$A$32,$B24,'Pemetaan Variant'!$F$5:$F$32))/AVERAGEIF('Pemetaan Variant'!$A$5:$A$32,$B24,'Pemetaan Variant'!$F$5:$F$32)*100,"n/a"),"n/a")</f>
        <v>15.3846153846154</v>
      </c>
      <c r="AG24" s="7" t="n">
        <f aca="false">IFERROR(IF(ISNUMBER(AF24),$C24*AF24,"n/a"),"n/a")</f>
        <v>0.312039926497376</v>
      </c>
      <c r="AH24" s="17" t="n">
        <f aca="false">IFERROR(AVERAGEIF('Pemetaan Variant'!$A$5:$A$32,$B24,'Pemetaan Variant'!$V$5:$V$32),"n/a")</f>
        <v>11000</v>
      </c>
      <c r="AI24" s="7" t="n">
        <f aca="false">IFERROR(IF(ISNUMBER(AH24),(AH24-AVERAGEIF('Pemetaan Variant'!$A$5:$A$32,$B24,'Pemetaan Variant'!$F$5:$F$32))/AVERAGEIF('Pemetaan Variant'!$A$5:$A$32,$B24,'Pemetaan Variant'!$F$5:$F$32)*100,"n/a"),"n/a")</f>
        <v>26.9230769230769</v>
      </c>
      <c r="AJ24" s="7" t="n">
        <f aca="false">IFERROR(IF(ISNUMBER(AI24),$C24*AI24,"n/a"),"n/a")</f>
        <v>0.546069871370407</v>
      </c>
      <c r="AK24" s="17" t="n">
        <f aca="false">IFERROR(AVERAGEIF('Pemetaan Variant'!$A$5:$A$32,$B24,'Pemetaan Variant'!$W$5:$W$32),"n/a")</f>
        <v>11000</v>
      </c>
      <c r="AL24" s="7" t="n">
        <f aca="false">IFERROR(IF(ISNUMBER(AK24),(AK24-AVERAGEIF('Pemetaan Variant'!$A$5:$A$32,$B24,'Pemetaan Variant'!$F$5:$F$32))/AVERAGEIF('Pemetaan Variant'!$A$5:$A$32,$B24,'Pemetaan Variant'!$F$5:$F$32)*100,"n/a"),"n/a")</f>
        <v>26.9230769230769</v>
      </c>
      <c r="AM24" s="7" t="n">
        <f aca="false">IFERROR(IF(ISNUMBER(AL24),$C24*AL24,"n/a"),"n/a")</f>
        <v>0.546069871370407</v>
      </c>
      <c r="AN24" s="17" t="n">
        <f aca="false">IFERROR(AVERAGEIF('Pemetaan Variant'!$A$5:$A$32,$B24,'Pemetaan Variant'!$X$5:$X$32),"n/a")</f>
        <v>11000</v>
      </c>
      <c r="AO24" s="7" t="n">
        <f aca="false">IFERROR(IF(ISNUMBER(AN24),(AN24-AVERAGEIF('Pemetaan Variant'!$A$5:$A$32,$B24,'Pemetaan Variant'!$F$5:$F$32))/AVERAGEIF('Pemetaan Variant'!$A$5:$A$32,$B24,'Pemetaan Variant'!$F$5:$F$32)*100,"n/a"),"n/a")</f>
        <v>26.9230769230769</v>
      </c>
      <c r="AP24" s="7" t="n">
        <f aca="false">IFERROR(IF(ISNUMBER(AO24),$C24*AO24,"n/a"),"n/a")</f>
        <v>0.546069871370407</v>
      </c>
      <c r="AQ24" s="17" t="n">
        <f aca="false">IFERROR(AVERAGEIF('Pemetaan Variant'!$A$5:$A$32,$B24,'Pemetaan Variant'!$Y$5:$Y$32),"n/a")</f>
        <v>11000</v>
      </c>
      <c r="AR24" s="7" t="n">
        <f aca="false">IFERROR(IF(ISNUMBER(AQ24),(AQ24-AVERAGEIF('Pemetaan Variant'!$A$5:$A$32,$B24,'Pemetaan Variant'!$F$5:$F$32))/AVERAGEIF('Pemetaan Variant'!$A$5:$A$32,$B24,'Pemetaan Variant'!$F$5:$F$32)*100,"n/a"),"n/a")</f>
        <v>26.9230769230769</v>
      </c>
      <c r="AS24" s="7" t="n">
        <f aca="false">IFERROR(IF(ISNUMBER(AR24),$C24*AR24,"n/a"),"n/a")</f>
        <v>0.546069871370407</v>
      </c>
      <c r="AT24" s="17" t="n">
        <f aca="false">IFERROR(AVERAGEIF('Pemetaan Variant'!$A$5:$A$32,$B24,'Pemetaan Variant'!$Z$5:$Z$32),"n/a")</f>
        <v>11000</v>
      </c>
      <c r="AU24" s="7" t="n">
        <f aca="false">IFERROR(IF(ISNUMBER(AT24),(AT24-AVERAGEIF('Pemetaan Variant'!$A$5:$A$32,$B24,'Pemetaan Variant'!$G$5:$G$32))/AVERAGEIF('Pemetaan Variant'!$A$5:$A$32,$B24,'Pemetaan Variant'!$G$5:$G$32)*100,"n/a"),"n/a")</f>
        <v>2.32558139534884</v>
      </c>
      <c r="AV24" s="7" t="n">
        <f aca="false">IFERROR(IF(ISNUMBER(AU24),$C24*AU24,"n/a"),"n/a")</f>
        <v>0.0471688260984405</v>
      </c>
      <c r="AW24" s="17" t="n">
        <f aca="false">IFERROR(AVERAGEIF('Pemetaan Variant'!$A$5:$A$32,$B24,'Pemetaan Variant'!$AA$5:$AA$32),"n/a")</f>
        <v>11000</v>
      </c>
      <c r="AX24" s="7" t="n">
        <f aca="false">IFERROR(IF(ISNUMBER(AW24),(AW24-AVERAGEIF('Pemetaan Variant'!$A$5:$A$32,$B24,'Pemetaan Variant'!$G$5:$G$32))/AVERAGEIF('Pemetaan Variant'!$A$5:$A$32,$B24,'Pemetaan Variant'!$G$5:$G$32)*100,"n/a"),"n/a")</f>
        <v>2.32558139534884</v>
      </c>
      <c r="AY24" s="7" t="n">
        <f aca="false">IFERROR(IF(ISNUMBER(AX24),$C24*AX24,"n/a"),"n/a")</f>
        <v>0.0471688260984405</v>
      </c>
      <c r="AZ24" s="17" t="n">
        <f aca="false">IFERROR(AVERAGEIF('Pemetaan Variant'!$A$5:$A$32,$B24,'Pemetaan Variant'!$AB$5:$AB$32),"n/a")</f>
        <v>11000</v>
      </c>
      <c r="BA24" s="7" t="n">
        <f aca="false">IFERROR(IF(ISNUMBER(AZ24),(AZ24-AVERAGEIF('Pemetaan Variant'!$A$5:$A$32,$B24,'Pemetaan Variant'!$G$5:$G$32))/AVERAGEIF('Pemetaan Variant'!$A$5:$A$32,$B24,'Pemetaan Variant'!$G$5:$G$32)*100,"n/a"),"n/a")</f>
        <v>2.32558139534884</v>
      </c>
      <c r="BB24" s="7" t="n">
        <f aca="false">IFERROR(IF(ISNUMBER(BA24),$C24*BA24,"n/a"),"n/a")</f>
        <v>0.0471688260984405</v>
      </c>
      <c r="BC24" s="17" t="n">
        <f aca="false">IFERROR(AVERAGEIF('Pemetaan Variant'!$A$5:$A$32,$B24,'Pemetaan Variant'!$AC$5:$AC$32),"n/a")</f>
        <v>11000</v>
      </c>
      <c r="BD24" s="7" t="n">
        <f aca="false">IFERROR(IF(ISNUMBER(BC24),(BC24-AVERAGEIF('Pemetaan Variant'!$A$5:$A$32,$B24,'Pemetaan Variant'!$G$5:$G$32))/AVERAGEIF('Pemetaan Variant'!$A$5:$A$32,$B24,'Pemetaan Variant'!$G$5:$G$32)*100,"n/a"),"n/a")</f>
        <v>2.32558139534884</v>
      </c>
      <c r="BE24" s="7" t="n">
        <f aca="false">IFERROR(IF(ISNUMBER(BD24),$C24*BD24,"n/a"),"n/a")</f>
        <v>0.0471688260984405</v>
      </c>
      <c r="BF24" s="17" t="n">
        <f aca="false">IFERROR(AVERAGEIF('Pemetaan Variant'!$A$5:$A$32,$B24,'Pemetaan Variant'!$AD$5:$AD$32),"n/a")</f>
        <v>11000</v>
      </c>
      <c r="BG24" s="7" t="n">
        <f aca="false">IFERROR(IF(ISNUMBER(BF24),(BF24-AVERAGEIF('Pemetaan Variant'!$A$5:$A$32,$B24,'Pemetaan Variant'!$G$5:$G$32))/AVERAGEIF('Pemetaan Variant'!$A$5:$A$32,$B24,'Pemetaan Variant'!$G$5:$G$32)*100,"n/a"),"n/a")</f>
        <v>2.32558139534884</v>
      </c>
      <c r="BH24" s="7" t="n">
        <f aca="false">IFERROR(IF(ISNUMBER(BG24),$C24*BG24,"n/a"),"n/a")</f>
        <v>0.0471688260984405</v>
      </c>
      <c r="BI24" s="17" t="str">
        <f aca="false">IFERROR(AVERAGEIF('Pemetaan Variant'!$A$5:$A$32,$B24,'Pemetaan Variant'!$AE$5:$AE$32),"n/a")</f>
        <v>n/a</v>
      </c>
      <c r="BJ24" s="7" t="str">
        <f aca="false">IFERROR(IF(ISNUMBER(BI24),(BI24-AVERAGEIF('Pemetaan Variant'!$A$5:$A$32,$B24,'Pemetaan Variant'!$H$5:$H$32))/AVERAGEIF('Pemetaan Variant'!$A$5:$A$32,$B24,'Pemetaan Variant'!$H$5:$H$32)*100,"n/a"),"n/a")</f>
        <v>n/a</v>
      </c>
      <c r="BK24" s="7" t="str">
        <f aca="false">IFERROR(IF(ISNUMBER(BJ24),$C24*BJ24,"n/a"),"n/a")</f>
        <v>n/a</v>
      </c>
      <c r="BL24" s="17" t="n">
        <f aca="false">IFERROR(AVERAGEIF('Pemetaan Variant'!$A$5:$A$32,$B24,'Pemetaan Variant'!$AF$5:$AF$32),"n/a")</f>
        <v>11000</v>
      </c>
      <c r="BM24" s="7" t="n">
        <f aca="false">IFERROR(IF(ISNUMBER(BL24),(BL24-AVERAGEIF('Pemetaan Variant'!$A$5:$A$32,$B24,'Pemetaan Variant'!$H$5:$H$32))/AVERAGEIF('Pemetaan Variant'!$A$5:$A$32,$B24,'Pemetaan Variant'!$H$5:$H$32)*100,"n/a"),"n/a")</f>
        <v>0</v>
      </c>
      <c r="BN24" s="7" t="n">
        <f aca="false">IFERROR(IF(ISNUMBER(BM24),$C24*BM24,"n/a"),"n/a")</f>
        <v>0</v>
      </c>
      <c r="BO24" s="17" t="n">
        <f aca="false">IFERROR(AVERAGEIF('Pemetaan Variant'!$A$5:$A$32,$B24,'Pemetaan Variant'!$AG$5:$AG$32),"n/a")</f>
        <v>11000</v>
      </c>
      <c r="BP24" s="7" t="n">
        <f aca="false">IFERROR(IF(ISNUMBER(BO24),(BO24-AVERAGEIF('Pemetaan Variant'!$A$5:$A$32,$B24,'Pemetaan Variant'!$H$5:$H$32))/AVERAGEIF('Pemetaan Variant'!$A$5:$A$32,$B24,'Pemetaan Variant'!$H$5:$H$32)*100,"n/a"),"n/a")</f>
        <v>0</v>
      </c>
      <c r="BQ24" s="7" t="n">
        <f aca="false">IFERROR(IF(ISNUMBER(BP24),$C24*BP24,"n/a"),"n/a")</f>
        <v>0</v>
      </c>
      <c r="BR24" s="17" t="n">
        <f aca="false">IFERROR(AVERAGEIF('Pemetaan Variant'!$A$5:$A$32,$B24,'Pemetaan Variant'!$AH$5:$AH$32),"n/a")</f>
        <v>11000</v>
      </c>
      <c r="BS24" s="7" t="n">
        <f aca="false">IFERROR(IF(ISNUMBER(BR24),(BR24-AVERAGEIF('Pemetaan Variant'!$A$5:$A$32,$B24,'Pemetaan Variant'!$H$5:$H$32))/AVERAGEIF('Pemetaan Variant'!$A$5:$A$32,$B24,'Pemetaan Variant'!$H$5:$H$32)*100,"n/a"),"n/a")</f>
        <v>0</v>
      </c>
      <c r="BT24" s="7" t="n">
        <f aca="false">IFERROR(IF(ISNUMBER(BS24),$C24*BS24,"n/a"),"n/a")</f>
        <v>0</v>
      </c>
      <c r="BU24" s="17" t="n">
        <f aca="false">IFERROR(AVERAGEIF('Pemetaan Variant'!$A$5:$A$32,$B24,'Pemetaan Variant'!$AI$5:$AI$32),"n/a")</f>
        <v>11000</v>
      </c>
      <c r="BV24" s="7" t="n">
        <f aca="false">IFERROR(IF(ISNUMBER(BU24),(BU24-AVERAGEIF('Pemetaan Variant'!$A$5:$A$32,$B24,'Pemetaan Variant'!$H$5:$H$32))/AVERAGEIF('Pemetaan Variant'!$A$5:$A$32,$B24,'Pemetaan Variant'!$H$5:$H$32)*100,"n/a"),"n/a")</f>
        <v>0</v>
      </c>
      <c r="BW24" s="7" t="n">
        <f aca="false">IFERROR(IF(ISNUMBER(BV24),$C24*BV24,"n/a"),"n/a")</f>
        <v>0</v>
      </c>
      <c r="BX24" s="17" t="n">
        <f aca="false">IFERROR(AVERAGEIF('Pemetaan Variant'!$A$5:$A$32,$B24,'Pemetaan Variant'!$AJ$5:$AJ$32),"n/a")</f>
        <v>11000</v>
      </c>
      <c r="BY24" s="7" t="n">
        <f aca="false">IFERROR(IF(ISNUMBER(BX24),(BX24-AVERAGEIF('Pemetaan Variant'!$A$5:$A$32,$B24,'Pemetaan Variant'!$I$5:$I$32))/AVERAGEIF('Pemetaan Variant'!$A$5:$A$32,$B24,'Pemetaan Variant'!$I$5:$I$32)*100,"n/a"),"n/a")</f>
        <v>0</v>
      </c>
      <c r="BZ24" s="7" t="n">
        <f aca="false">IFERROR(IF(ISNUMBER(BY24),$C24*BY24,"n/a"),"n/a")</f>
        <v>0</v>
      </c>
      <c r="CA24" s="17" t="n">
        <f aca="false">IFERROR(AVERAGEIF('Pemetaan Variant'!$A$5:$A$32,$B24,'Pemetaan Variant'!$AK$5:$AK$32),"n/a")</f>
        <v>11000</v>
      </c>
      <c r="CB24" s="7" t="n">
        <f aca="false">IFERROR(IF(ISNUMBER(CA24),(CA24-AVERAGEIF('Pemetaan Variant'!$A$5:$A$32,$B24,'Pemetaan Variant'!$I$5:$I$32))/AVERAGEIF('Pemetaan Variant'!$A$5:$A$32,$B24,'Pemetaan Variant'!$I$5:$I$32)*100,"n/a"),"n/a")</f>
        <v>0</v>
      </c>
      <c r="CC24" s="7" t="n">
        <f aca="false">IFERROR(IF(ISNUMBER(CB24),$C24*CB24,"n/a"),"n/a")</f>
        <v>0</v>
      </c>
      <c r="CD24" s="17" t="n">
        <f aca="false">IFERROR(AVERAGEIF('Pemetaan Variant'!$A$5:$A$32,$B24,'Pemetaan Variant'!$AL$5:$AL$32),"n/a")</f>
        <v>11000</v>
      </c>
      <c r="CE24" s="7" t="n">
        <f aca="false">IFERROR(IF(ISNUMBER(CD24),(CD24-AVERAGEIF('Pemetaan Variant'!$A$5:$A$32,$B24,'Pemetaan Variant'!$I$5:$I$32))/AVERAGEIF('Pemetaan Variant'!$A$5:$A$32,$B24,'Pemetaan Variant'!$I$5:$I$32)*100,"n/a"),"n/a")</f>
        <v>0</v>
      </c>
      <c r="CF24" s="7" t="n">
        <f aca="false">IFERROR(IF(ISNUMBER(CE24),$C24*CE24,"n/a"),"n/a")</f>
        <v>0</v>
      </c>
      <c r="CG24" s="17" t="n">
        <f aca="false">IFERROR(AVERAGEIF('Pemetaan Variant'!$A$5:$A$32,$B24,'Pemetaan Variant'!$AM$5:$AM$32),"n/a")</f>
        <v>11000</v>
      </c>
      <c r="CH24" s="7" t="n">
        <f aca="false">IFERROR(IF(ISNUMBER(CG24),(CG24-AVERAGEIF('Pemetaan Variant'!$A$5:$A$32,$B24,'Pemetaan Variant'!$I$5:$I$32))/AVERAGEIF('Pemetaan Variant'!$A$5:$A$32,$B24,'Pemetaan Variant'!$I$5:$I$32)*100,"n/a"),"n/a")</f>
        <v>0</v>
      </c>
      <c r="CI24" s="7" t="n">
        <f aca="false">IFERROR(IF(ISNUMBER(CH24),$C24*CH24,"n/a"),"n/a")</f>
        <v>0</v>
      </c>
      <c r="CJ24" s="17" t="n">
        <f aca="false">IFERROR(AVERAGEIF('Pemetaan Variant'!$A$5:$A$32,$B24,'Pemetaan Variant'!$AN$5:$AN$32),"n/a")</f>
        <v>11000</v>
      </c>
      <c r="CK24" s="7" t="n">
        <f aca="false">IFERROR(IF(ISNUMBER(CJ24),(CJ24-AVERAGEIF('Pemetaan Variant'!$A$5:$A$32,$B24,'Pemetaan Variant'!$I$5:$I$32))/AVERAGEIF('Pemetaan Variant'!$A$5:$A$32,$B24,'Pemetaan Variant'!$I$5:$I$32)*100,"n/a"),"n/a")</f>
        <v>0</v>
      </c>
      <c r="CL24" s="7" t="n">
        <f aca="false">IFERROR(IF(ISNUMBER(CK24),$C24*CK24,"n/a"),"n/a")</f>
        <v>0</v>
      </c>
      <c r="CM24" s="17" t="n">
        <f aca="false">IFERROR(AVERAGEIF('Pemetaan Variant'!$A$5:$A$32,$B24,'Pemetaan Variant'!$AO$5:$AO$32),"n/a")</f>
        <v>11000</v>
      </c>
      <c r="CN24" s="7" t="n">
        <f aca="false">IFERROR(IF(ISNUMBER(CM24),(CM24-AVERAGEIF('Pemetaan Variant'!$A$5:$A$32,$B24,'Pemetaan Variant'!$J$5:$J$32))/AVERAGEIF('Pemetaan Variant'!$A$5:$A$32,$B24,'Pemetaan Variant'!$J$5:$J$32)*100,"n/a"),"n/a")</f>
        <v>0</v>
      </c>
      <c r="CO24" s="7" t="n">
        <f aca="false">IFERROR(IF(ISNUMBER(CN24),$C24*CN24,"n/a"),"n/a")</f>
        <v>0</v>
      </c>
      <c r="CP24" s="17" t="n">
        <f aca="false">IFERROR(AVERAGEIF('Pemetaan Variant'!$A$5:$A$32,$B24,'Pemetaan Variant'!$AP$5:$AP$32),"n/a")</f>
        <v>11000</v>
      </c>
      <c r="CQ24" s="7" t="n">
        <f aca="false">IFERROR(IF(ISNUMBER(CP24),(CP24-AVERAGEIF('Pemetaan Variant'!$A$5:$A$32,$B24,'Pemetaan Variant'!$J$5:$J$32))/AVERAGEIF('Pemetaan Variant'!$A$5:$A$32,$B24,'Pemetaan Variant'!$J$5:$J$32)*100,"n/a"),"n/a")</f>
        <v>0</v>
      </c>
      <c r="CR24" s="7" t="n">
        <f aca="false">IFERROR(IF(ISNUMBER(CQ24),$C24*CQ24,"n/a"),"n/a")</f>
        <v>0</v>
      </c>
      <c r="CS24" s="17" t="n">
        <f aca="false">IFERROR(AVERAGEIF('Pemetaan Variant'!$A$5:$A$32,$B24,'Pemetaan Variant'!$AQ$5:$AQ$32),"n/a")</f>
        <v>11000</v>
      </c>
      <c r="CT24" s="7" t="n">
        <f aca="false">IFERROR(IF(ISNUMBER(CS24),(CS24-AVERAGEIF('Pemetaan Variant'!$A$5:$A$32,$B24,'Pemetaan Variant'!$J$5:$J$32))/AVERAGEIF('Pemetaan Variant'!$A$5:$A$32,$B24,'Pemetaan Variant'!$J$5:$J$32)*100,"n/a"),"n/a")</f>
        <v>0</v>
      </c>
      <c r="CU24" s="7" t="n">
        <f aca="false">IFERROR(IF(ISNUMBER(CT24),$C24*CT24,"n/a"),"n/a")</f>
        <v>0</v>
      </c>
      <c r="CV24" s="17" t="n">
        <f aca="false">IFERROR(AVERAGEIF('Pemetaan Variant'!$A$5:$A$32,$B24,'Pemetaan Variant'!$AR$5:$AR$32),"n/a")</f>
        <v>11000</v>
      </c>
      <c r="CW24" s="7" t="n">
        <f aca="false">IFERROR(IF(ISNUMBER(CV24),(CV24-AVERAGEIF('Pemetaan Variant'!$A$5:$A$32,$B24,'Pemetaan Variant'!$J$5:$J$32))/AVERAGEIF('Pemetaan Variant'!$A$5:$A$32,$B24,'Pemetaan Variant'!$J$5:$J$32)*100,"n/a"),"n/a")</f>
        <v>0</v>
      </c>
      <c r="CX24" s="7" t="n">
        <f aca="false">IFERROR(IF(ISNUMBER(CW24),$C24*CW24,"n/a"),"n/a")</f>
        <v>0</v>
      </c>
      <c r="CY24" s="17" t="n">
        <f aca="false">IFERROR(AVERAGEIF('Pemetaan Variant'!$A$5:$A$32,$B24,'Pemetaan Variant'!$AS$5:$AS$32),"n/a")</f>
        <v>11000</v>
      </c>
      <c r="CZ24" s="7" t="n">
        <f aca="false">IFERROR(IF(ISNUMBER(CY24),(CY24-AVERAGEIF('Pemetaan Variant'!$A$5:$A$32,$B24,'Pemetaan Variant'!$J$5:$J$32))/AVERAGEIF('Pemetaan Variant'!$A$5:$A$32,$B24,'Pemetaan Variant'!$J$5:$J$32)*100,"n/a"),"n/a")</f>
        <v>0</v>
      </c>
      <c r="DA24" s="7" t="n">
        <f aca="false">IFERROR(IF(ISNUMBER(CZ24),$C24*CZ24,"n/a"),"n/a")</f>
        <v>0</v>
      </c>
      <c r="DB24" s="17" t="n">
        <f aca="false">IFERROR(AVERAGEIF('Pemetaan Variant'!$A$5:$A$32,$B24,'Pemetaan Variant'!$AT$5:$AT$32),"n/a")</f>
        <v>11000</v>
      </c>
      <c r="DC24" s="7" t="n">
        <f aca="false">IFERROR(IF(ISNUMBER(DB24),(DB24-AVERAGEIF('Pemetaan Variant'!$A$5:$A$32,$B24,'Pemetaan Variant'!$K$5:$K$32))/AVERAGEIF('Pemetaan Variant'!$A$5:$A$32,$B24,'Pemetaan Variant'!$K$5:$K$32)*100,"n/a"),"n/a")</f>
        <v>0</v>
      </c>
      <c r="DD24" s="7" t="n">
        <f aca="false">IFERROR(IF(ISNUMBER(DC24),$C24*DC24,"n/a"),"n/a")</f>
        <v>0</v>
      </c>
      <c r="DE24" s="17" t="n">
        <f aca="false">IFERROR(AVERAGEIF('Pemetaan Variant'!$A$5:$A$32,$B24,'Pemetaan Variant'!$AU$5:$AU$32),"n/a")</f>
        <v>11000</v>
      </c>
      <c r="DF24" s="7" t="n">
        <f aca="false">IFERROR(IF(ISNUMBER(DE24),(DE24-AVERAGEIF('Pemetaan Variant'!$A$5:$A$32,$B24,'Pemetaan Variant'!$K$5:$K$32))/AVERAGEIF('Pemetaan Variant'!$A$5:$A$32,$B24,'Pemetaan Variant'!$K$5:$K$32)*100,"n/a"),"n/a")</f>
        <v>0</v>
      </c>
      <c r="DG24" s="7" t="n">
        <f aca="false">IFERROR(IF(ISNUMBER(DF24),$C24*DF24,"n/a"),"n/a")</f>
        <v>0</v>
      </c>
      <c r="DH24" s="17" t="n">
        <f aca="false">IFERROR(AVERAGEIF('Pemetaan Variant'!$A$5:$A$32,$B24,'Pemetaan Variant'!$AV$5:$AV$32),"n/a")</f>
        <v>11000</v>
      </c>
      <c r="DI24" s="7" t="n">
        <f aca="false">IFERROR(IF(ISNUMBER(DH24),(DH24-AVERAGEIF('Pemetaan Variant'!$A$5:$A$32,$B24,'Pemetaan Variant'!$K$5:$K$32))/AVERAGEIF('Pemetaan Variant'!$A$5:$A$32,$B24,'Pemetaan Variant'!$K$5:$K$32)*100,"n/a"),"n/a")</f>
        <v>0</v>
      </c>
      <c r="DJ24" s="7" t="n">
        <f aca="false">IFERROR(IF(ISNUMBER(DI24),$C24*DI24,"n/a"),"n/a")</f>
        <v>0</v>
      </c>
      <c r="DK24" s="17" t="n">
        <f aca="false">IFERROR(AVERAGEIF('Pemetaan Variant'!$A$5:$A$32,$B24,'Pemetaan Variant'!$AW$5:$AW$32),"n/a")</f>
        <v>11000</v>
      </c>
      <c r="DL24" s="7" t="n">
        <f aca="false">IFERROR(IF(ISNUMBER(DK24),(DK24-AVERAGEIF('Pemetaan Variant'!$A$5:$A$32,$B24,'Pemetaan Variant'!$K$5:$K$32))/AVERAGEIF('Pemetaan Variant'!$A$5:$A$32,$B24,'Pemetaan Variant'!$K$5:$K$32)*100,"n/a"),"n/a")</f>
        <v>0</v>
      </c>
      <c r="DM24" s="7" t="n">
        <f aca="false">IFERROR(IF(ISNUMBER(DL24),$C24*DL24,"n/a"),"n/a")</f>
        <v>0</v>
      </c>
      <c r="DN24" s="17" t="str">
        <f aca="false">IFERROR(AVERAGEIF('Pemetaan Variant'!$A$5:$A$32,$B24,'Pemetaan Variant'!$AX$5:$AX$32),"n/a")</f>
        <v>n/a</v>
      </c>
      <c r="DO24" s="7" t="str">
        <f aca="false">IFERROR(IF(ISNUMBER(DN24),(DN24-AVERAGEIF('Pemetaan Variant'!$A$5:$A$32,$B24,'Pemetaan Variant'!$K$5:$K$32))/AVERAGEIF('Pemetaan Variant'!$A$5:$A$32,$B24,'Pemetaan Variant'!$K$5:$K$32)*100,"n/a"),"n/a")</f>
        <v>n/a</v>
      </c>
      <c r="DP24" s="7" t="str">
        <f aca="false">IFERROR(IF(ISNUMBER(DO24),$C24*DO24,"n/a"),"n/a")</f>
        <v>n/a</v>
      </c>
      <c r="DQ24" s="18" t="n">
        <f aca="false">IFERROR(AVERAGEIF('Pemetaan Variant'!$A$5:$A$32,$B24,'Pemetaan Variant'!$AZ$5:$AZ$32),"n/a")</f>
        <v>11000</v>
      </c>
      <c r="DR24" s="11" t="n">
        <f aca="false">IFERROR(IF(ISNUMBER(DQ24),(DQ24-AVERAGEIF('Pemetaan Variant'!$A$5:$A$32,$B24,'Pemetaan Variant'!$AY$5:$AY$32))/AVERAGEIF('Pemetaan Variant'!$A$5:$A$32,$B24,'Pemetaan Variant'!$AY$5:$AY$32)*100,"n/a"),"n/a")</f>
        <v>0</v>
      </c>
      <c r="DS24" s="11" t="n">
        <f aca="false">IFERROR(IF(ISNUMBER(DR24),$C24*DR24,"n/a"),"n/a")</f>
        <v>0</v>
      </c>
      <c r="DT24" s="18" t="str">
        <f aca="false">IFERROR(AVERAGEIF('Pemetaan Variant'!$A$5:$A$32,$B24,'Pemetaan Variant'!$BA$5:$BA$32),"n/a")</f>
        <v>n/a</v>
      </c>
      <c r="DU24" s="11" t="str">
        <f aca="false">IFERROR(IF(ISNUMBER(DT24),(DT24-AVERAGEIF('Pemetaan Variant'!$A$5:$A$32,$B24,'Pemetaan Variant'!$AY$5:$AY$32))/AVERAGEIF('Pemetaan Variant'!$A$5:$A$32,$B24,'Pemetaan Variant'!$AY$5:$AY$32)*100,"n/a"),"n/a")</f>
        <v>n/a</v>
      </c>
      <c r="DV24" s="11" t="str">
        <f aca="false">IFERROR(IF(ISNUMBER(DU24),$C24*DU24,"n/a"),"n/a")</f>
        <v>n/a</v>
      </c>
      <c r="DW24" s="18" t="str">
        <f aca="false">IFERROR(AVERAGEIF('Pemetaan Variant'!$A$5:$A$32,$B24,'Pemetaan Variant'!$BB$5:$BB$32),"n/a")</f>
        <v>n/a</v>
      </c>
      <c r="DX24" s="11" t="str">
        <f aca="false">IFERROR(IF(ISNUMBER(DW24),(DW24-AVERAGEIF('Pemetaan Variant'!$A$5:$A$32,$B24,'Pemetaan Variant'!$AY$5:$AY$32))/AVERAGEIF('Pemetaan Variant'!$A$5:$A$32,$B24,'Pemetaan Variant'!$AY$5:$AY$32)*100,"n/a"),"n/a")</f>
        <v>n/a</v>
      </c>
      <c r="DY24" s="11" t="str">
        <f aca="false">IFERROR(IF(ISNUMBER(DX24),$C24*DX24,"n/a"),"n/a")</f>
        <v>n/a</v>
      </c>
      <c r="DZ24" s="18" t="str">
        <f aca="false">IFERROR(AVERAGEIF('Pemetaan Variant'!$A$5:$A$32,$B24,'Pemetaan Variant'!$BC$5:$BC$32),"n/a")</f>
        <v>n/a</v>
      </c>
      <c r="EA24" s="11" t="str">
        <f aca="false">IFERROR(IF(ISNUMBER(DZ24),(DZ24-AVERAGEIF('Pemetaan Variant'!$A$5:$A$32,$B24,'Pemetaan Variant'!$AY$5:$AY$32))/AVERAGEIF('Pemetaan Variant'!$A$5:$A$32,$B24,'Pemetaan Variant'!$AY$5:$AY$32)*100,"n/a"),"n/a")</f>
        <v>n/a</v>
      </c>
      <c r="EB24" s="11" t="str">
        <f aca="false">IFERROR(IF(ISNUMBER(EA24),$C24*EA24,"n/a"),"n/a")</f>
        <v>n/a</v>
      </c>
      <c r="EC24" s="18" t="str">
        <f aca="false">IFERROR(AVERAGEIF('Pemetaan Variant'!$A$5:$A$32,$B24,'Pemetaan Variant'!$BD$5:$BD$32),"n/a")</f>
        <v>n/a</v>
      </c>
      <c r="ED24" s="11" t="str">
        <f aca="false">IFERROR(IF(ISNUMBER(EC24),(EC24-AVERAGEIF('Pemetaan Variant'!$A$5:$A$32,$B24,'Pemetaan Variant'!$AY$5:$AY$32))/AVERAGEIF('Pemetaan Variant'!$A$5:$A$32,$B24,'Pemetaan Variant'!$AY$5:$AY$32)*100,"n/a"),"n/a")</f>
        <v>n/a</v>
      </c>
      <c r="EE24" s="11" t="str">
        <f aca="false">IFERROR(IF(ISNUMBER(ED24),$C24*ED24,"n/a"),"n/a")</f>
        <v>n/a</v>
      </c>
      <c r="EG24" s="11" t="n">
        <f aca="false">IFERROR(ABS(F24),0)</f>
        <v>0</v>
      </c>
      <c r="EH24" s="11" t="n">
        <f aca="false">IFERROR(ABS(I24),0)</f>
        <v>0</v>
      </c>
      <c r="EI24" s="11" t="n">
        <f aca="false">IFERROR(ABS(L24),0)</f>
        <v>0</v>
      </c>
      <c r="EJ24" s="11" t="n">
        <f aca="false">IFERROR(ABS(O24),0)</f>
        <v>0</v>
      </c>
      <c r="EK24" s="11" t="n">
        <f aca="false">IFERROR(ABS(R24),0)</f>
        <v>0</v>
      </c>
      <c r="EL24" s="11" t="n">
        <f aca="false">IFERROR(ABS(U24),0)</f>
        <v>0.101412976111647</v>
      </c>
      <c r="EM24" s="11" t="n">
        <f aca="false">IFERROR(ABS(X24),0)</f>
        <v>0</v>
      </c>
      <c r="EN24" s="11" t="n">
        <f aca="false">IFERROR(ABS(AA24),0)</f>
        <v>0.33804325370549</v>
      </c>
      <c r="EO24" s="11" t="n">
        <f aca="false">IFERROR(ABS(AD24),0)</f>
        <v>0.304238928334941</v>
      </c>
      <c r="EP24" s="11" t="n">
        <f aca="false">IFERROR(ABS(AG24),0)</f>
        <v>0.312039926497376</v>
      </c>
      <c r="EQ24" s="11" t="n">
        <f aca="false">IFERROR(ABS(AJ24),0)</f>
        <v>0.546069871370407</v>
      </c>
      <c r="ER24" s="11" t="n">
        <f aca="false">IFERROR(ABS(AM24),0)</f>
        <v>0.546069871370407</v>
      </c>
      <c r="ES24" s="11" t="n">
        <f aca="false">IFERROR(ABS(AP24),0)</f>
        <v>0.546069871370407</v>
      </c>
      <c r="ET24" s="11" t="n">
        <f aca="false">IFERROR(ABS(AS24),0)</f>
        <v>0.546069871370407</v>
      </c>
      <c r="EU24" s="11" t="n">
        <f aca="false">IFERROR(ABS(AV24),0)</f>
        <v>0.0471688260984405</v>
      </c>
      <c r="EV24" s="11" t="n">
        <f aca="false">IFERROR(ABS(AY24),0)</f>
        <v>0.0471688260984405</v>
      </c>
      <c r="EW24" s="11" t="n">
        <f aca="false">IFERROR(ABS(BB24),0)</f>
        <v>0.0471688260984405</v>
      </c>
      <c r="EX24" s="11" t="n">
        <f aca="false">IFERROR(ABS(BE24),0)</f>
        <v>0.0471688260984405</v>
      </c>
      <c r="EY24" s="11" t="n">
        <f aca="false">IFERROR(ABS(BH24),0)</f>
        <v>0.0471688260984405</v>
      </c>
      <c r="EZ24" s="11" t="n">
        <f aca="false">IFERROR(ABS(BK24),0)</f>
        <v>0</v>
      </c>
      <c r="FA24" s="11" t="n">
        <f aca="false">IFERROR(ABS(BN24),0)</f>
        <v>0</v>
      </c>
      <c r="FB24" s="11" t="n">
        <f aca="false">IFERROR(ABS(BQ24),0)</f>
        <v>0</v>
      </c>
      <c r="FC24" s="11" t="n">
        <f aca="false">IFERROR(ABS(BT24),0)</f>
        <v>0</v>
      </c>
      <c r="FD24" s="11" t="n">
        <f aca="false">IFERROR(ABS(BW24),0)</f>
        <v>0</v>
      </c>
      <c r="FE24" s="11" t="n">
        <f aca="false">IFERROR(ABS(BZ24),0)</f>
        <v>0</v>
      </c>
      <c r="FF24" s="11" t="n">
        <f aca="false">IFERROR(ABS(CC24),0)</f>
        <v>0</v>
      </c>
      <c r="FG24" s="11" t="n">
        <f aca="false">IFERROR(ABS(CF24),0)</f>
        <v>0</v>
      </c>
      <c r="FH24" s="11" t="n">
        <f aca="false">IFERROR(ABS(CI24),0)</f>
        <v>0</v>
      </c>
      <c r="FI24" s="11" t="n">
        <f aca="false">IFERROR(ABS(CL24),0)</f>
        <v>0</v>
      </c>
      <c r="FJ24" s="11" t="n">
        <f aca="false">IFERROR(ABS(CO24),0)</f>
        <v>0</v>
      </c>
      <c r="FK24" s="11" t="n">
        <f aca="false">IFERROR(ABS(CR24),0)</f>
        <v>0</v>
      </c>
      <c r="FL24" s="11" t="n">
        <f aca="false">IFERROR(ABS(CU24),0)</f>
        <v>0</v>
      </c>
      <c r="FM24" s="11" t="n">
        <f aca="false">IFERROR(ABS(CX24),0)</f>
        <v>0</v>
      </c>
      <c r="FN24" s="11" t="n">
        <f aca="false">IFERROR(ABS(DA24),0)</f>
        <v>0</v>
      </c>
      <c r="FO24" s="11" t="n">
        <f aca="false">IFERROR(ABS(DD24),0)</f>
        <v>0</v>
      </c>
      <c r="FP24" s="11" t="n">
        <f aca="false">IFERROR(ABS(DG24),0)</f>
        <v>0</v>
      </c>
      <c r="FQ24" s="11" t="n">
        <f aca="false">IFERROR(ABS(DJ24),0)</f>
        <v>0</v>
      </c>
      <c r="FR24" s="11" t="n">
        <f aca="false">IFERROR(ABS(DM24),0)</f>
        <v>0</v>
      </c>
      <c r="FS24" s="11" t="n">
        <f aca="false">IFERROR(ABS(DP24),0)</f>
        <v>0</v>
      </c>
      <c r="FT24" s="11" t="n">
        <f aca="false">IFERROR(ABS(DS24),0)</f>
        <v>0</v>
      </c>
      <c r="FU24" s="11" t="n">
        <f aca="false">IFERROR(ABS(DV24),0)</f>
        <v>0</v>
      </c>
      <c r="FV24" s="11" t="n">
        <f aca="false">IFERROR(ABS(DY24),0)</f>
        <v>0</v>
      </c>
      <c r="FW24" s="11" t="n">
        <f aca="false">IFERROR(ABS(EB24),0)</f>
        <v>0</v>
      </c>
      <c r="FX24" s="11" t="n">
        <f aca="false">IFERROR(ABS(EE24),0)</f>
        <v>0</v>
      </c>
    </row>
    <row r="25" customFormat="false" ht="12.75" hidden="false" customHeight="true" outlineLevel="0" collapsed="false">
      <c r="A25" s="5" t="n">
        <v>20</v>
      </c>
      <c r="B25" s="6" t="s">
        <v>209</v>
      </c>
      <c r="C25" s="7" t="n">
        <f aca="false">'P0Q0 Dasar 2022'!F24</f>
        <v>0.0341776157179401</v>
      </c>
      <c r="D25" s="17" t="n">
        <f aca="false">IFERROR(AVERAGEIF('Pemetaan Variant'!$A$5:$A$32,$B25,'Pemetaan Variant'!$L$5:$L$32),"n/a")</f>
        <v>7000</v>
      </c>
      <c r="E25" s="7" t="n">
        <f aca="false">IFERROR(IF(ISNUMBER(D25),(D25-AVERAGEIF('Pemetaan Variant'!$A$5:$A$32,$B25,'Pemetaan Variant'!$D$5:$D$32))/AVERAGEIF('Pemetaan Variant'!$A$5:$A$32,$B25,'Pemetaan Variant'!$D$5:$D$32)*100,"n/a"),"n/a")</f>
        <v>-5.76923076923077</v>
      </c>
      <c r="F25" s="7" t="n">
        <f aca="false">IFERROR(IF(ISNUMBER(E25),$C25*E25,"n/a"),"n/a")</f>
        <v>-0.197178552218885</v>
      </c>
      <c r="G25" s="17" t="n">
        <f aca="false">IFERROR(AVERAGEIF('Pemetaan Variant'!$A$5:$A$32,$B25,'Pemetaan Variant'!$M$5:$M$32),"n/a")</f>
        <v>7000</v>
      </c>
      <c r="H25" s="7" t="n">
        <f aca="false">IFERROR(IF(ISNUMBER(G25),(G25-AVERAGEIF('Pemetaan Variant'!$A$5:$A$32,$B25,'Pemetaan Variant'!$D$5:$D$32))/AVERAGEIF('Pemetaan Variant'!$A$5:$A$32,$B25,'Pemetaan Variant'!$D$5:$D$32)*100,"n/a"),"n/a")</f>
        <v>-5.76923076923077</v>
      </c>
      <c r="I25" s="7" t="n">
        <f aca="false">IFERROR(IF(ISNUMBER(H25),$C25*H25,"n/a"),"n/a")</f>
        <v>-0.197178552218885</v>
      </c>
      <c r="J25" s="17" t="n">
        <f aca="false">IFERROR(AVERAGEIF('Pemetaan Variant'!$A$5:$A$32,$B25,'Pemetaan Variant'!$N$5:$N$32),"n/a")</f>
        <v>7000</v>
      </c>
      <c r="K25" s="7" t="n">
        <f aca="false">IFERROR(IF(ISNUMBER(J25),(J25-AVERAGEIF('Pemetaan Variant'!$A$5:$A$32,$B25,'Pemetaan Variant'!$D$5:$D$32))/AVERAGEIF('Pemetaan Variant'!$A$5:$A$32,$B25,'Pemetaan Variant'!$D$5:$D$32)*100,"n/a"),"n/a")</f>
        <v>-5.76923076923077</v>
      </c>
      <c r="L25" s="7" t="n">
        <f aca="false">IFERROR(IF(ISNUMBER(K25),$C25*K25,"n/a"),"n/a")</f>
        <v>-0.197178552218885</v>
      </c>
      <c r="M25" s="17" t="n">
        <f aca="false">IFERROR(AVERAGEIF('Pemetaan Variant'!$A$5:$A$32,$B25,'Pemetaan Variant'!$O$5:$O$32),"n/a")</f>
        <v>7000</v>
      </c>
      <c r="N25" s="7" t="n">
        <f aca="false">IFERROR(IF(ISNUMBER(M25),(M25-AVERAGEIF('Pemetaan Variant'!$A$5:$A$32,$B25,'Pemetaan Variant'!$D$5:$D$32))/AVERAGEIF('Pemetaan Variant'!$A$5:$A$32,$B25,'Pemetaan Variant'!$D$5:$D$32)*100,"n/a"),"n/a")</f>
        <v>-5.76923076923077</v>
      </c>
      <c r="O25" s="7" t="n">
        <f aca="false">IFERROR(IF(ISNUMBER(N25),$C25*N25,"n/a"),"n/a")</f>
        <v>-0.197178552218885</v>
      </c>
      <c r="P25" s="17" t="n">
        <f aca="false">IFERROR(AVERAGEIF('Pemetaan Variant'!$A$5:$A$32,$B25,'Pemetaan Variant'!$P$5:$P$32),"n/a")</f>
        <v>7000</v>
      </c>
      <c r="Q25" s="7" t="n">
        <f aca="false">IFERROR(IF(ISNUMBER(P25),(P25-AVERAGEIF('Pemetaan Variant'!$A$5:$A$32,$B25,'Pemetaan Variant'!$D$5:$D$32))/AVERAGEIF('Pemetaan Variant'!$A$5:$A$32,$B25,'Pemetaan Variant'!$D$5:$D$32)*100,"n/a"),"n/a")</f>
        <v>-5.76923076923077</v>
      </c>
      <c r="R25" s="7" t="n">
        <f aca="false">IFERROR(IF(ISNUMBER(Q25),$C25*Q25,"n/a"),"n/a")</f>
        <v>-0.197178552218885</v>
      </c>
      <c r="S25" s="17" t="n">
        <f aca="false">IFERROR(AVERAGEIF('Pemetaan Variant'!$A$5:$A$32,$B25,'Pemetaan Variant'!$Q$5:$Q$32),"n/a")</f>
        <v>7200</v>
      </c>
      <c r="T25" s="7" t="n">
        <f aca="false">IFERROR(IF(ISNUMBER(S25),(S25-AVERAGEIF('Pemetaan Variant'!$A$5:$A$32,$B25,'Pemetaan Variant'!$E$5:$E$32))/AVERAGEIF('Pemetaan Variant'!$A$5:$A$32,$B25,'Pemetaan Variant'!$E$5:$E$32)*100,"n/a"),"n/a")</f>
        <v>2.85714285714286</v>
      </c>
      <c r="U25" s="7" t="n">
        <f aca="false">IFERROR(IF(ISNUMBER(T25),$C25*T25,"n/a"),"n/a")</f>
        <v>0.097650330622686</v>
      </c>
      <c r="V25" s="17" t="n">
        <f aca="false">IFERROR(AVERAGEIF('Pemetaan Variant'!$A$5:$A$32,$B25,'Pemetaan Variant'!$R$5:$R$32),"n/a")</f>
        <v>7000</v>
      </c>
      <c r="W25" s="7" t="n">
        <f aca="false">IFERROR(IF(ISNUMBER(V25),(V25-AVERAGEIF('Pemetaan Variant'!$A$5:$A$32,$B25,'Pemetaan Variant'!$E$5:$E$32))/AVERAGEIF('Pemetaan Variant'!$A$5:$A$32,$B25,'Pemetaan Variant'!$E$5:$E$32)*100,"n/a"),"n/a")</f>
        <v>0</v>
      </c>
      <c r="X25" s="7" t="n">
        <f aca="false">IFERROR(IF(ISNUMBER(W25),$C25*W25,"n/a"),"n/a")</f>
        <v>0</v>
      </c>
      <c r="Y25" s="17" t="n">
        <f aca="false">IFERROR(AVERAGEIF('Pemetaan Variant'!$A$5:$A$32,$B25,'Pemetaan Variant'!$S$5:$S$32),"n/a")</f>
        <v>7666.66666666667</v>
      </c>
      <c r="Z25" s="7" t="n">
        <f aca="false">IFERROR(IF(ISNUMBER(Y25),(Y25-AVERAGEIF('Pemetaan Variant'!$A$5:$A$32,$B25,'Pemetaan Variant'!$E$5:$E$32))/AVERAGEIF('Pemetaan Variant'!$A$5:$A$32,$B25,'Pemetaan Variant'!$E$5:$E$32)*100,"n/a"),"n/a")</f>
        <v>9.52380952380953</v>
      </c>
      <c r="AA25" s="7" t="n">
        <f aca="false">IFERROR(IF(ISNUMBER(Z25),$C25*Z25,"n/a"),"n/a")</f>
        <v>0.32550110207562</v>
      </c>
      <c r="AB25" s="17" t="n">
        <f aca="false">IFERROR(AVERAGEIF('Pemetaan Variant'!$A$5:$A$32,$B25,'Pemetaan Variant'!$T$5:$T$32),"n/a")</f>
        <v>7600</v>
      </c>
      <c r="AC25" s="7" t="n">
        <f aca="false">IFERROR(IF(ISNUMBER(AB25),(AB25-AVERAGEIF('Pemetaan Variant'!$A$5:$A$32,$B25,'Pemetaan Variant'!$E$5:$E$32))/AVERAGEIF('Pemetaan Variant'!$A$5:$A$32,$B25,'Pemetaan Variant'!$E$5:$E$32)*100,"n/a"),"n/a")</f>
        <v>8.57142857142857</v>
      </c>
      <c r="AD25" s="7" t="n">
        <f aca="false">IFERROR(IF(ISNUMBER(AC25),$C25*AC25,"n/a"),"n/a")</f>
        <v>0.292950991868058</v>
      </c>
      <c r="AE25" s="17" t="n">
        <f aca="false">IFERROR(AVERAGEIF('Pemetaan Variant'!$A$5:$A$32,$B25,'Pemetaan Variant'!$U$5:$U$32),"n/a")</f>
        <v>8000</v>
      </c>
      <c r="AF25" s="7" t="n">
        <f aca="false">IFERROR(IF(ISNUMBER(AE25),(AE25-AVERAGEIF('Pemetaan Variant'!$A$5:$A$32,$B25,'Pemetaan Variant'!$F$5:$F$32))/AVERAGEIF('Pemetaan Variant'!$A$5:$A$32,$B25,'Pemetaan Variant'!$F$5:$F$32)*100,"n/a"),"n/a")</f>
        <v>9.0909090909091</v>
      </c>
      <c r="AG25" s="7" t="n">
        <f aca="false">IFERROR(IF(ISNUMBER(AF25),$C25*AF25,"n/a"),"n/a")</f>
        <v>0.310705597435819</v>
      </c>
      <c r="AH25" s="17" t="n">
        <f aca="false">IFERROR(AVERAGEIF('Pemetaan Variant'!$A$5:$A$32,$B25,'Pemetaan Variant'!$V$5:$V$32),"n/a")</f>
        <v>8000</v>
      </c>
      <c r="AI25" s="7" t="n">
        <f aca="false">IFERROR(IF(ISNUMBER(AH25),(AH25-AVERAGEIF('Pemetaan Variant'!$A$5:$A$32,$B25,'Pemetaan Variant'!$F$5:$F$32))/AVERAGEIF('Pemetaan Variant'!$A$5:$A$32,$B25,'Pemetaan Variant'!$F$5:$F$32)*100,"n/a"),"n/a")</f>
        <v>9.0909090909091</v>
      </c>
      <c r="AJ25" s="7" t="n">
        <f aca="false">IFERROR(IF(ISNUMBER(AI25),$C25*AI25,"n/a"),"n/a")</f>
        <v>0.310705597435819</v>
      </c>
      <c r="AK25" s="17" t="n">
        <f aca="false">IFERROR(AVERAGEIF('Pemetaan Variant'!$A$5:$A$32,$B25,'Pemetaan Variant'!$W$5:$W$32),"n/a")</f>
        <v>8000</v>
      </c>
      <c r="AL25" s="7" t="n">
        <f aca="false">IFERROR(IF(ISNUMBER(AK25),(AK25-AVERAGEIF('Pemetaan Variant'!$A$5:$A$32,$B25,'Pemetaan Variant'!$F$5:$F$32))/AVERAGEIF('Pemetaan Variant'!$A$5:$A$32,$B25,'Pemetaan Variant'!$F$5:$F$32)*100,"n/a"),"n/a")</f>
        <v>9.0909090909091</v>
      </c>
      <c r="AM25" s="7" t="n">
        <f aca="false">IFERROR(IF(ISNUMBER(AL25),$C25*AL25,"n/a"),"n/a")</f>
        <v>0.310705597435819</v>
      </c>
      <c r="AN25" s="17" t="n">
        <f aca="false">IFERROR(AVERAGEIF('Pemetaan Variant'!$A$5:$A$32,$B25,'Pemetaan Variant'!$X$5:$X$32),"n/a")</f>
        <v>8000</v>
      </c>
      <c r="AO25" s="7" t="n">
        <f aca="false">IFERROR(IF(ISNUMBER(AN25),(AN25-AVERAGEIF('Pemetaan Variant'!$A$5:$A$32,$B25,'Pemetaan Variant'!$F$5:$F$32))/AVERAGEIF('Pemetaan Variant'!$A$5:$A$32,$B25,'Pemetaan Variant'!$F$5:$F$32)*100,"n/a"),"n/a")</f>
        <v>9.0909090909091</v>
      </c>
      <c r="AP25" s="7" t="n">
        <f aca="false">IFERROR(IF(ISNUMBER(AO25),$C25*AO25,"n/a"),"n/a")</f>
        <v>0.310705597435819</v>
      </c>
      <c r="AQ25" s="17" t="n">
        <f aca="false">IFERROR(AVERAGEIF('Pemetaan Variant'!$A$5:$A$32,$B25,'Pemetaan Variant'!$Y$5:$Y$32),"n/a")</f>
        <v>8000</v>
      </c>
      <c r="AR25" s="7" t="n">
        <f aca="false">IFERROR(IF(ISNUMBER(AQ25),(AQ25-AVERAGEIF('Pemetaan Variant'!$A$5:$A$32,$B25,'Pemetaan Variant'!$F$5:$F$32))/AVERAGEIF('Pemetaan Variant'!$A$5:$A$32,$B25,'Pemetaan Variant'!$F$5:$F$32)*100,"n/a"),"n/a")</f>
        <v>9.0909090909091</v>
      </c>
      <c r="AS25" s="7" t="n">
        <f aca="false">IFERROR(IF(ISNUMBER(AR25),$C25*AR25,"n/a"),"n/a")</f>
        <v>0.310705597435819</v>
      </c>
      <c r="AT25" s="17" t="n">
        <f aca="false">IFERROR(AVERAGEIF('Pemetaan Variant'!$A$5:$A$32,$B25,'Pemetaan Variant'!$Z$5:$Z$32),"n/a")</f>
        <v>8000</v>
      </c>
      <c r="AU25" s="7" t="n">
        <f aca="false">IFERROR(IF(ISNUMBER(AT25),(AT25-AVERAGEIF('Pemetaan Variant'!$A$5:$A$32,$B25,'Pemetaan Variant'!$G$5:$G$32))/AVERAGEIF('Pemetaan Variant'!$A$5:$A$32,$B25,'Pemetaan Variant'!$G$5:$G$32)*100,"n/a"),"n/a")</f>
        <v>0</v>
      </c>
      <c r="AV25" s="7" t="n">
        <f aca="false">IFERROR(IF(ISNUMBER(AU25),$C25*AU25,"n/a"),"n/a")</f>
        <v>0</v>
      </c>
      <c r="AW25" s="17" t="n">
        <f aca="false">IFERROR(AVERAGEIF('Pemetaan Variant'!$A$5:$A$32,$B25,'Pemetaan Variant'!$AA$5:$AA$32),"n/a")</f>
        <v>8000</v>
      </c>
      <c r="AX25" s="7" t="n">
        <f aca="false">IFERROR(IF(ISNUMBER(AW25),(AW25-AVERAGEIF('Pemetaan Variant'!$A$5:$A$32,$B25,'Pemetaan Variant'!$G$5:$G$32))/AVERAGEIF('Pemetaan Variant'!$A$5:$A$32,$B25,'Pemetaan Variant'!$G$5:$G$32)*100,"n/a"),"n/a")</f>
        <v>0</v>
      </c>
      <c r="AY25" s="7" t="n">
        <f aca="false">IFERROR(IF(ISNUMBER(AX25),$C25*AX25,"n/a"),"n/a")</f>
        <v>0</v>
      </c>
      <c r="AZ25" s="17" t="n">
        <f aca="false">IFERROR(AVERAGEIF('Pemetaan Variant'!$A$5:$A$32,$B25,'Pemetaan Variant'!$AB$5:$AB$32),"n/a")</f>
        <v>8000</v>
      </c>
      <c r="BA25" s="7" t="n">
        <f aca="false">IFERROR(IF(ISNUMBER(AZ25),(AZ25-AVERAGEIF('Pemetaan Variant'!$A$5:$A$32,$B25,'Pemetaan Variant'!$G$5:$G$32))/AVERAGEIF('Pemetaan Variant'!$A$5:$A$32,$B25,'Pemetaan Variant'!$G$5:$G$32)*100,"n/a"),"n/a")</f>
        <v>0</v>
      </c>
      <c r="BB25" s="7" t="n">
        <f aca="false">IFERROR(IF(ISNUMBER(BA25),$C25*BA25,"n/a"),"n/a")</f>
        <v>0</v>
      </c>
      <c r="BC25" s="17" t="n">
        <f aca="false">IFERROR(AVERAGEIF('Pemetaan Variant'!$A$5:$A$32,$B25,'Pemetaan Variant'!$AC$5:$AC$32),"n/a")</f>
        <v>8000</v>
      </c>
      <c r="BD25" s="7" t="n">
        <f aca="false">IFERROR(IF(ISNUMBER(BC25),(BC25-AVERAGEIF('Pemetaan Variant'!$A$5:$A$32,$B25,'Pemetaan Variant'!$G$5:$G$32))/AVERAGEIF('Pemetaan Variant'!$A$5:$A$32,$B25,'Pemetaan Variant'!$G$5:$G$32)*100,"n/a"),"n/a")</f>
        <v>0</v>
      </c>
      <c r="BE25" s="7" t="n">
        <f aca="false">IFERROR(IF(ISNUMBER(BD25),$C25*BD25,"n/a"),"n/a")</f>
        <v>0</v>
      </c>
      <c r="BF25" s="17" t="n">
        <f aca="false">IFERROR(AVERAGEIF('Pemetaan Variant'!$A$5:$A$32,$B25,'Pemetaan Variant'!$AD$5:$AD$32),"n/a")</f>
        <v>8000</v>
      </c>
      <c r="BG25" s="7" t="n">
        <f aca="false">IFERROR(IF(ISNUMBER(BF25),(BF25-AVERAGEIF('Pemetaan Variant'!$A$5:$A$32,$B25,'Pemetaan Variant'!$G$5:$G$32))/AVERAGEIF('Pemetaan Variant'!$A$5:$A$32,$B25,'Pemetaan Variant'!$G$5:$G$32)*100,"n/a"),"n/a")</f>
        <v>0</v>
      </c>
      <c r="BH25" s="7" t="n">
        <f aca="false">IFERROR(IF(ISNUMBER(BG25),$C25*BG25,"n/a"),"n/a")</f>
        <v>0</v>
      </c>
      <c r="BI25" s="17" t="str">
        <f aca="false">IFERROR(AVERAGEIF('Pemetaan Variant'!$A$5:$A$32,$B25,'Pemetaan Variant'!$AE$5:$AE$32),"n/a")</f>
        <v>n/a</v>
      </c>
      <c r="BJ25" s="7" t="str">
        <f aca="false">IFERROR(IF(ISNUMBER(BI25),(BI25-AVERAGEIF('Pemetaan Variant'!$A$5:$A$32,$B25,'Pemetaan Variant'!$H$5:$H$32))/AVERAGEIF('Pemetaan Variant'!$A$5:$A$32,$B25,'Pemetaan Variant'!$H$5:$H$32)*100,"n/a"),"n/a")</f>
        <v>n/a</v>
      </c>
      <c r="BK25" s="7" t="str">
        <f aca="false">IFERROR(IF(ISNUMBER(BJ25),$C25*BJ25,"n/a"),"n/a")</f>
        <v>n/a</v>
      </c>
      <c r="BL25" s="17" t="n">
        <f aca="false">IFERROR(AVERAGEIF('Pemetaan Variant'!$A$5:$A$32,$B25,'Pemetaan Variant'!$AF$5:$AF$32),"n/a")</f>
        <v>8000</v>
      </c>
      <c r="BM25" s="7" t="n">
        <f aca="false">IFERROR(IF(ISNUMBER(BL25),(BL25-AVERAGEIF('Pemetaan Variant'!$A$5:$A$32,$B25,'Pemetaan Variant'!$H$5:$H$32))/AVERAGEIF('Pemetaan Variant'!$A$5:$A$32,$B25,'Pemetaan Variant'!$H$5:$H$32)*100,"n/a"),"n/a")</f>
        <v>0</v>
      </c>
      <c r="BN25" s="7" t="n">
        <f aca="false">IFERROR(IF(ISNUMBER(BM25),$C25*BM25,"n/a"),"n/a")</f>
        <v>0</v>
      </c>
      <c r="BO25" s="17" t="n">
        <f aca="false">IFERROR(AVERAGEIF('Pemetaan Variant'!$A$5:$A$32,$B25,'Pemetaan Variant'!$AG$5:$AG$32),"n/a")</f>
        <v>8000</v>
      </c>
      <c r="BP25" s="7" t="n">
        <f aca="false">IFERROR(IF(ISNUMBER(BO25),(BO25-AVERAGEIF('Pemetaan Variant'!$A$5:$A$32,$B25,'Pemetaan Variant'!$H$5:$H$32))/AVERAGEIF('Pemetaan Variant'!$A$5:$A$32,$B25,'Pemetaan Variant'!$H$5:$H$32)*100,"n/a"),"n/a")</f>
        <v>0</v>
      </c>
      <c r="BQ25" s="7" t="n">
        <f aca="false">IFERROR(IF(ISNUMBER(BP25),$C25*BP25,"n/a"),"n/a")</f>
        <v>0</v>
      </c>
      <c r="BR25" s="17" t="n">
        <f aca="false">IFERROR(AVERAGEIF('Pemetaan Variant'!$A$5:$A$32,$B25,'Pemetaan Variant'!$AH$5:$AH$32),"n/a")</f>
        <v>8000</v>
      </c>
      <c r="BS25" s="7" t="n">
        <f aca="false">IFERROR(IF(ISNUMBER(BR25),(BR25-AVERAGEIF('Pemetaan Variant'!$A$5:$A$32,$B25,'Pemetaan Variant'!$H$5:$H$32))/AVERAGEIF('Pemetaan Variant'!$A$5:$A$32,$B25,'Pemetaan Variant'!$H$5:$H$32)*100,"n/a"),"n/a")</f>
        <v>0</v>
      </c>
      <c r="BT25" s="7" t="n">
        <f aca="false">IFERROR(IF(ISNUMBER(BS25),$C25*BS25,"n/a"),"n/a")</f>
        <v>0</v>
      </c>
      <c r="BU25" s="17" t="n">
        <f aca="false">IFERROR(AVERAGEIF('Pemetaan Variant'!$A$5:$A$32,$B25,'Pemetaan Variant'!$AI$5:$AI$32),"n/a")</f>
        <v>8000</v>
      </c>
      <c r="BV25" s="7" t="n">
        <f aca="false">IFERROR(IF(ISNUMBER(BU25),(BU25-AVERAGEIF('Pemetaan Variant'!$A$5:$A$32,$B25,'Pemetaan Variant'!$H$5:$H$32))/AVERAGEIF('Pemetaan Variant'!$A$5:$A$32,$B25,'Pemetaan Variant'!$H$5:$H$32)*100,"n/a"),"n/a")</f>
        <v>0</v>
      </c>
      <c r="BW25" s="7" t="n">
        <f aca="false">IFERROR(IF(ISNUMBER(BV25),$C25*BV25,"n/a"),"n/a")</f>
        <v>0</v>
      </c>
      <c r="BX25" s="17" t="n">
        <f aca="false">IFERROR(AVERAGEIF('Pemetaan Variant'!$A$5:$A$32,$B25,'Pemetaan Variant'!$AJ$5:$AJ$32),"n/a")</f>
        <v>8000</v>
      </c>
      <c r="BY25" s="7" t="n">
        <f aca="false">IFERROR(IF(ISNUMBER(BX25),(BX25-AVERAGEIF('Pemetaan Variant'!$A$5:$A$32,$B25,'Pemetaan Variant'!$I$5:$I$32))/AVERAGEIF('Pemetaan Variant'!$A$5:$A$32,$B25,'Pemetaan Variant'!$I$5:$I$32)*100,"n/a"),"n/a")</f>
        <v>0</v>
      </c>
      <c r="BZ25" s="7" t="n">
        <f aca="false">IFERROR(IF(ISNUMBER(BY25),$C25*BY25,"n/a"),"n/a")</f>
        <v>0</v>
      </c>
      <c r="CA25" s="17" t="n">
        <f aca="false">IFERROR(AVERAGEIF('Pemetaan Variant'!$A$5:$A$32,$B25,'Pemetaan Variant'!$AK$5:$AK$32),"n/a")</f>
        <v>8000</v>
      </c>
      <c r="CB25" s="7" t="n">
        <f aca="false">IFERROR(IF(ISNUMBER(CA25),(CA25-AVERAGEIF('Pemetaan Variant'!$A$5:$A$32,$B25,'Pemetaan Variant'!$I$5:$I$32))/AVERAGEIF('Pemetaan Variant'!$A$5:$A$32,$B25,'Pemetaan Variant'!$I$5:$I$32)*100,"n/a"),"n/a")</f>
        <v>0</v>
      </c>
      <c r="CC25" s="7" t="n">
        <f aca="false">IFERROR(IF(ISNUMBER(CB25),$C25*CB25,"n/a"),"n/a")</f>
        <v>0</v>
      </c>
      <c r="CD25" s="17" t="n">
        <f aca="false">IFERROR(AVERAGEIF('Pemetaan Variant'!$A$5:$A$32,$B25,'Pemetaan Variant'!$AL$5:$AL$32),"n/a")</f>
        <v>8000</v>
      </c>
      <c r="CE25" s="7" t="n">
        <f aca="false">IFERROR(IF(ISNUMBER(CD25),(CD25-AVERAGEIF('Pemetaan Variant'!$A$5:$A$32,$B25,'Pemetaan Variant'!$I$5:$I$32))/AVERAGEIF('Pemetaan Variant'!$A$5:$A$32,$B25,'Pemetaan Variant'!$I$5:$I$32)*100,"n/a"),"n/a")</f>
        <v>0</v>
      </c>
      <c r="CF25" s="7" t="n">
        <f aca="false">IFERROR(IF(ISNUMBER(CE25),$C25*CE25,"n/a"),"n/a")</f>
        <v>0</v>
      </c>
      <c r="CG25" s="17" t="n">
        <f aca="false">IFERROR(AVERAGEIF('Pemetaan Variant'!$A$5:$A$32,$B25,'Pemetaan Variant'!$AM$5:$AM$32),"n/a")</f>
        <v>8000</v>
      </c>
      <c r="CH25" s="7" t="n">
        <f aca="false">IFERROR(IF(ISNUMBER(CG25),(CG25-AVERAGEIF('Pemetaan Variant'!$A$5:$A$32,$B25,'Pemetaan Variant'!$I$5:$I$32))/AVERAGEIF('Pemetaan Variant'!$A$5:$A$32,$B25,'Pemetaan Variant'!$I$5:$I$32)*100,"n/a"),"n/a")</f>
        <v>0</v>
      </c>
      <c r="CI25" s="7" t="n">
        <f aca="false">IFERROR(IF(ISNUMBER(CH25),$C25*CH25,"n/a"),"n/a")</f>
        <v>0</v>
      </c>
      <c r="CJ25" s="17" t="n">
        <f aca="false">IFERROR(AVERAGEIF('Pemetaan Variant'!$A$5:$A$32,$B25,'Pemetaan Variant'!$AN$5:$AN$32),"n/a")</f>
        <v>8000</v>
      </c>
      <c r="CK25" s="7" t="n">
        <f aca="false">IFERROR(IF(ISNUMBER(CJ25),(CJ25-AVERAGEIF('Pemetaan Variant'!$A$5:$A$32,$B25,'Pemetaan Variant'!$I$5:$I$32))/AVERAGEIF('Pemetaan Variant'!$A$5:$A$32,$B25,'Pemetaan Variant'!$I$5:$I$32)*100,"n/a"),"n/a")</f>
        <v>0</v>
      </c>
      <c r="CL25" s="7" t="n">
        <f aca="false">IFERROR(IF(ISNUMBER(CK25),$C25*CK25,"n/a"),"n/a")</f>
        <v>0</v>
      </c>
      <c r="CM25" s="17" t="n">
        <f aca="false">IFERROR(AVERAGEIF('Pemetaan Variant'!$A$5:$A$32,$B25,'Pemetaan Variant'!$AO$5:$AO$32),"n/a")</f>
        <v>8000</v>
      </c>
      <c r="CN25" s="7" t="n">
        <f aca="false">IFERROR(IF(ISNUMBER(CM25),(CM25-AVERAGEIF('Pemetaan Variant'!$A$5:$A$32,$B25,'Pemetaan Variant'!$J$5:$J$32))/AVERAGEIF('Pemetaan Variant'!$A$5:$A$32,$B25,'Pemetaan Variant'!$J$5:$J$32)*100,"n/a"),"n/a")</f>
        <v>0</v>
      </c>
      <c r="CO25" s="7" t="n">
        <f aca="false">IFERROR(IF(ISNUMBER(CN25),$C25*CN25,"n/a"),"n/a")</f>
        <v>0</v>
      </c>
      <c r="CP25" s="17" t="n">
        <f aca="false">IFERROR(AVERAGEIF('Pemetaan Variant'!$A$5:$A$32,$B25,'Pemetaan Variant'!$AP$5:$AP$32),"n/a")</f>
        <v>8000</v>
      </c>
      <c r="CQ25" s="7" t="n">
        <f aca="false">IFERROR(IF(ISNUMBER(CP25),(CP25-AVERAGEIF('Pemetaan Variant'!$A$5:$A$32,$B25,'Pemetaan Variant'!$J$5:$J$32))/AVERAGEIF('Pemetaan Variant'!$A$5:$A$32,$B25,'Pemetaan Variant'!$J$5:$J$32)*100,"n/a"),"n/a")</f>
        <v>0</v>
      </c>
      <c r="CR25" s="7" t="n">
        <f aca="false">IFERROR(IF(ISNUMBER(CQ25),$C25*CQ25,"n/a"),"n/a")</f>
        <v>0</v>
      </c>
      <c r="CS25" s="17" t="n">
        <f aca="false">IFERROR(AVERAGEIF('Pemetaan Variant'!$A$5:$A$32,$B25,'Pemetaan Variant'!$AQ$5:$AQ$32),"n/a")</f>
        <v>8000</v>
      </c>
      <c r="CT25" s="7" t="n">
        <f aca="false">IFERROR(IF(ISNUMBER(CS25),(CS25-AVERAGEIF('Pemetaan Variant'!$A$5:$A$32,$B25,'Pemetaan Variant'!$J$5:$J$32))/AVERAGEIF('Pemetaan Variant'!$A$5:$A$32,$B25,'Pemetaan Variant'!$J$5:$J$32)*100,"n/a"),"n/a")</f>
        <v>0</v>
      </c>
      <c r="CU25" s="7" t="n">
        <f aca="false">IFERROR(IF(ISNUMBER(CT25),$C25*CT25,"n/a"),"n/a")</f>
        <v>0</v>
      </c>
      <c r="CV25" s="17" t="n">
        <f aca="false">IFERROR(AVERAGEIF('Pemetaan Variant'!$A$5:$A$32,$B25,'Pemetaan Variant'!$AR$5:$AR$32),"n/a")</f>
        <v>8000</v>
      </c>
      <c r="CW25" s="7" t="n">
        <f aca="false">IFERROR(IF(ISNUMBER(CV25),(CV25-AVERAGEIF('Pemetaan Variant'!$A$5:$A$32,$B25,'Pemetaan Variant'!$J$5:$J$32))/AVERAGEIF('Pemetaan Variant'!$A$5:$A$32,$B25,'Pemetaan Variant'!$J$5:$J$32)*100,"n/a"),"n/a")</f>
        <v>0</v>
      </c>
      <c r="CX25" s="7" t="n">
        <f aca="false">IFERROR(IF(ISNUMBER(CW25),$C25*CW25,"n/a"),"n/a")</f>
        <v>0</v>
      </c>
      <c r="CY25" s="17" t="n">
        <f aca="false">IFERROR(AVERAGEIF('Pemetaan Variant'!$A$5:$A$32,$B25,'Pemetaan Variant'!$AS$5:$AS$32),"n/a")</f>
        <v>8000</v>
      </c>
      <c r="CZ25" s="7" t="n">
        <f aca="false">IFERROR(IF(ISNUMBER(CY25),(CY25-AVERAGEIF('Pemetaan Variant'!$A$5:$A$32,$B25,'Pemetaan Variant'!$J$5:$J$32))/AVERAGEIF('Pemetaan Variant'!$A$5:$A$32,$B25,'Pemetaan Variant'!$J$5:$J$32)*100,"n/a"),"n/a")</f>
        <v>0</v>
      </c>
      <c r="DA25" s="7" t="n">
        <f aca="false">IFERROR(IF(ISNUMBER(CZ25),$C25*CZ25,"n/a"),"n/a")</f>
        <v>0</v>
      </c>
      <c r="DB25" s="17" t="n">
        <f aca="false">IFERROR(AVERAGEIF('Pemetaan Variant'!$A$5:$A$32,$B25,'Pemetaan Variant'!$AT$5:$AT$32),"n/a")</f>
        <v>8000</v>
      </c>
      <c r="DC25" s="7" t="n">
        <f aca="false">IFERROR(IF(ISNUMBER(DB25),(DB25-AVERAGEIF('Pemetaan Variant'!$A$5:$A$32,$B25,'Pemetaan Variant'!$K$5:$K$32))/AVERAGEIF('Pemetaan Variant'!$A$5:$A$32,$B25,'Pemetaan Variant'!$K$5:$K$32)*100,"n/a"),"n/a")</f>
        <v>0</v>
      </c>
      <c r="DD25" s="7" t="n">
        <f aca="false">IFERROR(IF(ISNUMBER(DC25),$C25*DC25,"n/a"),"n/a")</f>
        <v>0</v>
      </c>
      <c r="DE25" s="17" t="n">
        <f aca="false">IFERROR(AVERAGEIF('Pemetaan Variant'!$A$5:$A$32,$B25,'Pemetaan Variant'!$AU$5:$AU$32),"n/a")</f>
        <v>8000</v>
      </c>
      <c r="DF25" s="7" t="n">
        <f aca="false">IFERROR(IF(ISNUMBER(DE25),(DE25-AVERAGEIF('Pemetaan Variant'!$A$5:$A$32,$B25,'Pemetaan Variant'!$K$5:$K$32))/AVERAGEIF('Pemetaan Variant'!$A$5:$A$32,$B25,'Pemetaan Variant'!$K$5:$K$32)*100,"n/a"),"n/a")</f>
        <v>0</v>
      </c>
      <c r="DG25" s="7" t="n">
        <f aca="false">IFERROR(IF(ISNUMBER(DF25),$C25*DF25,"n/a"),"n/a")</f>
        <v>0</v>
      </c>
      <c r="DH25" s="17" t="n">
        <f aca="false">IFERROR(AVERAGEIF('Pemetaan Variant'!$A$5:$A$32,$B25,'Pemetaan Variant'!$AV$5:$AV$32),"n/a")</f>
        <v>8000</v>
      </c>
      <c r="DI25" s="7" t="n">
        <f aca="false">IFERROR(IF(ISNUMBER(DH25),(DH25-AVERAGEIF('Pemetaan Variant'!$A$5:$A$32,$B25,'Pemetaan Variant'!$K$5:$K$32))/AVERAGEIF('Pemetaan Variant'!$A$5:$A$32,$B25,'Pemetaan Variant'!$K$5:$K$32)*100,"n/a"),"n/a")</f>
        <v>0</v>
      </c>
      <c r="DJ25" s="7" t="n">
        <f aca="false">IFERROR(IF(ISNUMBER(DI25),$C25*DI25,"n/a"),"n/a")</f>
        <v>0</v>
      </c>
      <c r="DK25" s="17" t="n">
        <f aca="false">IFERROR(AVERAGEIF('Pemetaan Variant'!$A$5:$A$32,$B25,'Pemetaan Variant'!$AW$5:$AW$32),"n/a")</f>
        <v>8000</v>
      </c>
      <c r="DL25" s="7" t="n">
        <f aca="false">IFERROR(IF(ISNUMBER(DK25),(DK25-AVERAGEIF('Pemetaan Variant'!$A$5:$A$32,$B25,'Pemetaan Variant'!$K$5:$K$32))/AVERAGEIF('Pemetaan Variant'!$A$5:$A$32,$B25,'Pemetaan Variant'!$K$5:$K$32)*100,"n/a"),"n/a")</f>
        <v>0</v>
      </c>
      <c r="DM25" s="7" t="n">
        <f aca="false">IFERROR(IF(ISNUMBER(DL25),$C25*DL25,"n/a"),"n/a")</f>
        <v>0</v>
      </c>
      <c r="DN25" s="17" t="str">
        <f aca="false">IFERROR(AVERAGEIF('Pemetaan Variant'!$A$5:$A$32,$B25,'Pemetaan Variant'!$AX$5:$AX$32),"n/a")</f>
        <v>n/a</v>
      </c>
      <c r="DO25" s="7" t="str">
        <f aca="false">IFERROR(IF(ISNUMBER(DN25),(DN25-AVERAGEIF('Pemetaan Variant'!$A$5:$A$32,$B25,'Pemetaan Variant'!$K$5:$K$32))/AVERAGEIF('Pemetaan Variant'!$A$5:$A$32,$B25,'Pemetaan Variant'!$K$5:$K$32)*100,"n/a"),"n/a")</f>
        <v>n/a</v>
      </c>
      <c r="DP25" s="7" t="str">
        <f aca="false">IFERROR(IF(ISNUMBER(DO25),$C25*DO25,"n/a"),"n/a")</f>
        <v>n/a</v>
      </c>
      <c r="DQ25" s="18" t="n">
        <f aca="false">IFERROR(AVERAGEIF('Pemetaan Variant'!$A$5:$A$32,$B25,'Pemetaan Variant'!$AZ$5:$AZ$32),"n/a")</f>
        <v>8000</v>
      </c>
      <c r="DR25" s="11" t="n">
        <f aca="false">IFERROR(IF(ISNUMBER(DQ25),(DQ25-AVERAGEIF('Pemetaan Variant'!$A$5:$A$32,$B25,'Pemetaan Variant'!$AY$5:$AY$32))/AVERAGEIF('Pemetaan Variant'!$A$5:$A$32,$B25,'Pemetaan Variant'!$AY$5:$AY$32)*100,"n/a"),"n/a")</f>
        <v>0</v>
      </c>
      <c r="DS25" s="11" t="n">
        <f aca="false">IFERROR(IF(ISNUMBER(DR25),$C25*DR25,"n/a"),"n/a")</f>
        <v>0</v>
      </c>
      <c r="DT25" s="18" t="str">
        <f aca="false">IFERROR(AVERAGEIF('Pemetaan Variant'!$A$5:$A$32,$B25,'Pemetaan Variant'!$BA$5:$BA$32),"n/a")</f>
        <v>n/a</v>
      </c>
      <c r="DU25" s="11" t="str">
        <f aca="false">IFERROR(IF(ISNUMBER(DT25),(DT25-AVERAGEIF('Pemetaan Variant'!$A$5:$A$32,$B25,'Pemetaan Variant'!$AY$5:$AY$32))/AVERAGEIF('Pemetaan Variant'!$A$5:$A$32,$B25,'Pemetaan Variant'!$AY$5:$AY$32)*100,"n/a"),"n/a")</f>
        <v>n/a</v>
      </c>
      <c r="DV25" s="11" t="str">
        <f aca="false">IFERROR(IF(ISNUMBER(DU25),$C25*DU25,"n/a"),"n/a")</f>
        <v>n/a</v>
      </c>
      <c r="DW25" s="18" t="str">
        <f aca="false">IFERROR(AVERAGEIF('Pemetaan Variant'!$A$5:$A$32,$B25,'Pemetaan Variant'!$BB$5:$BB$32),"n/a")</f>
        <v>n/a</v>
      </c>
      <c r="DX25" s="11" t="str">
        <f aca="false">IFERROR(IF(ISNUMBER(DW25),(DW25-AVERAGEIF('Pemetaan Variant'!$A$5:$A$32,$B25,'Pemetaan Variant'!$AY$5:$AY$32))/AVERAGEIF('Pemetaan Variant'!$A$5:$A$32,$B25,'Pemetaan Variant'!$AY$5:$AY$32)*100,"n/a"),"n/a")</f>
        <v>n/a</v>
      </c>
      <c r="DY25" s="11" t="str">
        <f aca="false">IFERROR(IF(ISNUMBER(DX25),$C25*DX25,"n/a"),"n/a")</f>
        <v>n/a</v>
      </c>
      <c r="DZ25" s="18" t="str">
        <f aca="false">IFERROR(AVERAGEIF('Pemetaan Variant'!$A$5:$A$32,$B25,'Pemetaan Variant'!$BC$5:$BC$32),"n/a")</f>
        <v>n/a</v>
      </c>
      <c r="EA25" s="11" t="str">
        <f aca="false">IFERROR(IF(ISNUMBER(DZ25),(DZ25-AVERAGEIF('Pemetaan Variant'!$A$5:$A$32,$B25,'Pemetaan Variant'!$AY$5:$AY$32))/AVERAGEIF('Pemetaan Variant'!$A$5:$A$32,$B25,'Pemetaan Variant'!$AY$5:$AY$32)*100,"n/a"),"n/a")</f>
        <v>n/a</v>
      </c>
      <c r="EB25" s="11" t="str">
        <f aca="false">IFERROR(IF(ISNUMBER(EA25),$C25*EA25,"n/a"),"n/a")</f>
        <v>n/a</v>
      </c>
      <c r="EC25" s="18" t="str">
        <f aca="false">IFERROR(AVERAGEIF('Pemetaan Variant'!$A$5:$A$32,$B25,'Pemetaan Variant'!$BD$5:$BD$32),"n/a")</f>
        <v>n/a</v>
      </c>
      <c r="ED25" s="11" t="str">
        <f aca="false">IFERROR(IF(ISNUMBER(EC25),(EC25-AVERAGEIF('Pemetaan Variant'!$A$5:$A$32,$B25,'Pemetaan Variant'!$AY$5:$AY$32))/AVERAGEIF('Pemetaan Variant'!$A$5:$A$32,$B25,'Pemetaan Variant'!$AY$5:$AY$32)*100,"n/a"),"n/a")</f>
        <v>n/a</v>
      </c>
      <c r="EE25" s="11" t="str">
        <f aca="false">IFERROR(IF(ISNUMBER(ED25),$C25*ED25,"n/a"),"n/a")</f>
        <v>n/a</v>
      </c>
      <c r="EG25" s="11" t="n">
        <f aca="false">IFERROR(ABS(F25),0)</f>
        <v>0.197178552218885</v>
      </c>
      <c r="EH25" s="11" t="n">
        <f aca="false">IFERROR(ABS(I25),0)</f>
        <v>0.197178552218885</v>
      </c>
      <c r="EI25" s="11" t="n">
        <f aca="false">IFERROR(ABS(L25),0)</f>
        <v>0.197178552218885</v>
      </c>
      <c r="EJ25" s="11" t="n">
        <f aca="false">IFERROR(ABS(O25),0)</f>
        <v>0.197178552218885</v>
      </c>
      <c r="EK25" s="11" t="n">
        <f aca="false">IFERROR(ABS(R25),0)</f>
        <v>0.197178552218885</v>
      </c>
      <c r="EL25" s="11" t="n">
        <f aca="false">IFERROR(ABS(U25),0)</f>
        <v>0.097650330622686</v>
      </c>
      <c r="EM25" s="11" t="n">
        <f aca="false">IFERROR(ABS(X25),0)</f>
        <v>0</v>
      </c>
      <c r="EN25" s="11" t="n">
        <f aca="false">IFERROR(ABS(AA25),0)</f>
        <v>0.32550110207562</v>
      </c>
      <c r="EO25" s="11" t="n">
        <f aca="false">IFERROR(ABS(AD25),0)</f>
        <v>0.292950991868058</v>
      </c>
      <c r="EP25" s="11" t="n">
        <f aca="false">IFERROR(ABS(AG25),0)</f>
        <v>0.310705597435819</v>
      </c>
      <c r="EQ25" s="11" t="n">
        <f aca="false">IFERROR(ABS(AJ25),0)</f>
        <v>0.310705597435819</v>
      </c>
      <c r="ER25" s="11" t="n">
        <f aca="false">IFERROR(ABS(AM25),0)</f>
        <v>0.310705597435819</v>
      </c>
      <c r="ES25" s="11" t="n">
        <f aca="false">IFERROR(ABS(AP25),0)</f>
        <v>0.310705597435819</v>
      </c>
      <c r="ET25" s="11" t="n">
        <f aca="false">IFERROR(ABS(AS25),0)</f>
        <v>0.310705597435819</v>
      </c>
      <c r="EU25" s="11" t="n">
        <f aca="false">IFERROR(ABS(AV25),0)</f>
        <v>0</v>
      </c>
      <c r="EV25" s="11" t="n">
        <f aca="false">IFERROR(ABS(AY25),0)</f>
        <v>0</v>
      </c>
      <c r="EW25" s="11" t="n">
        <f aca="false">IFERROR(ABS(BB25),0)</f>
        <v>0</v>
      </c>
      <c r="EX25" s="11" t="n">
        <f aca="false">IFERROR(ABS(BE25),0)</f>
        <v>0</v>
      </c>
      <c r="EY25" s="11" t="n">
        <f aca="false">IFERROR(ABS(BH25),0)</f>
        <v>0</v>
      </c>
      <c r="EZ25" s="11" t="n">
        <f aca="false">IFERROR(ABS(BK25),0)</f>
        <v>0</v>
      </c>
      <c r="FA25" s="11" t="n">
        <f aca="false">IFERROR(ABS(BN25),0)</f>
        <v>0</v>
      </c>
      <c r="FB25" s="11" t="n">
        <f aca="false">IFERROR(ABS(BQ25),0)</f>
        <v>0</v>
      </c>
      <c r="FC25" s="11" t="n">
        <f aca="false">IFERROR(ABS(BT25),0)</f>
        <v>0</v>
      </c>
      <c r="FD25" s="11" t="n">
        <f aca="false">IFERROR(ABS(BW25),0)</f>
        <v>0</v>
      </c>
      <c r="FE25" s="11" t="n">
        <f aca="false">IFERROR(ABS(BZ25),0)</f>
        <v>0</v>
      </c>
      <c r="FF25" s="11" t="n">
        <f aca="false">IFERROR(ABS(CC25),0)</f>
        <v>0</v>
      </c>
      <c r="FG25" s="11" t="n">
        <f aca="false">IFERROR(ABS(CF25),0)</f>
        <v>0</v>
      </c>
      <c r="FH25" s="11" t="n">
        <f aca="false">IFERROR(ABS(CI25),0)</f>
        <v>0</v>
      </c>
      <c r="FI25" s="11" t="n">
        <f aca="false">IFERROR(ABS(CL25),0)</f>
        <v>0</v>
      </c>
      <c r="FJ25" s="11" t="n">
        <f aca="false">IFERROR(ABS(CO25),0)</f>
        <v>0</v>
      </c>
      <c r="FK25" s="11" t="n">
        <f aca="false">IFERROR(ABS(CR25),0)</f>
        <v>0</v>
      </c>
      <c r="FL25" s="11" t="n">
        <f aca="false">IFERROR(ABS(CU25),0)</f>
        <v>0</v>
      </c>
      <c r="FM25" s="11" t="n">
        <f aca="false">IFERROR(ABS(CX25),0)</f>
        <v>0</v>
      </c>
      <c r="FN25" s="11" t="n">
        <f aca="false">IFERROR(ABS(DA25),0)</f>
        <v>0</v>
      </c>
      <c r="FO25" s="11" t="n">
        <f aca="false">IFERROR(ABS(DD25),0)</f>
        <v>0</v>
      </c>
      <c r="FP25" s="11" t="n">
        <f aca="false">IFERROR(ABS(DG25),0)</f>
        <v>0</v>
      </c>
      <c r="FQ25" s="11" t="n">
        <f aca="false">IFERROR(ABS(DJ25),0)</f>
        <v>0</v>
      </c>
      <c r="FR25" s="11" t="n">
        <f aca="false">IFERROR(ABS(DM25),0)</f>
        <v>0</v>
      </c>
      <c r="FS25" s="11" t="n">
        <f aca="false">IFERROR(ABS(DP25),0)</f>
        <v>0</v>
      </c>
      <c r="FT25" s="11" t="n">
        <f aca="false">IFERROR(ABS(DS25),0)</f>
        <v>0</v>
      </c>
      <c r="FU25" s="11" t="n">
        <f aca="false">IFERROR(ABS(DV25),0)</f>
        <v>0</v>
      </c>
      <c r="FV25" s="11" t="n">
        <f aca="false">IFERROR(ABS(DY25),0)</f>
        <v>0</v>
      </c>
      <c r="FW25" s="11" t="n">
        <f aca="false">IFERROR(ABS(EB25),0)</f>
        <v>0</v>
      </c>
      <c r="FX25" s="11" t="n">
        <f aca="false">IFERROR(ABS(EE25),0)</f>
        <v>0</v>
      </c>
    </row>
    <row r="26" customFormat="false" ht="21.75" hidden="false" customHeight="true" outlineLevel="0" collapsed="false">
      <c r="B26" s="19" t="s">
        <v>210</v>
      </c>
      <c r="D26" s="20"/>
      <c r="E26" s="20"/>
      <c r="F26" s="21" t="n">
        <f aca="false">IF(COUNT(F6:F25)=0,"Data tidak tersedia",SUM(F6:F25))</f>
        <v>0.00741471161197305</v>
      </c>
      <c r="G26" s="20"/>
      <c r="H26" s="20"/>
      <c r="I26" s="21" t="n">
        <f aca="false">IF(COUNT(I6:I25)=0,"Data tidak tersedia",SUM(I6:I25))</f>
        <v>0.00741471161197305</v>
      </c>
      <c r="J26" s="20"/>
      <c r="K26" s="20"/>
      <c r="L26" s="21" t="n">
        <f aca="false">IF(COUNT(L6:L25)=0,"Data tidak tersedia",SUM(L6:L25))</f>
        <v>-0.025212905308741</v>
      </c>
      <c r="M26" s="20"/>
      <c r="N26" s="20"/>
      <c r="O26" s="21" t="n">
        <f aca="false">IF(COUNT(O6:O25)=0,"Data tidak tersedia",SUM(O6:O25))</f>
        <v>0.247011787139353</v>
      </c>
      <c r="P26" s="20"/>
      <c r="Q26" s="20"/>
      <c r="R26" s="21" t="n">
        <f aca="false">IF(COUNT(R6:R25)=0,"Data tidak tersedia",SUM(R6:R25))</f>
        <v>0.49375014927951</v>
      </c>
      <c r="S26" s="20"/>
      <c r="T26" s="20"/>
      <c r="U26" s="21" t="n">
        <f aca="false">IF(COUNT(U6:U25)=0,"Data tidak tersedia",SUM(U6:U25))</f>
        <v>2.19694772907459</v>
      </c>
      <c r="V26" s="20"/>
      <c r="W26" s="20"/>
      <c r="X26" s="21" t="n">
        <f aca="false">IF(COUNT(X6:X25)=0,"Data tidak tersedia",SUM(X6:X25))</f>
        <v>0.681398883585881</v>
      </c>
      <c r="Y26" s="20"/>
      <c r="Z26" s="20"/>
      <c r="AA26" s="21" t="n">
        <f aca="false">IF(COUNT(AA6:AA25)=0,"Data tidak tersedia",SUM(AA6:AA25))</f>
        <v>7.18531986623712</v>
      </c>
      <c r="AB26" s="20"/>
      <c r="AC26" s="20"/>
      <c r="AD26" s="21" t="n">
        <f aca="false">IF(COUNT(AD6:AD25)=0,"Data tidak tersedia",SUM(AD6:AD25))</f>
        <v>6.79365011537317</v>
      </c>
      <c r="AE26" s="20"/>
      <c r="AF26" s="20"/>
      <c r="AG26" s="21" t="n">
        <f aca="false">IF(COUNT(AG6:AG25)=0,"Data tidak tersedia",SUM(AG6:AG25))</f>
        <v>4.68836401247295</v>
      </c>
      <c r="AH26" s="20"/>
      <c r="AI26" s="20"/>
      <c r="AJ26" s="21" t="n">
        <f aca="false">IF(COUNT(AJ6:AJ25)=0,"Data tidak tersedia",SUM(AJ6:AJ25))</f>
        <v>5.32673203844406</v>
      </c>
      <c r="AK26" s="20"/>
      <c r="AL26" s="20"/>
      <c r="AM26" s="21" t="n">
        <f aca="false">IF(COUNT(AM6:AM25)=0,"Data tidak tersedia",SUM(AM6:AM25))</f>
        <v>7.44130938606695</v>
      </c>
      <c r="AN26" s="20"/>
      <c r="AO26" s="20"/>
      <c r="AP26" s="21" t="n">
        <f aca="false">IF(COUNT(AP6:AP25)=0,"Data tidak tersedia",SUM(AP6:AP25))</f>
        <v>6.36688182494029</v>
      </c>
      <c r="AQ26" s="20"/>
      <c r="AR26" s="20"/>
      <c r="AS26" s="21" t="n">
        <f aca="false">IF(COUNT(AS6:AS25)=0,"Data tidak tersedia",SUM(AS6:AS25))</f>
        <v>5.99914949346896</v>
      </c>
      <c r="AT26" s="20"/>
      <c r="AU26" s="20"/>
      <c r="AV26" s="21" t="n">
        <f aca="false">IF(COUNT(AV6:AV25)=0,"Data tidak tersedia",SUM(AV6:AV25))</f>
        <v>-0.384649264090947</v>
      </c>
      <c r="AW26" s="20"/>
      <c r="AX26" s="20"/>
      <c r="AY26" s="21" t="n">
        <f aca="false">IF(COUNT(AY6:AY25)=0,"Data tidak tersedia",SUM(AY6:AY25))</f>
        <v>-0.755038370066223</v>
      </c>
      <c r="AZ26" s="20"/>
      <c r="BA26" s="20"/>
      <c r="BB26" s="21" t="n">
        <f aca="false">IF(COUNT(BB6:BB25)=0,"Data tidak tersedia",SUM(BB6:BB25))</f>
        <v>-0.920146145660062</v>
      </c>
      <c r="BC26" s="20"/>
      <c r="BD26" s="20"/>
      <c r="BE26" s="21" t="n">
        <f aca="false">IF(COUNT(BE6:BE25)=0,"Data tidak tersedia",SUM(BE6:BE25))</f>
        <v>-0.323462232616148</v>
      </c>
      <c r="BF26" s="20"/>
      <c r="BG26" s="20"/>
      <c r="BH26" s="21" t="n">
        <f aca="false">IF(COUNT(BH6:BH25)=0,"Data tidak tersedia",SUM(BH6:BH25))</f>
        <v>-0.267179134114271</v>
      </c>
      <c r="BI26" s="20"/>
      <c r="BJ26" s="20"/>
      <c r="BK26" s="21" t="str">
        <f aca="false">IF(COUNT(BK6:BK25)=0,"Data tidak tersedia",SUM(BK6:BK25))</f>
        <v>Data tidak tersedia</v>
      </c>
      <c r="BL26" s="20"/>
      <c r="BM26" s="20"/>
      <c r="BN26" s="21" t="n">
        <f aca="false">IF(COUNT(BN6:BN25)=0,"Data tidak tersedia",SUM(BN6:BN25))</f>
        <v>1.40090854210373</v>
      </c>
      <c r="BO26" s="20"/>
      <c r="BP26" s="20"/>
      <c r="BQ26" s="21" t="n">
        <f aca="false">IF(COUNT(BQ6:BQ25)=0,"Data tidak tersedia",SUM(BQ6:BQ25))</f>
        <v>1.71512163181641</v>
      </c>
      <c r="BR26" s="20"/>
      <c r="BS26" s="20"/>
      <c r="BT26" s="21" t="n">
        <f aca="false">IF(COUNT(BT6:BT25)=0,"Data tidak tersedia",SUM(BT6:BT25))</f>
        <v>1.561620868828</v>
      </c>
      <c r="BU26" s="20"/>
      <c r="BV26" s="20"/>
      <c r="BW26" s="21" t="n">
        <f aca="false">IF(COUNT(BW6:BW25)=0,"Data tidak tersedia",SUM(BW6:BW25))</f>
        <v>1.26149875908524</v>
      </c>
      <c r="BX26" s="20"/>
      <c r="BY26" s="20"/>
      <c r="BZ26" s="21" t="n">
        <f aca="false">IF(COUNT(BZ6:BZ25)=0,"Data tidak tersedia",SUM(BZ6:BZ25))</f>
        <v>-1.10353008272993</v>
      </c>
      <c r="CA26" s="20"/>
      <c r="CB26" s="20"/>
      <c r="CC26" s="21" t="n">
        <f aca="false">IF(COUNT(CC6:CC25)=0,"Data tidak tersedia",SUM(CC6:CC25))</f>
        <v>-1.54453778789781</v>
      </c>
      <c r="CD26" s="20"/>
      <c r="CE26" s="20"/>
      <c r="CF26" s="21" t="n">
        <f aca="false">IF(COUNT(CF6:CF25)=0,"Data tidak tersedia",SUM(CF6:CF25))</f>
        <v>-1.49257610987972</v>
      </c>
      <c r="CG26" s="20"/>
      <c r="CH26" s="20"/>
      <c r="CI26" s="21" t="n">
        <f aca="false">IF(COUNT(CI6:CI25)=0,"Data tidak tersedia",SUM(CI6:CI25))</f>
        <v>-1.99408191443139</v>
      </c>
      <c r="CJ26" s="20"/>
      <c r="CK26" s="20"/>
      <c r="CL26" s="21" t="n">
        <f aca="false">IF(COUNT(CL6:CL25)=0,"Data tidak tersedia",SUM(CL6:CL25))</f>
        <v>-2.07535923021486</v>
      </c>
      <c r="CM26" s="20"/>
      <c r="CN26" s="20"/>
      <c r="CO26" s="21" t="n">
        <f aca="false">IF(COUNT(CO6:CO25)=0,"Data tidak tersedia",SUM(CO6:CO25))</f>
        <v>-0.665533966367144</v>
      </c>
      <c r="CP26" s="20"/>
      <c r="CQ26" s="20"/>
      <c r="CR26" s="21" t="n">
        <f aca="false">IF(COUNT(CR6:CR25)=0,"Data tidak tersedia",SUM(CR6:CR25))</f>
        <v>-0.728633841930944</v>
      </c>
      <c r="CS26" s="20"/>
      <c r="CT26" s="20"/>
      <c r="CU26" s="21" t="n">
        <f aca="false">IF(COUNT(CU6:CU25)=0,"Data tidak tersedia",SUM(CU6:CU25))</f>
        <v>-0.728633841930944</v>
      </c>
      <c r="CV26" s="20"/>
      <c r="CW26" s="20"/>
      <c r="CX26" s="21" t="n">
        <f aca="false">IF(COUNT(CX6:CX25)=0,"Data tidak tersedia",SUM(CX6:CX25))</f>
        <v>-0.65824272080091</v>
      </c>
      <c r="CY26" s="20"/>
      <c r="CZ26" s="20"/>
      <c r="DA26" s="21" t="n">
        <f aca="false">IF(COUNT(DA6:DA25)=0,"Data tidak tersedia",SUM(DA6:DA25))</f>
        <v>-0.391499947223847</v>
      </c>
      <c r="DB26" s="20"/>
      <c r="DC26" s="20"/>
      <c r="DD26" s="21" t="n">
        <f aca="false">IF(COUNT(DD6:DD25)=0,"Data tidak tersedia",SUM(DD6:DD25))</f>
        <v>0.00279175474360373</v>
      </c>
      <c r="DE26" s="20"/>
      <c r="DF26" s="20"/>
      <c r="DG26" s="21" t="n">
        <f aca="false">IF(COUNT(DG6:DG25)=0,"Data tidak tersedia",SUM(DG6:DG25))</f>
        <v>-0.0986186565254684</v>
      </c>
      <c r="DH26" s="20"/>
      <c r="DI26" s="20"/>
      <c r="DJ26" s="21" t="n">
        <f aca="false">IF(COUNT(DJ6:DJ25)=0,"Data tidak tersedia",SUM(DJ6:DJ25))</f>
        <v>0.138246812295891</v>
      </c>
      <c r="DK26" s="20"/>
      <c r="DL26" s="20"/>
      <c r="DM26" s="21" t="n">
        <f aca="false">IF(COUNT(DM6:DM25)=0,"Data tidak tersedia",SUM(DM6:DM25))</f>
        <v>0.358008829432327</v>
      </c>
      <c r="DN26" s="20"/>
      <c r="DO26" s="20"/>
      <c r="DP26" s="21" t="str">
        <f aca="false">IF(COUNT(DP6:DP25)=0,"Data tidak tersedia",SUM(DP6:DP25))</f>
        <v>Data tidak tersedia</v>
      </c>
      <c r="DQ26" s="22"/>
      <c r="DR26" s="22"/>
      <c r="DS26" s="23" t="n">
        <f aca="false">IF(COUNT(DS6:DS25)=0,"Data tidak tersedia",SUM(DS6:DS25))</f>
        <v>0.30409181434486</v>
      </c>
      <c r="DT26" s="22"/>
      <c r="DU26" s="22"/>
      <c r="DV26" s="23" t="str">
        <f aca="false">IF(COUNT(DV6:DV25)=0,"Data tidak tersedia",SUM(DV6:DV25))</f>
        <v>Data tidak tersedia</v>
      </c>
      <c r="DW26" s="22"/>
      <c r="DX26" s="22"/>
      <c r="DY26" s="23" t="str">
        <f aca="false">IF(COUNT(DY6:DY25)=0,"Data tidak tersedia",SUM(DY6:DY25))</f>
        <v>Data tidak tersedia</v>
      </c>
      <c r="DZ26" s="22"/>
      <c r="EA26" s="22"/>
      <c r="EB26" s="23" t="str">
        <f aca="false">IF(COUNT(EB6:EB25)=0,"Data tidak tersedia",SUM(EB6:EB25))</f>
        <v>Data tidak tersedia</v>
      </c>
      <c r="EC26" s="22"/>
      <c r="ED26" s="22"/>
      <c r="EE26" s="23" t="str">
        <f aca="false">IF(COUNT(EE6:EE25)=0,"Data tidak tersedia",SUM(EE6:EE25))</f>
        <v>Data tidak tersedia</v>
      </c>
    </row>
  </sheetData>
  <mergeCells count="46">
    <mergeCell ref="A1:F1"/>
    <mergeCell ref="A2:F2"/>
    <mergeCell ref="D4:F4"/>
    <mergeCell ref="G4:I4"/>
    <mergeCell ref="J4:L4"/>
    <mergeCell ref="M4:O4"/>
    <mergeCell ref="P4:R4"/>
    <mergeCell ref="S4:U4"/>
    <mergeCell ref="V4:X4"/>
    <mergeCell ref="Y4:AA4"/>
    <mergeCell ref="AB4:AD4"/>
    <mergeCell ref="AE4:AG4"/>
    <mergeCell ref="AH4:AJ4"/>
    <mergeCell ref="AK4:AM4"/>
    <mergeCell ref="AN4:AP4"/>
    <mergeCell ref="AQ4:AS4"/>
    <mergeCell ref="AT4:AV4"/>
    <mergeCell ref="AW4:AY4"/>
    <mergeCell ref="AZ4:BB4"/>
    <mergeCell ref="BC4:BE4"/>
    <mergeCell ref="BF4:BH4"/>
    <mergeCell ref="BI4:BK4"/>
    <mergeCell ref="BL4:BN4"/>
    <mergeCell ref="BO4:BQ4"/>
    <mergeCell ref="BR4:BT4"/>
    <mergeCell ref="BU4:BW4"/>
    <mergeCell ref="BX4:BZ4"/>
    <mergeCell ref="CA4:CC4"/>
    <mergeCell ref="CD4:CF4"/>
    <mergeCell ref="CG4:CI4"/>
    <mergeCell ref="CJ4:CL4"/>
    <mergeCell ref="CM4:CO4"/>
    <mergeCell ref="CP4:CR4"/>
    <mergeCell ref="CS4:CU4"/>
    <mergeCell ref="CV4:CX4"/>
    <mergeCell ref="CY4:DA4"/>
    <mergeCell ref="DB4:DD4"/>
    <mergeCell ref="DE4:DG4"/>
    <mergeCell ref="DH4:DJ4"/>
    <mergeCell ref="DK4:DM4"/>
    <mergeCell ref="DN4:DP4"/>
    <mergeCell ref="DQ4:DS4"/>
    <mergeCell ref="DT4:DV4"/>
    <mergeCell ref="DW4:DY4"/>
    <mergeCell ref="DZ4:EB4"/>
    <mergeCell ref="EC4:EE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4"/>
    <col collapsed="false" customWidth="true" hidden="false" outlineLevel="0" max="3" min="3" style="1" width="11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26"/>
  </cols>
  <sheetData>
    <row r="1" customFormat="false" ht="15" hidden="false" customHeight="true" outlineLevel="0" collapsed="false">
      <c r="A1" s="2" t="s">
        <v>211</v>
      </c>
      <c r="B1" s="2"/>
      <c r="C1" s="2"/>
      <c r="D1" s="2"/>
      <c r="E1" s="2"/>
      <c r="F1" s="2"/>
    </row>
    <row r="2" customFormat="false" ht="18.75" hidden="false" customHeight="true" outlineLevel="0" collapsed="false">
      <c r="A2" s="12" t="s">
        <v>212</v>
      </c>
      <c r="B2" s="12"/>
      <c r="C2" s="12"/>
      <c r="D2" s="12"/>
      <c r="E2" s="12"/>
      <c r="F2" s="12"/>
    </row>
    <row r="4" customFormat="false" ht="15" hidden="false" customHeight="true" outlineLevel="0" collapsed="false">
      <c r="A4" s="24" t="s">
        <v>213</v>
      </c>
      <c r="B4" s="24"/>
      <c r="C4" s="24"/>
      <c r="D4" s="24"/>
      <c r="E4" s="24"/>
      <c r="F4" s="24"/>
    </row>
    <row r="5" customFormat="false" ht="21.75" hidden="false" customHeight="true" outlineLevel="0" collapsed="false">
      <c r="A5" s="3" t="s">
        <v>214</v>
      </c>
      <c r="B5" s="3" t="s">
        <v>215</v>
      </c>
      <c r="C5" s="3" t="s">
        <v>142</v>
      </c>
      <c r="D5" s="3" t="s">
        <v>216</v>
      </c>
      <c r="E5" s="3" t="s">
        <v>217</v>
      </c>
      <c r="F5" s="3" t="s">
        <v>218</v>
      </c>
    </row>
    <row r="6" customFormat="false" ht="15" hidden="false" customHeight="true" outlineLevel="0" collapsed="false">
      <c r="A6" s="5" t="n">
        <v>1</v>
      </c>
      <c r="B6" s="6" t="str">
        <f aca="false">IFERROR(INDEX('Perhitungan IPH Mingguan 2026'!$B$6:$B$25,MATCH(LARGE('Perhitungan IPH Mingguan 2026'!$DR$6:$DR$25,1),'Perhitungan IPH Mingguan 2026'!$DR$6:$DR$25,0)),"-")</f>
        <v>cabai rawit 01173013</v>
      </c>
      <c r="C6" s="7" t="n">
        <f aca="false">IFERROR(INDEX('Perhitungan IPH Mingguan 2026'!$C$6:$C$25,MATCH(LARGE('Perhitungan IPH Mingguan 2026'!$DR$6:$DR$25,1),'Perhitungan IPH Mingguan 2026'!$DR$6:$DR$25,0)),"")</f>
        <v>0.0177017323628706</v>
      </c>
      <c r="D6" s="25" t="n">
        <f aca="false">IFERROR(INDEX('Perhitungan IPH Mingguan 2026'!$E$6:$E$25,MATCH(LARGE('Perhitungan IPH Mingguan 2026'!$DR$6:$DR$25,1),'Perhitungan IPH Mingguan 2026'!$DR$6:$DR$25,0)),"")</f>
        <v>8.43373493975903</v>
      </c>
      <c r="E6" s="7" t="n">
        <f aca="false">IFERROR(INDEX('Perhitungan IPH Mingguan 2026'!$F$6:$F$25,MATCH(LARGE('Perhitungan IPH Mingguan 2026'!$DR$6:$DR$25,1),'Perhitungan IPH Mingguan 2026'!$DR$6:$DR$25,0)),"")</f>
        <v>0.149291718723005</v>
      </c>
      <c r="F6" s="6" t="str">
        <f aca="false">IF(ISNUMBER(E6),IF(E6&gt;0,"Penyumbang KENAIKAN IPH","Penyumbang PENURUNAN IPH"),"-")</f>
        <v>Penyumbang KENAIKAN IPH</v>
      </c>
    </row>
    <row r="7" customFormat="false" ht="15" hidden="false" customHeight="true" outlineLevel="0" collapsed="false">
      <c r="A7" s="5" t="n">
        <v>2</v>
      </c>
      <c r="B7" s="6" t="str">
        <f aca="false">IFERROR(INDEX('Perhitungan IPH Mingguan 2026'!$B$6:$B$25,MATCH(LARGE('Perhitungan IPH Mingguan 2026'!$DR$6:$DR$25,2),'Perhitungan IPH Mingguan 2026'!$DR$6:$DR$25,0)),"-")</f>
        <v>daging ayam ras 1124003</v>
      </c>
      <c r="C7" s="7" t="n">
        <f aca="false">IFERROR(INDEX('Perhitungan IPH Mingguan 2026'!$C$6:$C$25,MATCH(LARGE('Perhitungan IPH Mingguan 2026'!$DR$6:$DR$25,2),'Perhitungan IPH Mingguan 2026'!$DR$6:$DR$25,0)),"")</f>
        <v>0.0479107777850277</v>
      </c>
      <c r="D7" s="25" t="n">
        <f aca="false">IFERROR(INDEX('Perhitungan IPH Mingguan 2026'!$E$6:$E$25,MATCH(LARGE('Perhitungan IPH Mingguan 2026'!$DR$6:$DR$25,2),'Perhitungan IPH Mingguan 2026'!$DR$6:$DR$25,0)),"")</f>
        <v>2.15154349859681</v>
      </c>
      <c r="E7" s="7" t="n">
        <f aca="false">IFERROR(INDEX('Perhitungan IPH Mingguan 2026'!$F$6:$F$25,MATCH(LARGE('Perhitungan IPH Mingguan 2026'!$DR$6:$DR$25,2),'Perhitungan IPH Mingguan 2026'!$DR$6:$DR$25,0)),"")</f>
        <v>0.103082122456093</v>
      </c>
      <c r="F7" s="6" t="str">
        <f aca="false">IF(ISNUMBER(E7),IF(E7&gt;0,"Penyumbang KENAIKAN IPH","Penyumbang PENURUNAN IPH"),"-")</f>
        <v>Penyumbang KENAIKAN IPH</v>
      </c>
    </row>
    <row r="8" customFormat="false" ht="15" hidden="false" customHeight="true" outlineLevel="0" collapsed="false">
      <c r="A8" s="5" t="n">
        <v>3</v>
      </c>
      <c r="B8" s="6" t="str">
        <f aca="false">IFERROR(INDEX('Perhitungan IPH Mingguan 2026'!$B$6:$B$25,MATCH(LARGE('Perhitungan IPH Mingguan 2026'!$DR$6:$DR$25,3),'Perhitungan IPH Mingguan 2026'!$DR$6:$DR$25,0)),"-")</f>
        <v>telur ayam ras 01147002</v>
      </c>
      <c r="C8" s="7" t="n">
        <f aca="false">IFERROR(INDEX('Perhitungan IPH Mingguan 2026'!$C$6:$C$25,MATCH(LARGE('Perhitungan IPH Mingguan 2026'!$DR$6:$DR$25,3),'Perhitungan IPH Mingguan 2026'!$DR$6:$DR$25,0)),"")</f>
        <v>0.0298777910794593</v>
      </c>
      <c r="D8" s="25" t="n">
        <f aca="false">IFERROR(INDEX('Perhitungan IPH Mingguan 2026'!$E$6:$E$25,MATCH(LARGE('Perhitungan IPH Mingguan 2026'!$DR$6:$DR$25,3),'Perhitungan IPH Mingguan 2026'!$DR$6:$DR$25,0)),"")</f>
        <v>-0.190114068441058</v>
      </c>
      <c r="E8" s="7" t="n">
        <f aca="false">IFERROR(INDEX('Perhitungan IPH Mingguan 2026'!$F$6:$F$25,MATCH(LARGE('Perhitungan IPH Mingguan 2026'!$DR$6:$DR$25,3),'Perhitungan IPH Mingguan 2026'!$DR$6:$DR$25,0)),"")</f>
        <v>-0.00568018841814795</v>
      </c>
      <c r="F8" s="6" t="str">
        <f aca="false">IF(ISNUMBER(E8),IF(E8&gt;0,"Penyumbang KENAIKAN IPH","Penyumbang PENURUNAN IPH"),"-")</f>
        <v>Penyumbang PENURUNAN IPH</v>
      </c>
    </row>
    <row r="9" customFormat="false" ht="15" hidden="false" customHeight="true" outlineLevel="0" collapsed="false">
      <c r="A9" s="5" t="n">
        <v>4</v>
      </c>
      <c r="B9" s="6" t="str">
        <f aca="false">IFERROR(INDEX('Perhitungan IPH Mingguan 2026'!$B$6:$B$25,MATCH(LARGE('Perhitungan IPH Mingguan 2026'!$DR$6:$DR$25,4),'Perhitungan IPH Mingguan 2026'!$DR$6:$DR$25,0)),"-")</f>
        <v>beras 1111001</v>
      </c>
      <c r="C9" s="7" t="n">
        <f aca="false">IFERROR(INDEX('Perhitungan IPH Mingguan 2026'!$C$6:$C$25,MATCH(LARGE('Perhitungan IPH Mingguan 2026'!$DR$6:$DR$25,4),'Perhitungan IPH Mingguan 2026'!$DR$6:$DR$25,0)),"")</f>
        <v>0.125089056759346</v>
      </c>
      <c r="D9" s="25" t="n">
        <f aca="false">IFERROR(INDEX('Perhitungan IPH Mingguan 2026'!$E$6:$E$25,MATCH(LARGE('Perhitungan IPH Mingguan 2026'!$DR$6:$DR$25,4),'Perhitungan IPH Mingguan 2026'!$DR$6:$DR$25,0)),"")</f>
        <v>0</v>
      </c>
      <c r="E9" s="7" t="n">
        <f aca="false">IFERROR(INDEX('Perhitungan IPH Mingguan 2026'!$F$6:$F$25,MATCH(LARGE('Perhitungan IPH Mingguan 2026'!$DR$6:$DR$25,4),'Perhitungan IPH Mingguan 2026'!$DR$6:$DR$25,0)),"")</f>
        <v>0</v>
      </c>
      <c r="F9" s="6" t="str">
        <f aca="false">IF(ISNUMBER(E9),IF(E9&gt;0,"Penyumbang KENAIKAN IPH","Penyumbang PENURUNAN IPH"),"-")</f>
        <v>Penyumbang PENURUNAN IPH</v>
      </c>
    </row>
    <row r="10" customFormat="false" ht="15" hidden="false" customHeight="true" outlineLevel="0" collapsed="false">
      <c r="A10" s="5" t="n">
        <v>5</v>
      </c>
      <c r="B10" s="6" t="str">
        <f aca="false">IFERROR(INDEX('Perhitungan IPH Mingguan 2026'!$B$6:$B$25,MATCH(LARGE('Perhitungan IPH Mingguan 2026'!$DR$6:$DR$25,5),'Perhitungan IPH Mingguan 2026'!$DR$6:$DR$25,0)),"-")</f>
        <v>tepung terigu 01115005</v>
      </c>
      <c r="C10" s="7" t="n">
        <f aca="false">IFERROR(INDEX('Perhitungan IPH Mingguan 2026'!$C$6:$C$25,MATCH(LARGE('Perhitungan IPH Mingguan 2026'!$DR$6:$DR$25,5),'Perhitungan IPH Mingguan 2026'!$DR$6:$DR$25,0)),"")</f>
        <v>0.00793664049050366</v>
      </c>
      <c r="D10" s="25" t="n">
        <f aca="false">IFERROR(INDEX('Perhitungan IPH Mingguan 2026'!$E$6:$E$25,MATCH(LARGE('Perhitungan IPH Mingguan 2026'!$DR$6:$DR$25,5),'Perhitungan IPH Mingguan 2026'!$DR$6:$DR$25,0)),"")</f>
        <v>0</v>
      </c>
      <c r="E10" s="7" t="n">
        <f aca="false">IFERROR(INDEX('Perhitungan IPH Mingguan 2026'!$F$6:$F$25,MATCH(LARGE('Perhitungan IPH Mingguan 2026'!$DR$6:$DR$25,5),'Perhitungan IPH Mingguan 2026'!$DR$6:$DR$25,0)),"")</f>
        <v>0</v>
      </c>
      <c r="F10" s="6" t="str">
        <f aca="false">IF(ISNUMBER(E10),IF(E10&gt;0,"Penyumbang KENAIKAN IPH","Penyumbang PENURUNAN IPH"),"-")</f>
        <v>Penyumbang PENURUNAN IPH</v>
      </c>
    </row>
    <row r="12" customFormat="false" ht="15" hidden="false" customHeight="true" outlineLevel="0" collapsed="false">
      <c r="A12" s="24" t="s">
        <v>219</v>
      </c>
      <c r="B12" s="24"/>
      <c r="C12" s="24"/>
      <c r="D12" s="24"/>
      <c r="E12" s="24"/>
      <c r="F12" s="24"/>
    </row>
    <row r="13" customFormat="false" ht="21.75" hidden="false" customHeight="true" outlineLevel="0" collapsed="false">
      <c r="A13" s="3" t="s">
        <v>214</v>
      </c>
      <c r="B13" s="3" t="s">
        <v>215</v>
      </c>
      <c r="C13" s="3" t="s">
        <v>142</v>
      </c>
      <c r="D13" s="3" t="s">
        <v>216</v>
      </c>
      <c r="E13" s="3" t="s">
        <v>217</v>
      </c>
      <c r="F13" s="3" t="s">
        <v>218</v>
      </c>
    </row>
    <row r="14" customFormat="false" ht="15" hidden="false" customHeight="true" outlineLevel="0" collapsed="false">
      <c r="A14" s="5" t="n">
        <v>1</v>
      </c>
      <c r="B14" s="6" t="str">
        <f aca="false">IFERROR(INDEX('Perhitungan IPH Mingguan 2026'!$B$6:$B$25,MATCH(LARGE('Perhitungan IPH Mingguan 2026'!$DS$6:$DS$25,1),'Perhitungan IPH Mingguan 2026'!$DS$6:$DS$25,0)),"-")</f>
        <v>daging ayam ras 1124003</v>
      </c>
      <c r="C14" s="7" t="n">
        <f aca="false">IFERROR(INDEX('Perhitungan IPH Mingguan 2026'!$C$6:$C$25,MATCH(LARGE('Perhitungan IPH Mingguan 2026'!$DS$6:$DS$25,1),'Perhitungan IPH Mingguan 2026'!$DS$6:$DS$25,0)),"")</f>
        <v>0.0479107777850277</v>
      </c>
      <c r="D14" s="25" t="n">
        <f aca="false">IFERROR(INDEX('Perhitungan IPH Mingguan 2026'!$H$6:$H$25,MATCH(LARGE('Perhitungan IPH Mingguan 2026'!$DS$6:$DS$25,1),'Perhitungan IPH Mingguan 2026'!$DS$6:$DS$25,0)),"")</f>
        <v>2.15154349859681</v>
      </c>
      <c r="E14" s="7" t="n">
        <f aca="false">IFERROR(INDEX('Perhitungan IPH Mingguan 2026'!$I$6:$I$25,MATCH(LARGE('Perhitungan IPH Mingguan 2026'!$DS$6:$DS$25,1),'Perhitungan IPH Mingguan 2026'!$DS$6:$DS$25,0)),"")</f>
        <v>0.103082122456093</v>
      </c>
      <c r="F14" s="6" t="str">
        <f aca="false">IF(ISNUMBER(E14),IF(E14&gt;0,"Penyumbang KENAIKAN IPH","Penyumbang PENURUNAN IPH"),"-")</f>
        <v>Penyumbang KENAIKAN IPH</v>
      </c>
    </row>
    <row r="15" customFormat="false" ht="15" hidden="false" customHeight="true" outlineLevel="0" collapsed="false">
      <c r="A15" s="5" t="n">
        <v>2</v>
      </c>
      <c r="B15" s="6" t="str">
        <f aca="false">IFERROR(INDEX('Perhitungan IPH Mingguan 2026'!$B$6:$B$25,MATCH(LARGE('Perhitungan IPH Mingguan 2026'!$DS$6:$DS$25,2),'Perhitungan IPH Mingguan 2026'!$DS$6:$DS$25,0)),"-")</f>
        <v>telur ayam ras 01147002</v>
      </c>
      <c r="C15" s="7" t="n">
        <f aca="false">IFERROR(INDEX('Perhitungan IPH Mingguan 2026'!$C$6:$C$25,MATCH(LARGE('Perhitungan IPH Mingguan 2026'!$DS$6:$DS$25,2),'Perhitungan IPH Mingguan 2026'!$DS$6:$DS$25,0)),"")</f>
        <v>0.0298777910794593</v>
      </c>
      <c r="D15" s="25" t="n">
        <f aca="false">IFERROR(INDEX('Perhitungan IPH Mingguan 2026'!$H$6:$H$25,MATCH(LARGE('Perhitungan IPH Mingguan 2026'!$DS$6:$DS$25,2),'Perhitungan IPH Mingguan 2026'!$DS$6:$DS$25,0)),"")</f>
        <v>-0.190114068441058</v>
      </c>
      <c r="E15" s="7" t="n">
        <f aca="false">IFERROR(INDEX('Perhitungan IPH Mingguan 2026'!$I$6:$I$25,MATCH(LARGE('Perhitungan IPH Mingguan 2026'!$DS$6:$DS$25,2),'Perhitungan IPH Mingguan 2026'!$DS$6:$DS$25,0)),"")</f>
        <v>-0.00568018841814795</v>
      </c>
      <c r="F15" s="6" t="str">
        <f aca="false">IF(ISNUMBER(E15),IF(E15&gt;0,"Penyumbang KENAIKAN IPH","Penyumbang PENURUNAN IPH"),"-")</f>
        <v>Penyumbang PENURUNAN IPH</v>
      </c>
    </row>
    <row r="16" customFormat="false" ht="15" hidden="false" customHeight="true" outlineLevel="0" collapsed="false">
      <c r="A16" s="5" t="n">
        <v>3</v>
      </c>
      <c r="B16" s="6" t="str">
        <f aca="false">IFERROR(INDEX('Perhitungan IPH Mingguan 2026'!$B$6:$B$25,MATCH(LARGE('Perhitungan IPH Mingguan 2026'!$DS$6:$DS$25,3),'Perhitungan IPH Mingguan 2026'!$DS$6:$DS$25,0)),"-")</f>
        <v>cabai rawit 01173013</v>
      </c>
      <c r="C16" s="7" t="n">
        <f aca="false">IFERROR(INDEX('Perhitungan IPH Mingguan 2026'!$C$6:$C$25,MATCH(LARGE('Perhitungan IPH Mingguan 2026'!$DS$6:$DS$25,3),'Perhitungan IPH Mingguan 2026'!$DS$6:$DS$25,0)),"")</f>
        <v>0.0177017323628706</v>
      </c>
      <c r="D16" s="25" t="n">
        <f aca="false">IFERROR(INDEX('Perhitungan IPH Mingguan 2026'!$H$6:$H$25,MATCH(LARGE('Perhitungan IPH Mingguan 2026'!$DS$6:$DS$25,3),'Perhitungan IPH Mingguan 2026'!$DS$6:$DS$25,0)),"")</f>
        <v>8.43373493975903</v>
      </c>
      <c r="E16" s="7" t="n">
        <f aca="false">IFERROR(INDEX('Perhitungan IPH Mingguan 2026'!$I$6:$I$25,MATCH(LARGE('Perhitungan IPH Mingguan 2026'!$DS$6:$DS$25,3),'Perhitungan IPH Mingguan 2026'!$DS$6:$DS$25,0)),"")</f>
        <v>0.149291718723005</v>
      </c>
      <c r="F16" s="6" t="str">
        <f aca="false">IF(ISNUMBER(E16),IF(E16&gt;0,"Penyumbang KENAIKAN IPH","Penyumbang PENURUNAN IPH"),"-")</f>
        <v>Penyumbang KENAIKAN IPH</v>
      </c>
    </row>
    <row r="17" customFormat="false" ht="15" hidden="false" customHeight="true" outlineLevel="0" collapsed="false">
      <c r="A17" s="5" t="n">
        <v>4</v>
      </c>
      <c r="B17" s="6" t="str">
        <f aca="false">IFERROR(INDEX('Perhitungan IPH Mingguan 2026'!$B$6:$B$25,MATCH(LARGE('Perhitungan IPH Mingguan 2026'!$DS$6:$DS$25,4),'Perhitungan IPH Mingguan 2026'!$DS$6:$DS$25,0)),"-")</f>
        <v>beras 1111001</v>
      </c>
      <c r="C17" s="7" t="n">
        <f aca="false">IFERROR(INDEX('Perhitungan IPH Mingguan 2026'!$C$6:$C$25,MATCH(LARGE('Perhitungan IPH Mingguan 2026'!$DS$6:$DS$25,4),'Perhitungan IPH Mingguan 2026'!$DS$6:$DS$25,0)),"")</f>
        <v>0.125089056759346</v>
      </c>
      <c r="D17" s="25" t="n">
        <f aca="false">IFERROR(INDEX('Perhitungan IPH Mingguan 2026'!$H$6:$H$25,MATCH(LARGE('Perhitungan IPH Mingguan 2026'!$DS$6:$DS$25,4),'Perhitungan IPH Mingguan 2026'!$DS$6:$DS$25,0)),"")</f>
        <v>0</v>
      </c>
      <c r="E17" s="7" t="n">
        <f aca="false">IFERROR(INDEX('Perhitungan IPH Mingguan 2026'!$I$6:$I$25,MATCH(LARGE('Perhitungan IPH Mingguan 2026'!$DS$6:$DS$25,4),'Perhitungan IPH Mingguan 2026'!$DS$6:$DS$25,0)),"")</f>
        <v>0</v>
      </c>
      <c r="F17" s="6" t="str">
        <f aca="false">IF(ISNUMBER(E17),IF(E17&gt;0,"Penyumbang KENAIKAN IPH","Penyumbang PENURUNAN IPH"),"-")</f>
        <v>Penyumbang PENURUNAN IPH</v>
      </c>
    </row>
    <row r="18" customFormat="false" ht="15" hidden="false" customHeight="true" outlineLevel="0" collapsed="false">
      <c r="A18" s="5" t="n">
        <v>5</v>
      </c>
      <c r="B18" s="6" t="str">
        <f aca="false">IFERROR(INDEX('Perhitungan IPH Mingguan 2026'!$B$6:$B$25,MATCH(LARGE('Perhitungan IPH Mingguan 2026'!$DS$6:$DS$25,5),'Perhitungan IPH Mingguan 2026'!$DS$6:$DS$25,0)),"-")</f>
        <v>tepung terigu 01115005</v>
      </c>
      <c r="C18" s="7" t="n">
        <f aca="false">IFERROR(INDEX('Perhitungan IPH Mingguan 2026'!$C$6:$C$25,MATCH(LARGE('Perhitungan IPH Mingguan 2026'!$DS$6:$DS$25,5),'Perhitungan IPH Mingguan 2026'!$DS$6:$DS$25,0)),"")</f>
        <v>0.00793664049050366</v>
      </c>
      <c r="D18" s="25" t="n">
        <f aca="false">IFERROR(INDEX('Perhitungan IPH Mingguan 2026'!$H$6:$H$25,MATCH(LARGE('Perhitungan IPH Mingguan 2026'!$DS$6:$DS$25,5),'Perhitungan IPH Mingguan 2026'!$DS$6:$DS$25,0)),"")</f>
        <v>0</v>
      </c>
      <c r="E18" s="7" t="n">
        <f aca="false">IFERROR(INDEX('Perhitungan IPH Mingguan 2026'!$I$6:$I$25,MATCH(LARGE('Perhitungan IPH Mingguan 2026'!$DS$6:$DS$25,5),'Perhitungan IPH Mingguan 2026'!$DS$6:$DS$25,0)),"")</f>
        <v>0</v>
      </c>
      <c r="F18" s="6" t="str">
        <f aca="false">IF(ISNUMBER(E18),IF(E18&gt;0,"Penyumbang KENAIKAN IPH","Penyumbang PENURUNAN IPH"),"-")</f>
        <v>Penyumbang PENURUNAN IPH</v>
      </c>
    </row>
    <row r="20" customFormat="false" ht="15" hidden="false" customHeight="true" outlineLevel="0" collapsed="false">
      <c r="A20" s="24" t="s">
        <v>220</v>
      </c>
      <c r="B20" s="24"/>
      <c r="C20" s="24"/>
      <c r="D20" s="24"/>
      <c r="E20" s="24"/>
      <c r="F20" s="24"/>
    </row>
    <row r="21" customFormat="false" ht="21.75" hidden="false" customHeight="true" outlineLevel="0" collapsed="false">
      <c r="A21" s="3" t="s">
        <v>214</v>
      </c>
      <c r="B21" s="3" t="s">
        <v>215</v>
      </c>
      <c r="C21" s="3" t="s">
        <v>142</v>
      </c>
      <c r="D21" s="3" t="s">
        <v>216</v>
      </c>
      <c r="E21" s="3" t="s">
        <v>217</v>
      </c>
      <c r="F21" s="3" t="s">
        <v>218</v>
      </c>
    </row>
    <row r="22" customFormat="false" ht="15" hidden="false" customHeight="true" outlineLevel="0" collapsed="false">
      <c r="A22" s="5" t="n">
        <v>1</v>
      </c>
      <c r="B22" s="6" t="str">
        <f aca="false">IFERROR(INDEX('Perhitungan IPH Mingguan 2026'!$B$6:$B$25,MATCH(LARGE('Perhitungan IPH Mingguan 2026'!$DT$6:$DT$25,1),'Perhitungan IPH Mingguan 2026'!$DT$6:$DT$25,0)),"-")</f>
        <v>-</v>
      </c>
      <c r="C22" s="7" t="str">
        <f aca="false">IFERROR(INDEX('Perhitungan IPH Mingguan 2026'!$C$6:$C$25,MATCH(LARGE('Perhitungan IPH Mingguan 2026'!$DT$6:$DT$25,1),'Perhitungan IPH Mingguan 2026'!$DT$6:$DT$25,0)),"")</f>
        <v/>
      </c>
      <c r="D22" s="25" t="str">
        <f aca="false">IFERROR(INDEX('Perhitungan IPH Mingguan 2026'!$K$6:$K$25,MATCH(LARGE('Perhitungan IPH Mingguan 2026'!$DT$6:$DT$25,1),'Perhitungan IPH Mingguan 2026'!$DT$6:$DT$25,0)),"")</f>
        <v/>
      </c>
      <c r="E22" s="7" t="str">
        <f aca="false">IFERROR(INDEX('Perhitungan IPH Mingguan 2026'!$L$6:$L$25,MATCH(LARGE('Perhitungan IPH Mingguan 2026'!$DT$6:$DT$25,1),'Perhitungan IPH Mingguan 2026'!$DT$6:$DT$25,0)),"")</f>
        <v/>
      </c>
      <c r="F22" s="6" t="str">
        <f aca="false">IF(ISNUMBER(E22),IF(E22&gt;0,"Penyumbang KENAIKAN IPH","Penyumbang PENURUNAN IPH"),"-")</f>
        <v>-</v>
      </c>
    </row>
    <row r="23" customFormat="false" ht="15" hidden="false" customHeight="true" outlineLevel="0" collapsed="false">
      <c r="A23" s="5" t="n">
        <v>2</v>
      </c>
      <c r="B23" s="6" t="str">
        <f aca="false">IFERROR(INDEX('Perhitungan IPH Mingguan 2026'!$B$6:$B$25,MATCH(LARGE('Perhitungan IPH Mingguan 2026'!$DT$6:$DT$25,2),'Perhitungan IPH Mingguan 2026'!$DT$6:$DT$25,0)),"-")</f>
        <v>-</v>
      </c>
      <c r="C23" s="7" t="str">
        <f aca="false">IFERROR(INDEX('Perhitungan IPH Mingguan 2026'!$C$6:$C$25,MATCH(LARGE('Perhitungan IPH Mingguan 2026'!$DT$6:$DT$25,2),'Perhitungan IPH Mingguan 2026'!$DT$6:$DT$25,0)),"")</f>
        <v/>
      </c>
      <c r="D23" s="25" t="str">
        <f aca="false">IFERROR(INDEX('Perhitungan IPH Mingguan 2026'!$K$6:$K$25,MATCH(LARGE('Perhitungan IPH Mingguan 2026'!$DT$6:$DT$25,2),'Perhitungan IPH Mingguan 2026'!$DT$6:$DT$25,0)),"")</f>
        <v/>
      </c>
      <c r="E23" s="7" t="str">
        <f aca="false">IFERROR(INDEX('Perhitungan IPH Mingguan 2026'!$L$6:$L$25,MATCH(LARGE('Perhitungan IPH Mingguan 2026'!$DT$6:$DT$25,2),'Perhitungan IPH Mingguan 2026'!$DT$6:$DT$25,0)),"")</f>
        <v/>
      </c>
      <c r="F23" s="6" t="str">
        <f aca="false">IF(ISNUMBER(E23),IF(E23&gt;0,"Penyumbang KENAIKAN IPH","Penyumbang PENURUNAN IPH"),"-")</f>
        <v>-</v>
      </c>
    </row>
    <row r="24" customFormat="false" ht="15" hidden="false" customHeight="true" outlineLevel="0" collapsed="false">
      <c r="A24" s="5" t="n">
        <v>3</v>
      </c>
      <c r="B24" s="6" t="str">
        <f aca="false">IFERROR(INDEX('Perhitungan IPH Mingguan 2026'!$B$6:$B$25,MATCH(LARGE('Perhitungan IPH Mingguan 2026'!$DT$6:$DT$25,3),'Perhitungan IPH Mingguan 2026'!$DT$6:$DT$25,0)),"-")</f>
        <v>-</v>
      </c>
      <c r="C24" s="7" t="str">
        <f aca="false">IFERROR(INDEX('Perhitungan IPH Mingguan 2026'!$C$6:$C$25,MATCH(LARGE('Perhitungan IPH Mingguan 2026'!$DT$6:$DT$25,3),'Perhitungan IPH Mingguan 2026'!$DT$6:$DT$25,0)),"")</f>
        <v/>
      </c>
      <c r="D24" s="25" t="str">
        <f aca="false">IFERROR(INDEX('Perhitungan IPH Mingguan 2026'!$K$6:$K$25,MATCH(LARGE('Perhitungan IPH Mingguan 2026'!$DT$6:$DT$25,3),'Perhitungan IPH Mingguan 2026'!$DT$6:$DT$25,0)),"")</f>
        <v/>
      </c>
      <c r="E24" s="7" t="str">
        <f aca="false">IFERROR(INDEX('Perhitungan IPH Mingguan 2026'!$L$6:$L$25,MATCH(LARGE('Perhitungan IPH Mingguan 2026'!$DT$6:$DT$25,3),'Perhitungan IPH Mingguan 2026'!$DT$6:$DT$25,0)),"")</f>
        <v/>
      </c>
      <c r="F24" s="6" t="str">
        <f aca="false">IF(ISNUMBER(E24),IF(E24&gt;0,"Penyumbang KENAIKAN IPH","Penyumbang PENURUNAN IPH"),"-")</f>
        <v>-</v>
      </c>
    </row>
    <row r="25" customFormat="false" ht="15" hidden="false" customHeight="true" outlineLevel="0" collapsed="false">
      <c r="A25" s="5" t="n">
        <v>4</v>
      </c>
      <c r="B25" s="6" t="str">
        <f aca="false">IFERROR(INDEX('Perhitungan IPH Mingguan 2026'!$B$6:$B$25,MATCH(LARGE('Perhitungan IPH Mingguan 2026'!$DT$6:$DT$25,4),'Perhitungan IPH Mingguan 2026'!$DT$6:$DT$25,0)),"-")</f>
        <v>-</v>
      </c>
      <c r="C25" s="7" t="str">
        <f aca="false">IFERROR(INDEX('Perhitungan IPH Mingguan 2026'!$C$6:$C$25,MATCH(LARGE('Perhitungan IPH Mingguan 2026'!$DT$6:$DT$25,4),'Perhitungan IPH Mingguan 2026'!$DT$6:$DT$25,0)),"")</f>
        <v/>
      </c>
      <c r="D25" s="25" t="str">
        <f aca="false">IFERROR(INDEX('Perhitungan IPH Mingguan 2026'!$K$6:$K$25,MATCH(LARGE('Perhitungan IPH Mingguan 2026'!$DT$6:$DT$25,4),'Perhitungan IPH Mingguan 2026'!$DT$6:$DT$25,0)),"")</f>
        <v/>
      </c>
      <c r="E25" s="7" t="str">
        <f aca="false">IFERROR(INDEX('Perhitungan IPH Mingguan 2026'!$L$6:$L$25,MATCH(LARGE('Perhitungan IPH Mingguan 2026'!$DT$6:$DT$25,4),'Perhitungan IPH Mingguan 2026'!$DT$6:$DT$25,0)),"")</f>
        <v/>
      </c>
      <c r="F25" s="6" t="str">
        <f aca="false">IF(ISNUMBER(E25),IF(E25&gt;0,"Penyumbang KENAIKAN IPH","Penyumbang PENURUNAN IPH"),"-")</f>
        <v>-</v>
      </c>
    </row>
    <row r="26" customFormat="false" ht="15" hidden="false" customHeight="true" outlineLevel="0" collapsed="false">
      <c r="A26" s="5" t="n">
        <v>5</v>
      </c>
      <c r="B26" s="6" t="str">
        <f aca="false">IFERROR(INDEX('Perhitungan IPH Mingguan 2026'!$B$6:$B$25,MATCH(LARGE('Perhitungan IPH Mingguan 2026'!$DT$6:$DT$25,5),'Perhitungan IPH Mingguan 2026'!$DT$6:$DT$25,0)),"-")</f>
        <v>-</v>
      </c>
      <c r="C26" s="7" t="str">
        <f aca="false">IFERROR(INDEX('Perhitungan IPH Mingguan 2026'!$C$6:$C$25,MATCH(LARGE('Perhitungan IPH Mingguan 2026'!$DT$6:$DT$25,5),'Perhitungan IPH Mingguan 2026'!$DT$6:$DT$25,0)),"")</f>
        <v/>
      </c>
      <c r="D26" s="25" t="str">
        <f aca="false">IFERROR(INDEX('Perhitungan IPH Mingguan 2026'!$K$6:$K$25,MATCH(LARGE('Perhitungan IPH Mingguan 2026'!$DT$6:$DT$25,5),'Perhitungan IPH Mingguan 2026'!$DT$6:$DT$25,0)),"")</f>
        <v/>
      </c>
      <c r="E26" s="7" t="str">
        <f aca="false">IFERROR(INDEX('Perhitungan IPH Mingguan 2026'!$L$6:$L$25,MATCH(LARGE('Perhitungan IPH Mingguan 2026'!$DT$6:$DT$25,5),'Perhitungan IPH Mingguan 2026'!$DT$6:$DT$25,0)),"")</f>
        <v/>
      </c>
      <c r="F26" s="6" t="str">
        <f aca="false">IF(ISNUMBER(E26),IF(E26&gt;0,"Penyumbang KENAIKAN IPH","Penyumbang PENURUNAN IPH"),"-")</f>
        <v>-</v>
      </c>
    </row>
    <row r="28" customFormat="false" ht="15" hidden="false" customHeight="true" outlineLevel="0" collapsed="false">
      <c r="A28" s="24" t="s">
        <v>221</v>
      </c>
      <c r="B28" s="24"/>
      <c r="C28" s="24"/>
      <c r="D28" s="24"/>
      <c r="E28" s="24"/>
      <c r="F28" s="24"/>
    </row>
    <row r="29" customFormat="false" ht="21.75" hidden="false" customHeight="true" outlineLevel="0" collapsed="false">
      <c r="A29" s="3" t="s">
        <v>214</v>
      </c>
      <c r="B29" s="3" t="s">
        <v>215</v>
      </c>
      <c r="C29" s="3" t="s">
        <v>142</v>
      </c>
      <c r="D29" s="3" t="s">
        <v>216</v>
      </c>
      <c r="E29" s="3" t="s">
        <v>217</v>
      </c>
      <c r="F29" s="3" t="s">
        <v>218</v>
      </c>
    </row>
    <row r="30" customFormat="false" ht="15" hidden="false" customHeight="true" outlineLevel="0" collapsed="false">
      <c r="A30" s="5" t="n">
        <v>1</v>
      </c>
      <c r="B30" s="6" t="str">
        <f aca="false">IFERROR(INDEX('Perhitungan IPH Mingguan 2026'!$B$6:$B$25,MATCH(LARGE('Perhitungan IPH Mingguan 2026'!$DU$6:$DU$25,1),'Perhitungan IPH Mingguan 2026'!$DU$6:$DU$25,0)),"-")</f>
        <v>-</v>
      </c>
      <c r="C30" s="7" t="str">
        <f aca="false">IFERROR(INDEX('Perhitungan IPH Mingguan 2026'!$C$6:$C$25,MATCH(LARGE('Perhitungan IPH Mingguan 2026'!$DU$6:$DU$25,1),'Perhitungan IPH Mingguan 2026'!$DU$6:$DU$25,0)),"")</f>
        <v/>
      </c>
      <c r="D30" s="25" t="str">
        <f aca="false">IFERROR(INDEX('Perhitungan IPH Mingguan 2026'!$N$6:$N$25,MATCH(LARGE('Perhitungan IPH Mingguan 2026'!$DU$6:$DU$25,1),'Perhitungan IPH Mingguan 2026'!$DU$6:$DU$25,0)),"")</f>
        <v/>
      </c>
      <c r="E30" s="7" t="str">
        <f aca="false">IFERROR(INDEX('Perhitungan IPH Mingguan 2026'!$O$6:$O$25,MATCH(LARGE('Perhitungan IPH Mingguan 2026'!$DU$6:$DU$25,1),'Perhitungan IPH Mingguan 2026'!$DU$6:$DU$25,0)),"")</f>
        <v/>
      </c>
      <c r="F30" s="6" t="str">
        <f aca="false">IF(ISNUMBER(E30),IF(E30&gt;0,"Penyumbang KENAIKAN IPH","Penyumbang PENURUNAN IPH"),"-")</f>
        <v>-</v>
      </c>
    </row>
    <row r="31" customFormat="false" ht="15" hidden="false" customHeight="true" outlineLevel="0" collapsed="false">
      <c r="A31" s="5" t="n">
        <v>2</v>
      </c>
      <c r="B31" s="6" t="str">
        <f aca="false">IFERROR(INDEX('Perhitungan IPH Mingguan 2026'!$B$6:$B$25,MATCH(LARGE('Perhitungan IPH Mingguan 2026'!$DU$6:$DU$25,2),'Perhitungan IPH Mingguan 2026'!$DU$6:$DU$25,0)),"-")</f>
        <v>-</v>
      </c>
      <c r="C31" s="7" t="str">
        <f aca="false">IFERROR(INDEX('Perhitungan IPH Mingguan 2026'!$C$6:$C$25,MATCH(LARGE('Perhitungan IPH Mingguan 2026'!$DU$6:$DU$25,2),'Perhitungan IPH Mingguan 2026'!$DU$6:$DU$25,0)),"")</f>
        <v/>
      </c>
      <c r="D31" s="25" t="str">
        <f aca="false">IFERROR(INDEX('Perhitungan IPH Mingguan 2026'!$N$6:$N$25,MATCH(LARGE('Perhitungan IPH Mingguan 2026'!$DU$6:$DU$25,2),'Perhitungan IPH Mingguan 2026'!$DU$6:$DU$25,0)),"")</f>
        <v/>
      </c>
      <c r="E31" s="7" t="str">
        <f aca="false">IFERROR(INDEX('Perhitungan IPH Mingguan 2026'!$O$6:$O$25,MATCH(LARGE('Perhitungan IPH Mingguan 2026'!$DU$6:$DU$25,2),'Perhitungan IPH Mingguan 2026'!$DU$6:$DU$25,0)),"")</f>
        <v/>
      </c>
      <c r="F31" s="6" t="str">
        <f aca="false">IF(ISNUMBER(E31),IF(E31&gt;0,"Penyumbang KENAIKAN IPH","Penyumbang PENURUNAN IPH"),"-")</f>
        <v>-</v>
      </c>
    </row>
    <row r="32" customFormat="false" ht="15" hidden="false" customHeight="true" outlineLevel="0" collapsed="false">
      <c r="A32" s="5" t="n">
        <v>3</v>
      </c>
      <c r="B32" s="6" t="str">
        <f aca="false">IFERROR(INDEX('Perhitungan IPH Mingguan 2026'!$B$6:$B$25,MATCH(LARGE('Perhitungan IPH Mingguan 2026'!$DU$6:$DU$25,3),'Perhitungan IPH Mingguan 2026'!$DU$6:$DU$25,0)),"-")</f>
        <v>-</v>
      </c>
      <c r="C32" s="7" t="str">
        <f aca="false">IFERROR(INDEX('Perhitungan IPH Mingguan 2026'!$C$6:$C$25,MATCH(LARGE('Perhitungan IPH Mingguan 2026'!$DU$6:$DU$25,3),'Perhitungan IPH Mingguan 2026'!$DU$6:$DU$25,0)),"")</f>
        <v/>
      </c>
      <c r="D32" s="25" t="str">
        <f aca="false">IFERROR(INDEX('Perhitungan IPH Mingguan 2026'!$N$6:$N$25,MATCH(LARGE('Perhitungan IPH Mingguan 2026'!$DU$6:$DU$25,3),'Perhitungan IPH Mingguan 2026'!$DU$6:$DU$25,0)),"")</f>
        <v/>
      </c>
      <c r="E32" s="7" t="str">
        <f aca="false">IFERROR(INDEX('Perhitungan IPH Mingguan 2026'!$O$6:$O$25,MATCH(LARGE('Perhitungan IPH Mingguan 2026'!$DU$6:$DU$25,3),'Perhitungan IPH Mingguan 2026'!$DU$6:$DU$25,0)),"")</f>
        <v/>
      </c>
      <c r="F32" s="6" t="str">
        <f aca="false">IF(ISNUMBER(E32),IF(E32&gt;0,"Penyumbang KENAIKAN IPH","Penyumbang PENURUNAN IPH"),"-")</f>
        <v>-</v>
      </c>
    </row>
    <row r="33" customFormat="false" ht="15" hidden="false" customHeight="true" outlineLevel="0" collapsed="false">
      <c r="A33" s="5" t="n">
        <v>4</v>
      </c>
      <c r="B33" s="6" t="str">
        <f aca="false">IFERROR(INDEX('Perhitungan IPH Mingguan 2026'!$B$6:$B$25,MATCH(LARGE('Perhitungan IPH Mingguan 2026'!$DU$6:$DU$25,4),'Perhitungan IPH Mingguan 2026'!$DU$6:$DU$25,0)),"-")</f>
        <v>-</v>
      </c>
      <c r="C33" s="7" t="str">
        <f aca="false">IFERROR(INDEX('Perhitungan IPH Mingguan 2026'!$C$6:$C$25,MATCH(LARGE('Perhitungan IPH Mingguan 2026'!$DU$6:$DU$25,4),'Perhitungan IPH Mingguan 2026'!$DU$6:$DU$25,0)),"")</f>
        <v/>
      </c>
      <c r="D33" s="25" t="str">
        <f aca="false">IFERROR(INDEX('Perhitungan IPH Mingguan 2026'!$N$6:$N$25,MATCH(LARGE('Perhitungan IPH Mingguan 2026'!$DU$6:$DU$25,4),'Perhitungan IPH Mingguan 2026'!$DU$6:$DU$25,0)),"")</f>
        <v/>
      </c>
      <c r="E33" s="7" t="str">
        <f aca="false">IFERROR(INDEX('Perhitungan IPH Mingguan 2026'!$O$6:$O$25,MATCH(LARGE('Perhitungan IPH Mingguan 2026'!$DU$6:$DU$25,4),'Perhitungan IPH Mingguan 2026'!$DU$6:$DU$25,0)),"")</f>
        <v/>
      </c>
      <c r="F33" s="6" t="str">
        <f aca="false">IF(ISNUMBER(E33),IF(E33&gt;0,"Penyumbang KENAIKAN IPH","Penyumbang PENURUNAN IPH"),"-")</f>
        <v>-</v>
      </c>
    </row>
    <row r="34" customFormat="false" ht="15" hidden="false" customHeight="true" outlineLevel="0" collapsed="false">
      <c r="A34" s="5" t="n">
        <v>5</v>
      </c>
      <c r="B34" s="6" t="str">
        <f aca="false">IFERROR(INDEX('Perhitungan IPH Mingguan 2026'!$B$6:$B$25,MATCH(LARGE('Perhitungan IPH Mingguan 2026'!$DU$6:$DU$25,5),'Perhitungan IPH Mingguan 2026'!$DU$6:$DU$25,0)),"-")</f>
        <v>-</v>
      </c>
      <c r="C34" s="7" t="str">
        <f aca="false">IFERROR(INDEX('Perhitungan IPH Mingguan 2026'!$C$6:$C$25,MATCH(LARGE('Perhitungan IPH Mingguan 2026'!$DU$6:$DU$25,5),'Perhitungan IPH Mingguan 2026'!$DU$6:$DU$25,0)),"")</f>
        <v/>
      </c>
      <c r="D34" s="25" t="str">
        <f aca="false">IFERROR(INDEX('Perhitungan IPH Mingguan 2026'!$N$6:$N$25,MATCH(LARGE('Perhitungan IPH Mingguan 2026'!$DU$6:$DU$25,5),'Perhitungan IPH Mingguan 2026'!$DU$6:$DU$25,0)),"")</f>
        <v/>
      </c>
      <c r="E34" s="7" t="str">
        <f aca="false">IFERROR(INDEX('Perhitungan IPH Mingguan 2026'!$O$6:$O$25,MATCH(LARGE('Perhitungan IPH Mingguan 2026'!$DU$6:$DU$25,5),'Perhitungan IPH Mingguan 2026'!$DU$6:$DU$25,0)),"")</f>
        <v/>
      </c>
      <c r="F34" s="6" t="str">
        <f aca="false">IF(ISNUMBER(E34),IF(E34&gt;0,"Penyumbang KENAIKAN IPH","Penyumbang PENURUNAN IPH"),"-")</f>
        <v>-</v>
      </c>
    </row>
    <row r="36" customFormat="false" ht="15" hidden="false" customHeight="true" outlineLevel="0" collapsed="false">
      <c r="A36" s="24" t="s">
        <v>222</v>
      </c>
      <c r="B36" s="24"/>
      <c r="C36" s="24"/>
      <c r="D36" s="24"/>
      <c r="E36" s="24"/>
      <c r="F36" s="24"/>
    </row>
    <row r="37" customFormat="false" ht="21.75" hidden="false" customHeight="true" outlineLevel="0" collapsed="false">
      <c r="A37" s="3" t="s">
        <v>214</v>
      </c>
      <c r="B37" s="3" t="s">
        <v>215</v>
      </c>
      <c r="C37" s="3" t="s">
        <v>142</v>
      </c>
      <c r="D37" s="3" t="s">
        <v>216</v>
      </c>
      <c r="E37" s="3" t="s">
        <v>217</v>
      </c>
      <c r="F37" s="3" t="s">
        <v>218</v>
      </c>
    </row>
    <row r="38" customFormat="false" ht="15" hidden="false" customHeight="true" outlineLevel="0" collapsed="false">
      <c r="A38" s="5" t="n">
        <v>1</v>
      </c>
      <c r="B38" s="6" t="str">
        <f aca="false">IFERROR(INDEX('Perhitungan IPH Mingguan 2026'!$B$6:$B$25,MATCH(LARGE('Perhitungan IPH Mingguan 2026'!$DV$6:$DV$25,1),'Perhitungan IPH Mingguan 2026'!$DV$6:$DV$25,0)),"-")</f>
        <v>-</v>
      </c>
      <c r="C38" s="7" t="str">
        <f aca="false">IFERROR(INDEX('Perhitungan IPH Mingguan 2026'!$C$6:$C$25,MATCH(LARGE('Perhitungan IPH Mingguan 2026'!$DV$6:$DV$25,1),'Perhitungan IPH Mingguan 2026'!$DV$6:$DV$25,0)),"")</f>
        <v/>
      </c>
      <c r="D38" s="25" t="str">
        <f aca="false">IFERROR(INDEX('Perhitungan IPH Mingguan 2026'!$Q$6:$Q$25,MATCH(LARGE('Perhitungan IPH Mingguan 2026'!$DV$6:$DV$25,1),'Perhitungan IPH Mingguan 2026'!$DV$6:$DV$25,0)),"")</f>
        <v/>
      </c>
      <c r="E38" s="7" t="str">
        <f aca="false">IFERROR(INDEX('Perhitungan IPH Mingguan 2026'!$R$6:$R$25,MATCH(LARGE('Perhitungan IPH Mingguan 2026'!$DV$6:$DV$25,1),'Perhitungan IPH Mingguan 2026'!$DV$6:$DV$25,0)),"")</f>
        <v/>
      </c>
      <c r="F38" s="6" t="str">
        <f aca="false">IF(ISNUMBER(E38),IF(E38&gt;0,"Penyumbang KENAIKAN IPH","Penyumbang PENURUNAN IPH"),"-")</f>
        <v>-</v>
      </c>
    </row>
    <row r="39" customFormat="false" ht="15" hidden="false" customHeight="true" outlineLevel="0" collapsed="false">
      <c r="A39" s="5" t="n">
        <v>2</v>
      </c>
      <c r="B39" s="6" t="str">
        <f aca="false">IFERROR(INDEX('Perhitungan IPH Mingguan 2026'!$B$6:$B$25,MATCH(LARGE('Perhitungan IPH Mingguan 2026'!$DV$6:$DV$25,2),'Perhitungan IPH Mingguan 2026'!$DV$6:$DV$25,0)),"-")</f>
        <v>-</v>
      </c>
      <c r="C39" s="7" t="str">
        <f aca="false">IFERROR(INDEX('Perhitungan IPH Mingguan 2026'!$C$6:$C$25,MATCH(LARGE('Perhitungan IPH Mingguan 2026'!$DV$6:$DV$25,2),'Perhitungan IPH Mingguan 2026'!$DV$6:$DV$25,0)),"")</f>
        <v/>
      </c>
      <c r="D39" s="25" t="str">
        <f aca="false">IFERROR(INDEX('Perhitungan IPH Mingguan 2026'!$Q$6:$Q$25,MATCH(LARGE('Perhitungan IPH Mingguan 2026'!$DV$6:$DV$25,2),'Perhitungan IPH Mingguan 2026'!$DV$6:$DV$25,0)),"")</f>
        <v/>
      </c>
      <c r="E39" s="7" t="str">
        <f aca="false">IFERROR(INDEX('Perhitungan IPH Mingguan 2026'!$R$6:$R$25,MATCH(LARGE('Perhitungan IPH Mingguan 2026'!$DV$6:$DV$25,2),'Perhitungan IPH Mingguan 2026'!$DV$6:$DV$25,0)),"")</f>
        <v/>
      </c>
      <c r="F39" s="6" t="str">
        <f aca="false">IF(ISNUMBER(E39),IF(E39&gt;0,"Penyumbang KENAIKAN IPH","Penyumbang PENURUNAN IPH"),"-")</f>
        <v>-</v>
      </c>
    </row>
    <row r="40" customFormat="false" ht="15" hidden="false" customHeight="true" outlineLevel="0" collapsed="false">
      <c r="A40" s="5" t="n">
        <v>3</v>
      </c>
      <c r="B40" s="6" t="str">
        <f aca="false">IFERROR(INDEX('Perhitungan IPH Mingguan 2026'!$B$6:$B$25,MATCH(LARGE('Perhitungan IPH Mingguan 2026'!$DV$6:$DV$25,3),'Perhitungan IPH Mingguan 2026'!$DV$6:$DV$25,0)),"-")</f>
        <v>-</v>
      </c>
      <c r="C40" s="7" t="str">
        <f aca="false">IFERROR(INDEX('Perhitungan IPH Mingguan 2026'!$C$6:$C$25,MATCH(LARGE('Perhitungan IPH Mingguan 2026'!$DV$6:$DV$25,3),'Perhitungan IPH Mingguan 2026'!$DV$6:$DV$25,0)),"")</f>
        <v/>
      </c>
      <c r="D40" s="25" t="str">
        <f aca="false">IFERROR(INDEX('Perhitungan IPH Mingguan 2026'!$Q$6:$Q$25,MATCH(LARGE('Perhitungan IPH Mingguan 2026'!$DV$6:$DV$25,3),'Perhitungan IPH Mingguan 2026'!$DV$6:$DV$25,0)),"")</f>
        <v/>
      </c>
      <c r="E40" s="7" t="str">
        <f aca="false">IFERROR(INDEX('Perhitungan IPH Mingguan 2026'!$R$6:$R$25,MATCH(LARGE('Perhitungan IPH Mingguan 2026'!$DV$6:$DV$25,3),'Perhitungan IPH Mingguan 2026'!$DV$6:$DV$25,0)),"")</f>
        <v/>
      </c>
      <c r="F40" s="6" t="str">
        <f aca="false">IF(ISNUMBER(E40),IF(E40&gt;0,"Penyumbang KENAIKAN IPH","Penyumbang PENURUNAN IPH"),"-")</f>
        <v>-</v>
      </c>
    </row>
    <row r="41" customFormat="false" ht="15" hidden="false" customHeight="true" outlineLevel="0" collapsed="false">
      <c r="A41" s="5" t="n">
        <v>4</v>
      </c>
      <c r="B41" s="6" t="str">
        <f aca="false">IFERROR(INDEX('Perhitungan IPH Mingguan 2026'!$B$6:$B$25,MATCH(LARGE('Perhitungan IPH Mingguan 2026'!$DV$6:$DV$25,4),'Perhitungan IPH Mingguan 2026'!$DV$6:$DV$25,0)),"-")</f>
        <v>-</v>
      </c>
      <c r="C41" s="7" t="str">
        <f aca="false">IFERROR(INDEX('Perhitungan IPH Mingguan 2026'!$C$6:$C$25,MATCH(LARGE('Perhitungan IPH Mingguan 2026'!$DV$6:$DV$25,4),'Perhitungan IPH Mingguan 2026'!$DV$6:$DV$25,0)),"")</f>
        <v/>
      </c>
      <c r="D41" s="25" t="str">
        <f aca="false">IFERROR(INDEX('Perhitungan IPH Mingguan 2026'!$Q$6:$Q$25,MATCH(LARGE('Perhitungan IPH Mingguan 2026'!$DV$6:$DV$25,4),'Perhitungan IPH Mingguan 2026'!$DV$6:$DV$25,0)),"")</f>
        <v/>
      </c>
      <c r="E41" s="7" t="str">
        <f aca="false">IFERROR(INDEX('Perhitungan IPH Mingguan 2026'!$R$6:$R$25,MATCH(LARGE('Perhitungan IPH Mingguan 2026'!$DV$6:$DV$25,4),'Perhitungan IPH Mingguan 2026'!$DV$6:$DV$25,0)),"")</f>
        <v/>
      </c>
      <c r="F41" s="6" t="str">
        <f aca="false">IF(ISNUMBER(E41),IF(E41&gt;0,"Penyumbang KENAIKAN IPH","Penyumbang PENURUNAN IPH"),"-")</f>
        <v>-</v>
      </c>
    </row>
    <row r="42" customFormat="false" ht="15" hidden="false" customHeight="true" outlineLevel="0" collapsed="false">
      <c r="A42" s="5" t="n">
        <v>5</v>
      </c>
      <c r="B42" s="6" t="str">
        <f aca="false">IFERROR(INDEX('Perhitungan IPH Mingguan 2026'!$B$6:$B$25,MATCH(LARGE('Perhitungan IPH Mingguan 2026'!$DV$6:$DV$25,5),'Perhitungan IPH Mingguan 2026'!$DV$6:$DV$25,0)),"-")</f>
        <v>-</v>
      </c>
      <c r="C42" s="7" t="str">
        <f aca="false">IFERROR(INDEX('Perhitungan IPH Mingguan 2026'!$C$6:$C$25,MATCH(LARGE('Perhitungan IPH Mingguan 2026'!$DV$6:$DV$25,5),'Perhitungan IPH Mingguan 2026'!$DV$6:$DV$25,0)),"")</f>
        <v/>
      </c>
      <c r="D42" s="25" t="str">
        <f aca="false">IFERROR(INDEX('Perhitungan IPH Mingguan 2026'!$Q$6:$Q$25,MATCH(LARGE('Perhitungan IPH Mingguan 2026'!$DV$6:$DV$25,5),'Perhitungan IPH Mingguan 2026'!$DV$6:$DV$25,0)),"")</f>
        <v/>
      </c>
      <c r="E42" s="7" t="str">
        <f aca="false">IFERROR(INDEX('Perhitungan IPH Mingguan 2026'!$R$6:$R$25,MATCH(LARGE('Perhitungan IPH Mingguan 2026'!$DV$6:$DV$25,5),'Perhitungan IPH Mingguan 2026'!$DV$6:$DV$25,0)),"")</f>
        <v/>
      </c>
      <c r="F42" s="6" t="str">
        <f aca="false">IF(ISNUMBER(E42),IF(E42&gt;0,"Penyumbang KENAIKAN IPH","Penyumbang PENURUNAN IPH"),"-")</f>
        <v>-</v>
      </c>
    </row>
    <row r="44" customFormat="false" ht="15" hidden="false" customHeight="true" outlineLevel="0" collapsed="false">
      <c r="A44" s="24" t="s">
        <v>223</v>
      </c>
      <c r="B44" s="24"/>
      <c r="C44" s="24"/>
      <c r="D44" s="24"/>
      <c r="E44" s="24"/>
      <c r="F44" s="24"/>
    </row>
    <row r="45" customFormat="false" ht="21.75" hidden="false" customHeight="true" outlineLevel="0" collapsed="false">
      <c r="A45" s="3" t="s">
        <v>214</v>
      </c>
      <c r="B45" s="3" t="s">
        <v>215</v>
      </c>
      <c r="C45" s="3" t="s">
        <v>142</v>
      </c>
      <c r="D45" s="3" t="s">
        <v>216</v>
      </c>
      <c r="E45" s="3" t="s">
        <v>217</v>
      </c>
      <c r="F45" s="3" t="s">
        <v>218</v>
      </c>
    </row>
    <row r="46" customFormat="false" ht="15" hidden="false" customHeight="true" outlineLevel="0" collapsed="false">
      <c r="A46" s="5" t="n">
        <v>1</v>
      </c>
      <c r="B46" s="6" t="str">
        <f aca="false">IFERROR(INDEX('Perhitungan IPH Mingguan 2026'!$B$6:$B$25,MATCH(LARGE('Perhitungan IPH Mingguan 2026'!$DW$6:$DW$25,1),'Perhitungan IPH Mingguan 2026'!$DW$6:$DW$25,0)),"-")</f>
        <v>-</v>
      </c>
      <c r="C46" s="7" t="str">
        <f aca="false">IFERROR(INDEX('Perhitungan IPH Mingguan 2026'!$C$6:$C$25,MATCH(LARGE('Perhitungan IPH Mingguan 2026'!$DW$6:$DW$25,1),'Perhitungan IPH Mingguan 2026'!$DW$6:$DW$25,0)),"")</f>
        <v/>
      </c>
      <c r="D46" s="25" t="str">
        <f aca="false">IFERROR(INDEX('Perhitungan IPH Mingguan 2026'!$T$6:$T$25,MATCH(LARGE('Perhitungan IPH Mingguan 2026'!$DW$6:$DW$25,1),'Perhitungan IPH Mingguan 2026'!$DW$6:$DW$25,0)),"")</f>
        <v/>
      </c>
      <c r="E46" s="7" t="str">
        <f aca="false">IFERROR(INDEX('Perhitungan IPH Mingguan 2026'!$U$6:$U$25,MATCH(LARGE('Perhitungan IPH Mingguan 2026'!$DW$6:$DW$25,1),'Perhitungan IPH Mingguan 2026'!$DW$6:$DW$25,0)),"")</f>
        <v/>
      </c>
      <c r="F46" s="6" t="str">
        <f aca="false">IF(ISNUMBER(E46),IF(E46&gt;0,"Penyumbang KENAIKAN IPH","Penyumbang PENURUNAN IPH"),"-")</f>
        <v>-</v>
      </c>
    </row>
    <row r="47" customFormat="false" ht="15" hidden="false" customHeight="true" outlineLevel="0" collapsed="false">
      <c r="A47" s="5" t="n">
        <v>2</v>
      </c>
      <c r="B47" s="6" t="str">
        <f aca="false">IFERROR(INDEX('Perhitungan IPH Mingguan 2026'!$B$6:$B$25,MATCH(LARGE('Perhitungan IPH Mingguan 2026'!$DW$6:$DW$25,2),'Perhitungan IPH Mingguan 2026'!$DW$6:$DW$25,0)),"-")</f>
        <v>-</v>
      </c>
      <c r="C47" s="7" t="str">
        <f aca="false">IFERROR(INDEX('Perhitungan IPH Mingguan 2026'!$C$6:$C$25,MATCH(LARGE('Perhitungan IPH Mingguan 2026'!$DW$6:$DW$25,2),'Perhitungan IPH Mingguan 2026'!$DW$6:$DW$25,0)),"")</f>
        <v/>
      </c>
      <c r="D47" s="25" t="str">
        <f aca="false">IFERROR(INDEX('Perhitungan IPH Mingguan 2026'!$T$6:$T$25,MATCH(LARGE('Perhitungan IPH Mingguan 2026'!$DW$6:$DW$25,2),'Perhitungan IPH Mingguan 2026'!$DW$6:$DW$25,0)),"")</f>
        <v/>
      </c>
      <c r="E47" s="7" t="str">
        <f aca="false">IFERROR(INDEX('Perhitungan IPH Mingguan 2026'!$U$6:$U$25,MATCH(LARGE('Perhitungan IPH Mingguan 2026'!$DW$6:$DW$25,2),'Perhitungan IPH Mingguan 2026'!$DW$6:$DW$25,0)),"")</f>
        <v/>
      </c>
      <c r="F47" s="6" t="str">
        <f aca="false">IF(ISNUMBER(E47),IF(E47&gt;0,"Penyumbang KENAIKAN IPH","Penyumbang PENURUNAN IPH"),"-")</f>
        <v>-</v>
      </c>
    </row>
    <row r="48" customFormat="false" ht="15" hidden="false" customHeight="true" outlineLevel="0" collapsed="false">
      <c r="A48" s="5" t="n">
        <v>3</v>
      </c>
      <c r="B48" s="6" t="str">
        <f aca="false">IFERROR(INDEX('Perhitungan IPH Mingguan 2026'!$B$6:$B$25,MATCH(LARGE('Perhitungan IPH Mingguan 2026'!$DW$6:$DW$25,3),'Perhitungan IPH Mingguan 2026'!$DW$6:$DW$25,0)),"-")</f>
        <v>-</v>
      </c>
      <c r="C48" s="7" t="str">
        <f aca="false">IFERROR(INDEX('Perhitungan IPH Mingguan 2026'!$C$6:$C$25,MATCH(LARGE('Perhitungan IPH Mingguan 2026'!$DW$6:$DW$25,3),'Perhitungan IPH Mingguan 2026'!$DW$6:$DW$25,0)),"")</f>
        <v/>
      </c>
      <c r="D48" s="25" t="str">
        <f aca="false">IFERROR(INDEX('Perhitungan IPH Mingguan 2026'!$T$6:$T$25,MATCH(LARGE('Perhitungan IPH Mingguan 2026'!$DW$6:$DW$25,3),'Perhitungan IPH Mingguan 2026'!$DW$6:$DW$25,0)),"")</f>
        <v/>
      </c>
      <c r="E48" s="7" t="str">
        <f aca="false">IFERROR(INDEX('Perhitungan IPH Mingguan 2026'!$U$6:$U$25,MATCH(LARGE('Perhitungan IPH Mingguan 2026'!$DW$6:$DW$25,3),'Perhitungan IPH Mingguan 2026'!$DW$6:$DW$25,0)),"")</f>
        <v/>
      </c>
      <c r="F48" s="6" t="str">
        <f aca="false">IF(ISNUMBER(E48),IF(E48&gt;0,"Penyumbang KENAIKAN IPH","Penyumbang PENURUNAN IPH"),"-")</f>
        <v>-</v>
      </c>
    </row>
    <row r="49" customFormat="false" ht="15" hidden="false" customHeight="true" outlineLevel="0" collapsed="false">
      <c r="A49" s="5" t="n">
        <v>4</v>
      </c>
      <c r="B49" s="6" t="str">
        <f aca="false">IFERROR(INDEX('Perhitungan IPH Mingguan 2026'!$B$6:$B$25,MATCH(LARGE('Perhitungan IPH Mingguan 2026'!$DW$6:$DW$25,4),'Perhitungan IPH Mingguan 2026'!$DW$6:$DW$25,0)),"-")</f>
        <v>-</v>
      </c>
      <c r="C49" s="7" t="str">
        <f aca="false">IFERROR(INDEX('Perhitungan IPH Mingguan 2026'!$C$6:$C$25,MATCH(LARGE('Perhitungan IPH Mingguan 2026'!$DW$6:$DW$25,4),'Perhitungan IPH Mingguan 2026'!$DW$6:$DW$25,0)),"")</f>
        <v/>
      </c>
      <c r="D49" s="25" t="str">
        <f aca="false">IFERROR(INDEX('Perhitungan IPH Mingguan 2026'!$T$6:$T$25,MATCH(LARGE('Perhitungan IPH Mingguan 2026'!$DW$6:$DW$25,4),'Perhitungan IPH Mingguan 2026'!$DW$6:$DW$25,0)),"")</f>
        <v/>
      </c>
      <c r="E49" s="7" t="str">
        <f aca="false">IFERROR(INDEX('Perhitungan IPH Mingguan 2026'!$U$6:$U$25,MATCH(LARGE('Perhitungan IPH Mingguan 2026'!$DW$6:$DW$25,4),'Perhitungan IPH Mingguan 2026'!$DW$6:$DW$25,0)),"")</f>
        <v/>
      </c>
      <c r="F49" s="6" t="str">
        <f aca="false">IF(ISNUMBER(E49),IF(E49&gt;0,"Penyumbang KENAIKAN IPH","Penyumbang PENURUNAN IPH"),"-")</f>
        <v>-</v>
      </c>
    </row>
    <row r="50" customFormat="false" ht="15" hidden="false" customHeight="true" outlineLevel="0" collapsed="false">
      <c r="A50" s="5" t="n">
        <v>5</v>
      </c>
      <c r="B50" s="6" t="str">
        <f aca="false">IFERROR(INDEX('Perhitungan IPH Mingguan 2026'!$B$6:$B$25,MATCH(LARGE('Perhitungan IPH Mingguan 2026'!$DW$6:$DW$25,5),'Perhitungan IPH Mingguan 2026'!$DW$6:$DW$25,0)),"-")</f>
        <v>-</v>
      </c>
      <c r="C50" s="7" t="str">
        <f aca="false">IFERROR(INDEX('Perhitungan IPH Mingguan 2026'!$C$6:$C$25,MATCH(LARGE('Perhitungan IPH Mingguan 2026'!$DW$6:$DW$25,5),'Perhitungan IPH Mingguan 2026'!$DW$6:$DW$25,0)),"")</f>
        <v/>
      </c>
      <c r="D50" s="25" t="str">
        <f aca="false">IFERROR(INDEX('Perhitungan IPH Mingguan 2026'!$T$6:$T$25,MATCH(LARGE('Perhitungan IPH Mingguan 2026'!$DW$6:$DW$25,5),'Perhitungan IPH Mingguan 2026'!$DW$6:$DW$25,0)),"")</f>
        <v/>
      </c>
      <c r="E50" s="7" t="str">
        <f aca="false">IFERROR(INDEX('Perhitungan IPH Mingguan 2026'!$U$6:$U$25,MATCH(LARGE('Perhitungan IPH Mingguan 2026'!$DW$6:$DW$25,5),'Perhitungan IPH Mingguan 2026'!$DW$6:$DW$25,0)),"")</f>
        <v/>
      </c>
      <c r="F50" s="6" t="str">
        <f aca="false">IF(ISNUMBER(E50),IF(E50&gt;0,"Penyumbang KENAIKAN IPH","Penyumbang PENURUNAN IPH"),"-")</f>
        <v>-</v>
      </c>
    </row>
    <row r="52" customFormat="false" ht="15" hidden="false" customHeight="true" outlineLevel="0" collapsed="false">
      <c r="A52" s="24" t="s">
        <v>224</v>
      </c>
      <c r="B52" s="24"/>
      <c r="C52" s="24"/>
      <c r="D52" s="24"/>
      <c r="E52" s="24"/>
      <c r="F52" s="24"/>
    </row>
    <row r="53" customFormat="false" ht="21.75" hidden="false" customHeight="true" outlineLevel="0" collapsed="false">
      <c r="A53" s="3" t="s">
        <v>214</v>
      </c>
      <c r="B53" s="3" t="s">
        <v>215</v>
      </c>
      <c r="C53" s="3" t="s">
        <v>142</v>
      </c>
      <c r="D53" s="3" t="s">
        <v>216</v>
      </c>
      <c r="E53" s="3" t="s">
        <v>217</v>
      </c>
      <c r="F53" s="3" t="s">
        <v>218</v>
      </c>
    </row>
    <row r="54" customFormat="false" ht="15" hidden="false" customHeight="true" outlineLevel="0" collapsed="false">
      <c r="A54" s="5" t="n">
        <v>1</v>
      </c>
      <c r="B54" s="6" t="str">
        <f aca="false">IFERROR(INDEX('Perhitungan IPH Mingguan 2026'!$B$6:$B$25,MATCH(LARGE('Perhitungan IPH Mingguan 2026'!$DX$6:$DX$25,1),'Perhitungan IPH Mingguan 2026'!$DX$6:$DX$25,0)),"-")</f>
        <v>-</v>
      </c>
      <c r="C54" s="7" t="str">
        <f aca="false">IFERROR(INDEX('Perhitungan IPH Mingguan 2026'!$C$6:$C$25,MATCH(LARGE('Perhitungan IPH Mingguan 2026'!$DX$6:$DX$25,1),'Perhitungan IPH Mingguan 2026'!$DX$6:$DX$25,0)),"")</f>
        <v/>
      </c>
      <c r="D54" s="25" t="str">
        <f aca="false">IFERROR(INDEX('Perhitungan IPH Mingguan 2026'!$W$6:$W$25,MATCH(LARGE('Perhitungan IPH Mingguan 2026'!$DX$6:$DX$25,1),'Perhitungan IPH Mingguan 2026'!$DX$6:$DX$25,0)),"")</f>
        <v/>
      </c>
      <c r="E54" s="7" t="str">
        <f aca="false">IFERROR(INDEX('Perhitungan IPH Mingguan 2026'!$X$6:$X$25,MATCH(LARGE('Perhitungan IPH Mingguan 2026'!$DX$6:$DX$25,1),'Perhitungan IPH Mingguan 2026'!$DX$6:$DX$25,0)),"")</f>
        <v/>
      </c>
      <c r="F54" s="6" t="str">
        <f aca="false">IF(ISNUMBER(E54),IF(E54&gt;0,"Penyumbang KENAIKAN IPH","Penyumbang PENURUNAN IPH"),"-")</f>
        <v>-</v>
      </c>
    </row>
    <row r="55" customFormat="false" ht="15" hidden="false" customHeight="true" outlineLevel="0" collapsed="false">
      <c r="A55" s="5" t="n">
        <v>2</v>
      </c>
      <c r="B55" s="6" t="str">
        <f aca="false">IFERROR(INDEX('Perhitungan IPH Mingguan 2026'!$B$6:$B$25,MATCH(LARGE('Perhitungan IPH Mingguan 2026'!$DX$6:$DX$25,2),'Perhitungan IPH Mingguan 2026'!$DX$6:$DX$25,0)),"-")</f>
        <v>-</v>
      </c>
      <c r="C55" s="7" t="str">
        <f aca="false">IFERROR(INDEX('Perhitungan IPH Mingguan 2026'!$C$6:$C$25,MATCH(LARGE('Perhitungan IPH Mingguan 2026'!$DX$6:$DX$25,2),'Perhitungan IPH Mingguan 2026'!$DX$6:$DX$25,0)),"")</f>
        <v/>
      </c>
      <c r="D55" s="25" t="str">
        <f aca="false">IFERROR(INDEX('Perhitungan IPH Mingguan 2026'!$W$6:$W$25,MATCH(LARGE('Perhitungan IPH Mingguan 2026'!$DX$6:$DX$25,2),'Perhitungan IPH Mingguan 2026'!$DX$6:$DX$25,0)),"")</f>
        <v/>
      </c>
      <c r="E55" s="7" t="str">
        <f aca="false">IFERROR(INDEX('Perhitungan IPH Mingguan 2026'!$X$6:$X$25,MATCH(LARGE('Perhitungan IPH Mingguan 2026'!$DX$6:$DX$25,2),'Perhitungan IPH Mingguan 2026'!$DX$6:$DX$25,0)),"")</f>
        <v/>
      </c>
      <c r="F55" s="6" t="str">
        <f aca="false">IF(ISNUMBER(E55),IF(E55&gt;0,"Penyumbang KENAIKAN IPH","Penyumbang PENURUNAN IPH"),"-")</f>
        <v>-</v>
      </c>
    </row>
    <row r="56" customFormat="false" ht="15" hidden="false" customHeight="true" outlineLevel="0" collapsed="false">
      <c r="A56" s="5" t="n">
        <v>3</v>
      </c>
      <c r="B56" s="6" t="str">
        <f aca="false">IFERROR(INDEX('Perhitungan IPH Mingguan 2026'!$B$6:$B$25,MATCH(LARGE('Perhitungan IPH Mingguan 2026'!$DX$6:$DX$25,3),'Perhitungan IPH Mingguan 2026'!$DX$6:$DX$25,0)),"-")</f>
        <v>-</v>
      </c>
      <c r="C56" s="7" t="str">
        <f aca="false">IFERROR(INDEX('Perhitungan IPH Mingguan 2026'!$C$6:$C$25,MATCH(LARGE('Perhitungan IPH Mingguan 2026'!$DX$6:$DX$25,3),'Perhitungan IPH Mingguan 2026'!$DX$6:$DX$25,0)),"")</f>
        <v/>
      </c>
      <c r="D56" s="25" t="str">
        <f aca="false">IFERROR(INDEX('Perhitungan IPH Mingguan 2026'!$W$6:$W$25,MATCH(LARGE('Perhitungan IPH Mingguan 2026'!$DX$6:$DX$25,3),'Perhitungan IPH Mingguan 2026'!$DX$6:$DX$25,0)),"")</f>
        <v/>
      </c>
      <c r="E56" s="7" t="str">
        <f aca="false">IFERROR(INDEX('Perhitungan IPH Mingguan 2026'!$X$6:$X$25,MATCH(LARGE('Perhitungan IPH Mingguan 2026'!$DX$6:$DX$25,3),'Perhitungan IPH Mingguan 2026'!$DX$6:$DX$25,0)),"")</f>
        <v/>
      </c>
      <c r="F56" s="6" t="str">
        <f aca="false">IF(ISNUMBER(E56),IF(E56&gt;0,"Penyumbang KENAIKAN IPH","Penyumbang PENURUNAN IPH"),"-")</f>
        <v>-</v>
      </c>
    </row>
    <row r="57" customFormat="false" ht="15" hidden="false" customHeight="true" outlineLevel="0" collapsed="false">
      <c r="A57" s="5" t="n">
        <v>4</v>
      </c>
      <c r="B57" s="6" t="str">
        <f aca="false">IFERROR(INDEX('Perhitungan IPH Mingguan 2026'!$B$6:$B$25,MATCH(LARGE('Perhitungan IPH Mingguan 2026'!$DX$6:$DX$25,4),'Perhitungan IPH Mingguan 2026'!$DX$6:$DX$25,0)),"-")</f>
        <v>-</v>
      </c>
      <c r="C57" s="7" t="str">
        <f aca="false">IFERROR(INDEX('Perhitungan IPH Mingguan 2026'!$C$6:$C$25,MATCH(LARGE('Perhitungan IPH Mingguan 2026'!$DX$6:$DX$25,4),'Perhitungan IPH Mingguan 2026'!$DX$6:$DX$25,0)),"")</f>
        <v/>
      </c>
      <c r="D57" s="25" t="str">
        <f aca="false">IFERROR(INDEX('Perhitungan IPH Mingguan 2026'!$W$6:$W$25,MATCH(LARGE('Perhitungan IPH Mingguan 2026'!$DX$6:$DX$25,4),'Perhitungan IPH Mingguan 2026'!$DX$6:$DX$25,0)),"")</f>
        <v/>
      </c>
      <c r="E57" s="7" t="str">
        <f aca="false">IFERROR(INDEX('Perhitungan IPH Mingguan 2026'!$X$6:$X$25,MATCH(LARGE('Perhitungan IPH Mingguan 2026'!$DX$6:$DX$25,4),'Perhitungan IPH Mingguan 2026'!$DX$6:$DX$25,0)),"")</f>
        <v/>
      </c>
      <c r="F57" s="6" t="str">
        <f aca="false">IF(ISNUMBER(E57),IF(E57&gt;0,"Penyumbang KENAIKAN IPH","Penyumbang PENURUNAN IPH"),"-")</f>
        <v>-</v>
      </c>
    </row>
    <row r="58" customFormat="false" ht="15" hidden="false" customHeight="true" outlineLevel="0" collapsed="false">
      <c r="A58" s="5" t="n">
        <v>5</v>
      </c>
      <c r="B58" s="6" t="str">
        <f aca="false">IFERROR(INDEX('Perhitungan IPH Mingguan 2026'!$B$6:$B$25,MATCH(LARGE('Perhitungan IPH Mingguan 2026'!$DX$6:$DX$25,5),'Perhitungan IPH Mingguan 2026'!$DX$6:$DX$25,0)),"-")</f>
        <v>-</v>
      </c>
      <c r="C58" s="7" t="str">
        <f aca="false">IFERROR(INDEX('Perhitungan IPH Mingguan 2026'!$C$6:$C$25,MATCH(LARGE('Perhitungan IPH Mingguan 2026'!$DX$6:$DX$25,5),'Perhitungan IPH Mingguan 2026'!$DX$6:$DX$25,0)),"")</f>
        <v/>
      </c>
      <c r="D58" s="25" t="str">
        <f aca="false">IFERROR(INDEX('Perhitungan IPH Mingguan 2026'!$W$6:$W$25,MATCH(LARGE('Perhitungan IPH Mingguan 2026'!$DX$6:$DX$25,5),'Perhitungan IPH Mingguan 2026'!$DX$6:$DX$25,0)),"")</f>
        <v/>
      </c>
      <c r="E58" s="7" t="str">
        <f aca="false">IFERROR(INDEX('Perhitungan IPH Mingguan 2026'!$X$6:$X$25,MATCH(LARGE('Perhitungan IPH Mingguan 2026'!$DX$6:$DX$25,5),'Perhitungan IPH Mingguan 2026'!$DX$6:$DX$25,0)),"")</f>
        <v/>
      </c>
      <c r="F58" s="6" t="str">
        <f aca="false">IF(ISNUMBER(E58),IF(E58&gt;0,"Penyumbang KENAIKAN IPH","Penyumbang PENURUNAN IPH"),"-")</f>
        <v>-</v>
      </c>
    </row>
    <row r="60" customFormat="false" ht="15" hidden="false" customHeight="true" outlineLevel="0" collapsed="false">
      <c r="A60" s="24" t="s">
        <v>225</v>
      </c>
      <c r="B60" s="24"/>
      <c r="C60" s="24"/>
      <c r="D60" s="24"/>
      <c r="E60" s="24"/>
      <c r="F60" s="24"/>
    </row>
    <row r="61" customFormat="false" ht="21.75" hidden="false" customHeight="true" outlineLevel="0" collapsed="false">
      <c r="A61" s="3" t="s">
        <v>214</v>
      </c>
      <c r="B61" s="3" t="s">
        <v>215</v>
      </c>
      <c r="C61" s="3" t="s">
        <v>142</v>
      </c>
      <c r="D61" s="3" t="s">
        <v>216</v>
      </c>
      <c r="E61" s="3" t="s">
        <v>217</v>
      </c>
      <c r="F61" s="3" t="s">
        <v>218</v>
      </c>
    </row>
    <row r="62" customFormat="false" ht="15" hidden="false" customHeight="true" outlineLevel="0" collapsed="false">
      <c r="A62" s="5" t="n">
        <v>1</v>
      </c>
      <c r="B62" s="6" t="str">
        <f aca="false">IFERROR(INDEX('Perhitungan IPH Mingguan 2026'!$B$6:$B$25,MATCH(LARGE('Perhitungan IPH Mingguan 2026'!$DY$6:$DY$25,1),'Perhitungan IPH Mingguan 2026'!$DY$6:$DY$25,0)),"-")</f>
        <v>-</v>
      </c>
      <c r="C62" s="7" t="str">
        <f aca="false">IFERROR(INDEX('Perhitungan IPH Mingguan 2026'!$C$6:$C$25,MATCH(LARGE('Perhitungan IPH Mingguan 2026'!$DY$6:$DY$25,1),'Perhitungan IPH Mingguan 2026'!$DY$6:$DY$25,0)),"")</f>
        <v/>
      </c>
      <c r="D62" s="25" t="str">
        <f aca="false">IFERROR(INDEX('Perhitungan IPH Mingguan 2026'!$Z$6:$Z$25,MATCH(LARGE('Perhitungan IPH Mingguan 2026'!$DY$6:$DY$25,1),'Perhitungan IPH Mingguan 2026'!$DY$6:$DY$25,0)),"")</f>
        <v/>
      </c>
      <c r="E62" s="7" t="str">
        <f aca="false">IFERROR(INDEX('Perhitungan IPH Mingguan 2026'!$AA$6:$AA$25,MATCH(LARGE('Perhitungan IPH Mingguan 2026'!$DY$6:$DY$25,1),'Perhitungan IPH Mingguan 2026'!$DY$6:$DY$25,0)),"")</f>
        <v/>
      </c>
      <c r="F62" s="6" t="str">
        <f aca="false">IF(ISNUMBER(E62),IF(E62&gt;0,"Penyumbang KENAIKAN IPH","Penyumbang PENURUNAN IPH"),"-")</f>
        <v>-</v>
      </c>
    </row>
    <row r="63" customFormat="false" ht="15" hidden="false" customHeight="true" outlineLevel="0" collapsed="false">
      <c r="A63" s="5" t="n">
        <v>2</v>
      </c>
      <c r="B63" s="6" t="str">
        <f aca="false">IFERROR(INDEX('Perhitungan IPH Mingguan 2026'!$B$6:$B$25,MATCH(LARGE('Perhitungan IPH Mingguan 2026'!$DY$6:$DY$25,2),'Perhitungan IPH Mingguan 2026'!$DY$6:$DY$25,0)),"-")</f>
        <v>-</v>
      </c>
      <c r="C63" s="7" t="str">
        <f aca="false">IFERROR(INDEX('Perhitungan IPH Mingguan 2026'!$C$6:$C$25,MATCH(LARGE('Perhitungan IPH Mingguan 2026'!$DY$6:$DY$25,2),'Perhitungan IPH Mingguan 2026'!$DY$6:$DY$25,0)),"")</f>
        <v/>
      </c>
      <c r="D63" s="25" t="str">
        <f aca="false">IFERROR(INDEX('Perhitungan IPH Mingguan 2026'!$Z$6:$Z$25,MATCH(LARGE('Perhitungan IPH Mingguan 2026'!$DY$6:$DY$25,2),'Perhitungan IPH Mingguan 2026'!$DY$6:$DY$25,0)),"")</f>
        <v/>
      </c>
      <c r="E63" s="7" t="str">
        <f aca="false">IFERROR(INDEX('Perhitungan IPH Mingguan 2026'!$AA$6:$AA$25,MATCH(LARGE('Perhitungan IPH Mingguan 2026'!$DY$6:$DY$25,2),'Perhitungan IPH Mingguan 2026'!$DY$6:$DY$25,0)),"")</f>
        <v/>
      </c>
      <c r="F63" s="6" t="str">
        <f aca="false">IF(ISNUMBER(E63),IF(E63&gt;0,"Penyumbang KENAIKAN IPH","Penyumbang PENURUNAN IPH"),"-")</f>
        <v>-</v>
      </c>
    </row>
    <row r="64" customFormat="false" ht="15" hidden="false" customHeight="true" outlineLevel="0" collapsed="false">
      <c r="A64" s="5" t="n">
        <v>3</v>
      </c>
      <c r="B64" s="6" t="str">
        <f aca="false">IFERROR(INDEX('Perhitungan IPH Mingguan 2026'!$B$6:$B$25,MATCH(LARGE('Perhitungan IPH Mingguan 2026'!$DY$6:$DY$25,3),'Perhitungan IPH Mingguan 2026'!$DY$6:$DY$25,0)),"-")</f>
        <v>-</v>
      </c>
      <c r="C64" s="7" t="str">
        <f aca="false">IFERROR(INDEX('Perhitungan IPH Mingguan 2026'!$C$6:$C$25,MATCH(LARGE('Perhitungan IPH Mingguan 2026'!$DY$6:$DY$25,3),'Perhitungan IPH Mingguan 2026'!$DY$6:$DY$25,0)),"")</f>
        <v/>
      </c>
      <c r="D64" s="25" t="str">
        <f aca="false">IFERROR(INDEX('Perhitungan IPH Mingguan 2026'!$Z$6:$Z$25,MATCH(LARGE('Perhitungan IPH Mingguan 2026'!$DY$6:$DY$25,3),'Perhitungan IPH Mingguan 2026'!$DY$6:$DY$25,0)),"")</f>
        <v/>
      </c>
      <c r="E64" s="7" t="str">
        <f aca="false">IFERROR(INDEX('Perhitungan IPH Mingguan 2026'!$AA$6:$AA$25,MATCH(LARGE('Perhitungan IPH Mingguan 2026'!$DY$6:$DY$25,3),'Perhitungan IPH Mingguan 2026'!$DY$6:$DY$25,0)),"")</f>
        <v/>
      </c>
      <c r="F64" s="6" t="str">
        <f aca="false">IF(ISNUMBER(E64),IF(E64&gt;0,"Penyumbang KENAIKAN IPH","Penyumbang PENURUNAN IPH"),"-")</f>
        <v>-</v>
      </c>
    </row>
    <row r="65" customFormat="false" ht="15" hidden="false" customHeight="true" outlineLevel="0" collapsed="false">
      <c r="A65" s="5" t="n">
        <v>4</v>
      </c>
      <c r="B65" s="6" t="str">
        <f aca="false">IFERROR(INDEX('Perhitungan IPH Mingguan 2026'!$B$6:$B$25,MATCH(LARGE('Perhitungan IPH Mingguan 2026'!$DY$6:$DY$25,4),'Perhitungan IPH Mingguan 2026'!$DY$6:$DY$25,0)),"-")</f>
        <v>-</v>
      </c>
      <c r="C65" s="7" t="str">
        <f aca="false">IFERROR(INDEX('Perhitungan IPH Mingguan 2026'!$C$6:$C$25,MATCH(LARGE('Perhitungan IPH Mingguan 2026'!$DY$6:$DY$25,4),'Perhitungan IPH Mingguan 2026'!$DY$6:$DY$25,0)),"")</f>
        <v/>
      </c>
      <c r="D65" s="25" t="str">
        <f aca="false">IFERROR(INDEX('Perhitungan IPH Mingguan 2026'!$Z$6:$Z$25,MATCH(LARGE('Perhitungan IPH Mingguan 2026'!$DY$6:$DY$25,4),'Perhitungan IPH Mingguan 2026'!$DY$6:$DY$25,0)),"")</f>
        <v/>
      </c>
      <c r="E65" s="7" t="str">
        <f aca="false">IFERROR(INDEX('Perhitungan IPH Mingguan 2026'!$AA$6:$AA$25,MATCH(LARGE('Perhitungan IPH Mingguan 2026'!$DY$6:$DY$25,4),'Perhitungan IPH Mingguan 2026'!$DY$6:$DY$25,0)),"")</f>
        <v/>
      </c>
      <c r="F65" s="6" t="str">
        <f aca="false">IF(ISNUMBER(E65),IF(E65&gt;0,"Penyumbang KENAIKAN IPH","Penyumbang PENURUNAN IPH"),"-")</f>
        <v>-</v>
      </c>
    </row>
    <row r="66" customFormat="false" ht="15" hidden="false" customHeight="true" outlineLevel="0" collapsed="false">
      <c r="A66" s="5" t="n">
        <v>5</v>
      </c>
      <c r="B66" s="6" t="str">
        <f aca="false">IFERROR(INDEX('Perhitungan IPH Mingguan 2026'!$B$6:$B$25,MATCH(LARGE('Perhitungan IPH Mingguan 2026'!$DY$6:$DY$25,5),'Perhitungan IPH Mingguan 2026'!$DY$6:$DY$25,0)),"-")</f>
        <v>-</v>
      </c>
      <c r="C66" s="7" t="str">
        <f aca="false">IFERROR(INDEX('Perhitungan IPH Mingguan 2026'!$C$6:$C$25,MATCH(LARGE('Perhitungan IPH Mingguan 2026'!$DY$6:$DY$25,5),'Perhitungan IPH Mingguan 2026'!$DY$6:$DY$25,0)),"")</f>
        <v/>
      </c>
      <c r="D66" s="25" t="str">
        <f aca="false">IFERROR(INDEX('Perhitungan IPH Mingguan 2026'!$Z$6:$Z$25,MATCH(LARGE('Perhitungan IPH Mingguan 2026'!$DY$6:$DY$25,5),'Perhitungan IPH Mingguan 2026'!$DY$6:$DY$25,0)),"")</f>
        <v/>
      </c>
      <c r="E66" s="7" t="str">
        <f aca="false">IFERROR(INDEX('Perhitungan IPH Mingguan 2026'!$AA$6:$AA$25,MATCH(LARGE('Perhitungan IPH Mingguan 2026'!$DY$6:$DY$25,5),'Perhitungan IPH Mingguan 2026'!$DY$6:$DY$25,0)),"")</f>
        <v/>
      </c>
      <c r="F66" s="6" t="str">
        <f aca="false">IF(ISNUMBER(E66),IF(E66&gt;0,"Penyumbang KENAIKAN IPH","Penyumbang PENURUNAN IPH"),"-")</f>
        <v>-</v>
      </c>
    </row>
    <row r="68" customFormat="false" ht="15" hidden="false" customHeight="true" outlineLevel="0" collapsed="false">
      <c r="A68" s="24" t="s">
        <v>226</v>
      </c>
      <c r="B68" s="24"/>
      <c r="C68" s="24"/>
      <c r="D68" s="24"/>
      <c r="E68" s="24"/>
      <c r="F68" s="24"/>
    </row>
    <row r="69" customFormat="false" ht="21.75" hidden="false" customHeight="true" outlineLevel="0" collapsed="false">
      <c r="A69" s="3" t="s">
        <v>214</v>
      </c>
      <c r="B69" s="3" t="s">
        <v>215</v>
      </c>
      <c r="C69" s="3" t="s">
        <v>142</v>
      </c>
      <c r="D69" s="3" t="s">
        <v>216</v>
      </c>
      <c r="E69" s="3" t="s">
        <v>217</v>
      </c>
      <c r="F69" s="3" t="s">
        <v>218</v>
      </c>
    </row>
    <row r="70" customFormat="false" ht="15" hidden="false" customHeight="true" outlineLevel="0" collapsed="false">
      <c r="A70" s="5" t="n">
        <v>1</v>
      </c>
      <c r="B70" s="6" t="str">
        <f aca="false">IFERROR(INDEX('Perhitungan IPH Mingguan 2026'!$B$6:$B$25,MATCH(LARGE('Perhitungan IPH Mingguan 2026'!$DZ$6:$DZ$25,1),'Perhitungan IPH Mingguan 2026'!$DZ$6:$DZ$25,0)),"-")</f>
        <v>-</v>
      </c>
      <c r="C70" s="7" t="str">
        <f aca="false">IFERROR(INDEX('Perhitungan IPH Mingguan 2026'!$C$6:$C$25,MATCH(LARGE('Perhitungan IPH Mingguan 2026'!$DZ$6:$DZ$25,1),'Perhitungan IPH Mingguan 2026'!$DZ$6:$DZ$25,0)),"")</f>
        <v/>
      </c>
      <c r="D70" s="25" t="str">
        <f aca="false">IFERROR(INDEX('Perhitungan IPH Mingguan 2026'!$AC$6:$AC$25,MATCH(LARGE('Perhitungan IPH Mingguan 2026'!$DZ$6:$DZ$25,1),'Perhitungan IPH Mingguan 2026'!$DZ$6:$DZ$25,0)),"")</f>
        <v/>
      </c>
      <c r="E70" s="7" t="str">
        <f aca="false">IFERROR(INDEX('Perhitungan IPH Mingguan 2026'!$AD$6:$AD$25,MATCH(LARGE('Perhitungan IPH Mingguan 2026'!$DZ$6:$DZ$25,1),'Perhitungan IPH Mingguan 2026'!$DZ$6:$DZ$25,0)),"")</f>
        <v/>
      </c>
      <c r="F70" s="6" t="str">
        <f aca="false">IF(ISNUMBER(E70),IF(E70&gt;0,"Penyumbang KENAIKAN IPH","Penyumbang PENURUNAN IPH"),"-")</f>
        <v>-</v>
      </c>
    </row>
    <row r="71" customFormat="false" ht="15" hidden="false" customHeight="true" outlineLevel="0" collapsed="false">
      <c r="A71" s="5" t="n">
        <v>2</v>
      </c>
      <c r="B71" s="6" t="str">
        <f aca="false">IFERROR(INDEX('Perhitungan IPH Mingguan 2026'!$B$6:$B$25,MATCH(LARGE('Perhitungan IPH Mingguan 2026'!$DZ$6:$DZ$25,2),'Perhitungan IPH Mingguan 2026'!$DZ$6:$DZ$25,0)),"-")</f>
        <v>-</v>
      </c>
      <c r="C71" s="7" t="str">
        <f aca="false">IFERROR(INDEX('Perhitungan IPH Mingguan 2026'!$C$6:$C$25,MATCH(LARGE('Perhitungan IPH Mingguan 2026'!$DZ$6:$DZ$25,2),'Perhitungan IPH Mingguan 2026'!$DZ$6:$DZ$25,0)),"")</f>
        <v/>
      </c>
      <c r="D71" s="25" t="str">
        <f aca="false">IFERROR(INDEX('Perhitungan IPH Mingguan 2026'!$AC$6:$AC$25,MATCH(LARGE('Perhitungan IPH Mingguan 2026'!$DZ$6:$DZ$25,2),'Perhitungan IPH Mingguan 2026'!$DZ$6:$DZ$25,0)),"")</f>
        <v/>
      </c>
      <c r="E71" s="7" t="str">
        <f aca="false">IFERROR(INDEX('Perhitungan IPH Mingguan 2026'!$AD$6:$AD$25,MATCH(LARGE('Perhitungan IPH Mingguan 2026'!$DZ$6:$DZ$25,2),'Perhitungan IPH Mingguan 2026'!$DZ$6:$DZ$25,0)),"")</f>
        <v/>
      </c>
      <c r="F71" s="6" t="str">
        <f aca="false">IF(ISNUMBER(E71),IF(E71&gt;0,"Penyumbang KENAIKAN IPH","Penyumbang PENURUNAN IPH"),"-")</f>
        <v>-</v>
      </c>
    </row>
    <row r="72" customFormat="false" ht="15" hidden="false" customHeight="true" outlineLevel="0" collapsed="false">
      <c r="A72" s="5" t="n">
        <v>3</v>
      </c>
      <c r="B72" s="6" t="str">
        <f aca="false">IFERROR(INDEX('Perhitungan IPH Mingguan 2026'!$B$6:$B$25,MATCH(LARGE('Perhitungan IPH Mingguan 2026'!$DZ$6:$DZ$25,3),'Perhitungan IPH Mingguan 2026'!$DZ$6:$DZ$25,0)),"-")</f>
        <v>-</v>
      </c>
      <c r="C72" s="7" t="str">
        <f aca="false">IFERROR(INDEX('Perhitungan IPH Mingguan 2026'!$C$6:$C$25,MATCH(LARGE('Perhitungan IPH Mingguan 2026'!$DZ$6:$DZ$25,3),'Perhitungan IPH Mingguan 2026'!$DZ$6:$DZ$25,0)),"")</f>
        <v/>
      </c>
      <c r="D72" s="25" t="str">
        <f aca="false">IFERROR(INDEX('Perhitungan IPH Mingguan 2026'!$AC$6:$AC$25,MATCH(LARGE('Perhitungan IPH Mingguan 2026'!$DZ$6:$DZ$25,3),'Perhitungan IPH Mingguan 2026'!$DZ$6:$DZ$25,0)),"")</f>
        <v/>
      </c>
      <c r="E72" s="7" t="str">
        <f aca="false">IFERROR(INDEX('Perhitungan IPH Mingguan 2026'!$AD$6:$AD$25,MATCH(LARGE('Perhitungan IPH Mingguan 2026'!$DZ$6:$DZ$25,3),'Perhitungan IPH Mingguan 2026'!$DZ$6:$DZ$25,0)),"")</f>
        <v/>
      </c>
      <c r="F72" s="6" t="str">
        <f aca="false">IF(ISNUMBER(E72),IF(E72&gt;0,"Penyumbang KENAIKAN IPH","Penyumbang PENURUNAN IPH"),"-")</f>
        <v>-</v>
      </c>
    </row>
    <row r="73" customFormat="false" ht="15" hidden="false" customHeight="true" outlineLevel="0" collapsed="false">
      <c r="A73" s="5" t="n">
        <v>4</v>
      </c>
      <c r="B73" s="6" t="str">
        <f aca="false">IFERROR(INDEX('Perhitungan IPH Mingguan 2026'!$B$6:$B$25,MATCH(LARGE('Perhitungan IPH Mingguan 2026'!$DZ$6:$DZ$25,4),'Perhitungan IPH Mingguan 2026'!$DZ$6:$DZ$25,0)),"-")</f>
        <v>-</v>
      </c>
      <c r="C73" s="7" t="str">
        <f aca="false">IFERROR(INDEX('Perhitungan IPH Mingguan 2026'!$C$6:$C$25,MATCH(LARGE('Perhitungan IPH Mingguan 2026'!$DZ$6:$DZ$25,4),'Perhitungan IPH Mingguan 2026'!$DZ$6:$DZ$25,0)),"")</f>
        <v/>
      </c>
      <c r="D73" s="25" t="str">
        <f aca="false">IFERROR(INDEX('Perhitungan IPH Mingguan 2026'!$AC$6:$AC$25,MATCH(LARGE('Perhitungan IPH Mingguan 2026'!$DZ$6:$DZ$25,4),'Perhitungan IPH Mingguan 2026'!$DZ$6:$DZ$25,0)),"")</f>
        <v/>
      </c>
      <c r="E73" s="7" t="str">
        <f aca="false">IFERROR(INDEX('Perhitungan IPH Mingguan 2026'!$AD$6:$AD$25,MATCH(LARGE('Perhitungan IPH Mingguan 2026'!$DZ$6:$DZ$25,4),'Perhitungan IPH Mingguan 2026'!$DZ$6:$DZ$25,0)),"")</f>
        <v/>
      </c>
      <c r="F73" s="6" t="str">
        <f aca="false">IF(ISNUMBER(E73),IF(E73&gt;0,"Penyumbang KENAIKAN IPH","Penyumbang PENURUNAN IPH"),"-")</f>
        <v>-</v>
      </c>
    </row>
    <row r="74" customFormat="false" ht="15" hidden="false" customHeight="true" outlineLevel="0" collapsed="false">
      <c r="A74" s="5" t="n">
        <v>5</v>
      </c>
      <c r="B74" s="6" t="str">
        <f aca="false">IFERROR(INDEX('Perhitungan IPH Mingguan 2026'!$B$6:$B$25,MATCH(LARGE('Perhitungan IPH Mingguan 2026'!$DZ$6:$DZ$25,5),'Perhitungan IPH Mingguan 2026'!$DZ$6:$DZ$25,0)),"-")</f>
        <v>-</v>
      </c>
      <c r="C74" s="7" t="str">
        <f aca="false">IFERROR(INDEX('Perhitungan IPH Mingguan 2026'!$C$6:$C$25,MATCH(LARGE('Perhitungan IPH Mingguan 2026'!$DZ$6:$DZ$25,5),'Perhitungan IPH Mingguan 2026'!$DZ$6:$DZ$25,0)),"")</f>
        <v/>
      </c>
      <c r="D74" s="25" t="str">
        <f aca="false">IFERROR(INDEX('Perhitungan IPH Mingguan 2026'!$AC$6:$AC$25,MATCH(LARGE('Perhitungan IPH Mingguan 2026'!$DZ$6:$DZ$25,5),'Perhitungan IPH Mingguan 2026'!$DZ$6:$DZ$25,0)),"")</f>
        <v/>
      </c>
      <c r="E74" s="7" t="str">
        <f aca="false">IFERROR(INDEX('Perhitungan IPH Mingguan 2026'!$AD$6:$AD$25,MATCH(LARGE('Perhitungan IPH Mingguan 2026'!$DZ$6:$DZ$25,5),'Perhitungan IPH Mingguan 2026'!$DZ$6:$DZ$25,0)),"")</f>
        <v/>
      </c>
      <c r="F74" s="6" t="str">
        <f aca="false">IF(ISNUMBER(E74),IF(E74&gt;0,"Penyumbang KENAIKAN IPH","Penyumbang PENURUNAN IPH"),"-")</f>
        <v>-</v>
      </c>
    </row>
    <row r="76" customFormat="false" ht="15" hidden="false" customHeight="true" outlineLevel="0" collapsed="false">
      <c r="A76" s="24" t="s">
        <v>227</v>
      </c>
      <c r="B76" s="24"/>
      <c r="C76" s="24"/>
      <c r="D76" s="24"/>
      <c r="E76" s="24"/>
      <c r="F76" s="24"/>
    </row>
    <row r="77" customFormat="false" ht="21.75" hidden="false" customHeight="true" outlineLevel="0" collapsed="false">
      <c r="A77" s="3" t="s">
        <v>214</v>
      </c>
      <c r="B77" s="3" t="s">
        <v>215</v>
      </c>
      <c r="C77" s="3" t="s">
        <v>142</v>
      </c>
      <c r="D77" s="3" t="s">
        <v>216</v>
      </c>
      <c r="E77" s="3" t="s">
        <v>217</v>
      </c>
      <c r="F77" s="3" t="s">
        <v>218</v>
      </c>
    </row>
    <row r="78" customFormat="false" ht="15" hidden="false" customHeight="true" outlineLevel="0" collapsed="false">
      <c r="A78" s="5" t="n">
        <v>1</v>
      </c>
      <c r="B78" s="6" t="str">
        <f aca="false">IFERROR(INDEX('Perhitungan IPH Mingguan 2026'!$B$6:$B$25,MATCH(LARGE('Perhitungan IPH Mingguan 2026'!$EA$6:$EA$25,1),'Perhitungan IPH Mingguan 2026'!$EA$6:$EA$25,0)),"-")</f>
        <v>-</v>
      </c>
      <c r="C78" s="7" t="str">
        <f aca="false">IFERROR(INDEX('Perhitungan IPH Mingguan 2026'!$C$6:$C$25,MATCH(LARGE('Perhitungan IPH Mingguan 2026'!$EA$6:$EA$25,1),'Perhitungan IPH Mingguan 2026'!$EA$6:$EA$25,0)),"")</f>
        <v/>
      </c>
      <c r="D78" s="25" t="str">
        <f aca="false">IFERROR(INDEX('Perhitungan IPH Mingguan 2026'!$AF$6:$AF$25,MATCH(LARGE('Perhitungan IPH Mingguan 2026'!$EA$6:$EA$25,1),'Perhitungan IPH Mingguan 2026'!$EA$6:$EA$25,0)),"")</f>
        <v/>
      </c>
      <c r="E78" s="7" t="str">
        <f aca="false">IFERROR(INDEX('Perhitungan IPH Mingguan 2026'!$AG$6:$AG$25,MATCH(LARGE('Perhitungan IPH Mingguan 2026'!$EA$6:$EA$25,1),'Perhitungan IPH Mingguan 2026'!$EA$6:$EA$25,0)),"")</f>
        <v/>
      </c>
      <c r="F78" s="6" t="str">
        <f aca="false">IF(ISNUMBER(E78),IF(E78&gt;0,"Penyumbang KENAIKAN IPH","Penyumbang PENURUNAN IPH"),"-")</f>
        <v>-</v>
      </c>
    </row>
    <row r="79" customFormat="false" ht="15" hidden="false" customHeight="true" outlineLevel="0" collapsed="false">
      <c r="A79" s="5" t="n">
        <v>2</v>
      </c>
      <c r="B79" s="6" t="str">
        <f aca="false">IFERROR(INDEX('Perhitungan IPH Mingguan 2026'!$B$6:$B$25,MATCH(LARGE('Perhitungan IPH Mingguan 2026'!$EA$6:$EA$25,2),'Perhitungan IPH Mingguan 2026'!$EA$6:$EA$25,0)),"-")</f>
        <v>-</v>
      </c>
      <c r="C79" s="7" t="str">
        <f aca="false">IFERROR(INDEX('Perhitungan IPH Mingguan 2026'!$C$6:$C$25,MATCH(LARGE('Perhitungan IPH Mingguan 2026'!$EA$6:$EA$25,2),'Perhitungan IPH Mingguan 2026'!$EA$6:$EA$25,0)),"")</f>
        <v/>
      </c>
      <c r="D79" s="25" t="str">
        <f aca="false">IFERROR(INDEX('Perhitungan IPH Mingguan 2026'!$AF$6:$AF$25,MATCH(LARGE('Perhitungan IPH Mingguan 2026'!$EA$6:$EA$25,2),'Perhitungan IPH Mingguan 2026'!$EA$6:$EA$25,0)),"")</f>
        <v/>
      </c>
      <c r="E79" s="7" t="str">
        <f aca="false">IFERROR(INDEX('Perhitungan IPH Mingguan 2026'!$AG$6:$AG$25,MATCH(LARGE('Perhitungan IPH Mingguan 2026'!$EA$6:$EA$25,2),'Perhitungan IPH Mingguan 2026'!$EA$6:$EA$25,0)),"")</f>
        <v/>
      </c>
      <c r="F79" s="6" t="str">
        <f aca="false">IF(ISNUMBER(E79),IF(E79&gt;0,"Penyumbang KENAIKAN IPH","Penyumbang PENURUNAN IPH"),"-")</f>
        <v>-</v>
      </c>
    </row>
    <row r="80" customFormat="false" ht="15" hidden="false" customHeight="true" outlineLevel="0" collapsed="false">
      <c r="A80" s="5" t="n">
        <v>3</v>
      </c>
      <c r="B80" s="6" t="str">
        <f aca="false">IFERROR(INDEX('Perhitungan IPH Mingguan 2026'!$B$6:$B$25,MATCH(LARGE('Perhitungan IPH Mingguan 2026'!$EA$6:$EA$25,3),'Perhitungan IPH Mingguan 2026'!$EA$6:$EA$25,0)),"-")</f>
        <v>-</v>
      </c>
      <c r="C80" s="7" t="str">
        <f aca="false">IFERROR(INDEX('Perhitungan IPH Mingguan 2026'!$C$6:$C$25,MATCH(LARGE('Perhitungan IPH Mingguan 2026'!$EA$6:$EA$25,3),'Perhitungan IPH Mingguan 2026'!$EA$6:$EA$25,0)),"")</f>
        <v/>
      </c>
      <c r="D80" s="25" t="str">
        <f aca="false">IFERROR(INDEX('Perhitungan IPH Mingguan 2026'!$AF$6:$AF$25,MATCH(LARGE('Perhitungan IPH Mingguan 2026'!$EA$6:$EA$25,3),'Perhitungan IPH Mingguan 2026'!$EA$6:$EA$25,0)),"")</f>
        <v/>
      </c>
      <c r="E80" s="7" t="str">
        <f aca="false">IFERROR(INDEX('Perhitungan IPH Mingguan 2026'!$AG$6:$AG$25,MATCH(LARGE('Perhitungan IPH Mingguan 2026'!$EA$6:$EA$25,3),'Perhitungan IPH Mingguan 2026'!$EA$6:$EA$25,0)),"")</f>
        <v/>
      </c>
      <c r="F80" s="6" t="str">
        <f aca="false">IF(ISNUMBER(E80),IF(E80&gt;0,"Penyumbang KENAIKAN IPH","Penyumbang PENURUNAN IPH"),"-")</f>
        <v>-</v>
      </c>
    </row>
    <row r="81" customFormat="false" ht="15" hidden="false" customHeight="true" outlineLevel="0" collapsed="false">
      <c r="A81" s="5" t="n">
        <v>4</v>
      </c>
      <c r="B81" s="6" t="str">
        <f aca="false">IFERROR(INDEX('Perhitungan IPH Mingguan 2026'!$B$6:$B$25,MATCH(LARGE('Perhitungan IPH Mingguan 2026'!$EA$6:$EA$25,4),'Perhitungan IPH Mingguan 2026'!$EA$6:$EA$25,0)),"-")</f>
        <v>-</v>
      </c>
      <c r="C81" s="7" t="str">
        <f aca="false">IFERROR(INDEX('Perhitungan IPH Mingguan 2026'!$C$6:$C$25,MATCH(LARGE('Perhitungan IPH Mingguan 2026'!$EA$6:$EA$25,4),'Perhitungan IPH Mingguan 2026'!$EA$6:$EA$25,0)),"")</f>
        <v/>
      </c>
      <c r="D81" s="25" t="str">
        <f aca="false">IFERROR(INDEX('Perhitungan IPH Mingguan 2026'!$AF$6:$AF$25,MATCH(LARGE('Perhitungan IPH Mingguan 2026'!$EA$6:$EA$25,4),'Perhitungan IPH Mingguan 2026'!$EA$6:$EA$25,0)),"")</f>
        <v/>
      </c>
      <c r="E81" s="7" t="str">
        <f aca="false">IFERROR(INDEX('Perhitungan IPH Mingguan 2026'!$AG$6:$AG$25,MATCH(LARGE('Perhitungan IPH Mingguan 2026'!$EA$6:$EA$25,4),'Perhitungan IPH Mingguan 2026'!$EA$6:$EA$25,0)),"")</f>
        <v/>
      </c>
      <c r="F81" s="6" t="str">
        <f aca="false">IF(ISNUMBER(E81),IF(E81&gt;0,"Penyumbang KENAIKAN IPH","Penyumbang PENURUNAN IPH"),"-")</f>
        <v>-</v>
      </c>
    </row>
    <row r="82" customFormat="false" ht="15" hidden="false" customHeight="true" outlineLevel="0" collapsed="false">
      <c r="A82" s="5" t="n">
        <v>5</v>
      </c>
      <c r="B82" s="6" t="str">
        <f aca="false">IFERROR(INDEX('Perhitungan IPH Mingguan 2026'!$B$6:$B$25,MATCH(LARGE('Perhitungan IPH Mingguan 2026'!$EA$6:$EA$25,5),'Perhitungan IPH Mingguan 2026'!$EA$6:$EA$25,0)),"-")</f>
        <v>-</v>
      </c>
      <c r="C82" s="7" t="str">
        <f aca="false">IFERROR(INDEX('Perhitungan IPH Mingguan 2026'!$C$6:$C$25,MATCH(LARGE('Perhitungan IPH Mingguan 2026'!$EA$6:$EA$25,5),'Perhitungan IPH Mingguan 2026'!$EA$6:$EA$25,0)),"")</f>
        <v/>
      </c>
      <c r="D82" s="25" t="str">
        <f aca="false">IFERROR(INDEX('Perhitungan IPH Mingguan 2026'!$AF$6:$AF$25,MATCH(LARGE('Perhitungan IPH Mingguan 2026'!$EA$6:$EA$25,5),'Perhitungan IPH Mingguan 2026'!$EA$6:$EA$25,0)),"")</f>
        <v/>
      </c>
      <c r="E82" s="7" t="str">
        <f aca="false">IFERROR(INDEX('Perhitungan IPH Mingguan 2026'!$AG$6:$AG$25,MATCH(LARGE('Perhitungan IPH Mingguan 2026'!$EA$6:$EA$25,5),'Perhitungan IPH Mingguan 2026'!$EA$6:$EA$25,0)),"")</f>
        <v/>
      </c>
      <c r="F82" s="6" t="str">
        <f aca="false">IF(ISNUMBER(E82),IF(E82&gt;0,"Penyumbang KENAIKAN IPH","Penyumbang PENURUNAN IPH"),"-")</f>
        <v>-</v>
      </c>
    </row>
    <row r="84" customFormat="false" ht="15" hidden="false" customHeight="true" outlineLevel="0" collapsed="false">
      <c r="A84" s="24" t="s">
        <v>228</v>
      </c>
      <c r="B84" s="24"/>
      <c r="C84" s="24"/>
      <c r="D84" s="24"/>
      <c r="E84" s="24"/>
      <c r="F84" s="24"/>
    </row>
    <row r="85" customFormat="false" ht="21.75" hidden="false" customHeight="true" outlineLevel="0" collapsed="false">
      <c r="A85" s="3" t="s">
        <v>214</v>
      </c>
      <c r="B85" s="3" t="s">
        <v>215</v>
      </c>
      <c r="C85" s="3" t="s">
        <v>142</v>
      </c>
      <c r="D85" s="3" t="s">
        <v>216</v>
      </c>
      <c r="E85" s="3" t="s">
        <v>217</v>
      </c>
      <c r="F85" s="3" t="s">
        <v>218</v>
      </c>
    </row>
    <row r="86" customFormat="false" ht="15" hidden="false" customHeight="true" outlineLevel="0" collapsed="false">
      <c r="A86" s="5" t="n">
        <v>1</v>
      </c>
      <c r="B86" s="6" t="str">
        <f aca="false">IFERROR(INDEX('Perhitungan IPH Mingguan 2026'!$B$6:$B$25,MATCH(LARGE('Perhitungan IPH Mingguan 2026'!$EB$6:$EB$25,1),'Perhitungan IPH Mingguan 2026'!$EB$6:$EB$25,0)),"-")</f>
        <v>-</v>
      </c>
      <c r="C86" s="7" t="str">
        <f aca="false">IFERROR(INDEX('Perhitungan IPH Mingguan 2026'!$C$6:$C$25,MATCH(LARGE('Perhitungan IPH Mingguan 2026'!$EB$6:$EB$25,1),'Perhitungan IPH Mingguan 2026'!$EB$6:$EB$25,0)),"")</f>
        <v/>
      </c>
      <c r="D86" s="25" t="str">
        <f aca="false">IFERROR(INDEX('Perhitungan IPH Mingguan 2026'!$AI$6:$AI$25,MATCH(LARGE('Perhitungan IPH Mingguan 2026'!$EB$6:$EB$25,1),'Perhitungan IPH Mingguan 2026'!$EB$6:$EB$25,0)),"")</f>
        <v/>
      </c>
      <c r="E86" s="7" t="str">
        <f aca="false">IFERROR(INDEX('Perhitungan IPH Mingguan 2026'!$AJ$6:$AJ$25,MATCH(LARGE('Perhitungan IPH Mingguan 2026'!$EB$6:$EB$25,1),'Perhitungan IPH Mingguan 2026'!$EB$6:$EB$25,0)),"")</f>
        <v/>
      </c>
      <c r="F86" s="6" t="str">
        <f aca="false">IF(ISNUMBER(E86),IF(E86&gt;0,"Penyumbang KENAIKAN IPH","Penyumbang PENURUNAN IPH"),"-")</f>
        <v>-</v>
      </c>
    </row>
    <row r="87" customFormat="false" ht="15" hidden="false" customHeight="true" outlineLevel="0" collapsed="false">
      <c r="A87" s="5" t="n">
        <v>2</v>
      </c>
      <c r="B87" s="6" t="str">
        <f aca="false">IFERROR(INDEX('Perhitungan IPH Mingguan 2026'!$B$6:$B$25,MATCH(LARGE('Perhitungan IPH Mingguan 2026'!$EB$6:$EB$25,2),'Perhitungan IPH Mingguan 2026'!$EB$6:$EB$25,0)),"-")</f>
        <v>-</v>
      </c>
      <c r="C87" s="7" t="str">
        <f aca="false">IFERROR(INDEX('Perhitungan IPH Mingguan 2026'!$C$6:$C$25,MATCH(LARGE('Perhitungan IPH Mingguan 2026'!$EB$6:$EB$25,2),'Perhitungan IPH Mingguan 2026'!$EB$6:$EB$25,0)),"")</f>
        <v/>
      </c>
      <c r="D87" s="25" t="str">
        <f aca="false">IFERROR(INDEX('Perhitungan IPH Mingguan 2026'!$AI$6:$AI$25,MATCH(LARGE('Perhitungan IPH Mingguan 2026'!$EB$6:$EB$25,2),'Perhitungan IPH Mingguan 2026'!$EB$6:$EB$25,0)),"")</f>
        <v/>
      </c>
      <c r="E87" s="7" t="str">
        <f aca="false">IFERROR(INDEX('Perhitungan IPH Mingguan 2026'!$AJ$6:$AJ$25,MATCH(LARGE('Perhitungan IPH Mingguan 2026'!$EB$6:$EB$25,2),'Perhitungan IPH Mingguan 2026'!$EB$6:$EB$25,0)),"")</f>
        <v/>
      </c>
      <c r="F87" s="6" t="str">
        <f aca="false">IF(ISNUMBER(E87),IF(E87&gt;0,"Penyumbang KENAIKAN IPH","Penyumbang PENURUNAN IPH"),"-")</f>
        <v>-</v>
      </c>
    </row>
    <row r="88" customFormat="false" ht="15" hidden="false" customHeight="true" outlineLevel="0" collapsed="false">
      <c r="A88" s="5" t="n">
        <v>3</v>
      </c>
      <c r="B88" s="6" t="str">
        <f aca="false">IFERROR(INDEX('Perhitungan IPH Mingguan 2026'!$B$6:$B$25,MATCH(LARGE('Perhitungan IPH Mingguan 2026'!$EB$6:$EB$25,3),'Perhitungan IPH Mingguan 2026'!$EB$6:$EB$25,0)),"-")</f>
        <v>-</v>
      </c>
      <c r="C88" s="7" t="str">
        <f aca="false">IFERROR(INDEX('Perhitungan IPH Mingguan 2026'!$C$6:$C$25,MATCH(LARGE('Perhitungan IPH Mingguan 2026'!$EB$6:$EB$25,3),'Perhitungan IPH Mingguan 2026'!$EB$6:$EB$25,0)),"")</f>
        <v/>
      </c>
      <c r="D88" s="25" t="str">
        <f aca="false">IFERROR(INDEX('Perhitungan IPH Mingguan 2026'!$AI$6:$AI$25,MATCH(LARGE('Perhitungan IPH Mingguan 2026'!$EB$6:$EB$25,3),'Perhitungan IPH Mingguan 2026'!$EB$6:$EB$25,0)),"")</f>
        <v/>
      </c>
      <c r="E88" s="7" t="str">
        <f aca="false">IFERROR(INDEX('Perhitungan IPH Mingguan 2026'!$AJ$6:$AJ$25,MATCH(LARGE('Perhitungan IPH Mingguan 2026'!$EB$6:$EB$25,3),'Perhitungan IPH Mingguan 2026'!$EB$6:$EB$25,0)),"")</f>
        <v/>
      </c>
      <c r="F88" s="6" t="str">
        <f aca="false">IF(ISNUMBER(E88),IF(E88&gt;0,"Penyumbang KENAIKAN IPH","Penyumbang PENURUNAN IPH"),"-")</f>
        <v>-</v>
      </c>
    </row>
    <row r="89" customFormat="false" ht="15" hidden="false" customHeight="true" outlineLevel="0" collapsed="false">
      <c r="A89" s="5" t="n">
        <v>4</v>
      </c>
      <c r="B89" s="6" t="str">
        <f aca="false">IFERROR(INDEX('Perhitungan IPH Mingguan 2026'!$B$6:$B$25,MATCH(LARGE('Perhitungan IPH Mingguan 2026'!$EB$6:$EB$25,4),'Perhitungan IPH Mingguan 2026'!$EB$6:$EB$25,0)),"-")</f>
        <v>-</v>
      </c>
      <c r="C89" s="7" t="str">
        <f aca="false">IFERROR(INDEX('Perhitungan IPH Mingguan 2026'!$C$6:$C$25,MATCH(LARGE('Perhitungan IPH Mingguan 2026'!$EB$6:$EB$25,4),'Perhitungan IPH Mingguan 2026'!$EB$6:$EB$25,0)),"")</f>
        <v/>
      </c>
      <c r="D89" s="25" t="str">
        <f aca="false">IFERROR(INDEX('Perhitungan IPH Mingguan 2026'!$AI$6:$AI$25,MATCH(LARGE('Perhitungan IPH Mingguan 2026'!$EB$6:$EB$25,4),'Perhitungan IPH Mingguan 2026'!$EB$6:$EB$25,0)),"")</f>
        <v/>
      </c>
      <c r="E89" s="7" t="str">
        <f aca="false">IFERROR(INDEX('Perhitungan IPH Mingguan 2026'!$AJ$6:$AJ$25,MATCH(LARGE('Perhitungan IPH Mingguan 2026'!$EB$6:$EB$25,4),'Perhitungan IPH Mingguan 2026'!$EB$6:$EB$25,0)),"")</f>
        <v/>
      </c>
      <c r="F89" s="6" t="str">
        <f aca="false">IF(ISNUMBER(E89),IF(E89&gt;0,"Penyumbang KENAIKAN IPH","Penyumbang PENURUNAN IPH"),"-")</f>
        <v>-</v>
      </c>
    </row>
    <row r="90" customFormat="false" ht="15" hidden="false" customHeight="true" outlineLevel="0" collapsed="false">
      <c r="A90" s="5" t="n">
        <v>5</v>
      </c>
      <c r="B90" s="6" t="str">
        <f aca="false">IFERROR(INDEX('Perhitungan IPH Mingguan 2026'!$B$6:$B$25,MATCH(LARGE('Perhitungan IPH Mingguan 2026'!$EB$6:$EB$25,5),'Perhitungan IPH Mingguan 2026'!$EB$6:$EB$25,0)),"-")</f>
        <v>-</v>
      </c>
      <c r="C90" s="7" t="str">
        <f aca="false">IFERROR(INDEX('Perhitungan IPH Mingguan 2026'!$C$6:$C$25,MATCH(LARGE('Perhitungan IPH Mingguan 2026'!$EB$6:$EB$25,5),'Perhitungan IPH Mingguan 2026'!$EB$6:$EB$25,0)),"")</f>
        <v/>
      </c>
      <c r="D90" s="25" t="str">
        <f aca="false">IFERROR(INDEX('Perhitungan IPH Mingguan 2026'!$AI$6:$AI$25,MATCH(LARGE('Perhitungan IPH Mingguan 2026'!$EB$6:$EB$25,5),'Perhitungan IPH Mingguan 2026'!$EB$6:$EB$25,0)),"")</f>
        <v/>
      </c>
      <c r="E90" s="7" t="str">
        <f aca="false">IFERROR(INDEX('Perhitungan IPH Mingguan 2026'!$AJ$6:$AJ$25,MATCH(LARGE('Perhitungan IPH Mingguan 2026'!$EB$6:$EB$25,5),'Perhitungan IPH Mingguan 2026'!$EB$6:$EB$25,0)),"")</f>
        <v/>
      </c>
      <c r="F90" s="6" t="str">
        <f aca="false">IF(ISNUMBER(E90),IF(E90&gt;0,"Penyumbang KENAIKAN IPH","Penyumbang PENURUNAN IPH"),"-")</f>
        <v>-</v>
      </c>
    </row>
    <row r="92" customFormat="false" ht="15" hidden="false" customHeight="true" outlineLevel="0" collapsed="false">
      <c r="A92" s="24" t="s">
        <v>229</v>
      </c>
      <c r="B92" s="24"/>
      <c r="C92" s="24"/>
      <c r="D92" s="24"/>
      <c r="E92" s="24"/>
      <c r="F92" s="24"/>
    </row>
    <row r="93" customFormat="false" ht="21.75" hidden="false" customHeight="true" outlineLevel="0" collapsed="false">
      <c r="A93" s="3" t="s">
        <v>214</v>
      </c>
      <c r="B93" s="3" t="s">
        <v>215</v>
      </c>
      <c r="C93" s="3" t="s">
        <v>142</v>
      </c>
      <c r="D93" s="3" t="s">
        <v>216</v>
      </c>
      <c r="E93" s="3" t="s">
        <v>217</v>
      </c>
      <c r="F93" s="3" t="s">
        <v>218</v>
      </c>
    </row>
    <row r="94" customFormat="false" ht="15" hidden="false" customHeight="true" outlineLevel="0" collapsed="false">
      <c r="A94" s="5" t="n">
        <v>1</v>
      </c>
      <c r="B94" s="6" t="str">
        <f aca="false">IFERROR(INDEX('Perhitungan IPH Mingguan 2026'!$B$6:$B$25,MATCH(LARGE('Perhitungan IPH Mingguan 2026'!$EC$6:$EC$25,1),'Perhitungan IPH Mingguan 2026'!$EC$6:$EC$25,0)),"-")</f>
        <v>-</v>
      </c>
      <c r="C94" s="7" t="str">
        <f aca="false">IFERROR(INDEX('Perhitungan IPH Mingguan 2026'!$C$6:$C$25,MATCH(LARGE('Perhitungan IPH Mingguan 2026'!$EC$6:$EC$25,1),'Perhitungan IPH Mingguan 2026'!$EC$6:$EC$25,0)),"")</f>
        <v/>
      </c>
      <c r="D94" s="25" t="str">
        <f aca="false">IFERROR(INDEX('Perhitungan IPH Mingguan 2026'!$AL$6:$AL$25,MATCH(LARGE('Perhitungan IPH Mingguan 2026'!$EC$6:$EC$25,1),'Perhitungan IPH Mingguan 2026'!$EC$6:$EC$25,0)),"")</f>
        <v/>
      </c>
      <c r="E94" s="7" t="str">
        <f aca="false">IFERROR(INDEX('Perhitungan IPH Mingguan 2026'!$AM$6:$AM$25,MATCH(LARGE('Perhitungan IPH Mingguan 2026'!$EC$6:$EC$25,1),'Perhitungan IPH Mingguan 2026'!$EC$6:$EC$25,0)),"")</f>
        <v/>
      </c>
      <c r="F94" s="6" t="str">
        <f aca="false">IF(ISNUMBER(E94),IF(E94&gt;0,"Penyumbang KENAIKAN IPH","Penyumbang PENURUNAN IPH"),"-")</f>
        <v>-</v>
      </c>
    </row>
    <row r="95" customFormat="false" ht="15" hidden="false" customHeight="true" outlineLevel="0" collapsed="false">
      <c r="A95" s="5" t="n">
        <v>2</v>
      </c>
      <c r="B95" s="6" t="str">
        <f aca="false">IFERROR(INDEX('Perhitungan IPH Mingguan 2026'!$B$6:$B$25,MATCH(LARGE('Perhitungan IPH Mingguan 2026'!$EC$6:$EC$25,2),'Perhitungan IPH Mingguan 2026'!$EC$6:$EC$25,0)),"-")</f>
        <v>-</v>
      </c>
      <c r="C95" s="7" t="str">
        <f aca="false">IFERROR(INDEX('Perhitungan IPH Mingguan 2026'!$C$6:$C$25,MATCH(LARGE('Perhitungan IPH Mingguan 2026'!$EC$6:$EC$25,2),'Perhitungan IPH Mingguan 2026'!$EC$6:$EC$25,0)),"")</f>
        <v/>
      </c>
      <c r="D95" s="25" t="str">
        <f aca="false">IFERROR(INDEX('Perhitungan IPH Mingguan 2026'!$AL$6:$AL$25,MATCH(LARGE('Perhitungan IPH Mingguan 2026'!$EC$6:$EC$25,2),'Perhitungan IPH Mingguan 2026'!$EC$6:$EC$25,0)),"")</f>
        <v/>
      </c>
      <c r="E95" s="7" t="str">
        <f aca="false">IFERROR(INDEX('Perhitungan IPH Mingguan 2026'!$AM$6:$AM$25,MATCH(LARGE('Perhitungan IPH Mingguan 2026'!$EC$6:$EC$25,2),'Perhitungan IPH Mingguan 2026'!$EC$6:$EC$25,0)),"")</f>
        <v/>
      </c>
      <c r="F95" s="6" t="str">
        <f aca="false">IF(ISNUMBER(E95),IF(E95&gt;0,"Penyumbang KENAIKAN IPH","Penyumbang PENURUNAN IPH"),"-")</f>
        <v>-</v>
      </c>
    </row>
    <row r="96" customFormat="false" ht="15" hidden="false" customHeight="true" outlineLevel="0" collapsed="false">
      <c r="A96" s="5" t="n">
        <v>3</v>
      </c>
      <c r="B96" s="6" t="str">
        <f aca="false">IFERROR(INDEX('Perhitungan IPH Mingguan 2026'!$B$6:$B$25,MATCH(LARGE('Perhitungan IPH Mingguan 2026'!$EC$6:$EC$25,3),'Perhitungan IPH Mingguan 2026'!$EC$6:$EC$25,0)),"-")</f>
        <v>-</v>
      </c>
      <c r="C96" s="7" t="str">
        <f aca="false">IFERROR(INDEX('Perhitungan IPH Mingguan 2026'!$C$6:$C$25,MATCH(LARGE('Perhitungan IPH Mingguan 2026'!$EC$6:$EC$25,3),'Perhitungan IPH Mingguan 2026'!$EC$6:$EC$25,0)),"")</f>
        <v/>
      </c>
      <c r="D96" s="25" t="str">
        <f aca="false">IFERROR(INDEX('Perhitungan IPH Mingguan 2026'!$AL$6:$AL$25,MATCH(LARGE('Perhitungan IPH Mingguan 2026'!$EC$6:$EC$25,3),'Perhitungan IPH Mingguan 2026'!$EC$6:$EC$25,0)),"")</f>
        <v/>
      </c>
      <c r="E96" s="7" t="str">
        <f aca="false">IFERROR(INDEX('Perhitungan IPH Mingguan 2026'!$AM$6:$AM$25,MATCH(LARGE('Perhitungan IPH Mingguan 2026'!$EC$6:$EC$25,3),'Perhitungan IPH Mingguan 2026'!$EC$6:$EC$25,0)),"")</f>
        <v/>
      </c>
      <c r="F96" s="6" t="str">
        <f aca="false">IF(ISNUMBER(E96),IF(E96&gt;0,"Penyumbang KENAIKAN IPH","Penyumbang PENURUNAN IPH"),"-")</f>
        <v>-</v>
      </c>
    </row>
    <row r="97" customFormat="false" ht="15" hidden="false" customHeight="true" outlineLevel="0" collapsed="false">
      <c r="A97" s="5" t="n">
        <v>4</v>
      </c>
      <c r="B97" s="6" t="str">
        <f aca="false">IFERROR(INDEX('Perhitungan IPH Mingguan 2026'!$B$6:$B$25,MATCH(LARGE('Perhitungan IPH Mingguan 2026'!$EC$6:$EC$25,4),'Perhitungan IPH Mingguan 2026'!$EC$6:$EC$25,0)),"-")</f>
        <v>-</v>
      </c>
      <c r="C97" s="7" t="str">
        <f aca="false">IFERROR(INDEX('Perhitungan IPH Mingguan 2026'!$C$6:$C$25,MATCH(LARGE('Perhitungan IPH Mingguan 2026'!$EC$6:$EC$25,4),'Perhitungan IPH Mingguan 2026'!$EC$6:$EC$25,0)),"")</f>
        <v/>
      </c>
      <c r="D97" s="25" t="str">
        <f aca="false">IFERROR(INDEX('Perhitungan IPH Mingguan 2026'!$AL$6:$AL$25,MATCH(LARGE('Perhitungan IPH Mingguan 2026'!$EC$6:$EC$25,4),'Perhitungan IPH Mingguan 2026'!$EC$6:$EC$25,0)),"")</f>
        <v/>
      </c>
      <c r="E97" s="7" t="str">
        <f aca="false">IFERROR(INDEX('Perhitungan IPH Mingguan 2026'!$AM$6:$AM$25,MATCH(LARGE('Perhitungan IPH Mingguan 2026'!$EC$6:$EC$25,4),'Perhitungan IPH Mingguan 2026'!$EC$6:$EC$25,0)),"")</f>
        <v/>
      </c>
      <c r="F97" s="6" t="str">
        <f aca="false">IF(ISNUMBER(E97),IF(E97&gt;0,"Penyumbang KENAIKAN IPH","Penyumbang PENURUNAN IPH"),"-")</f>
        <v>-</v>
      </c>
    </row>
    <row r="98" customFormat="false" ht="15" hidden="false" customHeight="true" outlineLevel="0" collapsed="false">
      <c r="A98" s="5" t="n">
        <v>5</v>
      </c>
      <c r="B98" s="6" t="str">
        <f aca="false">IFERROR(INDEX('Perhitungan IPH Mingguan 2026'!$B$6:$B$25,MATCH(LARGE('Perhitungan IPH Mingguan 2026'!$EC$6:$EC$25,5),'Perhitungan IPH Mingguan 2026'!$EC$6:$EC$25,0)),"-")</f>
        <v>-</v>
      </c>
      <c r="C98" s="7" t="str">
        <f aca="false">IFERROR(INDEX('Perhitungan IPH Mingguan 2026'!$C$6:$C$25,MATCH(LARGE('Perhitungan IPH Mingguan 2026'!$EC$6:$EC$25,5),'Perhitungan IPH Mingguan 2026'!$EC$6:$EC$25,0)),"")</f>
        <v/>
      </c>
      <c r="D98" s="25" t="str">
        <f aca="false">IFERROR(INDEX('Perhitungan IPH Mingguan 2026'!$AL$6:$AL$25,MATCH(LARGE('Perhitungan IPH Mingguan 2026'!$EC$6:$EC$25,5),'Perhitungan IPH Mingguan 2026'!$EC$6:$EC$25,0)),"")</f>
        <v/>
      </c>
      <c r="E98" s="7" t="str">
        <f aca="false">IFERROR(INDEX('Perhitungan IPH Mingguan 2026'!$AM$6:$AM$25,MATCH(LARGE('Perhitungan IPH Mingguan 2026'!$EC$6:$EC$25,5),'Perhitungan IPH Mingguan 2026'!$EC$6:$EC$25,0)),"")</f>
        <v/>
      </c>
      <c r="F98" s="6" t="str">
        <f aca="false">IF(ISNUMBER(E98),IF(E98&gt;0,"Penyumbang KENAIKAN IPH","Penyumbang PENURUNAN IPH"),"-")</f>
        <v>-</v>
      </c>
    </row>
    <row r="100" customFormat="false" ht="15" hidden="false" customHeight="true" outlineLevel="0" collapsed="false">
      <c r="A100" s="24" t="s">
        <v>230</v>
      </c>
      <c r="B100" s="24"/>
      <c r="C100" s="24"/>
      <c r="D100" s="24"/>
      <c r="E100" s="24"/>
      <c r="F100" s="24"/>
    </row>
    <row r="101" customFormat="false" ht="21.75" hidden="false" customHeight="true" outlineLevel="0" collapsed="false">
      <c r="A101" s="3" t="s">
        <v>214</v>
      </c>
      <c r="B101" s="3" t="s">
        <v>215</v>
      </c>
      <c r="C101" s="3" t="s">
        <v>142</v>
      </c>
      <c r="D101" s="3" t="s">
        <v>216</v>
      </c>
      <c r="E101" s="3" t="s">
        <v>217</v>
      </c>
      <c r="F101" s="3" t="s">
        <v>218</v>
      </c>
    </row>
    <row r="102" customFormat="false" ht="15" hidden="false" customHeight="true" outlineLevel="0" collapsed="false">
      <c r="A102" s="5" t="n">
        <v>1</v>
      </c>
      <c r="B102" s="6" t="str">
        <f aca="false">IFERROR(INDEX('Perhitungan IPH Mingguan 2026'!$B$6:$B$25,MATCH(LARGE('Perhitungan IPH Mingguan 2026'!$ED$6:$ED$25,1),'Perhitungan IPH Mingguan 2026'!$ED$6:$ED$25,0)),"-")</f>
        <v>-</v>
      </c>
      <c r="C102" s="7" t="str">
        <f aca="false">IFERROR(INDEX('Perhitungan IPH Mingguan 2026'!$C$6:$C$25,MATCH(LARGE('Perhitungan IPH Mingguan 2026'!$ED$6:$ED$25,1),'Perhitungan IPH Mingguan 2026'!$ED$6:$ED$25,0)),"")</f>
        <v/>
      </c>
      <c r="D102" s="25" t="str">
        <f aca="false">IFERROR(INDEX('Perhitungan IPH Mingguan 2026'!$AO$6:$AO$25,MATCH(LARGE('Perhitungan IPH Mingguan 2026'!$ED$6:$ED$25,1),'Perhitungan IPH Mingguan 2026'!$ED$6:$ED$25,0)),"")</f>
        <v/>
      </c>
      <c r="E102" s="7" t="str">
        <f aca="false">IFERROR(INDEX('Perhitungan IPH Mingguan 2026'!$AP$6:$AP$25,MATCH(LARGE('Perhitungan IPH Mingguan 2026'!$ED$6:$ED$25,1),'Perhitungan IPH Mingguan 2026'!$ED$6:$ED$25,0)),"")</f>
        <v/>
      </c>
      <c r="F102" s="6" t="str">
        <f aca="false">IF(ISNUMBER(E102),IF(E102&gt;0,"Penyumbang KENAIKAN IPH","Penyumbang PENURUNAN IPH"),"-")</f>
        <v>-</v>
      </c>
    </row>
    <row r="103" customFormat="false" ht="15" hidden="false" customHeight="true" outlineLevel="0" collapsed="false">
      <c r="A103" s="5" t="n">
        <v>2</v>
      </c>
      <c r="B103" s="6" t="str">
        <f aca="false">IFERROR(INDEX('Perhitungan IPH Mingguan 2026'!$B$6:$B$25,MATCH(LARGE('Perhitungan IPH Mingguan 2026'!$ED$6:$ED$25,2),'Perhitungan IPH Mingguan 2026'!$ED$6:$ED$25,0)),"-")</f>
        <v>-</v>
      </c>
      <c r="C103" s="7" t="str">
        <f aca="false">IFERROR(INDEX('Perhitungan IPH Mingguan 2026'!$C$6:$C$25,MATCH(LARGE('Perhitungan IPH Mingguan 2026'!$ED$6:$ED$25,2),'Perhitungan IPH Mingguan 2026'!$ED$6:$ED$25,0)),"")</f>
        <v/>
      </c>
      <c r="D103" s="25" t="str">
        <f aca="false">IFERROR(INDEX('Perhitungan IPH Mingguan 2026'!$AO$6:$AO$25,MATCH(LARGE('Perhitungan IPH Mingguan 2026'!$ED$6:$ED$25,2),'Perhitungan IPH Mingguan 2026'!$ED$6:$ED$25,0)),"")</f>
        <v/>
      </c>
      <c r="E103" s="7" t="str">
        <f aca="false">IFERROR(INDEX('Perhitungan IPH Mingguan 2026'!$AP$6:$AP$25,MATCH(LARGE('Perhitungan IPH Mingguan 2026'!$ED$6:$ED$25,2),'Perhitungan IPH Mingguan 2026'!$ED$6:$ED$25,0)),"")</f>
        <v/>
      </c>
      <c r="F103" s="6" t="str">
        <f aca="false">IF(ISNUMBER(E103),IF(E103&gt;0,"Penyumbang KENAIKAN IPH","Penyumbang PENURUNAN IPH"),"-")</f>
        <v>-</v>
      </c>
    </row>
    <row r="104" customFormat="false" ht="15" hidden="false" customHeight="true" outlineLevel="0" collapsed="false">
      <c r="A104" s="5" t="n">
        <v>3</v>
      </c>
      <c r="B104" s="6" t="str">
        <f aca="false">IFERROR(INDEX('Perhitungan IPH Mingguan 2026'!$B$6:$B$25,MATCH(LARGE('Perhitungan IPH Mingguan 2026'!$ED$6:$ED$25,3),'Perhitungan IPH Mingguan 2026'!$ED$6:$ED$25,0)),"-")</f>
        <v>-</v>
      </c>
      <c r="C104" s="7" t="str">
        <f aca="false">IFERROR(INDEX('Perhitungan IPH Mingguan 2026'!$C$6:$C$25,MATCH(LARGE('Perhitungan IPH Mingguan 2026'!$ED$6:$ED$25,3),'Perhitungan IPH Mingguan 2026'!$ED$6:$ED$25,0)),"")</f>
        <v/>
      </c>
      <c r="D104" s="25" t="str">
        <f aca="false">IFERROR(INDEX('Perhitungan IPH Mingguan 2026'!$AO$6:$AO$25,MATCH(LARGE('Perhitungan IPH Mingguan 2026'!$ED$6:$ED$25,3),'Perhitungan IPH Mingguan 2026'!$ED$6:$ED$25,0)),"")</f>
        <v/>
      </c>
      <c r="E104" s="7" t="str">
        <f aca="false">IFERROR(INDEX('Perhitungan IPH Mingguan 2026'!$AP$6:$AP$25,MATCH(LARGE('Perhitungan IPH Mingguan 2026'!$ED$6:$ED$25,3),'Perhitungan IPH Mingguan 2026'!$ED$6:$ED$25,0)),"")</f>
        <v/>
      </c>
      <c r="F104" s="6" t="str">
        <f aca="false">IF(ISNUMBER(E104),IF(E104&gt;0,"Penyumbang KENAIKAN IPH","Penyumbang PENURUNAN IPH"),"-")</f>
        <v>-</v>
      </c>
    </row>
    <row r="105" customFormat="false" ht="15" hidden="false" customHeight="true" outlineLevel="0" collapsed="false">
      <c r="A105" s="5" t="n">
        <v>4</v>
      </c>
      <c r="B105" s="6" t="str">
        <f aca="false">IFERROR(INDEX('Perhitungan IPH Mingguan 2026'!$B$6:$B$25,MATCH(LARGE('Perhitungan IPH Mingguan 2026'!$ED$6:$ED$25,4),'Perhitungan IPH Mingguan 2026'!$ED$6:$ED$25,0)),"-")</f>
        <v>-</v>
      </c>
      <c r="C105" s="7" t="str">
        <f aca="false">IFERROR(INDEX('Perhitungan IPH Mingguan 2026'!$C$6:$C$25,MATCH(LARGE('Perhitungan IPH Mingguan 2026'!$ED$6:$ED$25,4),'Perhitungan IPH Mingguan 2026'!$ED$6:$ED$25,0)),"")</f>
        <v/>
      </c>
      <c r="D105" s="25" t="str">
        <f aca="false">IFERROR(INDEX('Perhitungan IPH Mingguan 2026'!$AO$6:$AO$25,MATCH(LARGE('Perhitungan IPH Mingguan 2026'!$ED$6:$ED$25,4),'Perhitungan IPH Mingguan 2026'!$ED$6:$ED$25,0)),"")</f>
        <v/>
      </c>
      <c r="E105" s="7" t="str">
        <f aca="false">IFERROR(INDEX('Perhitungan IPH Mingguan 2026'!$AP$6:$AP$25,MATCH(LARGE('Perhitungan IPH Mingguan 2026'!$ED$6:$ED$25,4),'Perhitungan IPH Mingguan 2026'!$ED$6:$ED$25,0)),"")</f>
        <v/>
      </c>
      <c r="F105" s="6" t="str">
        <f aca="false">IF(ISNUMBER(E105),IF(E105&gt;0,"Penyumbang KENAIKAN IPH","Penyumbang PENURUNAN IPH"),"-")</f>
        <v>-</v>
      </c>
    </row>
    <row r="106" customFormat="false" ht="15" hidden="false" customHeight="true" outlineLevel="0" collapsed="false">
      <c r="A106" s="5" t="n">
        <v>5</v>
      </c>
      <c r="B106" s="6" t="str">
        <f aca="false">IFERROR(INDEX('Perhitungan IPH Mingguan 2026'!$B$6:$B$25,MATCH(LARGE('Perhitungan IPH Mingguan 2026'!$ED$6:$ED$25,5),'Perhitungan IPH Mingguan 2026'!$ED$6:$ED$25,0)),"-")</f>
        <v>-</v>
      </c>
      <c r="C106" s="7" t="str">
        <f aca="false">IFERROR(INDEX('Perhitungan IPH Mingguan 2026'!$C$6:$C$25,MATCH(LARGE('Perhitungan IPH Mingguan 2026'!$ED$6:$ED$25,5),'Perhitungan IPH Mingguan 2026'!$ED$6:$ED$25,0)),"")</f>
        <v/>
      </c>
      <c r="D106" s="25" t="str">
        <f aca="false">IFERROR(INDEX('Perhitungan IPH Mingguan 2026'!$AO$6:$AO$25,MATCH(LARGE('Perhitungan IPH Mingguan 2026'!$ED$6:$ED$25,5),'Perhitungan IPH Mingguan 2026'!$ED$6:$ED$25,0)),"")</f>
        <v/>
      </c>
      <c r="E106" s="7" t="str">
        <f aca="false">IFERROR(INDEX('Perhitungan IPH Mingguan 2026'!$AP$6:$AP$25,MATCH(LARGE('Perhitungan IPH Mingguan 2026'!$ED$6:$ED$25,5),'Perhitungan IPH Mingguan 2026'!$ED$6:$ED$25,0)),"")</f>
        <v/>
      </c>
      <c r="F106" s="6" t="str">
        <f aca="false">IF(ISNUMBER(E106),IF(E106&gt;0,"Penyumbang KENAIKAN IPH","Penyumbang PENURUNAN IPH"),"-")</f>
        <v>-</v>
      </c>
    </row>
    <row r="108" customFormat="false" ht="15" hidden="false" customHeight="true" outlineLevel="0" collapsed="false">
      <c r="A108" s="24" t="s">
        <v>231</v>
      </c>
      <c r="B108" s="24"/>
      <c r="C108" s="24"/>
      <c r="D108" s="24"/>
      <c r="E108" s="24"/>
      <c r="F108" s="24"/>
    </row>
    <row r="109" customFormat="false" ht="21.75" hidden="false" customHeight="true" outlineLevel="0" collapsed="false">
      <c r="A109" s="3" t="s">
        <v>214</v>
      </c>
      <c r="B109" s="3" t="s">
        <v>215</v>
      </c>
      <c r="C109" s="3" t="s">
        <v>142</v>
      </c>
      <c r="D109" s="3" t="s">
        <v>216</v>
      </c>
      <c r="E109" s="3" t="s">
        <v>217</v>
      </c>
      <c r="F109" s="3" t="s">
        <v>218</v>
      </c>
    </row>
    <row r="110" customFormat="false" ht="15" hidden="false" customHeight="true" outlineLevel="0" collapsed="false">
      <c r="A110" s="5" t="n">
        <v>1</v>
      </c>
      <c r="B110" s="6" t="str">
        <f aca="false">IFERROR(INDEX('Perhitungan IPH Mingguan 2026'!$B$6:$B$25,MATCH(LARGE('Perhitungan IPH Mingguan 2026'!$EE$6:$EE$25,1),'Perhitungan IPH Mingguan 2026'!$EE$6:$EE$25,0)),"-")</f>
        <v>-</v>
      </c>
      <c r="C110" s="7" t="str">
        <f aca="false">IFERROR(INDEX('Perhitungan IPH Mingguan 2026'!$C$6:$C$25,MATCH(LARGE('Perhitungan IPH Mingguan 2026'!$EE$6:$EE$25,1),'Perhitungan IPH Mingguan 2026'!$EE$6:$EE$25,0)),"")</f>
        <v/>
      </c>
      <c r="D110" s="25" t="str">
        <f aca="false">IFERROR(INDEX('Perhitungan IPH Mingguan 2026'!$AR$6:$AR$25,MATCH(LARGE('Perhitungan IPH Mingguan 2026'!$EE$6:$EE$25,1),'Perhitungan IPH Mingguan 2026'!$EE$6:$EE$25,0)),"")</f>
        <v/>
      </c>
      <c r="E110" s="7" t="str">
        <f aca="false">IFERROR(INDEX('Perhitungan IPH Mingguan 2026'!$AS$6:$AS$25,MATCH(LARGE('Perhitungan IPH Mingguan 2026'!$EE$6:$EE$25,1),'Perhitungan IPH Mingguan 2026'!$EE$6:$EE$25,0)),"")</f>
        <v/>
      </c>
      <c r="F110" s="6" t="str">
        <f aca="false">IF(ISNUMBER(E110),IF(E110&gt;0,"Penyumbang KENAIKAN IPH","Penyumbang PENURUNAN IPH"),"-")</f>
        <v>-</v>
      </c>
    </row>
    <row r="111" customFormat="false" ht="15" hidden="false" customHeight="true" outlineLevel="0" collapsed="false">
      <c r="A111" s="5" t="n">
        <v>2</v>
      </c>
      <c r="B111" s="6" t="str">
        <f aca="false">IFERROR(INDEX('Perhitungan IPH Mingguan 2026'!$B$6:$B$25,MATCH(LARGE('Perhitungan IPH Mingguan 2026'!$EE$6:$EE$25,2),'Perhitungan IPH Mingguan 2026'!$EE$6:$EE$25,0)),"-")</f>
        <v>-</v>
      </c>
      <c r="C111" s="7" t="str">
        <f aca="false">IFERROR(INDEX('Perhitungan IPH Mingguan 2026'!$C$6:$C$25,MATCH(LARGE('Perhitungan IPH Mingguan 2026'!$EE$6:$EE$25,2),'Perhitungan IPH Mingguan 2026'!$EE$6:$EE$25,0)),"")</f>
        <v/>
      </c>
      <c r="D111" s="25" t="str">
        <f aca="false">IFERROR(INDEX('Perhitungan IPH Mingguan 2026'!$AR$6:$AR$25,MATCH(LARGE('Perhitungan IPH Mingguan 2026'!$EE$6:$EE$25,2),'Perhitungan IPH Mingguan 2026'!$EE$6:$EE$25,0)),"")</f>
        <v/>
      </c>
      <c r="E111" s="7" t="str">
        <f aca="false">IFERROR(INDEX('Perhitungan IPH Mingguan 2026'!$AS$6:$AS$25,MATCH(LARGE('Perhitungan IPH Mingguan 2026'!$EE$6:$EE$25,2),'Perhitungan IPH Mingguan 2026'!$EE$6:$EE$25,0)),"")</f>
        <v/>
      </c>
      <c r="F111" s="6" t="str">
        <f aca="false">IF(ISNUMBER(E111),IF(E111&gt;0,"Penyumbang KENAIKAN IPH","Penyumbang PENURUNAN IPH"),"-")</f>
        <v>-</v>
      </c>
    </row>
    <row r="112" customFormat="false" ht="15" hidden="false" customHeight="true" outlineLevel="0" collapsed="false">
      <c r="A112" s="5" t="n">
        <v>3</v>
      </c>
      <c r="B112" s="6" t="str">
        <f aca="false">IFERROR(INDEX('Perhitungan IPH Mingguan 2026'!$B$6:$B$25,MATCH(LARGE('Perhitungan IPH Mingguan 2026'!$EE$6:$EE$25,3),'Perhitungan IPH Mingguan 2026'!$EE$6:$EE$25,0)),"-")</f>
        <v>-</v>
      </c>
      <c r="C112" s="7" t="str">
        <f aca="false">IFERROR(INDEX('Perhitungan IPH Mingguan 2026'!$C$6:$C$25,MATCH(LARGE('Perhitungan IPH Mingguan 2026'!$EE$6:$EE$25,3),'Perhitungan IPH Mingguan 2026'!$EE$6:$EE$25,0)),"")</f>
        <v/>
      </c>
      <c r="D112" s="25" t="str">
        <f aca="false">IFERROR(INDEX('Perhitungan IPH Mingguan 2026'!$AR$6:$AR$25,MATCH(LARGE('Perhitungan IPH Mingguan 2026'!$EE$6:$EE$25,3),'Perhitungan IPH Mingguan 2026'!$EE$6:$EE$25,0)),"")</f>
        <v/>
      </c>
      <c r="E112" s="7" t="str">
        <f aca="false">IFERROR(INDEX('Perhitungan IPH Mingguan 2026'!$AS$6:$AS$25,MATCH(LARGE('Perhitungan IPH Mingguan 2026'!$EE$6:$EE$25,3),'Perhitungan IPH Mingguan 2026'!$EE$6:$EE$25,0)),"")</f>
        <v/>
      </c>
      <c r="F112" s="6" t="str">
        <f aca="false">IF(ISNUMBER(E112),IF(E112&gt;0,"Penyumbang KENAIKAN IPH","Penyumbang PENURUNAN IPH"),"-")</f>
        <v>-</v>
      </c>
    </row>
    <row r="113" customFormat="false" ht="15" hidden="false" customHeight="true" outlineLevel="0" collapsed="false">
      <c r="A113" s="5" t="n">
        <v>4</v>
      </c>
      <c r="B113" s="6" t="str">
        <f aca="false">IFERROR(INDEX('Perhitungan IPH Mingguan 2026'!$B$6:$B$25,MATCH(LARGE('Perhitungan IPH Mingguan 2026'!$EE$6:$EE$25,4),'Perhitungan IPH Mingguan 2026'!$EE$6:$EE$25,0)),"-")</f>
        <v>-</v>
      </c>
      <c r="C113" s="7" t="str">
        <f aca="false">IFERROR(INDEX('Perhitungan IPH Mingguan 2026'!$C$6:$C$25,MATCH(LARGE('Perhitungan IPH Mingguan 2026'!$EE$6:$EE$25,4),'Perhitungan IPH Mingguan 2026'!$EE$6:$EE$25,0)),"")</f>
        <v/>
      </c>
      <c r="D113" s="25" t="str">
        <f aca="false">IFERROR(INDEX('Perhitungan IPH Mingguan 2026'!$AR$6:$AR$25,MATCH(LARGE('Perhitungan IPH Mingguan 2026'!$EE$6:$EE$25,4),'Perhitungan IPH Mingguan 2026'!$EE$6:$EE$25,0)),"")</f>
        <v/>
      </c>
      <c r="E113" s="7" t="str">
        <f aca="false">IFERROR(INDEX('Perhitungan IPH Mingguan 2026'!$AS$6:$AS$25,MATCH(LARGE('Perhitungan IPH Mingguan 2026'!$EE$6:$EE$25,4),'Perhitungan IPH Mingguan 2026'!$EE$6:$EE$25,0)),"")</f>
        <v/>
      </c>
      <c r="F113" s="6" t="str">
        <f aca="false">IF(ISNUMBER(E113),IF(E113&gt;0,"Penyumbang KENAIKAN IPH","Penyumbang PENURUNAN IPH"),"-")</f>
        <v>-</v>
      </c>
    </row>
    <row r="114" customFormat="false" ht="15" hidden="false" customHeight="true" outlineLevel="0" collapsed="false">
      <c r="A114" s="5" t="n">
        <v>5</v>
      </c>
      <c r="B114" s="6" t="str">
        <f aca="false">IFERROR(INDEX('Perhitungan IPH Mingguan 2026'!$B$6:$B$25,MATCH(LARGE('Perhitungan IPH Mingguan 2026'!$EE$6:$EE$25,5),'Perhitungan IPH Mingguan 2026'!$EE$6:$EE$25,0)),"-")</f>
        <v>-</v>
      </c>
      <c r="C114" s="7" t="str">
        <f aca="false">IFERROR(INDEX('Perhitungan IPH Mingguan 2026'!$C$6:$C$25,MATCH(LARGE('Perhitungan IPH Mingguan 2026'!$EE$6:$EE$25,5),'Perhitungan IPH Mingguan 2026'!$EE$6:$EE$25,0)),"")</f>
        <v/>
      </c>
      <c r="D114" s="25" t="str">
        <f aca="false">IFERROR(INDEX('Perhitungan IPH Mingguan 2026'!$AR$6:$AR$25,MATCH(LARGE('Perhitungan IPH Mingguan 2026'!$EE$6:$EE$25,5),'Perhitungan IPH Mingguan 2026'!$EE$6:$EE$25,0)),"")</f>
        <v/>
      </c>
      <c r="E114" s="7" t="str">
        <f aca="false">IFERROR(INDEX('Perhitungan IPH Mingguan 2026'!$AS$6:$AS$25,MATCH(LARGE('Perhitungan IPH Mingguan 2026'!$EE$6:$EE$25,5),'Perhitungan IPH Mingguan 2026'!$EE$6:$EE$25,0)),"")</f>
        <v/>
      </c>
      <c r="F114" s="6" t="str">
        <f aca="false">IF(ISNUMBER(E114),IF(E114&gt;0,"Penyumbang KENAIKAN IPH","Penyumbang PENURUNAN IPH"),"-")</f>
        <v>-</v>
      </c>
    </row>
    <row r="116" customFormat="false" ht="15" hidden="false" customHeight="true" outlineLevel="0" collapsed="false">
      <c r="A116" s="24" t="s">
        <v>232</v>
      </c>
      <c r="B116" s="24"/>
      <c r="C116" s="24"/>
      <c r="D116" s="24"/>
      <c r="E116" s="24"/>
      <c r="F116" s="24"/>
    </row>
    <row r="117" customFormat="false" ht="21.75" hidden="false" customHeight="true" outlineLevel="0" collapsed="false">
      <c r="A117" s="3" t="s">
        <v>214</v>
      </c>
      <c r="B117" s="3" t="s">
        <v>215</v>
      </c>
      <c r="C117" s="3" t="s">
        <v>142</v>
      </c>
      <c r="D117" s="3" t="s">
        <v>216</v>
      </c>
      <c r="E117" s="3" t="s">
        <v>217</v>
      </c>
      <c r="F117" s="3" t="s">
        <v>218</v>
      </c>
    </row>
    <row r="118" customFormat="false" ht="15" hidden="false" customHeight="true" outlineLevel="0" collapsed="false">
      <c r="A118" s="5" t="n">
        <v>1</v>
      </c>
      <c r="B118" s="6" t="str">
        <f aca="false">IFERROR(INDEX('Perhitungan IPH Mingguan 2026'!$B$6:$B$25,MATCH(LARGE('Perhitungan IPH Mingguan 2026'!$EF$6:$EF$25,1),'Perhitungan IPH Mingguan 2026'!$EF$6:$EF$25,0)),"-")</f>
        <v>-</v>
      </c>
      <c r="C118" s="7" t="str">
        <f aca="false">IFERROR(INDEX('Perhitungan IPH Mingguan 2026'!$C$6:$C$25,MATCH(LARGE('Perhitungan IPH Mingguan 2026'!$EF$6:$EF$25,1),'Perhitungan IPH Mingguan 2026'!$EF$6:$EF$25,0)),"")</f>
        <v/>
      </c>
      <c r="D118" s="25" t="str">
        <f aca="false">IFERROR(INDEX('Perhitungan IPH Mingguan 2026'!$AU$6:$AU$25,MATCH(LARGE('Perhitungan IPH Mingguan 2026'!$EF$6:$EF$25,1),'Perhitungan IPH Mingguan 2026'!$EF$6:$EF$25,0)),"")</f>
        <v/>
      </c>
      <c r="E118" s="7" t="str">
        <f aca="false">IFERROR(INDEX('Perhitungan IPH Mingguan 2026'!$AV$6:$AV$25,MATCH(LARGE('Perhitungan IPH Mingguan 2026'!$EF$6:$EF$25,1),'Perhitungan IPH Mingguan 2026'!$EF$6:$EF$25,0)),"")</f>
        <v/>
      </c>
      <c r="F118" s="6" t="str">
        <f aca="false">IF(ISNUMBER(E118),IF(E118&gt;0,"Penyumbang KENAIKAN IPH","Penyumbang PENURUNAN IPH"),"-")</f>
        <v>-</v>
      </c>
    </row>
    <row r="119" customFormat="false" ht="15" hidden="false" customHeight="true" outlineLevel="0" collapsed="false">
      <c r="A119" s="5" t="n">
        <v>2</v>
      </c>
      <c r="B119" s="6" t="str">
        <f aca="false">IFERROR(INDEX('Perhitungan IPH Mingguan 2026'!$B$6:$B$25,MATCH(LARGE('Perhitungan IPH Mingguan 2026'!$EF$6:$EF$25,2),'Perhitungan IPH Mingguan 2026'!$EF$6:$EF$25,0)),"-")</f>
        <v>-</v>
      </c>
      <c r="C119" s="7" t="str">
        <f aca="false">IFERROR(INDEX('Perhitungan IPH Mingguan 2026'!$C$6:$C$25,MATCH(LARGE('Perhitungan IPH Mingguan 2026'!$EF$6:$EF$25,2),'Perhitungan IPH Mingguan 2026'!$EF$6:$EF$25,0)),"")</f>
        <v/>
      </c>
      <c r="D119" s="25" t="str">
        <f aca="false">IFERROR(INDEX('Perhitungan IPH Mingguan 2026'!$AU$6:$AU$25,MATCH(LARGE('Perhitungan IPH Mingguan 2026'!$EF$6:$EF$25,2),'Perhitungan IPH Mingguan 2026'!$EF$6:$EF$25,0)),"")</f>
        <v/>
      </c>
      <c r="E119" s="7" t="str">
        <f aca="false">IFERROR(INDEX('Perhitungan IPH Mingguan 2026'!$AV$6:$AV$25,MATCH(LARGE('Perhitungan IPH Mingguan 2026'!$EF$6:$EF$25,2),'Perhitungan IPH Mingguan 2026'!$EF$6:$EF$25,0)),"")</f>
        <v/>
      </c>
      <c r="F119" s="6" t="str">
        <f aca="false">IF(ISNUMBER(E119),IF(E119&gt;0,"Penyumbang KENAIKAN IPH","Penyumbang PENURUNAN IPH"),"-")</f>
        <v>-</v>
      </c>
    </row>
    <row r="120" customFormat="false" ht="15" hidden="false" customHeight="true" outlineLevel="0" collapsed="false">
      <c r="A120" s="5" t="n">
        <v>3</v>
      </c>
      <c r="B120" s="6" t="str">
        <f aca="false">IFERROR(INDEX('Perhitungan IPH Mingguan 2026'!$B$6:$B$25,MATCH(LARGE('Perhitungan IPH Mingguan 2026'!$EF$6:$EF$25,3),'Perhitungan IPH Mingguan 2026'!$EF$6:$EF$25,0)),"-")</f>
        <v>-</v>
      </c>
      <c r="C120" s="7" t="str">
        <f aca="false">IFERROR(INDEX('Perhitungan IPH Mingguan 2026'!$C$6:$C$25,MATCH(LARGE('Perhitungan IPH Mingguan 2026'!$EF$6:$EF$25,3),'Perhitungan IPH Mingguan 2026'!$EF$6:$EF$25,0)),"")</f>
        <v/>
      </c>
      <c r="D120" s="25" t="str">
        <f aca="false">IFERROR(INDEX('Perhitungan IPH Mingguan 2026'!$AU$6:$AU$25,MATCH(LARGE('Perhitungan IPH Mingguan 2026'!$EF$6:$EF$25,3),'Perhitungan IPH Mingguan 2026'!$EF$6:$EF$25,0)),"")</f>
        <v/>
      </c>
      <c r="E120" s="7" t="str">
        <f aca="false">IFERROR(INDEX('Perhitungan IPH Mingguan 2026'!$AV$6:$AV$25,MATCH(LARGE('Perhitungan IPH Mingguan 2026'!$EF$6:$EF$25,3),'Perhitungan IPH Mingguan 2026'!$EF$6:$EF$25,0)),"")</f>
        <v/>
      </c>
      <c r="F120" s="6" t="str">
        <f aca="false">IF(ISNUMBER(E120),IF(E120&gt;0,"Penyumbang KENAIKAN IPH","Penyumbang PENURUNAN IPH"),"-")</f>
        <v>-</v>
      </c>
    </row>
    <row r="121" customFormat="false" ht="15" hidden="false" customHeight="true" outlineLevel="0" collapsed="false">
      <c r="A121" s="5" t="n">
        <v>4</v>
      </c>
      <c r="B121" s="6" t="str">
        <f aca="false">IFERROR(INDEX('Perhitungan IPH Mingguan 2026'!$B$6:$B$25,MATCH(LARGE('Perhitungan IPH Mingguan 2026'!$EF$6:$EF$25,4),'Perhitungan IPH Mingguan 2026'!$EF$6:$EF$25,0)),"-")</f>
        <v>-</v>
      </c>
      <c r="C121" s="7" t="str">
        <f aca="false">IFERROR(INDEX('Perhitungan IPH Mingguan 2026'!$C$6:$C$25,MATCH(LARGE('Perhitungan IPH Mingguan 2026'!$EF$6:$EF$25,4),'Perhitungan IPH Mingguan 2026'!$EF$6:$EF$25,0)),"")</f>
        <v/>
      </c>
      <c r="D121" s="25" t="str">
        <f aca="false">IFERROR(INDEX('Perhitungan IPH Mingguan 2026'!$AU$6:$AU$25,MATCH(LARGE('Perhitungan IPH Mingguan 2026'!$EF$6:$EF$25,4),'Perhitungan IPH Mingguan 2026'!$EF$6:$EF$25,0)),"")</f>
        <v/>
      </c>
      <c r="E121" s="7" t="str">
        <f aca="false">IFERROR(INDEX('Perhitungan IPH Mingguan 2026'!$AV$6:$AV$25,MATCH(LARGE('Perhitungan IPH Mingguan 2026'!$EF$6:$EF$25,4),'Perhitungan IPH Mingguan 2026'!$EF$6:$EF$25,0)),"")</f>
        <v/>
      </c>
      <c r="F121" s="6" t="str">
        <f aca="false">IF(ISNUMBER(E121),IF(E121&gt;0,"Penyumbang KENAIKAN IPH","Penyumbang PENURUNAN IPH"),"-")</f>
        <v>-</v>
      </c>
    </row>
    <row r="122" customFormat="false" ht="15" hidden="false" customHeight="true" outlineLevel="0" collapsed="false">
      <c r="A122" s="5" t="n">
        <v>5</v>
      </c>
      <c r="B122" s="6" t="str">
        <f aca="false">IFERROR(INDEX('Perhitungan IPH Mingguan 2026'!$B$6:$B$25,MATCH(LARGE('Perhitungan IPH Mingguan 2026'!$EF$6:$EF$25,5),'Perhitungan IPH Mingguan 2026'!$EF$6:$EF$25,0)),"-")</f>
        <v>-</v>
      </c>
      <c r="C122" s="7" t="str">
        <f aca="false">IFERROR(INDEX('Perhitungan IPH Mingguan 2026'!$C$6:$C$25,MATCH(LARGE('Perhitungan IPH Mingguan 2026'!$EF$6:$EF$25,5),'Perhitungan IPH Mingguan 2026'!$EF$6:$EF$25,0)),"")</f>
        <v/>
      </c>
      <c r="D122" s="25" t="str">
        <f aca="false">IFERROR(INDEX('Perhitungan IPH Mingguan 2026'!$AU$6:$AU$25,MATCH(LARGE('Perhitungan IPH Mingguan 2026'!$EF$6:$EF$25,5),'Perhitungan IPH Mingguan 2026'!$EF$6:$EF$25,0)),"")</f>
        <v/>
      </c>
      <c r="E122" s="7" t="str">
        <f aca="false">IFERROR(INDEX('Perhitungan IPH Mingguan 2026'!$AV$6:$AV$25,MATCH(LARGE('Perhitungan IPH Mingguan 2026'!$EF$6:$EF$25,5),'Perhitungan IPH Mingguan 2026'!$EF$6:$EF$25,0)),"")</f>
        <v/>
      </c>
      <c r="F122" s="6" t="str">
        <f aca="false">IF(ISNUMBER(E122),IF(E122&gt;0,"Penyumbang KENAIKAN IPH","Penyumbang PENURUNAN IPH"),"-")</f>
        <v>-</v>
      </c>
    </row>
    <row r="124" customFormat="false" ht="15" hidden="false" customHeight="true" outlineLevel="0" collapsed="false">
      <c r="A124" s="24" t="s">
        <v>233</v>
      </c>
      <c r="B124" s="24"/>
      <c r="C124" s="24"/>
      <c r="D124" s="24"/>
      <c r="E124" s="24"/>
      <c r="F124" s="24"/>
    </row>
    <row r="125" customFormat="false" ht="21.75" hidden="false" customHeight="true" outlineLevel="0" collapsed="false">
      <c r="A125" s="3" t="s">
        <v>214</v>
      </c>
      <c r="B125" s="3" t="s">
        <v>215</v>
      </c>
      <c r="C125" s="3" t="s">
        <v>142</v>
      </c>
      <c r="D125" s="3" t="s">
        <v>216</v>
      </c>
      <c r="E125" s="3" t="s">
        <v>217</v>
      </c>
      <c r="F125" s="3" t="s">
        <v>218</v>
      </c>
    </row>
    <row r="126" customFormat="false" ht="15" hidden="false" customHeight="true" outlineLevel="0" collapsed="false">
      <c r="A126" s="5" t="n">
        <v>1</v>
      </c>
      <c r="B126" s="6" t="str">
        <f aca="false">IFERROR(INDEX('Perhitungan IPH Mingguan 2026'!$B$6:$B$25,MATCH(LARGE('Perhitungan IPH Mingguan 2026'!$EG$6:$EG$25,1),'Perhitungan IPH Mingguan 2026'!$EG$6:$EG$25,0)),"-")</f>
        <v>jeruk 01161001-33</v>
      </c>
      <c r="C126" s="7" t="n">
        <f aca="false">IFERROR(INDEX('Perhitungan IPH Mingguan 2026'!$C$6:$C$25,MATCH(LARGE('Perhitungan IPH Mingguan 2026'!$EG$6:$EG$25,1),'Perhitungan IPH Mingguan 2026'!$EG$6:$EG$25,0)),"")</f>
        <v>0.0341776157179401</v>
      </c>
      <c r="D126" s="25" t="n">
        <f aca="false">IFERROR(INDEX('Perhitungan IPH Mingguan 2026'!$AX$6:$AX$25,MATCH(LARGE('Perhitungan IPH Mingguan 2026'!$EG$6:$EG$25,1),'Perhitungan IPH Mingguan 2026'!$EG$6:$EG$25,0)),"")</f>
        <v>0</v>
      </c>
      <c r="E126" s="7" t="n">
        <f aca="false">IFERROR(INDEX('Perhitungan IPH Mingguan 2026'!$AY$6:$AY$25,MATCH(LARGE('Perhitungan IPH Mingguan 2026'!$EG$6:$EG$25,1),'Perhitungan IPH Mingguan 2026'!$EG$6:$EG$25,0)),"")</f>
        <v>0</v>
      </c>
      <c r="F126" s="6" t="str">
        <f aca="false">IF(ISNUMBER(E126),IF(E126&gt;0,"Penyumbang KENAIKAN IPH","Penyumbang PENURUNAN IPH"),"-")</f>
        <v>Penyumbang PENURUNAN IPH</v>
      </c>
    </row>
    <row r="127" customFormat="false" ht="15" hidden="false" customHeight="true" outlineLevel="0" collapsed="false">
      <c r="A127" s="5" t="n">
        <v>2</v>
      </c>
      <c r="B127" s="6" t="str">
        <f aca="false">IFERROR(INDEX('Perhitungan IPH Mingguan 2026'!$B$6:$B$25,MATCH(LARGE('Perhitungan IPH Mingguan 2026'!$EG$6:$EG$25,2),'Perhitungan IPH Mingguan 2026'!$EG$6:$EG$25,0)),"-")</f>
        <v>cabai rawit 01173013</v>
      </c>
      <c r="C127" s="7" t="n">
        <f aca="false">IFERROR(INDEX('Perhitungan IPH Mingguan 2026'!$C$6:$C$25,MATCH(LARGE('Perhitungan IPH Mingguan 2026'!$EG$6:$EG$25,2),'Perhitungan IPH Mingguan 2026'!$EG$6:$EG$25,0)),"")</f>
        <v>0.0177017323628706</v>
      </c>
      <c r="D127" s="25" t="n">
        <f aca="false">IFERROR(INDEX('Perhitungan IPH Mingguan 2026'!$AX$6:$AX$25,MATCH(LARGE('Perhitungan IPH Mingguan 2026'!$EG$6:$EG$25,2),'Perhitungan IPH Mingguan 2026'!$EG$6:$EG$25,0)),"")</f>
        <v>-23.0188679245283</v>
      </c>
      <c r="E127" s="7" t="n">
        <f aca="false">IFERROR(INDEX('Perhitungan IPH Mingguan 2026'!$AY$6:$AY$25,MATCH(LARGE('Perhitungan IPH Mingguan 2026'!$EG$6:$EG$25,2),'Perhitungan IPH Mingguan 2026'!$EG$6:$EG$25,0)),"")</f>
        <v>-0.407473839296267</v>
      </c>
      <c r="F127" s="6" t="str">
        <f aca="false">IF(ISNUMBER(E127),IF(E127&gt;0,"Penyumbang KENAIKAN IPH","Penyumbang PENURUNAN IPH"),"-")</f>
        <v>Penyumbang PENURUNAN IPH</v>
      </c>
    </row>
    <row r="128" customFormat="false" ht="15" hidden="false" customHeight="true" outlineLevel="0" collapsed="false">
      <c r="A128" s="5" t="n">
        <v>3</v>
      </c>
      <c r="B128" s="6" t="str">
        <f aca="false">IFERROR(INDEX('Perhitungan IPH Mingguan 2026'!$B$6:$B$25,MATCH(LARGE('Perhitungan IPH Mingguan 2026'!$EG$6:$EG$25,3),'Perhitungan IPH Mingguan 2026'!$EG$6:$EG$25,0)),"-")</f>
        <v>pisang ambon 1162001</v>
      </c>
      <c r="C128" s="7" t="n">
        <f aca="false">IFERROR(INDEX('Perhitungan IPH Mingguan 2026'!$C$6:$C$25,MATCH(LARGE('Perhitungan IPH Mingguan 2026'!$EG$6:$EG$25,3),'Perhitungan IPH Mingguan 2026'!$EG$6:$EG$25,0)),"")</f>
        <v>0.0406365728580274</v>
      </c>
      <c r="D128" s="25" t="n">
        <f aca="false">IFERROR(INDEX('Perhitungan IPH Mingguan 2026'!$AX$6:$AX$25,MATCH(LARGE('Perhitungan IPH Mingguan 2026'!$EG$6:$EG$25,3),'Perhitungan IPH Mingguan 2026'!$EG$6:$EG$25,0)),"")</f>
        <v>0</v>
      </c>
      <c r="E128" s="7" t="n">
        <f aca="false">IFERROR(INDEX('Perhitungan IPH Mingguan 2026'!$AY$6:$AY$25,MATCH(LARGE('Perhitungan IPH Mingguan 2026'!$EG$6:$EG$25,3),'Perhitungan IPH Mingguan 2026'!$EG$6:$EG$25,0)),"")</f>
        <v>0</v>
      </c>
      <c r="F128" s="6" t="str">
        <f aca="false">IF(ISNUMBER(E128),IF(E128&gt;0,"Penyumbang KENAIKAN IPH","Penyumbang PENURUNAN IPH"),"-")</f>
        <v>Penyumbang PENURUNAN IPH</v>
      </c>
    </row>
    <row r="129" customFormat="false" ht="15" hidden="false" customHeight="true" outlineLevel="0" collapsed="false">
      <c r="A129" s="5" t="n">
        <v>4</v>
      </c>
      <c r="B129" s="6" t="str">
        <f aca="false">IFERROR(INDEX('Perhitungan IPH Mingguan 2026'!$B$6:$B$25,MATCH(LARGE('Perhitungan IPH Mingguan 2026'!$EG$6:$EG$25,4),'Perhitungan IPH Mingguan 2026'!$EG$6:$EG$25,0)),"-")</f>
        <v>daging ayam ras 1124003</v>
      </c>
      <c r="C129" s="7" t="n">
        <f aca="false">IFERROR(INDEX('Perhitungan IPH Mingguan 2026'!$C$6:$C$25,MATCH(LARGE('Perhitungan IPH Mingguan 2026'!$EG$6:$EG$25,4),'Perhitungan IPH Mingguan 2026'!$EG$6:$EG$25,0)),"")</f>
        <v>0.0479107777850277</v>
      </c>
      <c r="D129" s="25" t="n">
        <f aca="false">IFERROR(INDEX('Perhitungan IPH Mingguan 2026'!$AX$6:$AX$25,MATCH(LARGE('Perhitungan IPH Mingguan 2026'!$EG$6:$EG$25,4),'Perhitungan IPH Mingguan 2026'!$EG$6:$EG$25,0)),"")</f>
        <v>-15.2941176470588</v>
      </c>
      <c r="E129" s="7" t="n">
        <f aca="false">IFERROR(INDEX('Perhitungan IPH Mingguan 2026'!$AY$6:$AY$25,MATCH(LARGE('Perhitungan IPH Mingguan 2026'!$EG$6:$EG$25,4),'Perhitungan IPH Mingguan 2026'!$EG$6:$EG$25,0)),"")</f>
        <v>-0.732753072006306</v>
      </c>
      <c r="F129" s="6" t="str">
        <f aca="false">IF(ISNUMBER(E129),IF(E129&gt;0,"Penyumbang KENAIKAN IPH","Penyumbang PENURUNAN IPH"),"-")</f>
        <v>Penyumbang PENURUNAN IPH</v>
      </c>
    </row>
    <row r="130" customFormat="false" ht="15" hidden="false" customHeight="true" outlineLevel="0" collapsed="false">
      <c r="A130" s="5" t="n">
        <v>5</v>
      </c>
      <c r="B130" s="6" t="str">
        <f aca="false">IFERROR(INDEX('Perhitungan IPH Mingguan 2026'!$B$6:$B$25,MATCH(LARGE('Perhitungan IPH Mingguan 2026'!$EG$6:$EG$25,5),'Perhitungan IPH Mingguan 2026'!$EG$6:$EG$25,0)),"-")</f>
        <v>bawang merah 1174006</v>
      </c>
      <c r="C130" s="7" t="n">
        <f aca="false">IFERROR(INDEX('Perhitungan IPH Mingguan 2026'!$C$6:$C$25,MATCH(LARGE('Perhitungan IPH Mingguan 2026'!$EG$6:$EG$25,5),'Perhitungan IPH Mingguan 2026'!$EG$6:$EG$25,0)),"")</f>
        <v>0.0194434650422287</v>
      </c>
      <c r="D130" s="25" t="n">
        <f aca="false">IFERROR(INDEX('Perhitungan IPH Mingguan 2026'!$AX$6:$AX$25,MATCH(LARGE('Perhitungan IPH Mingguan 2026'!$EG$6:$EG$25,5),'Perhitungan IPH Mingguan 2026'!$EG$6:$EG$25,0)),"")</f>
        <v>-0.99009900990099</v>
      </c>
      <c r="E130" s="7" t="n">
        <f aca="false">IFERROR(INDEX('Perhitungan IPH Mingguan 2026'!$AY$6:$AY$25,MATCH(LARGE('Perhitungan IPH Mingguan 2026'!$EG$6:$EG$25,5),'Perhitungan IPH Mingguan 2026'!$EG$6:$EG$25,0)),"")</f>
        <v>-0.0192509554873552</v>
      </c>
      <c r="F130" s="6" t="str">
        <f aca="false">IF(ISNUMBER(E130),IF(E130&gt;0,"Penyumbang KENAIKAN IPH","Penyumbang PENURUNAN IPH"),"-")</f>
        <v>Penyumbang PENURUNAN IPH</v>
      </c>
    </row>
    <row r="132" customFormat="false" ht="15" hidden="false" customHeight="true" outlineLevel="0" collapsed="false">
      <c r="A132" s="24" t="s">
        <v>234</v>
      </c>
      <c r="B132" s="24"/>
      <c r="C132" s="24"/>
      <c r="D132" s="24"/>
      <c r="E132" s="24"/>
      <c r="F132" s="24"/>
    </row>
    <row r="133" customFormat="false" ht="21.75" hidden="false" customHeight="true" outlineLevel="0" collapsed="false">
      <c r="A133" s="3" t="s">
        <v>214</v>
      </c>
      <c r="B133" s="3" t="s">
        <v>215</v>
      </c>
      <c r="C133" s="3" t="s">
        <v>142</v>
      </c>
      <c r="D133" s="3" t="s">
        <v>216</v>
      </c>
      <c r="E133" s="3" t="s">
        <v>217</v>
      </c>
      <c r="F133" s="3" t="s">
        <v>218</v>
      </c>
    </row>
    <row r="134" customFormat="false" ht="15" hidden="false" customHeight="true" outlineLevel="0" collapsed="false">
      <c r="A134" s="5" t="n">
        <v>1</v>
      </c>
      <c r="B134" s="6" t="str">
        <f aca="false">IFERROR(INDEX('Perhitungan IPH Mingguan 2026'!$B$6:$B$25,MATCH(LARGE('Perhitungan IPH Mingguan 2026'!$EH$6:$EH$25,1),'Perhitungan IPH Mingguan 2026'!$EH$6:$EH$25,0)),"-")</f>
        <v>jeruk 01161001-33</v>
      </c>
      <c r="C134" s="7" t="n">
        <f aca="false">IFERROR(INDEX('Perhitungan IPH Mingguan 2026'!$C$6:$C$25,MATCH(LARGE('Perhitungan IPH Mingguan 2026'!$EH$6:$EH$25,1),'Perhitungan IPH Mingguan 2026'!$EH$6:$EH$25,0)),"")</f>
        <v>0.0341776157179401</v>
      </c>
      <c r="D134" s="25" t="n">
        <f aca="false">IFERROR(INDEX('Perhitungan IPH Mingguan 2026'!$BA$6:$BA$25,MATCH(LARGE('Perhitungan IPH Mingguan 2026'!$EH$6:$EH$25,1),'Perhitungan IPH Mingguan 2026'!$EH$6:$EH$25,0)),"")</f>
        <v>0</v>
      </c>
      <c r="E134" s="7" t="n">
        <f aca="false">IFERROR(INDEX('Perhitungan IPH Mingguan 2026'!$BB$6:$BB$25,MATCH(LARGE('Perhitungan IPH Mingguan 2026'!$EH$6:$EH$25,1),'Perhitungan IPH Mingguan 2026'!$EH$6:$EH$25,0)),"")</f>
        <v>0</v>
      </c>
      <c r="F134" s="6" t="str">
        <f aca="false">IF(ISNUMBER(E134),IF(E134&gt;0,"Penyumbang KENAIKAN IPH","Penyumbang PENURUNAN IPH"),"-")</f>
        <v>Penyumbang PENURUNAN IPH</v>
      </c>
    </row>
    <row r="135" customFormat="false" ht="15" hidden="false" customHeight="true" outlineLevel="0" collapsed="false">
      <c r="A135" s="5" t="n">
        <v>2</v>
      </c>
      <c r="B135" s="6" t="str">
        <f aca="false">IFERROR(INDEX('Perhitungan IPH Mingguan 2026'!$B$6:$B$25,MATCH(LARGE('Perhitungan IPH Mingguan 2026'!$EH$6:$EH$25,2),'Perhitungan IPH Mingguan 2026'!$EH$6:$EH$25,0)),"-")</f>
        <v>cabai rawit 01173013</v>
      </c>
      <c r="C135" s="7" t="n">
        <f aca="false">IFERROR(INDEX('Perhitungan IPH Mingguan 2026'!$C$6:$C$25,MATCH(LARGE('Perhitungan IPH Mingguan 2026'!$EH$6:$EH$25,2),'Perhitungan IPH Mingguan 2026'!$EH$6:$EH$25,0)),"")</f>
        <v>0.0177017323628706</v>
      </c>
      <c r="D135" s="25" t="n">
        <f aca="false">IFERROR(INDEX('Perhitungan IPH Mingguan 2026'!$BA$6:$BA$25,MATCH(LARGE('Perhitungan IPH Mingguan 2026'!$EH$6:$EH$25,2),'Perhitungan IPH Mingguan 2026'!$EH$6:$EH$25,0)),"")</f>
        <v>-32.0754716981132</v>
      </c>
      <c r="E135" s="7" t="n">
        <f aca="false">IFERROR(INDEX('Perhitungan IPH Mingguan 2026'!$BB$6:$BB$25,MATCH(LARGE('Perhitungan IPH Mingguan 2026'!$EH$6:$EH$25,2),'Perhitungan IPH Mingguan 2026'!$EH$6:$EH$25,0)),"")</f>
        <v>-0.567791415412831</v>
      </c>
      <c r="F135" s="6" t="str">
        <f aca="false">IF(ISNUMBER(E135),IF(E135&gt;0,"Penyumbang KENAIKAN IPH","Penyumbang PENURUNAN IPH"),"-")</f>
        <v>Penyumbang PENURUNAN IPH</v>
      </c>
    </row>
    <row r="136" customFormat="false" ht="15" hidden="false" customHeight="true" outlineLevel="0" collapsed="false">
      <c r="A136" s="5" t="n">
        <v>3</v>
      </c>
      <c r="B136" s="6" t="str">
        <f aca="false">IFERROR(INDEX('Perhitungan IPH Mingguan 2026'!$B$6:$B$25,MATCH(LARGE('Perhitungan IPH Mingguan 2026'!$EH$6:$EH$25,3),'Perhitungan IPH Mingguan 2026'!$EH$6:$EH$25,0)),"-")</f>
        <v>pisang ambon 1162001</v>
      </c>
      <c r="C136" s="7" t="n">
        <f aca="false">IFERROR(INDEX('Perhitungan IPH Mingguan 2026'!$C$6:$C$25,MATCH(LARGE('Perhitungan IPH Mingguan 2026'!$EH$6:$EH$25,3),'Perhitungan IPH Mingguan 2026'!$EH$6:$EH$25,0)),"")</f>
        <v>0.0406365728580274</v>
      </c>
      <c r="D136" s="25" t="n">
        <f aca="false">IFERROR(INDEX('Perhitungan IPH Mingguan 2026'!$BA$6:$BA$25,MATCH(LARGE('Perhitungan IPH Mingguan 2026'!$EH$6:$EH$25,3),'Perhitungan IPH Mingguan 2026'!$EH$6:$EH$25,0)),"")</f>
        <v>0</v>
      </c>
      <c r="E136" s="7" t="n">
        <f aca="false">IFERROR(INDEX('Perhitungan IPH Mingguan 2026'!$BB$6:$BB$25,MATCH(LARGE('Perhitungan IPH Mingguan 2026'!$EH$6:$EH$25,3),'Perhitungan IPH Mingguan 2026'!$EH$6:$EH$25,0)),"")</f>
        <v>0</v>
      </c>
      <c r="F136" s="6" t="str">
        <f aca="false">IF(ISNUMBER(E136),IF(E136&gt;0,"Penyumbang KENAIKAN IPH","Penyumbang PENURUNAN IPH"),"-")</f>
        <v>Penyumbang PENURUNAN IPH</v>
      </c>
    </row>
    <row r="137" customFormat="false" ht="15" hidden="false" customHeight="true" outlineLevel="0" collapsed="false">
      <c r="A137" s="5" t="n">
        <v>4</v>
      </c>
      <c r="B137" s="6" t="str">
        <f aca="false">IFERROR(INDEX('Perhitungan IPH Mingguan 2026'!$B$6:$B$25,MATCH(LARGE('Perhitungan IPH Mingguan 2026'!$EH$6:$EH$25,4),'Perhitungan IPH Mingguan 2026'!$EH$6:$EH$25,0)),"-")</f>
        <v>daging ayam ras 1124003</v>
      </c>
      <c r="C137" s="7" t="n">
        <f aca="false">IFERROR(INDEX('Perhitungan IPH Mingguan 2026'!$C$6:$C$25,MATCH(LARGE('Perhitungan IPH Mingguan 2026'!$EH$6:$EH$25,4),'Perhitungan IPH Mingguan 2026'!$EH$6:$EH$25,0)),"")</f>
        <v>0.0479107777850277</v>
      </c>
      <c r="D137" s="25" t="n">
        <f aca="false">IFERROR(INDEX('Perhitungan IPH Mingguan 2026'!$BA$6:$BA$25,MATCH(LARGE('Perhitungan IPH Mingguan 2026'!$EH$6:$EH$25,4),'Perhitungan IPH Mingguan 2026'!$EH$6:$EH$25,0)),"")</f>
        <v>-13.7254901960784</v>
      </c>
      <c r="E137" s="7" t="n">
        <f aca="false">IFERROR(INDEX('Perhitungan IPH Mingguan 2026'!$BB$6:$BB$25,MATCH(LARGE('Perhitungan IPH Mingguan 2026'!$EH$6:$EH$25,4),'Perhitungan IPH Mingguan 2026'!$EH$6:$EH$25,0)),"")</f>
        <v>-0.65759891077489</v>
      </c>
      <c r="F137" s="6" t="str">
        <f aca="false">IF(ISNUMBER(E137),IF(E137&gt;0,"Penyumbang KENAIKAN IPH","Penyumbang PENURUNAN IPH"),"-")</f>
        <v>Penyumbang PENURUNAN IPH</v>
      </c>
    </row>
    <row r="138" customFormat="false" ht="15" hidden="false" customHeight="true" outlineLevel="0" collapsed="false">
      <c r="A138" s="5" t="n">
        <v>5</v>
      </c>
      <c r="B138" s="6" t="str">
        <f aca="false">IFERROR(INDEX('Perhitungan IPH Mingguan 2026'!$B$6:$B$25,MATCH(LARGE('Perhitungan IPH Mingguan 2026'!$EH$6:$EH$25,5),'Perhitungan IPH Mingguan 2026'!$EH$6:$EH$25,0)),"-")</f>
        <v>bawang merah 1174006</v>
      </c>
      <c r="C138" s="7" t="n">
        <f aca="false">IFERROR(INDEX('Perhitungan IPH Mingguan 2026'!$C$6:$C$25,MATCH(LARGE('Perhitungan IPH Mingguan 2026'!$EH$6:$EH$25,5),'Perhitungan IPH Mingguan 2026'!$EH$6:$EH$25,0)),"")</f>
        <v>0.0194434650422287</v>
      </c>
      <c r="D138" s="25" t="n">
        <f aca="false">IFERROR(INDEX('Perhitungan IPH Mingguan 2026'!$BA$6:$BA$25,MATCH(LARGE('Perhitungan IPH Mingguan 2026'!$EH$6:$EH$25,5),'Perhitungan IPH Mingguan 2026'!$EH$6:$EH$25,0)),"")</f>
        <v>-7.59075907590759</v>
      </c>
      <c r="E138" s="7" t="n">
        <f aca="false">IFERROR(INDEX('Perhitungan IPH Mingguan 2026'!$BB$6:$BB$25,MATCH(LARGE('Perhitungan IPH Mingguan 2026'!$EH$6:$EH$25,5),'Perhitungan IPH Mingguan 2026'!$EH$6:$EH$25,0)),"")</f>
        <v>-0.147590658736389</v>
      </c>
      <c r="F138" s="6" t="str">
        <f aca="false">IF(ISNUMBER(E138),IF(E138&gt;0,"Penyumbang KENAIKAN IPH","Penyumbang PENURUNAN IPH"),"-")</f>
        <v>Penyumbang PENURUNAN IPH</v>
      </c>
    </row>
    <row r="140" customFormat="false" ht="15" hidden="false" customHeight="true" outlineLevel="0" collapsed="false">
      <c r="A140" s="24" t="s">
        <v>235</v>
      </c>
      <c r="B140" s="24"/>
      <c r="C140" s="24"/>
      <c r="D140" s="24"/>
      <c r="E140" s="24"/>
      <c r="F140" s="24"/>
    </row>
    <row r="141" customFormat="false" ht="21.75" hidden="false" customHeight="true" outlineLevel="0" collapsed="false">
      <c r="A141" s="3" t="s">
        <v>214</v>
      </c>
      <c r="B141" s="3" t="s">
        <v>215</v>
      </c>
      <c r="C141" s="3" t="s">
        <v>142</v>
      </c>
      <c r="D141" s="3" t="s">
        <v>216</v>
      </c>
      <c r="E141" s="3" t="s">
        <v>217</v>
      </c>
      <c r="F141" s="3" t="s">
        <v>218</v>
      </c>
    </row>
    <row r="142" customFormat="false" ht="15" hidden="false" customHeight="true" outlineLevel="0" collapsed="false">
      <c r="A142" s="5" t="n">
        <v>1</v>
      </c>
      <c r="B142" s="6" t="str">
        <f aca="false">IFERROR(INDEX('Perhitungan IPH Mingguan 2026'!$B$6:$B$25,MATCH(LARGE('Perhitungan IPH Mingguan 2026'!$EI$6:$EI$25,1),'Perhitungan IPH Mingguan 2026'!$EI$6:$EI$25,0)),"-")</f>
        <v>jeruk 01161001-33</v>
      </c>
      <c r="C142" s="7" t="n">
        <f aca="false">IFERROR(INDEX('Perhitungan IPH Mingguan 2026'!$C$6:$C$25,MATCH(LARGE('Perhitungan IPH Mingguan 2026'!$EI$6:$EI$25,1),'Perhitungan IPH Mingguan 2026'!$EI$6:$EI$25,0)),"")</f>
        <v>0.0341776157179401</v>
      </c>
      <c r="D142" s="25" t="n">
        <f aca="false">IFERROR(INDEX('Perhitungan IPH Mingguan 2026'!$BD$6:$BD$25,MATCH(LARGE('Perhitungan IPH Mingguan 2026'!$EI$6:$EI$25,1),'Perhitungan IPH Mingguan 2026'!$EI$6:$EI$25,0)),"")</f>
        <v>0</v>
      </c>
      <c r="E142" s="7" t="n">
        <f aca="false">IFERROR(INDEX('Perhitungan IPH Mingguan 2026'!$BE$6:$BE$25,MATCH(LARGE('Perhitungan IPH Mingguan 2026'!$EI$6:$EI$25,1),'Perhitungan IPH Mingguan 2026'!$EI$6:$EI$25,0)),"")</f>
        <v>0</v>
      </c>
      <c r="F142" s="6" t="str">
        <f aca="false">IF(ISNUMBER(E142),IF(E142&gt;0,"Penyumbang KENAIKAN IPH","Penyumbang PENURUNAN IPH"),"-")</f>
        <v>Penyumbang PENURUNAN IPH</v>
      </c>
    </row>
    <row r="143" customFormat="false" ht="15" hidden="false" customHeight="true" outlineLevel="0" collapsed="false">
      <c r="A143" s="5" t="n">
        <v>2</v>
      </c>
      <c r="B143" s="6" t="str">
        <f aca="false">IFERROR(INDEX('Perhitungan IPH Mingguan 2026'!$B$6:$B$25,MATCH(LARGE('Perhitungan IPH Mingguan 2026'!$EI$6:$EI$25,2),'Perhitungan IPH Mingguan 2026'!$EI$6:$EI$25,0)),"-")</f>
        <v>cabai rawit 01173013</v>
      </c>
      <c r="C143" s="7" t="n">
        <f aca="false">IFERROR(INDEX('Perhitungan IPH Mingguan 2026'!$C$6:$C$25,MATCH(LARGE('Perhitungan IPH Mingguan 2026'!$EI$6:$EI$25,2),'Perhitungan IPH Mingguan 2026'!$EI$6:$EI$25,0)),"")</f>
        <v>0.0177017323628706</v>
      </c>
      <c r="D143" s="25" t="n">
        <f aca="false">IFERROR(INDEX('Perhitungan IPH Mingguan 2026'!$BD$6:$BD$25,MATCH(LARGE('Perhitungan IPH Mingguan 2026'!$EI$6:$EI$25,2),'Perhitungan IPH Mingguan 2026'!$EI$6:$EI$25,0)),"")</f>
        <v>-38.1132075471698</v>
      </c>
      <c r="E143" s="7" t="n">
        <f aca="false">IFERROR(INDEX('Perhitungan IPH Mingguan 2026'!$BE$6:$BE$25,MATCH(LARGE('Perhitungan IPH Mingguan 2026'!$EI$6:$EI$25,2),'Perhitungan IPH Mingguan 2026'!$EI$6:$EI$25,0)),"")</f>
        <v>-0.67466979949054</v>
      </c>
      <c r="F143" s="6" t="str">
        <f aca="false">IF(ISNUMBER(E143),IF(E143&gt;0,"Penyumbang KENAIKAN IPH","Penyumbang PENURUNAN IPH"),"-")</f>
        <v>Penyumbang PENURUNAN IPH</v>
      </c>
    </row>
    <row r="144" customFormat="false" ht="15" hidden="false" customHeight="true" outlineLevel="0" collapsed="false">
      <c r="A144" s="5" t="n">
        <v>3</v>
      </c>
      <c r="B144" s="6" t="str">
        <f aca="false">IFERROR(INDEX('Perhitungan IPH Mingguan 2026'!$B$6:$B$25,MATCH(LARGE('Perhitungan IPH Mingguan 2026'!$EI$6:$EI$25,3),'Perhitungan IPH Mingguan 2026'!$EI$6:$EI$25,0)),"-")</f>
        <v>pisang ambon 1162001</v>
      </c>
      <c r="C144" s="7" t="n">
        <f aca="false">IFERROR(INDEX('Perhitungan IPH Mingguan 2026'!$C$6:$C$25,MATCH(LARGE('Perhitungan IPH Mingguan 2026'!$EI$6:$EI$25,3),'Perhitungan IPH Mingguan 2026'!$EI$6:$EI$25,0)),"")</f>
        <v>0.0406365728580274</v>
      </c>
      <c r="D144" s="25" t="n">
        <f aca="false">IFERROR(INDEX('Perhitungan IPH Mingguan 2026'!$BD$6:$BD$25,MATCH(LARGE('Perhitungan IPH Mingguan 2026'!$EI$6:$EI$25,3),'Perhitungan IPH Mingguan 2026'!$EI$6:$EI$25,0)),"")</f>
        <v>0</v>
      </c>
      <c r="E144" s="7" t="n">
        <f aca="false">IFERROR(INDEX('Perhitungan IPH Mingguan 2026'!$BE$6:$BE$25,MATCH(LARGE('Perhitungan IPH Mingguan 2026'!$EI$6:$EI$25,3),'Perhitungan IPH Mingguan 2026'!$EI$6:$EI$25,0)),"")</f>
        <v>0</v>
      </c>
      <c r="F144" s="6" t="str">
        <f aca="false">IF(ISNUMBER(E144),IF(E144&gt;0,"Penyumbang KENAIKAN IPH","Penyumbang PENURUNAN IPH"),"-")</f>
        <v>Penyumbang PENURUNAN IPH</v>
      </c>
    </row>
    <row r="145" customFormat="false" ht="15" hidden="false" customHeight="true" outlineLevel="0" collapsed="false">
      <c r="A145" s="5" t="n">
        <v>4</v>
      </c>
      <c r="B145" s="6" t="str">
        <f aca="false">IFERROR(INDEX('Perhitungan IPH Mingguan 2026'!$B$6:$B$25,MATCH(LARGE('Perhitungan IPH Mingguan 2026'!$EI$6:$EI$25,4),'Perhitungan IPH Mingguan 2026'!$EI$6:$EI$25,0)),"-")</f>
        <v>daging ayam ras 1124003</v>
      </c>
      <c r="C145" s="7" t="n">
        <f aca="false">IFERROR(INDEX('Perhitungan IPH Mingguan 2026'!$C$6:$C$25,MATCH(LARGE('Perhitungan IPH Mingguan 2026'!$EI$6:$EI$25,4),'Perhitungan IPH Mingguan 2026'!$EI$6:$EI$25,0)),"")</f>
        <v>0.0479107777850277</v>
      </c>
      <c r="D145" s="25" t="n">
        <f aca="false">IFERROR(INDEX('Perhitungan IPH Mingguan 2026'!$BD$6:$BD$25,MATCH(LARGE('Perhitungan IPH Mingguan 2026'!$EI$6:$EI$25,4),'Perhitungan IPH Mingguan 2026'!$EI$6:$EI$25,0)),"")</f>
        <v>-14.7712418300654</v>
      </c>
      <c r="E145" s="7" t="n">
        <f aca="false">IFERROR(INDEX('Perhitungan IPH Mingguan 2026'!$BE$6:$BE$25,MATCH(LARGE('Perhitungan IPH Mingguan 2026'!$EI$6:$EI$25,4),'Perhitungan IPH Mingguan 2026'!$EI$6:$EI$25,0)),"")</f>
        <v>-0.707701684929167</v>
      </c>
      <c r="F145" s="6" t="str">
        <f aca="false">IF(ISNUMBER(E145),IF(E145&gt;0,"Penyumbang KENAIKAN IPH","Penyumbang PENURUNAN IPH"),"-")</f>
        <v>Penyumbang PENURUNAN IPH</v>
      </c>
    </row>
    <row r="146" customFormat="false" ht="15" hidden="false" customHeight="true" outlineLevel="0" collapsed="false">
      <c r="A146" s="5" t="n">
        <v>5</v>
      </c>
      <c r="B146" s="6" t="str">
        <f aca="false">IFERROR(INDEX('Perhitungan IPH Mingguan 2026'!$B$6:$B$25,MATCH(LARGE('Perhitungan IPH Mingguan 2026'!$EI$6:$EI$25,5),'Perhitungan IPH Mingguan 2026'!$EI$6:$EI$25,0)),"-")</f>
        <v>bawang merah 1174006</v>
      </c>
      <c r="C146" s="7" t="n">
        <f aca="false">IFERROR(INDEX('Perhitungan IPH Mingguan 2026'!$C$6:$C$25,MATCH(LARGE('Perhitungan IPH Mingguan 2026'!$EI$6:$EI$25,5),'Perhitungan IPH Mingguan 2026'!$EI$6:$EI$25,0)),"")</f>
        <v>0.0194434650422287</v>
      </c>
      <c r="D146" s="25" t="n">
        <f aca="false">IFERROR(INDEX('Perhitungan IPH Mingguan 2026'!$BD$6:$BD$25,MATCH(LARGE('Perhitungan IPH Mingguan 2026'!$EI$6:$EI$25,5),'Perhitungan IPH Mingguan 2026'!$EI$6:$EI$25,0)),"")</f>
        <v>-2.31023102310231</v>
      </c>
      <c r="E146" s="7" t="n">
        <f aca="false">IFERROR(INDEX('Perhitungan IPH Mingguan 2026'!$BE$6:$BE$25,MATCH(LARGE('Perhitungan IPH Mingguan 2026'!$EI$6:$EI$25,5),'Perhitungan IPH Mingguan 2026'!$EI$6:$EI$25,0)),"")</f>
        <v>-0.044918896137162</v>
      </c>
      <c r="F146" s="6" t="str">
        <f aca="false">IF(ISNUMBER(E146),IF(E146&gt;0,"Penyumbang KENAIKAN IPH","Penyumbang PENURUNAN IPH"),"-")</f>
        <v>Penyumbang PENURUNAN IPH</v>
      </c>
    </row>
    <row r="148" customFormat="false" ht="15" hidden="false" customHeight="true" outlineLevel="0" collapsed="false">
      <c r="A148" s="24" t="s">
        <v>236</v>
      </c>
      <c r="B148" s="24"/>
      <c r="C148" s="24"/>
      <c r="D148" s="24"/>
      <c r="E148" s="24"/>
      <c r="F148" s="24"/>
    </row>
    <row r="149" customFormat="false" ht="21.75" hidden="false" customHeight="true" outlineLevel="0" collapsed="false">
      <c r="A149" s="3" t="s">
        <v>214</v>
      </c>
      <c r="B149" s="3" t="s">
        <v>215</v>
      </c>
      <c r="C149" s="3" t="s">
        <v>142</v>
      </c>
      <c r="D149" s="3" t="s">
        <v>216</v>
      </c>
      <c r="E149" s="3" t="s">
        <v>217</v>
      </c>
      <c r="F149" s="3" t="s">
        <v>218</v>
      </c>
    </row>
    <row r="150" customFormat="false" ht="15" hidden="false" customHeight="true" outlineLevel="0" collapsed="false">
      <c r="A150" s="5" t="n">
        <v>1</v>
      </c>
      <c r="B150" s="6" t="str">
        <f aca="false">IFERROR(INDEX('Perhitungan IPH Mingguan 2026'!$B$6:$B$25,MATCH(LARGE('Perhitungan IPH Mingguan 2026'!$EJ$6:$EJ$25,1),'Perhitungan IPH Mingguan 2026'!$EJ$6:$EJ$25,0)),"-")</f>
        <v>udang lobster 01132004</v>
      </c>
      <c r="C150" s="7" t="n">
        <f aca="false">IFERROR(INDEX('Perhitungan IPH Mingguan 2026'!$C$6:$C$25,MATCH(LARGE('Perhitungan IPH Mingguan 2026'!$EJ$6:$EJ$25,1),'Perhitungan IPH Mingguan 2026'!$EJ$6:$EJ$25,0)),"")</f>
        <v>0.0370107543210236</v>
      </c>
      <c r="D150" s="25" t="n">
        <f aca="false">IFERROR(INDEX('Perhitungan IPH Mingguan 2026'!$BG$6:$BG$25,MATCH(LARGE('Perhitungan IPH Mingguan 2026'!$EJ$6:$EJ$25,1),'Perhitungan IPH Mingguan 2026'!$EJ$6:$EJ$25,0)),"")</f>
        <v>0</v>
      </c>
      <c r="E150" s="7" t="n">
        <f aca="false">IFERROR(INDEX('Perhitungan IPH Mingguan 2026'!$BH$6:$BH$25,MATCH(LARGE('Perhitungan IPH Mingguan 2026'!$EJ$6:$EJ$25,1),'Perhitungan IPH Mingguan 2026'!$EJ$6:$EJ$25,0)),"")</f>
        <v>0</v>
      </c>
      <c r="F150" s="6" t="str">
        <f aca="false">IF(ISNUMBER(E150),IF(E150&gt;0,"Penyumbang KENAIKAN IPH","Penyumbang PENURUNAN IPH"),"-")</f>
        <v>Penyumbang PENURUNAN IPH</v>
      </c>
    </row>
    <row r="151" customFormat="false" ht="15" hidden="false" customHeight="true" outlineLevel="0" collapsed="false">
      <c r="A151" s="5" t="n">
        <v>2</v>
      </c>
      <c r="B151" s="6" t="str">
        <f aca="false">IFERROR(INDEX('Perhitungan IPH Mingguan 2026'!$B$6:$B$25,MATCH(LARGE('Perhitungan IPH Mingguan 2026'!$EJ$6:$EJ$25,2),'Perhitungan IPH Mingguan 2026'!$EJ$6:$EJ$25,0)),"-")</f>
        <v>jeruk 01161001-33</v>
      </c>
      <c r="C151" s="7" t="n">
        <f aca="false">IFERROR(INDEX('Perhitungan IPH Mingguan 2026'!$C$6:$C$25,MATCH(LARGE('Perhitungan IPH Mingguan 2026'!$EJ$6:$EJ$25,2),'Perhitungan IPH Mingguan 2026'!$EJ$6:$EJ$25,0)),"")</f>
        <v>0.0341776157179401</v>
      </c>
      <c r="D151" s="25" t="n">
        <f aca="false">IFERROR(INDEX('Perhitungan IPH Mingguan 2026'!$BG$6:$BG$25,MATCH(LARGE('Perhitungan IPH Mingguan 2026'!$EJ$6:$EJ$25,2),'Perhitungan IPH Mingguan 2026'!$EJ$6:$EJ$25,0)),"")</f>
        <v>0</v>
      </c>
      <c r="E151" s="7" t="n">
        <f aca="false">IFERROR(INDEX('Perhitungan IPH Mingguan 2026'!$BH$6:$BH$25,MATCH(LARGE('Perhitungan IPH Mingguan 2026'!$EJ$6:$EJ$25,2),'Perhitungan IPH Mingguan 2026'!$EJ$6:$EJ$25,0)),"")</f>
        <v>0</v>
      </c>
      <c r="F151" s="6" t="str">
        <f aca="false">IF(ISNUMBER(E151),IF(E151&gt;0,"Penyumbang KENAIKAN IPH","Penyumbang PENURUNAN IPH"),"-")</f>
        <v>Penyumbang PENURUNAN IPH</v>
      </c>
    </row>
    <row r="152" customFormat="false" ht="15" hidden="false" customHeight="true" outlineLevel="0" collapsed="false">
      <c r="A152" s="5" t="n">
        <v>3</v>
      </c>
      <c r="B152" s="6" t="str">
        <f aca="false">IFERROR(INDEX('Perhitungan IPH Mingguan 2026'!$B$6:$B$25,MATCH(LARGE('Perhitungan IPH Mingguan 2026'!$EJ$6:$EJ$25,3),'Perhitungan IPH Mingguan 2026'!$EJ$6:$EJ$25,0)),"-")</f>
        <v>cabai rawit 01173013</v>
      </c>
      <c r="C152" s="7" t="n">
        <f aca="false">IFERROR(INDEX('Perhitungan IPH Mingguan 2026'!$C$6:$C$25,MATCH(LARGE('Perhitungan IPH Mingguan 2026'!$EJ$6:$EJ$25,3),'Perhitungan IPH Mingguan 2026'!$EJ$6:$EJ$25,0)),"")</f>
        <v>0.0177017323628706</v>
      </c>
      <c r="D152" s="25" t="n">
        <f aca="false">IFERROR(INDEX('Perhitungan IPH Mingguan 2026'!$BG$6:$BG$25,MATCH(LARGE('Perhitungan IPH Mingguan 2026'!$EJ$6:$EJ$25,3),'Perhitungan IPH Mingguan 2026'!$EJ$6:$EJ$25,0)),"")</f>
        <v>-46.5408805031447</v>
      </c>
      <c r="E152" s="7" t="n">
        <f aca="false">IFERROR(INDEX('Perhitungan IPH Mingguan 2026'!$BH$6:$BH$25,MATCH(LARGE('Perhitungan IPH Mingguan 2026'!$EJ$6:$EJ$25,3),'Perhitungan IPH Mingguan 2026'!$EJ$6:$EJ$25,0)),"")</f>
        <v>-0.823854210599009</v>
      </c>
      <c r="F152" s="6" t="str">
        <f aca="false">IF(ISNUMBER(E152),IF(E152&gt;0,"Penyumbang KENAIKAN IPH","Penyumbang PENURUNAN IPH"),"-")</f>
        <v>Penyumbang PENURUNAN IPH</v>
      </c>
    </row>
    <row r="153" customFormat="false" ht="15" hidden="false" customHeight="true" outlineLevel="0" collapsed="false">
      <c r="A153" s="5" t="n">
        <v>4</v>
      </c>
      <c r="B153" s="6" t="str">
        <f aca="false">IFERROR(INDEX('Perhitungan IPH Mingguan 2026'!$B$6:$B$25,MATCH(LARGE('Perhitungan IPH Mingguan 2026'!$EJ$6:$EJ$25,4),'Perhitungan IPH Mingguan 2026'!$EJ$6:$EJ$25,0)),"-")</f>
        <v>cabai merah 01173012</v>
      </c>
      <c r="C153" s="7" t="n">
        <f aca="false">IFERROR(INDEX('Perhitungan IPH Mingguan 2026'!$C$6:$C$25,MATCH(LARGE('Perhitungan IPH Mingguan 2026'!$EJ$6:$EJ$25,4),'Perhitungan IPH Mingguan 2026'!$EJ$6:$EJ$25,0)),"")</f>
        <v>0.0110208839376634</v>
      </c>
      <c r="D153" s="25" t="n">
        <f aca="false">IFERROR(INDEX('Perhitungan IPH Mingguan 2026'!$BG$6:$BG$25,MATCH(LARGE('Perhitungan IPH Mingguan 2026'!$EJ$6:$EJ$25,4),'Perhitungan IPH Mingguan 2026'!$EJ$6:$EJ$25,0)),"")</f>
        <v>17.0130869899923</v>
      </c>
      <c r="E153" s="7" t="n">
        <f aca="false">IFERROR(INDEX('Perhitungan IPH Mingguan 2026'!$BH$6:$BH$25,MATCH(LARGE('Perhitungan IPH Mingguan 2026'!$EJ$6:$EJ$25,4),'Perhitungan IPH Mingguan 2026'!$EJ$6:$EJ$25,0)),"")</f>
        <v>0.187499257138076</v>
      </c>
      <c r="F153" s="6" t="str">
        <f aca="false">IF(ISNUMBER(E153),IF(E153&gt;0,"Penyumbang KENAIKAN IPH","Penyumbang PENURUNAN IPH"),"-")</f>
        <v>Penyumbang KENAIKAN IPH</v>
      </c>
    </row>
    <row r="154" customFormat="false" ht="15" hidden="false" customHeight="true" outlineLevel="0" collapsed="false">
      <c r="A154" s="5" t="n">
        <v>5</v>
      </c>
      <c r="B154" s="6" t="str">
        <f aca="false">IFERROR(INDEX('Perhitungan IPH Mingguan 2026'!$B$6:$B$25,MATCH(LARGE('Perhitungan IPH Mingguan 2026'!$EJ$6:$EJ$25,5),'Perhitungan IPH Mingguan 2026'!$EJ$6:$EJ$25,0)),"-")</f>
        <v>pisang ambon 1162001</v>
      </c>
      <c r="C154" s="7" t="n">
        <f aca="false">IFERROR(INDEX('Perhitungan IPH Mingguan 2026'!$C$6:$C$25,MATCH(LARGE('Perhitungan IPH Mingguan 2026'!$EJ$6:$EJ$25,5),'Perhitungan IPH Mingguan 2026'!$EJ$6:$EJ$25,0)),"")</f>
        <v>0.0406365728580274</v>
      </c>
      <c r="D154" s="25" t="n">
        <f aca="false">IFERROR(INDEX('Perhitungan IPH Mingguan 2026'!$BG$6:$BG$25,MATCH(LARGE('Perhitungan IPH Mingguan 2026'!$EJ$6:$EJ$25,5),'Perhitungan IPH Mingguan 2026'!$EJ$6:$EJ$25,0)),"")</f>
        <v>0</v>
      </c>
      <c r="E154" s="7" t="n">
        <f aca="false">IFERROR(INDEX('Perhitungan IPH Mingguan 2026'!$BH$6:$BH$25,MATCH(LARGE('Perhitungan IPH Mingguan 2026'!$EJ$6:$EJ$25,5),'Perhitungan IPH Mingguan 2026'!$EJ$6:$EJ$25,0)),"")</f>
        <v>0</v>
      </c>
      <c r="F154" s="6" t="str">
        <f aca="false">IF(ISNUMBER(E154),IF(E154&gt;0,"Penyumbang KENAIKAN IPH","Penyumbang PENURUNAN IPH"),"-")</f>
        <v>Penyumbang PENURUNAN IPH</v>
      </c>
    </row>
    <row r="156" customFormat="false" ht="15" hidden="false" customHeight="true" outlineLevel="0" collapsed="false">
      <c r="A156" s="24" t="s">
        <v>237</v>
      </c>
      <c r="B156" s="24"/>
      <c r="C156" s="24"/>
      <c r="D156" s="24"/>
      <c r="E156" s="24"/>
      <c r="F156" s="24"/>
    </row>
    <row r="157" customFormat="false" ht="21.75" hidden="false" customHeight="true" outlineLevel="0" collapsed="false">
      <c r="A157" s="3" t="s">
        <v>214</v>
      </c>
      <c r="B157" s="3" t="s">
        <v>215</v>
      </c>
      <c r="C157" s="3" t="s">
        <v>142</v>
      </c>
      <c r="D157" s="3" t="s">
        <v>216</v>
      </c>
      <c r="E157" s="3" t="s">
        <v>217</v>
      </c>
      <c r="F157" s="3" t="s">
        <v>218</v>
      </c>
    </row>
    <row r="158" customFormat="false" ht="15" hidden="false" customHeight="true" outlineLevel="0" collapsed="false">
      <c r="A158" s="5" t="n">
        <v>1</v>
      </c>
      <c r="B158" s="6" t="str">
        <f aca="false">IFERROR(INDEX('Perhitungan IPH Mingguan 2026'!$B$6:$B$25,MATCH(LARGE('Perhitungan IPH Mingguan 2026'!$EK$6:$EK$25,1),'Perhitungan IPH Mingguan 2026'!$EK$6:$EK$25,0)),"-")</f>
        <v>udang lobster 01132004</v>
      </c>
      <c r="C158" s="7" t="n">
        <f aca="false">IFERROR(INDEX('Perhitungan IPH Mingguan 2026'!$C$6:$C$25,MATCH(LARGE('Perhitungan IPH Mingguan 2026'!$EK$6:$EK$25,1),'Perhitungan IPH Mingguan 2026'!$EK$6:$EK$25,0)),"")</f>
        <v>0.0370107543210236</v>
      </c>
      <c r="D158" s="25" t="str">
        <f aca="false">IFERROR(INDEX('Perhitungan IPH Mingguan 2026'!$BJ$6:$BJ$25,MATCH(LARGE('Perhitungan IPH Mingguan 2026'!$EK$6:$EK$25,1),'Perhitungan IPH Mingguan 2026'!$EK$6:$EK$25,0)),"")</f>
        <v>n/a</v>
      </c>
      <c r="E158" s="7" t="str">
        <f aca="false">IFERROR(INDEX('Perhitungan IPH Mingguan 2026'!$BK$6:$BK$25,MATCH(LARGE('Perhitungan IPH Mingguan 2026'!$EK$6:$EK$25,1),'Perhitungan IPH Mingguan 2026'!$EK$6:$EK$25,0)),"")</f>
        <v>n/a</v>
      </c>
      <c r="F158" s="6" t="str">
        <f aca="false">IF(ISNUMBER(E158),IF(E158&gt;0,"Penyumbang KENAIKAN IPH","Penyumbang PENURUNAN IPH"),"-")</f>
        <v>-</v>
      </c>
    </row>
    <row r="159" customFormat="false" ht="15" hidden="false" customHeight="true" outlineLevel="0" collapsed="false">
      <c r="A159" s="5" t="n">
        <v>2</v>
      </c>
      <c r="B159" s="6" t="str">
        <f aca="false">IFERROR(INDEX('Perhitungan IPH Mingguan 2026'!$B$6:$B$25,MATCH(LARGE('Perhitungan IPH Mingguan 2026'!$EK$6:$EK$25,2),'Perhitungan IPH Mingguan 2026'!$EK$6:$EK$25,0)),"-")</f>
        <v>jeruk 01161001-33</v>
      </c>
      <c r="C159" s="7" t="n">
        <f aca="false">IFERROR(INDEX('Perhitungan IPH Mingguan 2026'!$C$6:$C$25,MATCH(LARGE('Perhitungan IPH Mingguan 2026'!$EK$6:$EK$25,2),'Perhitungan IPH Mingguan 2026'!$EK$6:$EK$25,0)),"")</f>
        <v>0.0341776157179401</v>
      </c>
      <c r="D159" s="25" t="str">
        <f aca="false">IFERROR(INDEX('Perhitungan IPH Mingguan 2026'!$BJ$6:$BJ$25,MATCH(LARGE('Perhitungan IPH Mingguan 2026'!$EK$6:$EK$25,2),'Perhitungan IPH Mingguan 2026'!$EK$6:$EK$25,0)),"")</f>
        <v>n/a</v>
      </c>
      <c r="E159" s="7" t="str">
        <f aca="false">IFERROR(INDEX('Perhitungan IPH Mingguan 2026'!$BK$6:$BK$25,MATCH(LARGE('Perhitungan IPH Mingguan 2026'!$EK$6:$EK$25,2),'Perhitungan IPH Mingguan 2026'!$EK$6:$EK$25,0)),"")</f>
        <v>n/a</v>
      </c>
      <c r="F159" s="6" t="str">
        <f aca="false">IF(ISNUMBER(E159),IF(E159&gt;0,"Penyumbang KENAIKAN IPH","Penyumbang PENURUNAN IPH"),"-")</f>
        <v>-</v>
      </c>
    </row>
    <row r="160" customFormat="false" ht="15" hidden="false" customHeight="true" outlineLevel="0" collapsed="false">
      <c r="A160" s="5" t="n">
        <v>3</v>
      </c>
      <c r="B160" s="6" t="str">
        <f aca="false">IFERROR(INDEX('Perhitungan IPH Mingguan 2026'!$B$6:$B$25,MATCH(LARGE('Perhitungan IPH Mingguan 2026'!$EK$6:$EK$25,3),'Perhitungan IPH Mingguan 2026'!$EK$6:$EK$25,0)),"-")</f>
        <v>cabai rawit 01173013</v>
      </c>
      <c r="C160" s="7" t="n">
        <f aca="false">IFERROR(INDEX('Perhitungan IPH Mingguan 2026'!$C$6:$C$25,MATCH(LARGE('Perhitungan IPH Mingguan 2026'!$EK$6:$EK$25,3),'Perhitungan IPH Mingguan 2026'!$EK$6:$EK$25,0)),"")</f>
        <v>0.0177017323628706</v>
      </c>
      <c r="D160" s="25" t="str">
        <f aca="false">IFERROR(INDEX('Perhitungan IPH Mingguan 2026'!$BJ$6:$BJ$25,MATCH(LARGE('Perhitungan IPH Mingguan 2026'!$EK$6:$EK$25,3),'Perhitungan IPH Mingguan 2026'!$EK$6:$EK$25,0)),"")</f>
        <v>n/a</v>
      </c>
      <c r="E160" s="7" t="str">
        <f aca="false">IFERROR(INDEX('Perhitungan IPH Mingguan 2026'!$BK$6:$BK$25,MATCH(LARGE('Perhitungan IPH Mingguan 2026'!$EK$6:$EK$25,3),'Perhitungan IPH Mingguan 2026'!$EK$6:$EK$25,0)),"")</f>
        <v>n/a</v>
      </c>
      <c r="F160" s="6" t="str">
        <f aca="false">IF(ISNUMBER(E160),IF(E160&gt;0,"Penyumbang KENAIKAN IPH","Penyumbang PENURUNAN IPH"),"-")</f>
        <v>-</v>
      </c>
    </row>
    <row r="161" customFormat="false" ht="15" hidden="false" customHeight="true" outlineLevel="0" collapsed="false">
      <c r="A161" s="5" t="n">
        <v>4</v>
      </c>
      <c r="B161" s="6" t="str">
        <f aca="false">IFERROR(INDEX('Perhitungan IPH Mingguan 2026'!$B$6:$B$25,MATCH(LARGE('Perhitungan IPH Mingguan 2026'!$EK$6:$EK$25,4),'Perhitungan IPH Mingguan 2026'!$EK$6:$EK$25,0)),"-")</f>
        <v>cabai merah 01173012</v>
      </c>
      <c r="C161" s="7" t="n">
        <f aca="false">IFERROR(INDEX('Perhitungan IPH Mingguan 2026'!$C$6:$C$25,MATCH(LARGE('Perhitungan IPH Mingguan 2026'!$EK$6:$EK$25,4),'Perhitungan IPH Mingguan 2026'!$EK$6:$EK$25,0)),"")</f>
        <v>0.0110208839376634</v>
      </c>
      <c r="D161" s="25" t="str">
        <f aca="false">IFERROR(INDEX('Perhitungan IPH Mingguan 2026'!$BJ$6:$BJ$25,MATCH(LARGE('Perhitungan IPH Mingguan 2026'!$EK$6:$EK$25,4),'Perhitungan IPH Mingguan 2026'!$EK$6:$EK$25,0)),"")</f>
        <v>n/a</v>
      </c>
      <c r="E161" s="7" t="str">
        <f aca="false">IFERROR(INDEX('Perhitungan IPH Mingguan 2026'!$BK$6:$BK$25,MATCH(LARGE('Perhitungan IPH Mingguan 2026'!$EK$6:$EK$25,4),'Perhitungan IPH Mingguan 2026'!$EK$6:$EK$25,0)),"")</f>
        <v>n/a</v>
      </c>
      <c r="F161" s="6" t="str">
        <f aca="false">IF(ISNUMBER(E161),IF(E161&gt;0,"Penyumbang KENAIKAN IPH","Penyumbang PENURUNAN IPH"),"-")</f>
        <v>-</v>
      </c>
    </row>
    <row r="162" customFormat="false" ht="15" hidden="false" customHeight="true" outlineLevel="0" collapsed="false">
      <c r="A162" s="5" t="n">
        <v>5</v>
      </c>
      <c r="B162" s="6" t="str">
        <f aca="false">IFERROR(INDEX('Perhitungan IPH Mingguan 2026'!$B$6:$B$25,MATCH(LARGE('Perhitungan IPH Mingguan 2026'!$EK$6:$EK$25,5),'Perhitungan IPH Mingguan 2026'!$EK$6:$EK$25,0)),"-")</f>
        <v>pisang ambon 1162001</v>
      </c>
      <c r="C162" s="7" t="n">
        <f aca="false">IFERROR(INDEX('Perhitungan IPH Mingguan 2026'!$C$6:$C$25,MATCH(LARGE('Perhitungan IPH Mingguan 2026'!$EK$6:$EK$25,5),'Perhitungan IPH Mingguan 2026'!$EK$6:$EK$25,0)),"")</f>
        <v>0.0406365728580274</v>
      </c>
      <c r="D162" s="25" t="str">
        <f aca="false">IFERROR(INDEX('Perhitungan IPH Mingguan 2026'!$BJ$6:$BJ$25,MATCH(LARGE('Perhitungan IPH Mingguan 2026'!$EK$6:$EK$25,5),'Perhitungan IPH Mingguan 2026'!$EK$6:$EK$25,0)),"")</f>
        <v>n/a</v>
      </c>
      <c r="E162" s="7" t="str">
        <f aca="false">IFERROR(INDEX('Perhitungan IPH Mingguan 2026'!$BK$6:$BK$25,MATCH(LARGE('Perhitungan IPH Mingguan 2026'!$EK$6:$EK$25,5),'Perhitungan IPH Mingguan 2026'!$EK$6:$EK$25,0)),"")</f>
        <v>n/a</v>
      </c>
      <c r="F162" s="6" t="str">
        <f aca="false">IF(ISNUMBER(E162),IF(E162&gt;0,"Penyumbang KENAIKAN IPH","Penyumbang PENURUNAN IPH"),"-")</f>
        <v>-</v>
      </c>
    </row>
    <row r="164" customFormat="false" ht="15" hidden="false" customHeight="true" outlineLevel="0" collapsed="false">
      <c r="A164" s="24" t="s">
        <v>238</v>
      </c>
      <c r="B164" s="24"/>
      <c r="C164" s="24"/>
      <c r="D164" s="24"/>
      <c r="E164" s="24"/>
      <c r="F164" s="24"/>
    </row>
    <row r="165" customFormat="false" ht="21.75" hidden="false" customHeight="true" outlineLevel="0" collapsed="false">
      <c r="A165" s="3" t="s">
        <v>214</v>
      </c>
      <c r="B165" s="3" t="s">
        <v>215</v>
      </c>
      <c r="C165" s="3" t="s">
        <v>142</v>
      </c>
      <c r="D165" s="3" t="s">
        <v>216</v>
      </c>
      <c r="E165" s="3" t="s">
        <v>217</v>
      </c>
      <c r="F165" s="3" t="s">
        <v>218</v>
      </c>
    </row>
    <row r="166" customFormat="false" ht="15" hidden="false" customHeight="true" outlineLevel="0" collapsed="false">
      <c r="A166" s="5" t="n">
        <v>1</v>
      </c>
      <c r="B166" s="6" t="str">
        <f aca="false">IFERROR(INDEX('Perhitungan IPH Mingguan 2026'!$B$6:$B$25,MATCH(LARGE('Perhitungan IPH Mingguan 2026'!$EL$6:$EL$25,1),'Perhitungan IPH Mingguan 2026'!$EL$6:$EL$25,0)),"-")</f>
        <v>cabai rawit 01173013</v>
      </c>
      <c r="C166" s="7" t="n">
        <f aca="false">IFERROR(INDEX('Perhitungan IPH Mingguan 2026'!$C$6:$C$25,MATCH(LARGE('Perhitungan IPH Mingguan 2026'!$EL$6:$EL$25,1),'Perhitungan IPH Mingguan 2026'!$EL$6:$EL$25,0)),"")</f>
        <v>0.0177017323628706</v>
      </c>
      <c r="D166" s="25" t="n">
        <f aca="false">IFERROR(INDEX('Perhitungan IPH Mingguan 2026'!$BM$6:$BM$25,MATCH(LARGE('Perhitungan IPH Mingguan 2026'!$EL$6:$EL$25,1),'Perhitungan IPH Mingguan 2026'!$EL$6:$EL$25,0)),"")</f>
        <v>21.1180124223603</v>
      </c>
      <c r="E166" s="7" t="n">
        <f aca="false">IFERROR(INDEX('Perhitungan IPH Mingguan 2026'!$BN$6:$BN$25,MATCH(LARGE('Perhitungan IPH Mingguan 2026'!$EL$6:$EL$25,1),'Perhitungan IPH Mingguan 2026'!$EL$6:$EL$25,0)),"")</f>
        <v>0.373825403936398</v>
      </c>
      <c r="F166" s="6" t="str">
        <f aca="false">IF(ISNUMBER(E166),IF(E166&gt;0,"Penyumbang KENAIKAN IPH","Penyumbang PENURUNAN IPH"),"-")</f>
        <v>Penyumbang KENAIKAN IPH</v>
      </c>
    </row>
    <row r="167" customFormat="false" ht="15" hidden="false" customHeight="true" outlineLevel="0" collapsed="false">
      <c r="A167" s="5" t="n">
        <v>2</v>
      </c>
      <c r="B167" s="6" t="str">
        <f aca="false">IFERROR(INDEX('Perhitungan IPH Mingguan 2026'!$B$6:$B$25,MATCH(LARGE('Perhitungan IPH Mingguan 2026'!$EL$6:$EL$25,2),'Perhitungan IPH Mingguan 2026'!$EL$6:$EL$25,0)),"-")</f>
        <v>daging ayam ras 1124003</v>
      </c>
      <c r="C167" s="7" t="n">
        <f aca="false">IFERROR(INDEX('Perhitungan IPH Mingguan 2026'!$C$6:$C$25,MATCH(LARGE('Perhitungan IPH Mingguan 2026'!$EL$6:$EL$25,2),'Perhitungan IPH Mingguan 2026'!$EL$6:$EL$25,0)),"")</f>
        <v>0.0479107777850277</v>
      </c>
      <c r="D167" s="25" t="n">
        <f aca="false">IFERROR(INDEX('Perhitungan IPH Mingguan 2026'!$BM$6:$BM$25,MATCH(LARGE('Perhitungan IPH Mingguan 2026'!$EL$6:$EL$25,2),'Perhitungan IPH Mingguan 2026'!$EL$6:$EL$25,0)),"")</f>
        <v>3.47826086956522</v>
      </c>
      <c r="E167" s="7" t="n">
        <f aca="false">IFERROR(INDEX('Perhitungan IPH Mingguan 2026'!$BN$6:$BN$25,MATCH(LARGE('Perhitungan IPH Mingguan 2026'!$EL$6:$EL$25,2),'Perhitungan IPH Mingguan 2026'!$EL$6:$EL$25,0)),"")</f>
        <v>0.166646183600097</v>
      </c>
      <c r="F167" s="6" t="str">
        <f aca="false">IF(ISNUMBER(E167),IF(E167&gt;0,"Penyumbang KENAIKAN IPH","Penyumbang PENURUNAN IPH"),"-")</f>
        <v>Penyumbang KENAIKAN IPH</v>
      </c>
    </row>
    <row r="168" customFormat="false" ht="15" hidden="false" customHeight="true" outlineLevel="0" collapsed="false">
      <c r="A168" s="5" t="n">
        <v>3</v>
      </c>
      <c r="B168" s="6" t="str">
        <f aca="false">IFERROR(INDEX('Perhitungan IPH Mingguan 2026'!$B$6:$B$25,MATCH(LARGE('Perhitungan IPH Mingguan 2026'!$EL$6:$EL$25,3),'Perhitungan IPH Mingguan 2026'!$EL$6:$EL$25,0)),"-")</f>
        <v>udang lobster 01132004</v>
      </c>
      <c r="C168" s="7" t="n">
        <f aca="false">IFERROR(INDEX('Perhitungan IPH Mingguan 2026'!$C$6:$C$25,MATCH(LARGE('Perhitungan IPH Mingguan 2026'!$EL$6:$EL$25,3),'Perhitungan IPH Mingguan 2026'!$EL$6:$EL$25,0)),"")</f>
        <v>0.0370107543210236</v>
      </c>
      <c r="D168" s="25" t="n">
        <f aca="false">IFERROR(INDEX('Perhitungan IPH Mingguan 2026'!$BM$6:$BM$25,MATCH(LARGE('Perhitungan IPH Mingguan 2026'!$EL$6:$EL$25,3),'Perhitungan IPH Mingguan 2026'!$EL$6:$EL$25,0)),"")</f>
        <v>0</v>
      </c>
      <c r="E168" s="7" t="n">
        <f aca="false">IFERROR(INDEX('Perhitungan IPH Mingguan 2026'!$BN$6:$BN$25,MATCH(LARGE('Perhitungan IPH Mingguan 2026'!$EL$6:$EL$25,3),'Perhitungan IPH Mingguan 2026'!$EL$6:$EL$25,0)),"")</f>
        <v>0</v>
      </c>
      <c r="F168" s="6" t="str">
        <f aca="false">IF(ISNUMBER(E168),IF(E168&gt;0,"Penyumbang KENAIKAN IPH","Penyumbang PENURUNAN IPH"),"-")</f>
        <v>Penyumbang PENURUNAN IPH</v>
      </c>
    </row>
    <row r="169" customFormat="false" ht="15" hidden="false" customHeight="true" outlineLevel="0" collapsed="false">
      <c r="A169" s="5" t="n">
        <v>4</v>
      </c>
      <c r="B169" s="6" t="str">
        <f aca="false">IFERROR(INDEX('Perhitungan IPH Mingguan 2026'!$B$6:$B$25,MATCH(LARGE('Perhitungan IPH Mingguan 2026'!$EL$6:$EL$25,4),'Perhitungan IPH Mingguan 2026'!$EL$6:$EL$25,0)),"-")</f>
        <v>daging sapi 01121001</v>
      </c>
      <c r="C169" s="7" t="n">
        <f aca="false">IFERROR(INDEX('Perhitungan IPH Mingguan 2026'!$C$6:$C$25,MATCH(LARGE('Perhitungan IPH Mingguan 2026'!$EL$6:$EL$25,4),'Perhitungan IPH Mingguan 2026'!$EL$6:$EL$25,0)),"")</f>
        <v>0.0598704213474298</v>
      </c>
      <c r="D169" s="25" t="n">
        <f aca="false">IFERROR(INDEX('Perhitungan IPH Mingguan 2026'!$BM$6:$BM$25,MATCH(LARGE('Perhitungan IPH Mingguan 2026'!$EL$6:$EL$25,4),'Perhitungan IPH Mingguan 2026'!$EL$6:$EL$25,0)),"")</f>
        <v>0.360685302073933</v>
      </c>
      <c r="E169" s="7" t="n">
        <f aca="false">IFERROR(INDEX('Perhitungan IPH Mingguan 2026'!$BN$6:$BN$25,MATCH(LARGE('Perhitungan IPH Mingguan 2026'!$EL$6:$EL$25,4),'Perhitungan IPH Mingguan 2026'!$EL$6:$EL$25,0)),"")</f>
        <v>0.0215943810089914</v>
      </c>
      <c r="F169" s="6" t="str">
        <f aca="false">IF(ISNUMBER(E169),IF(E169&gt;0,"Penyumbang KENAIKAN IPH","Penyumbang PENURUNAN IPH"),"-")</f>
        <v>Penyumbang KENAIKAN IPH</v>
      </c>
    </row>
    <row r="170" customFormat="false" ht="15" hidden="false" customHeight="true" outlineLevel="0" collapsed="false">
      <c r="A170" s="5" t="n">
        <v>5</v>
      </c>
      <c r="B170" s="6" t="str">
        <f aca="false">IFERROR(INDEX('Perhitungan IPH Mingguan 2026'!$B$6:$B$25,MATCH(LARGE('Perhitungan IPH Mingguan 2026'!$EL$6:$EL$25,5),'Perhitungan IPH Mingguan 2026'!$EL$6:$EL$25,0)),"-")</f>
        <v>ikan kembung 01131028</v>
      </c>
      <c r="C170" s="7" t="n">
        <f aca="false">IFERROR(INDEX('Perhitungan IPH Mingguan 2026'!$C$6:$C$25,MATCH(LARGE('Perhitungan IPH Mingguan 2026'!$EL$6:$EL$25,5),'Perhitungan IPH Mingguan 2026'!$EL$6:$EL$25,0)),"")</f>
        <v>0.0207715409161349</v>
      </c>
      <c r="D170" s="25" t="n">
        <f aca="false">IFERROR(INDEX('Perhitungan IPH Mingguan 2026'!$BM$6:$BM$25,MATCH(LARGE('Perhitungan IPH Mingguan 2026'!$EL$6:$EL$25,5),'Perhitungan IPH Mingguan 2026'!$EL$6:$EL$25,0)),"")</f>
        <v>0</v>
      </c>
      <c r="E170" s="7" t="n">
        <f aca="false">IFERROR(INDEX('Perhitungan IPH Mingguan 2026'!$BN$6:$BN$25,MATCH(LARGE('Perhitungan IPH Mingguan 2026'!$EL$6:$EL$25,5),'Perhitungan IPH Mingguan 2026'!$EL$6:$EL$25,0)),"")</f>
        <v>0</v>
      </c>
      <c r="F170" s="6" t="str">
        <f aca="false">IF(ISNUMBER(E170),IF(E170&gt;0,"Penyumbang KENAIKAN IPH","Penyumbang PENURUNAN IPH"),"-")</f>
        <v>Penyumbang PENURUNAN IPH</v>
      </c>
    </row>
    <row r="172" customFormat="false" ht="15" hidden="false" customHeight="true" outlineLevel="0" collapsed="false">
      <c r="A172" s="24" t="s">
        <v>239</v>
      </c>
      <c r="B172" s="24"/>
      <c r="C172" s="24"/>
      <c r="D172" s="24"/>
      <c r="E172" s="24"/>
      <c r="F172" s="24"/>
    </row>
    <row r="173" customFormat="false" ht="21.75" hidden="false" customHeight="true" outlineLevel="0" collapsed="false">
      <c r="A173" s="3" t="s">
        <v>214</v>
      </c>
      <c r="B173" s="3" t="s">
        <v>215</v>
      </c>
      <c r="C173" s="3" t="s">
        <v>142</v>
      </c>
      <c r="D173" s="3" t="s">
        <v>216</v>
      </c>
      <c r="E173" s="3" t="s">
        <v>217</v>
      </c>
      <c r="F173" s="3" t="s">
        <v>218</v>
      </c>
    </row>
    <row r="174" customFormat="false" ht="15" hidden="false" customHeight="true" outlineLevel="0" collapsed="false">
      <c r="A174" s="5" t="n">
        <v>1</v>
      </c>
      <c r="B174" s="6" t="str">
        <f aca="false">IFERROR(INDEX('Perhitungan IPH Mingguan 2026'!$B$6:$B$25,MATCH(LARGE('Perhitungan IPH Mingguan 2026'!$EM$6:$EM$25,1),'Perhitungan IPH Mingguan 2026'!$EM$6:$EM$25,0)),"-")</f>
        <v>udang lobster 01132004</v>
      </c>
      <c r="C174" s="7" t="n">
        <f aca="false">IFERROR(INDEX('Perhitungan IPH Mingguan 2026'!$C$6:$C$25,MATCH(LARGE('Perhitungan IPH Mingguan 2026'!$EM$6:$EM$25,1),'Perhitungan IPH Mingguan 2026'!$EM$6:$EM$25,0)),"")</f>
        <v>0.0370107543210236</v>
      </c>
      <c r="D174" s="25" t="n">
        <f aca="false">IFERROR(INDEX('Perhitungan IPH Mingguan 2026'!$BP$6:$BP$25,MATCH(LARGE('Perhitungan IPH Mingguan 2026'!$EM$6:$EM$25,1),'Perhitungan IPH Mingguan 2026'!$EM$6:$EM$25,0)),"")</f>
        <v>0</v>
      </c>
      <c r="E174" s="7" t="n">
        <f aca="false">IFERROR(INDEX('Perhitungan IPH Mingguan 2026'!$BQ$6:$BQ$25,MATCH(LARGE('Perhitungan IPH Mingguan 2026'!$EM$6:$EM$25,1),'Perhitungan IPH Mingguan 2026'!$EM$6:$EM$25,0)),"")</f>
        <v>0</v>
      </c>
      <c r="F174" s="6" t="str">
        <f aca="false">IF(ISNUMBER(E174),IF(E174&gt;0,"Penyumbang KENAIKAN IPH","Penyumbang PENURUNAN IPH"),"-")</f>
        <v>Penyumbang PENURUNAN IPH</v>
      </c>
    </row>
    <row r="175" customFormat="false" ht="15" hidden="false" customHeight="true" outlineLevel="0" collapsed="false">
      <c r="A175" s="5" t="n">
        <v>2</v>
      </c>
      <c r="B175" s="6" t="str">
        <f aca="false">IFERROR(INDEX('Perhitungan IPH Mingguan 2026'!$B$6:$B$25,MATCH(LARGE('Perhitungan IPH Mingguan 2026'!$EM$6:$EM$25,2),'Perhitungan IPH Mingguan 2026'!$EM$6:$EM$25,0)),"-")</f>
        <v>cabai rawit 01173013</v>
      </c>
      <c r="C175" s="7" t="n">
        <f aca="false">IFERROR(INDEX('Perhitungan IPH Mingguan 2026'!$C$6:$C$25,MATCH(LARGE('Perhitungan IPH Mingguan 2026'!$EM$6:$EM$25,2),'Perhitungan IPH Mingguan 2026'!$EM$6:$EM$25,0)),"")</f>
        <v>0.0177017323628706</v>
      </c>
      <c r="D175" s="25" t="n">
        <f aca="false">IFERROR(INDEX('Perhitungan IPH Mingguan 2026'!$BP$6:$BP$25,MATCH(LARGE('Perhitungan IPH Mingguan 2026'!$EM$6:$EM$25,2),'Perhitungan IPH Mingguan 2026'!$EM$6:$EM$25,0)),"")</f>
        <v>36.6459627329193</v>
      </c>
      <c r="E175" s="7" t="n">
        <f aca="false">IFERROR(INDEX('Perhitungan IPH Mingguan 2026'!$BQ$6:$BQ$25,MATCH(LARGE('Perhitungan IPH Mingguan 2026'!$EM$6:$EM$25,2),'Perhitungan IPH Mingguan 2026'!$EM$6:$EM$25,0)),"")</f>
        <v>0.648697024477867</v>
      </c>
      <c r="F175" s="6" t="str">
        <f aca="false">IF(ISNUMBER(E175),IF(E175&gt;0,"Penyumbang KENAIKAN IPH","Penyumbang PENURUNAN IPH"),"-")</f>
        <v>Penyumbang KENAIKAN IPH</v>
      </c>
    </row>
    <row r="176" customFormat="false" ht="15" hidden="false" customHeight="true" outlineLevel="0" collapsed="false">
      <c r="A176" s="5" t="n">
        <v>3</v>
      </c>
      <c r="B176" s="6" t="str">
        <f aca="false">IFERROR(INDEX('Perhitungan IPH Mingguan 2026'!$B$6:$B$25,MATCH(LARGE('Perhitungan IPH Mingguan 2026'!$EM$6:$EM$25,3),'Perhitungan IPH Mingguan 2026'!$EM$6:$EM$25,0)),"-")</f>
        <v>bawang merah 1174006</v>
      </c>
      <c r="C176" s="7" t="n">
        <f aca="false">IFERROR(INDEX('Perhitungan IPH Mingguan 2026'!$C$6:$C$25,MATCH(LARGE('Perhitungan IPH Mingguan 2026'!$EM$6:$EM$25,3),'Perhitungan IPH Mingguan 2026'!$EM$6:$EM$25,0)),"")</f>
        <v>0.0194434650422287</v>
      </c>
      <c r="D176" s="25" t="n">
        <f aca="false">IFERROR(INDEX('Perhitungan IPH Mingguan 2026'!$BP$6:$BP$25,MATCH(LARGE('Perhitungan IPH Mingguan 2026'!$EM$6:$EM$25,3),'Perhitungan IPH Mingguan 2026'!$EM$6:$EM$25,0)),"")</f>
        <v>20.7667731629393</v>
      </c>
      <c r="E176" s="7" t="n">
        <f aca="false">IFERROR(INDEX('Perhitungan IPH Mingguan 2026'!$BQ$6:$BQ$25,MATCH(LARGE('Perhitungan IPH Mingguan 2026'!$EM$6:$EM$25,3),'Perhitungan IPH Mingguan 2026'!$EM$6:$EM$25,0)),"")</f>
        <v>0.403778028033503</v>
      </c>
      <c r="F176" s="6" t="str">
        <f aca="false">IF(ISNUMBER(E176),IF(E176&gt;0,"Penyumbang KENAIKAN IPH","Penyumbang PENURUNAN IPH"),"-")</f>
        <v>Penyumbang KENAIKAN IPH</v>
      </c>
    </row>
    <row r="177" customFormat="false" ht="15" hidden="false" customHeight="true" outlineLevel="0" collapsed="false">
      <c r="A177" s="5" t="n">
        <v>4</v>
      </c>
      <c r="B177" s="6" t="str">
        <f aca="false">IFERROR(INDEX('Perhitungan IPH Mingguan 2026'!$B$6:$B$25,MATCH(LARGE('Perhitungan IPH Mingguan 2026'!$EM$6:$EM$25,4),'Perhitungan IPH Mingguan 2026'!$EM$6:$EM$25,0)),"-")</f>
        <v>daging ayam ras 1124003</v>
      </c>
      <c r="C177" s="7" t="n">
        <f aca="false">IFERROR(INDEX('Perhitungan IPH Mingguan 2026'!$C$6:$C$25,MATCH(LARGE('Perhitungan IPH Mingguan 2026'!$EM$6:$EM$25,4),'Perhitungan IPH Mingguan 2026'!$EM$6:$EM$25,0)),"")</f>
        <v>0.0479107777850277</v>
      </c>
      <c r="D177" s="25" t="n">
        <f aca="false">IFERROR(INDEX('Perhitungan IPH Mingguan 2026'!$BP$6:$BP$25,MATCH(LARGE('Perhitungan IPH Mingguan 2026'!$EM$6:$EM$25,4),'Perhitungan IPH Mingguan 2026'!$EM$6:$EM$25,0)),"")</f>
        <v>2.46376811594203</v>
      </c>
      <c r="E177" s="7" t="n">
        <f aca="false">IFERROR(INDEX('Perhitungan IPH Mingguan 2026'!$BQ$6:$BQ$25,MATCH(LARGE('Perhitungan IPH Mingguan 2026'!$EM$6:$EM$25,4),'Perhitungan IPH Mingguan 2026'!$EM$6:$EM$25,0)),"")</f>
        <v>0.118041046716735</v>
      </c>
      <c r="F177" s="6" t="str">
        <f aca="false">IF(ISNUMBER(E177),IF(E177&gt;0,"Penyumbang KENAIKAN IPH","Penyumbang PENURUNAN IPH"),"-")</f>
        <v>Penyumbang KENAIKAN IPH</v>
      </c>
    </row>
    <row r="178" customFormat="false" ht="15" hidden="false" customHeight="true" outlineLevel="0" collapsed="false">
      <c r="A178" s="5" t="n">
        <v>5</v>
      </c>
      <c r="B178" s="6" t="str">
        <f aca="false">IFERROR(INDEX('Perhitungan IPH Mingguan 2026'!$B$6:$B$25,MATCH(LARGE('Perhitungan IPH Mingguan 2026'!$EM$6:$EM$25,5),'Perhitungan IPH Mingguan 2026'!$EM$6:$EM$25,0)),"-")</f>
        <v>cabai merah 01173012</v>
      </c>
      <c r="C178" s="7" t="n">
        <f aca="false">IFERROR(INDEX('Perhitungan IPH Mingguan 2026'!$C$6:$C$25,MATCH(LARGE('Perhitungan IPH Mingguan 2026'!$EM$6:$EM$25,5),'Perhitungan IPH Mingguan 2026'!$EM$6:$EM$25,0)),"")</f>
        <v>0.0110208839376634</v>
      </c>
      <c r="D178" s="25" t="n">
        <f aca="false">IFERROR(INDEX('Perhitungan IPH Mingguan 2026'!$BP$6:$BP$25,MATCH(LARGE('Perhitungan IPH Mingguan 2026'!$EM$6:$EM$25,5),'Perhitungan IPH Mingguan 2026'!$EM$6:$EM$25,0)),"")</f>
        <v>30.1632363378282</v>
      </c>
      <c r="E178" s="7" t="n">
        <f aca="false">IFERROR(INDEX('Perhitungan IPH Mingguan 2026'!$BQ$6:$BQ$25,MATCH(LARGE('Perhitungan IPH Mingguan 2026'!$EM$6:$EM$25,5),'Perhitungan IPH Mingguan 2026'!$EM$6:$EM$25,0)),"")</f>
        <v>0.332425526863516</v>
      </c>
      <c r="F178" s="6" t="str">
        <f aca="false">IF(ISNUMBER(E178),IF(E178&gt;0,"Penyumbang KENAIKAN IPH","Penyumbang PENURUNAN IPH"),"-")</f>
        <v>Penyumbang KENAIKAN IPH</v>
      </c>
    </row>
    <row r="180" customFormat="false" ht="15" hidden="false" customHeight="true" outlineLevel="0" collapsed="false">
      <c r="A180" s="24" t="s">
        <v>240</v>
      </c>
      <c r="B180" s="24"/>
      <c r="C180" s="24"/>
      <c r="D180" s="24"/>
      <c r="E180" s="24"/>
      <c r="F180" s="24"/>
    </row>
    <row r="181" customFormat="false" ht="21.75" hidden="false" customHeight="true" outlineLevel="0" collapsed="false">
      <c r="A181" s="3" t="s">
        <v>214</v>
      </c>
      <c r="B181" s="3" t="s">
        <v>215</v>
      </c>
      <c r="C181" s="3" t="s">
        <v>142</v>
      </c>
      <c r="D181" s="3" t="s">
        <v>216</v>
      </c>
      <c r="E181" s="3" t="s">
        <v>217</v>
      </c>
      <c r="F181" s="3" t="s">
        <v>218</v>
      </c>
    </row>
    <row r="182" customFormat="false" ht="15" hidden="false" customHeight="true" outlineLevel="0" collapsed="false">
      <c r="A182" s="5" t="n">
        <v>1</v>
      </c>
      <c r="B182" s="6" t="str">
        <f aca="false">IFERROR(INDEX('Perhitungan IPH Mingguan 2026'!$B$6:$B$25,MATCH(LARGE('Perhitungan IPH Mingguan 2026'!$EN$6:$EN$25,1),'Perhitungan IPH Mingguan 2026'!$EN$6:$EN$25,0)),"-")</f>
        <v>cabai rawit 01173013</v>
      </c>
      <c r="C182" s="7" t="n">
        <f aca="false">IFERROR(INDEX('Perhitungan IPH Mingguan 2026'!$C$6:$C$25,MATCH(LARGE('Perhitungan IPH Mingguan 2026'!$EN$6:$EN$25,1),'Perhitungan IPH Mingguan 2026'!$EN$6:$EN$25,0)),"")</f>
        <v>0.0177017323628706</v>
      </c>
      <c r="D182" s="25" t="n">
        <f aca="false">IFERROR(INDEX('Perhitungan IPH Mingguan 2026'!$BS$6:$BS$25,MATCH(LARGE('Perhitungan IPH Mingguan 2026'!$EN$6:$EN$25,1),'Perhitungan IPH Mingguan 2026'!$EN$6:$EN$25,0)),"")</f>
        <v>44.5962732919255</v>
      </c>
      <c r="E182" s="7" t="n">
        <f aca="false">IFERROR(INDEX('Perhitungan IPH Mingguan 2026'!$BT$6:$BT$25,MATCH(LARGE('Perhitungan IPH Mingguan 2026'!$EN$6:$EN$25,1),'Perhitungan IPH Mingguan 2026'!$EN$6:$EN$25,0)),"")</f>
        <v>0.789431294195099</v>
      </c>
      <c r="F182" s="6" t="str">
        <f aca="false">IF(ISNUMBER(E182),IF(E182&gt;0,"Penyumbang KENAIKAN IPH","Penyumbang PENURUNAN IPH"),"-")</f>
        <v>Penyumbang KENAIKAN IPH</v>
      </c>
    </row>
    <row r="183" customFormat="false" ht="15" hidden="false" customHeight="true" outlineLevel="0" collapsed="false">
      <c r="A183" s="5" t="n">
        <v>2</v>
      </c>
      <c r="B183" s="6" t="str">
        <f aca="false">IFERROR(INDEX('Perhitungan IPH Mingguan 2026'!$B$6:$B$25,MATCH(LARGE('Perhitungan IPH Mingguan 2026'!$EN$6:$EN$25,2),'Perhitungan IPH Mingguan 2026'!$EN$6:$EN$25,0)),"-")</f>
        <v>daging ayam ras 1124003</v>
      </c>
      <c r="C183" s="7" t="n">
        <f aca="false">IFERROR(INDEX('Perhitungan IPH Mingguan 2026'!$C$6:$C$25,MATCH(LARGE('Perhitungan IPH Mingguan 2026'!$EN$6:$EN$25,2),'Perhitungan IPH Mingguan 2026'!$EN$6:$EN$25,0)),"")</f>
        <v>0.0479107777850277</v>
      </c>
      <c r="D183" s="25" t="n">
        <f aca="false">IFERROR(INDEX('Perhitungan IPH Mingguan 2026'!$BS$6:$BS$25,MATCH(LARGE('Perhitungan IPH Mingguan 2026'!$EN$6:$EN$25,2),'Perhitungan IPH Mingguan 2026'!$EN$6:$EN$25,0)),"")</f>
        <v>-2.60869565217391</v>
      </c>
      <c r="E183" s="7" t="n">
        <f aca="false">IFERROR(INDEX('Perhitungan IPH Mingguan 2026'!$BT$6:$BT$25,MATCH(LARGE('Perhitungan IPH Mingguan 2026'!$EN$6:$EN$25,2),'Perhitungan IPH Mingguan 2026'!$EN$6:$EN$25,0)),"")</f>
        <v>-0.124984637700072</v>
      </c>
      <c r="F183" s="6" t="str">
        <f aca="false">IF(ISNUMBER(E183),IF(E183&gt;0,"Penyumbang KENAIKAN IPH","Penyumbang PENURUNAN IPH"),"-")</f>
        <v>Penyumbang PENURUNAN IPH</v>
      </c>
    </row>
    <row r="184" customFormat="false" ht="15" hidden="false" customHeight="true" outlineLevel="0" collapsed="false">
      <c r="A184" s="5" t="n">
        <v>3</v>
      </c>
      <c r="B184" s="6" t="str">
        <f aca="false">IFERROR(INDEX('Perhitungan IPH Mingguan 2026'!$B$6:$B$25,MATCH(LARGE('Perhitungan IPH Mingguan 2026'!$EN$6:$EN$25,3),'Perhitungan IPH Mingguan 2026'!$EN$6:$EN$25,0)),"-")</f>
        <v>daging sapi 01121001</v>
      </c>
      <c r="C184" s="7" t="n">
        <f aca="false">IFERROR(INDEX('Perhitungan IPH Mingguan 2026'!$C$6:$C$25,MATCH(LARGE('Perhitungan IPH Mingguan 2026'!$EN$6:$EN$25,3),'Perhitungan IPH Mingguan 2026'!$EN$6:$EN$25,0)),"")</f>
        <v>0.0598704213474298</v>
      </c>
      <c r="D184" s="25" t="n">
        <f aca="false">IFERROR(INDEX('Perhitungan IPH Mingguan 2026'!$BS$6:$BS$25,MATCH(LARGE('Perhitungan IPH Mingguan 2026'!$EN$6:$EN$25,3),'Perhitungan IPH Mingguan 2026'!$EN$6:$EN$25,0)),"")</f>
        <v>0.360685302073933</v>
      </c>
      <c r="E184" s="7" t="n">
        <f aca="false">IFERROR(INDEX('Perhitungan IPH Mingguan 2026'!$BT$6:$BT$25,MATCH(LARGE('Perhitungan IPH Mingguan 2026'!$EN$6:$EN$25,3),'Perhitungan IPH Mingguan 2026'!$EN$6:$EN$25,0)),"")</f>
        <v>0.0215943810089914</v>
      </c>
      <c r="F184" s="6" t="str">
        <f aca="false">IF(ISNUMBER(E184),IF(E184&gt;0,"Penyumbang KENAIKAN IPH","Penyumbang PENURUNAN IPH"),"-")</f>
        <v>Penyumbang KENAIKAN IPH</v>
      </c>
    </row>
    <row r="185" customFormat="false" ht="15" hidden="false" customHeight="true" outlineLevel="0" collapsed="false">
      <c r="A185" s="5" t="n">
        <v>4</v>
      </c>
      <c r="B185" s="6" t="str">
        <f aca="false">IFERROR(INDEX('Perhitungan IPH Mingguan 2026'!$B$6:$B$25,MATCH(LARGE('Perhitungan IPH Mingguan 2026'!$EN$6:$EN$25,4),'Perhitungan IPH Mingguan 2026'!$EN$6:$EN$25,0)),"-")</f>
        <v>udang lobster 01132004</v>
      </c>
      <c r="C185" s="7" t="n">
        <f aca="false">IFERROR(INDEX('Perhitungan IPH Mingguan 2026'!$C$6:$C$25,MATCH(LARGE('Perhitungan IPH Mingguan 2026'!$EN$6:$EN$25,4),'Perhitungan IPH Mingguan 2026'!$EN$6:$EN$25,0)),"")</f>
        <v>0.0370107543210236</v>
      </c>
      <c r="D185" s="25" t="n">
        <f aca="false">IFERROR(INDEX('Perhitungan IPH Mingguan 2026'!$BS$6:$BS$25,MATCH(LARGE('Perhitungan IPH Mingguan 2026'!$EN$6:$EN$25,4),'Perhitungan IPH Mingguan 2026'!$EN$6:$EN$25,0)),"")</f>
        <v>0</v>
      </c>
      <c r="E185" s="7" t="n">
        <f aca="false">IFERROR(INDEX('Perhitungan IPH Mingguan 2026'!$BT$6:$BT$25,MATCH(LARGE('Perhitungan IPH Mingguan 2026'!$EN$6:$EN$25,4),'Perhitungan IPH Mingguan 2026'!$EN$6:$EN$25,0)),"")</f>
        <v>0</v>
      </c>
      <c r="F185" s="6" t="str">
        <f aca="false">IF(ISNUMBER(E185),IF(E185&gt;0,"Penyumbang KENAIKAN IPH","Penyumbang PENURUNAN IPH"),"-")</f>
        <v>Penyumbang PENURUNAN IPH</v>
      </c>
    </row>
    <row r="186" customFormat="false" ht="15" hidden="false" customHeight="true" outlineLevel="0" collapsed="false">
      <c r="A186" s="5" t="n">
        <v>5</v>
      </c>
      <c r="B186" s="6" t="str">
        <f aca="false">IFERROR(INDEX('Perhitungan IPH Mingguan 2026'!$B$6:$B$25,MATCH(LARGE('Perhitungan IPH Mingguan 2026'!$EN$6:$EN$25,5),'Perhitungan IPH Mingguan 2026'!$EN$6:$EN$25,0)),"-")</f>
        <v>ikan kembung 01131028</v>
      </c>
      <c r="C186" s="7" t="n">
        <f aca="false">IFERROR(INDEX('Perhitungan IPH Mingguan 2026'!$C$6:$C$25,MATCH(LARGE('Perhitungan IPH Mingguan 2026'!$EN$6:$EN$25,5),'Perhitungan IPH Mingguan 2026'!$EN$6:$EN$25,0)),"")</f>
        <v>0.0207715409161349</v>
      </c>
      <c r="D186" s="25" t="n">
        <f aca="false">IFERROR(INDEX('Perhitungan IPH Mingguan 2026'!$BS$6:$BS$25,MATCH(LARGE('Perhitungan IPH Mingguan 2026'!$EN$6:$EN$25,5),'Perhitungan IPH Mingguan 2026'!$EN$6:$EN$25,0)),"")</f>
        <v>0</v>
      </c>
      <c r="E186" s="7" t="n">
        <f aca="false">IFERROR(INDEX('Perhitungan IPH Mingguan 2026'!$BT$6:$BT$25,MATCH(LARGE('Perhitungan IPH Mingguan 2026'!$EN$6:$EN$25,5),'Perhitungan IPH Mingguan 2026'!$EN$6:$EN$25,0)),"")</f>
        <v>0</v>
      </c>
      <c r="F186" s="6" t="str">
        <f aca="false">IF(ISNUMBER(E186),IF(E186&gt;0,"Penyumbang KENAIKAN IPH","Penyumbang PENURUNAN IPH"),"-")</f>
        <v>Penyumbang PENURUNAN IPH</v>
      </c>
    </row>
    <row r="188" customFormat="false" ht="15" hidden="false" customHeight="true" outlineLevel="0" collapsed="false">
      <c r="A188" s="24" t="s">
        <v>241</v>
      </c>
      <c r="B188" s="24"/>
      <c r="C188" s="24"/>
      <c r="D188" s="24"/>
      <c r="E188" s="24"/>
      <c r="F188" s="24"/>
    </row>
    <row r="189" customFormat="false" ht="21.75" hidden="false" customHeight="true" outlineLevel="0" collapsed="false">
      <c r="A189" s="3" t="s">
        <v>214</v>
      </c>
      <c r="B189" s="3" t="s">
        <v>215</v>
      </c>
      <c r="C189" s="3" t="s">
        <v>142</v>
      </c>
      <c r="D189" s="3" t="s">
        <v>216</v>
      </c>
      <c r="E189" s="3" t="s">
        <v>217</v>
      </c>
      <c r="F189" s="3" t="s">
        <v>218</v>
      </c>
    </row>
    <row r="190" customFormat="false" ht="15" hidden="false" customHeight="true" outlineLevel="0" collapsed="false">
      <c r="A190" s="5" t="n">
        <v>1</v>
      </c>
      <c r="B190" s="6" t="str">
        <f aca="false">IFERROR(INDEX('Perhitungan IPH Mingguan 2026'!$B$6:$B$25,MATCH(LARGE('Perhitungan IPH Mingguan 2026'!$EO$6:$EO$25,1),'Perhitungan IPH Mingguan 2026'!$EO$6:$EO$25,0)),"-")</f>
        <v>cabai rawit 01173013</v>
      </c>
      <c r="C190" s="7" t="n">
        <f aca="false">IFERROR(INDEX('Perhitungan IPH Mingguan 2026'!$C$6:$C$25,MATCH(LARGE('Perhitungan IPH Mingguan 2026'!$EO$6:$EO$25,1),'Perhitungan IPH Mingguan 2026'!$EO$6:$EO$25,0)),"")</f>
        <v>0.0177017323628706</v>
      </c>
      <c r="D190" s="25" t="n">
        <f aca="false">IFERROR(INDEX('Perhitungan IPH Mingguan 2026'!$BV$6:$BV$25,MATCH(LARGE('Perhitungan IPH Mingguan 2026'!$EO$6:$EO$25,1),'Perhitungan IPH Mingguan 2026'!$EO$6:$EO$25,0)),"")</f>
        <v>34.7826086956522</v>
      </c>
      <c r="E190" s="7" t="n">
        <f aca="false">IFERROR(INDEX('Perhitungan IPH Mingguan 2026'!$BW$6:$BW$25,MATCH(LARGE('Perhitungan IPH Mingguan 2026'!$EO$6:$EO$25,1),'Perhitungan IPH Mingguan 2026'!$EO$6:$EO$25,0)),"")</f>
        <v>0.61571243001289</v>
      </c>
      <c r="F190" s="6" t="str">
        <f aca="false">IF(ISNUMBER(E190),IF(E190&gt;0,"Penyumbang KENAIKAN IPH","Penyumbang PENURUNAN IPH"),"-")</f>
        <v>Penyumbang KENAIKAN IPH</v>
      </c>
    </row>
    <row r="191" customFormat="false" ht="15" hidden="false" customHeight="true" outlineLevel="0" collapsed="false">
      <c r="A191" s="5" t="n">
        <v>2</v>
      </c>
      <c r="B191" s="6" t="str">
        <f aca="false">IFERROR(INDEX('Perhitungan IPH Mingguan 2026'!$B$6:$B$25,MATCH(LARGE('Perhitungan IPH Mingguan 2026'!$EO$6:$EO$25,2),'Perhitungan IPH Mingguan 2026'!$EO$6:$EO$25,0)),"-")</f>
        <v>daging ayam ras 1124003</v>
      </c>
      <c r="C191" s="7" t="n">
        <f aca="false">IFERROR(INDEX('Perhitungan IPH Mingguan 2026'!$C$6:$C$25,MATCH(LARGE('Perhitungan IPH Mingguan 2026'!$EO$6:$EO$25,2),'Perhitungan IPH Mingguan 2026'!$EO$6:$EO$25,0)),"")</f>
        <v>0.0479107777850277</v>
      </c>
      <c r="D191" s="25" t="n">
        <f aca="false">IFERROR(INDEX('Perhitungan IPH Mingguan 2026'!$BV$6:$BV$25,MATCH(LARGE('Perhitungan IPH Mingguan 2026'!$EO$6:$EO$25,2),'Perhitungan IPH Mingguan 2026'!$EO$6:$EO$25,0)),"")</f>
        <v>-2.60869565217391</v>
      </c>
      <c r="E191" s="7" t="n">
        <f aca="false">IFERROR(INDEX('Perhitungan IPH Mingguan 2026'!$BW$6:$BW$25,MATCH(LARGE('Perhitungan IPH Mingguan 2026'!$EO$6:$EO$25,2),'Perhitungan IPH Mingguan 2026'!$EO$6:$EO$25,0)),"")</f>
        <v>-0.124984637700072</v>
      </c>
      <c r="F191" s="6" t="str">
        <f aca="false">IF(ISNUMBER(E191),IF(E191&gt;0,"Penyumbang KENAIKAN IPH","Penyumbang PENURUNAN IPH"),"-")</f>
        <v>Penyumbang PENURUNAN IPH</v>
      </c>
    </row>
    <row r="192" customFormat="false" ht="15" hidden="false" customHeight="true" outlineLevel="0" collapsed="false">
      <c r="A192" s="5" t="n">
        <v>3</v>
      </c>
      <c r="B192" s="6" t="str">
        <f aca="false">IFERROR(INDEX('Perhitungan IPH Mingguan 2026'!$B$6:$B$25,MATCH(LARGE('Perhitungan IPH Mingguan 2026'!$EO$6:$EO$25,3),'Perhitungan IPH Mingguan 2026'!$EO$6:$EO$25,0)),"-")</f>
        <v>daging sapi 01121001</v>
      </c>
      <c r="C192" s="7" t="n">
        <f aca="false">IFERROR(INDEX('Perhitungan IPH Mingguan 2026'!$C$6:$C$25,MATCH(LARGE('Perhitungan IPH Mingguan 2026'!$EO$6:$EO$25,3),'Perhitungan IPH Mingguan 2026'!$EO$6:$EO$25,0)),"")</f>
        <v>0.0598704213474298</v>
      </c>
      <c r="D192" s="25" t="n">
        <f aca="false">IFERROR(INDEX('Perhitungan IPH Mingguan 2026'!$BV$6:$BV$25,MATCH(LARGE('Perhitungan IPH Mingguan 2026'!$EO$6:$EO$25,3),'Perhitungan IPH Mingguan 2026'!$EO$6:$EO$25,0)),"")</f>
        <v>0.360685302073933</v>
      </c>
      <c r="E192" s="7" t="n">
        <f aca="false">IFERROR(INDEX('Perhitungan IPH Mingguan 2026'!$BW$6:$BW$25,MATCH(LARGE('Perhitungan IPH Mingguan 2026'!$EO$6:$EO$25,3),'Perhitungan IPH Mingguan 2026'!$EO$6:$EO$25,0)),"")</f>
        <v>0.0215943810089914</v>
      </c>
      <c r="F192" s="6" t="str">
        <f aca="false">IF(ISNUMBER(E192),IF(E192&gt;0,"Penyumbang KENAIKAN IPH","Penyumbang PENURUNAN IPH"),"-")</f>
        <v>Penyumbang KENAIKAN IPH</v>
      </c>
    </row>
    <row r="193" customFormat="false" ht="15" hidden="false" customHeight="true" outlineLevel="0" collapsed="false">
      <c r="A193" s="5" t="n">
        <v>4</v>
      </c>
      <c r="B193" s="6" t="str">
        <f aca="false">IFERROR(INDEX('Perhitungan IPH Mingguan 2026'!$B$6:$B$25,MATCH(LARGE('Perhitungan IPH Mingguan 2026'!$EO$6:$EO$25,4),'Perhitungan IPH Mingguan 2026'!$EO$6:$EO$25,0)),"-")</f>
        <v>udang lobster 01132004</v>
      </c>
      <c r="C193" s="7" t="n">
        <f aca="false">IFERROR(INDEX('Perhitungan IPH Mingguan 2026'!$C$6:$C$25,MATCH(LARGE('Perhitungan IPH Mingguan 2026'!$EO$6:$EO$25,4),'Perhitungan IPH Mingguan 2026'!$EO$6:$EO$25,0)),"")</f>
        <v>0.0370107543210236</v>
      </c>
      <c r="D193" s="25" t="n">
        <f aca="false">IFERROR(INDEX('Perhitungan IPH Mingguan 2026'!$BV$6:$BV$25,MATCH(LARGE('Perhitungan IPH Mingguan 2026'!$EO$6:$EO$25,4),'Perhitungan IPH Mingguan 2026'!$EO$6:$EO$25,0)),"")</f>
        <v>0</v>
      </c>
      <c r="E193" s="7" t="n">
        <f aca="false">IFERROR(INDEX('Perhitungan IPH Mingguan 2026'!$BW$6:$BW$25,MATCH(LARGE('Perhitungan IPH Mingguan 2026'!$EO$6:$EO$25,4),'Perhitungan IPH Mingguan 2026'!$EO$6:$EO$25,0)),"")</f>
        <v>0</v>
      </c>
      <c r="F193" s="6" t="str">
        <f aca="false">IF(ISNUMBER(E193),IF(E193&gt;0,"Penyumbang KENAIKAN IPH","Penyumbang PENURUNAN IPH"),"-")</f>
        <v>Penyumbang PENURUNAN IPH</v>
      </c>
    </row>
    <row r="194" customFormat="false" ht="15" hidden="false" customHeight="true" outlineLevel="0" collapsed="false">
      <c r="A194" s="5" t="n">
        <v>5</v>
      </c>
      <c r="B194" s="6" t="str">
        <f aca="false">IFERROR(INDEX('Perhitungan IPH Mingguan 2026'!$B$6:$B$25,MATCH(LARGE('Perhitungan IPH Mingguan 2026'!$EO$6:$EO$25,5),'Perhitungan IPH Mingguan 2026'!$EO$6:$EO$25,0)),"-")</f>
        <v>ikan kembung 01131028</v>
      </c>
      <c r="C194" s="7" t="n">
        <f aca="false">IFERROR(INDEX('Perhitungan IPH Mingguan 2026'!$C$6:$C$25,MATCH(LARGE('Perhitungan IPH Mingguan 2026'!$EO$6:$EO$25,5),'Perhitungan IPH Mingguan 2026'!$EO$6:$EO$25,0)),"")</f>
        <v>0.0207715409161349</v>
      </c>
      <c r="D194" s="25" t="n">
        <f aca="false">IFERROR(INDEX('Perhitungan IPH Mingguan 2026'!$BV$6:$BV$25,MATCH(LARGE('Perhitungan IPH Mingguan 2026'!$EO$6:$EO$25,5),'Perhitungan IPH Mingguan 2026'!$EO$6:$EO$25,0)),"")</f>
        <v>0</v>
      </c>
      <c r="E194" s="7" t="n">
        <f aca="false">IFERROR(INDEX('Perhitungan IPH Mingguan 2026'!$BW$6:$BW$25,MATCH(LARGE('Perhitungan IPH Mingguan 2026'!$EO$6:$EO$25,5),'Perhitungan IPH Mingguan 2026'!$EO$6:$EO$25,0)),"")</f>
        <v>0</v>
      </c>
      <c r="F194" s="6" t="str">
        <f aca="false">IF(ISNUMBER(E194),IF(E194&gt;0,"Penyumbang KENAIKAN IPH","Penyumbang PENURUNAN IPH"),"-")</f>
        <v>Penyumbang PENURUNAN IPH</v>
      </c>
    </row>
    <row r="196" customFormat="false" ht="15" hidden="false" customHeight="true" outlineLevel="0" collapsed="false">
      <c r="A196" s="24" t="s">
        <v>242</v>
      </c>
      <c r="B196" s="24"/>
      <c r="C196" s="24"/>
      <c r="D196" s="24"/>
      <c r="E196" s="24"/>
      <c r="F196" s="24"/>
    </row>
    <row r="197" customFormat="false" ht="21.75" hidden="false" customHeight="true" outlineLevel="0" collapsed="false">
      <c r="A197" s="3" t="s">
        <v>214</v>
      </c>
      <c r="B197" s="3" t="s">
        <v>215</v>
      </c>
      <c r="C197" s="3" t="s">
        <v>142</v>
      </c>
      <c r="D197" s="3" t="s">
        <v>216</v>
      </c>
      <c r="E197" s="3" t="s">
        <v>217</v>
      </c>
      <c r="F197" s="3" t="s">
        <v>218</v>
      </c>
    </row>
    <row r="198" customFormat="false" ht="15" hidden="false" customHeight="true" outlineLevel="0" collapsed="false">
      <c r="A198" s="5" t="n">
        <v>1</v>
      </c>
      <c r="B198" s="6" t="str">
        <f aca="false">IFERROR(INDEX('Perhitungan IPH Mingguan 2026'!$B$6:$B$25,MATCH(LARGE('Perhitungan IPH Mingguan 2026'!$EP$6:$EP$25,1),'Perhitungan IPH Mingguan 2026'!$EP$6:$EP$25,0)),"-")</f>
        <v>cabai rawit 01173013</v>
      </c>
      <c r="C198" s="7" t="n">
        <f aca="false">IFERROR(INDEX('Perhitungan IPH Mingguan 2026'!$C$6:$C$25,MATCH(LARGE('Perhitungan IPH Mingguan 2026'!$EP$6:$EP$25,1),'Perhitungan IPH Mingguan 2026'!$EP$6:$EP$25,0)),"")</f>
        <v>0.0177017323628706</v>
      </c>
      <c r="D198" s="25" t="n">
        <f aca="false">IFERROR(INDEX('Perhitungan IPH Mingguan 2026'!$BY$6:$BY$25,MATCH(LARGE('Perhitungan IPH Mingguan 2026'!$EP$6:$EP$25,1),'Perhitungan IPH Mingguan 2026'!$EP$6:$EP$25,0)),"")</f>
        <v>-11.304347826087</v>
      </c>
      <c r="E198" s="7" t="n">
        <f aca="false">IFERROR(INDEX('Perhitungan IPH Mingguan 2026'!$BZ$6:$BZ$25,MATCH(LARGE('Perhitungan IPH Mingguan 2026'!$EP$6:$EP$25,1),'Perhitungan IPH Mingguan 2026'!$EP$6:$EP$25,0)),"")</f>
        <v>-0.200106539754189</v>
      </c>
      <c r="F198" s="6" t="str">
        <f aca="false">IF(ISNUMBER(E198),IF(E198&gt;0,"Penyumbang KENAIKAN IPH","Penyumbang PENURUNAN IPH"),"-")</f>
        <v>Penyumbang PENURUNAN IPH</v>
      </c>
    </row>
    <row r="199" customFormat="false" ht="15" hidden="false" customHeight="true" outlineLevel="0" collapsed="false">
      <c r="A199" s="5" t="n">
        <v>2</v>
      </c>
      <c r="B199" s="6" t="str">
        <f aca="false">IFERROR(INDEX('Perhitungan IPH Mingguan 2026'!$B$6:$B$25,MATCH(LARGE('Perhitungan IPH Mingguan 2026'!$EP$6:$EP$25,2),'Perhitungan IPH Mingguan 2026'!$EP$6:$EP$25,0)),"-")</f>
        <v>daging ayam ras 1124003</v>
      </c>
      <c r="C199" s="7" t="n">
        <f aca="false">IFERROR(INDEX('Perhitungan IPH Mingguan 2026'!$C$6:$C$25,MATCH(LARGE('Perhitungan IPH Mingguan 2026'!$EP$6:$EP$25,2),'Perhitungan IPH Mingguan 2026'!$EP$6:$EP$25,0)),"")</f>
        <v>0.0479107777850277</v>
      </c>
      <c r="D199" s="25" t="n">
        <f aca="false">IFERROR(INDEX('Perhitungan IPH Mingguan 2026'!$BY$6:$BY$25,MATCH(LARGE('Perhitungan IPH Mingguan 2026'!$EP$6:$EP$25,2),'Perhitungan IPH Mingguan 2026'!$EP$6:$EP$25,0)),"")</f>
        <v>-3.60531309297913</v>
      </c>
      <c r="E199" s="7" t="n">
        <f aca="false">IFERROR(INDEX('Perhitungan IPH Mingguan 2026'!$BZ$6:$BZ$25,MATCH(LARGE('Perhitungan IPH Mingguan 2026'!$EP$6:$EP$25,2),'Perhitungan IPH Mingguan 2026'!$EP$6:$EP$25,0)),"")</f>
        <v>-0.172733354443174</v>
      </c>
      <c r="F199" s="6" t="str">
        <f aca="false">IF(ISNUMBER(E199),IF(E199&gt;0,"Penyumbang KENAIKAN IPH","Penyumbang PENURUNAN IPH"),"-")</f>
        <v>Penyumbang PENURUNAN IPH</v>
      </c>
    </row>
    <row r="200" customFormat="false" ht="15" hidden="false" customHeight="true" outlineLevel="0" collapsed="false">
      <c r="A200" s="5" t="n">
        <v>3</v>
      </c>
      <c r="B200" s="6" t="str">
        <f aca="false">IFERROR(INDEX('Perhitungan IPH Mingguan 2026'!$B$6:$B$25,MATCH(LARGE('Perhitungan IPH Mingguan 2026'!$EP$6:$EP$25,3),'Perhitungan IPH Mingguan 2026'!$EP$6:$EP$25,0)),"-")</f>
        <v>daging sapi 01121001</v>
      </c>
      <c r="C200" s="7" t="n">
        <f aca="false">IFERROR(INDEX('Perhitungan IPH Mingguan 2026'!$C$6:$C$25,MATCH(LARGE('Perhitungan IPH Mingguan 2026'!$EP$6:$EP$25,3),'Perhitungan IPH Mingguan 2026'!$EP$6:$EP$25,0)),"")</f>
        <v>0.0598704213474298</v>
      </c>
      <c r="D200" s="25" t="n">
        <f aca="false">IFERROR(INDEX('Perhitungan IPH Mingguan 2026'!$BY$6:$BY$25,MATCH(LARGE('Perhitungan IPH Mingguan 2026'!$EP$6:$EP$25,3),'Perhitungan IPH Mingguan 2026'!$EP$6:$EP$25,0)),"")</f>
        <v>0</v>
      </c>
      <c r="E200" s="7" t="n">
        <f aca="false">IFERROR(INDEX('Perhitungan IPH Mingguan 2026'!$BZ$6:$BZ$25,MATCH(LARGE('Perhitungan IPH Mingguan 2026'!$EP$6:$EP$25,3),'Perhitungan IPH Mingguan 2026'!$EP$6:$EP$25,0)),"")</f>
        <v>0</v>
      </c>
      <c r="F200" s="6" t="str">
        <f aca="false">IF(ISNUMBER(E200),IF(E200&gt;0,"Penyumbang KENAIKAN IPH","Penyumbang PENURUNAN IPH"),"-")</f>
        <v>Penyumbang PENURUNAN IPH</v>
      </c>
    </row>
    <row r="201" customFormat="false" ht="15" hidden="false" customHeight="true" outlineLevel="0" collapsed="false">
      <c r="A201" s="5" t="n">
        <v>4</v>
      </c>
      <c r="B201" s="6" t="str">
        <f aca="false">IFERROR(INDEX('Perhitungan IPH Mingguan 2026'!$B$6:$B$25,MATCH(LARGE('Perhitungan IPH Mingguan 2026'!$EP$6:$EP$25,4),'Perhitungan IPH Mingguan 2026'!$EP$6:$EP$25,0)),"-")</f>
        <v>ikan kembung 01131028</v>
      </c>
      <c r="C201" s="7" t="n">
        <f aca="false">IFERROR(INDEX('Perhitungan IPH Mingguan 2026'!$C$6:$C$25,MATCH(LARGE('Perhitungan IPH Mingguan 2026'!$EP$6:$EP$25,4),'Perhitungan IPH Mingguan 2026'!$EP$6:$EP$25,0)),"")</f>
        <v>0.0207715409161349</v>
      </c>
      <c r="D201" s="25" t="n">
        <f aca="false">IFERROR(INDEX('Perhitungan IPH Mingguan 2026'!$BY$6:$BY$25,MATCH(LARGE('Perhitungan IPH Mingguan 2026'!$EP$6:$EP$25,4),'Perhitungan IPH Mingguan 2026'!$EP$6:$EP$25,0)),"")</f>
        <v>0</v>
      </c>
      <c r="E201" s="7" t="n">
        <f aca="false">IFERROR(INDEX('Perhitungan IPH Mingguan 2026'!$BZ$6:$BZ$25,MATCH(LARGE('Perhitungan IPH Mingguan 2026'!$EP$6:$EP$25,4),'Perhitungan IPH Mingguan 2026'!$EP$6:$EP$25,0)),"")</f>
        <v>0</v>
      </c>
      <c r="F201" s="6" t="str">
        <f aca="false">IF(ISNUMBER(E201),IF(E201&gt;0,"Penyumbang KENAIKAN IPH","Penyumbang PENURUNAN IPH"),"-")</f>
        <v>Penyumbang PENURUNAN IPH</v>
      </c>
    </row>
    <row r="202" customFormat="false" ht="15" hidden="false" customHeight="true" outlineLevel="0" collapsed="false">
      <c r="A202" s="5" t="n">
        <v>5</v>
      </c>
      <c r="B202" s="6" t="str">
        <f aca="false">IFERROR(INDEX('Perhitungan IPH Mingguan 2026'!$B$6:$B$25,MATCH(LARGE('Perhitungan IPH Mingguan 2026'!$EP$6:$EP$25,5),'Perhitungan IPH Mingguan 2026'!$EP$6:$EP$25,0)),"-")</f>
        <v>tempe 01194013</v>
      </c>
      <c r="C202" s="7" t="n">
        <f aca="false">IFERROR(INDEX('Perhitungan IPH Mingguan 2026'!$C$6:$C$25,MATCH(LARGE('Perhitungan IPH Mingguan 2026'!$EP$6:$EP$25,5),'Perhitungan IPH Mingguan 2026'!$EP$6:$EP$25,0)),"")</f>
        <v>0.0202825952223294</v>
      </c>
      <c r="D202" s="25" t="n">
        <f aca="false">IFERROR(INDEX('Perhitungan IPH Mingguan 2026'!$BY$6:$BY$25,MATCH(LARGE('Perhitungan IPH Mingguan 2026'!$EP$6:$EP$25,5),'Perhitungan IPH Mingguan 2026'!$EP$6:$EP$25,0)),"")</f>
        <v>0</v>
      </c>
      <c r="E202" s="7" t="n">
        <f aca="false">IFERROR(INDEX('Perhitungan IPH Mingguan 2026'!$BZ$6:$BZ$25,MATCH(LARGE('Perhitungan IPH Mingguan 2026'!$EP$6:$EP$25,5),'Perhitungan IPH Mingguan 2026'!$EP$6:$EP$25,0)),"")</f>
        <v>0</v>
      </c>
      <c r="F202" s="6" t="str">
        <f aca="false">IF(ISNUMBER(E202),IF(E202&gt;0,"Penyumbang KENAIKAN IPH","Penyumbang PENURUNAN IPH"),"-")</f>
        <v>Penyumbang PENURUNAN IPH</v>
      </c>
    </row>
    <row r="204" customFormat="false" ht="15" hidden="false" customHeight="true" outlineLevel="0" collapsed="false">
      <c r="A204" s="24" t="s">
        <v>243</v>
      </c>
      <c r="B204" s="24"/>
      <c r="C204" s="24"/>
      <c r="D204" s="24"/>
      <c r="E204" s="24"/>
      <c r="F204" s="24"/>
    </row>
    <row r="205" customFormat="false" ht="21.75" hidden="false" customHeight="true" outlineLevel="0" collapsed="false">
      <c r="A205" s="3" t="s">
        <v>214</v>
      </c>
      <c r="B205" s="3" t="s">
        <v>215</v>
      </c>
      <c r="C205" s="3" t="s">
        <v>142</v>
      </c>
      <c r="D205" s="3" t="s">
        <v>216</v>
      </c>
      <c r="E205" s="3" t="s">
        <v>217</v>
      </c>
      <c r="F205" s="3" t="s">
        <v>218</v>
      </c>
    </row>
    <row r="206" customFormat="false" ht="15" hidden="false" customHeight="true" outlineLevel="0" collapsed="false">
      <c r="A206" s="5" t="n">
        <v>1</v>
      </c>
      <c r="B206" s="6" t="str">
        <f aca="false">IFERROR(INDEX('Perhitungan IPH Mingguan 2026'!$B$6:$B$25,MATCH(LARGE('Perhitungan IPH Mingguan 2026'!$EQ$6:$EQ$25,1),'Perhitungan IPH Mingguan 2026'!$EQ$6:$EQ$25,0)),"-")</f>
        <v>cabai rawit 01173013</v>
      </c>
      <c r="C206" s="7" t="n">
        <f aca="false">IFERROR(INDEX('Perhitungan IPH Mingguan 2026'!$C$6:$C$25,MATCH(LARGE('Perhitungan IPH Mingguan 2026'!$EQ$6:$EQ$25,1),'Perhitungan IPH Mingguan 2026'!$EQ$6:$EQ$25,0)),"")</f>
        <v>0.0177017323628706</v>
      </c>
      <c r="D206" s="25" t="n">
        <f aca="false">IFERROR(INDEX('Perhitungan IPH Mingguan 2026'!$CB$6:$CB$25,MATCH(LARGE('Perhitungan IPH Mingguan 2026'!$EQ$6:$EQ$25,1),'Perhitungan IPH Mingguan 2026'!$EQ$6:$EQ$25,0)),"")</f>
        <v>-14.295652173913</v>
      </c>
      <c r="E206" s="7" t="n">
        <f aca="false">IFERROR(INDEX('Perhitungan IPH Mingguan 2026'!$CC$6:$CC$25,MATCH(LARGE('Perhitungan IPH Mingguan 2026'!$EQ$6:$EQ$25,1),'Perhitungan IPH Mingguan 2026'!$EQ$6:$EQ$25,0)),"")</f>
        <v>-0.253057808735298</v>
      </c>
      <c r="F206" s="6" t="str">
        <f aca="false">IF(ISNUMBER(E206),IF(E206&gt;0,"Penyumbang KENAIKAN IPH","Penyumbang PENURUNAN IPH"),"-")</f>
        <v>Penyumbang PENURUNAN IPH</v>
      </c>
    </row>
    <row r="207" customFormat="false" ht="15" hidden="false" customHeight="true" outlineLevel="0" collapsed="false">
      <c r="A207" s="5" t="n">
        <v>2</v>
      </c>
      <c r="B207" s="6" t="str">
        <f aca="false">IFERROR(INDEX('Perhitungan IPH Mingguan 2026'!$B$6:$B$25,MATCH(LARGE('Perhitungan IPH Mingguan 2026'!$EQ$6:$EQ$25,2),'Perhitungan IPH Mingguan 2026'!$EQ$6:$EQ$25,0)),"-")</f>
        <v>daging ayam ras 1124003</v>
      </c>
      <c r="C207" s="7" t="n">
        <f aca="false">IFERROR(INDEX('Perhitungan IPH Mingguan 2026'!$C$6:$C$25,MATCH(LARGE('Perhitungan IPH Mingguan 2026'!$EQ$6:$EQ$25,2),'Perhitungan IPH Mingguan 2026'!$EQ$6:$EQ$25,0)),"")</f>
        <v>0.0479107777850277</v>
      </c>
      <c r="D207" s="25" t="n">
        <f aca="false">IFERROR(INDEX('Perhitungan IPH Mingguan 2026'!$CB$6:$CB$25,MATCH(LARGE('Perhitungan IPH Mingguan 2026'!$EQ$6:$EQ$25,2),'Perhitungan IPH Mingguan 2026'!$EQ$6:$EQ$25,0)),"")</f>
        <v>-11.3472485768501</v>
      </c>
      <c r="E207" s="7" t="n">
        <f aca="false">IFERROR(INDEX('Perhitungan IPH Mingguan 2026'!$CC$6:$CC$25,MATCH(LARGE('Perhitungan IPH Mingguan 2026'!$EQ$6:$EQ$25,2),'Perhitungan IPH Mingguan 2026'!$EQ$6:$EQ$25,0)),"")</f>
        <v>-0.543655505036937</v>
      </c>
      <c r="F207" s="6" t="str">
        <f aca="false">IF(ISNUMBER(E207),IF(E207&gt;0,"Penyumbang KENAIKAN IPH","Penyumbang PENURUNAN IPH"),"-")</f>
        <v>Penyumbang PENURUNAN IPH</v>
      </c>
    </row>
    <row r="208" customFormat="false" ht="15" hidden="false" customHeight="true" outlineLevel="0" collapsed="false">
      <c r="A208" s="5" t="n">
        <v>3</v>
      </c>
      <c r="B208" s="6" t="str">
        <f aca="false">IFERROR(INDEX('Perhitungan IPH Mingguan 2026'!$B$6:$B$25,MATCH(LARGE('Perhitungan IPH Mingguan 2026'!$EQ$6:$EQ$25,3),'Perhitungan IPH Mingguan 2026'!$EQ$6:$EQ$25,0)),"-")</f>
        <v>tempe 01194013</v>
      </c>
      <c r="C208" s="7" t="n">
        <f aca="false">IFERROR(INDEX('Perhitungan IPH Mingguan 2026'!$C$6:$C$25,MATCH(LARGE('Perhitungan IPH Mingguan 2026'!$EQ$6:$EQ$25,3),'Perhitungan IPH Mingguan 2026'!$EQ$6:$EQ$25,0)),"")</f>
        <v>0.0202825952223294</v>
      </c>
      <c r="D208" s="25" t="n">
        <f aca="false">IFERROR(INDEX('Perhitungan IPH Mingguan 2026'!$CB$6:$CB$25,MATCH(LARGE('Perhitungan IPH Mingguan 2026'!$EQ$6:$EQ$25,3),'Perhitungan IPH Mingguan 2026'!$EQ$6:$EQ$25,0)),"")</f>
        <v>0</v>
      </c>
      <c r="E208" s="7" t="n">
        <f aca="false">IFERROR(INDEX('Perhitungan IPH Mingguan 2026'!$CC$6:$CC$25,MATCH(LARGE('Perhitungan IPH Mingguan 2026'!$EQ$6:$EQ$25,3),'Perhitungan IPH Mingguan 2026'!$EQ$6:$EQ$25,0)),"")</f>
        <v>0</v>
      </c>
      <c r="F208" s="6" t="str">
        <f aca="false">IF(ISNUMBER(E208),IF(E208&gt;0,"Penyumbang KENAIKAN IPH","Penyumbang PENURUNAN IPH"),"-")</f>
        <v>Penyumbang PENURUNAN IPH</v>
      </c>
    </row>
    <row r="209" customFormat="false" ht="15" hidden="false" customHeight="true" outlineLevel="0" collapsed="false">
      <c r="A209" s="5" t="n">
        <v>4</v>
      </c>
      <c r="B209" s="6" t="str">
        <f aca="false">IFERROR(INDEX('Perhitungan IPH Mingguan 2026'!$B$6:$B$25,MATCH(LARGE('Perhitungan IPH Mingguan 2026'!$EQ$6:$EQ$25,4),'Perhitungan IPH Mingguan 2026'!$EQ$6:$EQ$25,0)),"-")</f>
        <v>daging sapi 01121001</v>
      </c>
      <c r="C209" s="7" t="n">
        <f aca="false">IFERROR(INDEX('Perhitungan IPH Mingguan 2026'!$C$6:$C$25,MATCH(LARGE('Perhitungan IPH Mingguan 2026'!$EQ$6:$EQ$25,4),'Perhitungan IPH Mingguan 2026'!$EQ$6:$EQ$25,0)),"")</f>
        <v>0.0598704213474298</v>
      </c>
      <c r="D209" s="25" t="n">
        <f aca="false">IFERROR(INDEX('Perhitungan IPH Mingguan 2026'!$CB$6:$CB$25,MATCH(LARGE('Perhitungan IPH Mingguan 2026'!$EQ$6:$EQ$25,4),'Perhitungan IPH Mingguan 2026'!$EQ$6:$EQ$25,0)),"")</f>
        <v>0.301886792452836</v>
      </c>
      <c r="E209" s="7" t="n">
        <f aca="false">IFERROR(INDEX('Perhitungan IPH Mingguan 2026'!$CC$6:$CC$25,MATCH(LARGE('Perhitungan IPH Mingguan 2026'!$EQ$6:$EQ$25,4),'Perhitungan IPH Mingguan 2026'!$EQ$6:$EQ$25,0)),"")</f>
        <v>0.0180740894633754</v>
      </c>
      <c r="F209" s="6" t="str">
        <f aca="false">IF(ISNUMBER(E209),IF(E209&gt;0,"Penyumbang KENAIKAN IPH","Penyumbang PENURUNAN IPH"),"-")</f>
        <v>Penyumbang KENAIKAN IPH</v>
      </c>
    </row>
    <row r="210" customFormat="false" ht="15" hidden="false" customHeight="true" outlineLevel="0" collapsed="false">
      <c r="A210" s="5" t="n">
        <v>5</v>
      </c>
      <c r="B210" s="6" t="str">
        <f aca="false">IFERROR(INDEX('Perhitungan IPH Mingguan 2026'!$B$6:$B$25,MATCH(LARGE('Perhitungan IPH Mingguan 2026'!$EQ$6:$EQ$25,5),'Perhitungan IPH Mingguan 2026'!$EQ$6:$EQ$25,0)),"-")</f>
        <v>ikan kembung 01131028</v>
      </c>
      <c r="C210" s="7" t="n">
        <f aca="false">IFERROR(INDEX('Perhitungan IPH Mingguan 2026'!$C$6:$C$25,MATCH(LARGE('Perhitungan IPH Mingguan 2026'!$EQ$6:$EQ$25,5),'Perhitungan IPH Mingguan 2026'!$EQ$6:$EQ$25,0)),"")</f>
        <v>0.0207715409161349</v>
      </c>
      <c r="D210" s="25" t="n">
        <f aca="false">IFERROR(INDEX('Perhitungan IPH Mingguan 2026'!$CB$6:$CB$25,MATCH(LARGE('Perhitungan IPH Mingguan 2026'!$EQ$6:$EQ$25,5),'Perhitungan IPH Mingguan 2026'!$EQ$6:$EQ$25,0)),"")</f>
        <v>0</v>
      </c>
      <c r="E210" s="7" t="n">
        <f aca="false">IFERROR(INDEX('Perhitungan IPH Mingguan 2026'!$CC$6:$CC$25,MATCH(LARGE('Perhitungan IPH Mingguan 2026'!$EQ$6:$EQ$25,5),'Perhitungan IPH Mingguan 2026'!$EQ$6:$EQ$25,0)),"")</f>
        <v>0</v>
      </c>
      <c r="F210" s="6" t="str">
        <f aca="false">IF(ISNUMBER(E210),IF(E210&gt;0,"Penyumbang KENAIKAN IPH","Penyumbang PENURUNAN IPH"),"-")</f>
        <v>Penyumbang PENURUNAN IPH</v>
      </c>
    </row>
    <row r="212" customFormat="false" ht="15" hidden="false" customHeight="true" outlineLevel="0" collapsed="false">
      <c r="A212" s="24" t="s">
        <v>244</v>
      </c>
      <c r="B212" s="24"/>
      <c r="C212" s="24"/>
      <c r="D212" s="24"/>
      <c r="E212" s="24"/>
      <c r="F212" s="24"/>
    </row>
    <row r="213" customFormat="false" ht="21.75" hidden="false" customHeight="true" outlineLevel="0" collapsed="false">
      <c r="A213" s="3" t="s">
        <v>214</v>
      </c>
      <c r="B213" s="3" t="s">
        <v>215</v>
      </c>
      <c r="C213" s="3" t="s">
        <v>142</v>
      </c>
      <c r="D213" s="3" t="s">
        <v>216</v>
      </c>
      <c r="E213" s="3" t="s">
        <v>217</v>
      </c>
      <c r="F213" s="3" t="s">
        <v>218</v>
      </c>
    </row>
    <row r="214" customFormat="false" ht="15" hidden="false" customHeight="true" outlineLevel="0" collapsed="false">
      <c r="A214" s="5" t="n">
        <v>1</v>
      </c>
      <c r="B214" s="6" t="str">
        <f aca="false">IFERROR(INDEX('Perhitungan IPH Mingguan 2026'!$B$6:$B$25,MATCH(LARGE('Perhitungan IPH Mingguan 2026'!$ER$6:$ER$25,1),'Perhitungan IPH Mingguan 2026'!$ER$6:$ER$25,0)),"-")</f>
        <v>daging ayam ras 1124003</v>
      </c>
      <c r="C214" s="7" t="n">
        <f aca="false">IFERROR(INDEX('Perhitungan IPH Mingguan 2026'!$C$6:$C$25,MATCH(LARGE('Perhitungan IPH Mingguan 2026'!$ER$6:$ER$25,1),'Perhitungan IPH Mingguan 2026'!$ER$6:$ER$25,0)),"")</f>
        <v>0.0479107777850277</v>
      </c>
      <c r="D214" s="25" t="n">
        <f aca="false">IFERROR(INDEX('Perhitungan IPH Mingguan 2026'!$CE$6:$CE$25,MATCH(LARGE('Perhitungan IPH Mingguan 2026'!$ER$6:$ER$25,1),'Perhitungan IPH Mingguan 2026'!$ER$6:$ER$25,0)),"")</f>
        <v>-9.67741935483871</v>
      </c>
      <c r="E214" s="7" t="n">
        <f aca="false">IFERROR(INDEX('Perhitungan IPH Mingguan 2026'!$CF$6:$CF$25,MATCH(LARGE('Perhitungan IPH Mingguan 2026'!$ER$6:$ER$25,1),'Perhitungan IPH Mingguan 2026'!$ER$6:$ER$25,0)),"")</f>
        <v>-0.463652688242204</v>
      </c>
      <c r="F214" s="6" t="str">
        <f aca="false">IF(ISNUMBER(E214),IF(E214&gt;0,"Penyumbang KENAIKAN IPH","Penyumbang PENURUNAN IPH"),"-")</f>
        <v>Penyumbang PENURUNAN IPH</v>
      </c>
    </row>
    <row r="215" customFormat="false" ht="15" hidden="false" customHeight="true" outlineLevel="0" collapsed="false">
      <c r="A215" s="5" t="n">
        <v>2</v>
      </c>
      <c r="B215" s="6" t="str">
        <f aca="false">IFERROR(INDEX('Perhitungan IPH Mingguan 2026'!$B$6:$B$25,MATCH(LARGE('Perhitungan IPH Mingguan 2026'!$ER$6:$ER$25,2),'Perhitungan IPH Mingguan 2026'!$ER$6:$ER$25,0)),"-")</f>
        <v>cabai rawit 01173013</v>
      </c>
      <c r="C215" s="7" t="n">
        <f aca="false">IFERROR(INDEX('Perhitungan IPH Mingguan 2026'!$C$6:$C$25,MATCH(LARGE('Perhitungan IPH Mingguan 2026'!$ER$6:$ER$25,2),'Perhitungan IPH Mingguan 2026'!$ER$6:$ER$25,0)),"")</f>
        <v>0.0177017323628706</v>
      </c>
      <c r="D215" s="25" t="n">
        <f aca="false">IFERROR(INDEX('Perhitungan IPH Mingguan 2026'!$CE$6:$CE$25,MATCH(LARGE('Perhitungan IPH Mingguan 2026'!$ER$6:$ER$25,2),'Perhitungan IPH Mingguan 2026'!$ER$6:$ER$25,0)),"")</f>
        <v>-20.3478260869565</v>
      </c>
      <c r="E215" s="7" t="n">
        <f aca="false">IFERROR(INDEX('Perhitungan IPH Mingguan 2026'!$CF$6:$CF$25,MATCH(LARGE('Perhitungan IPH Mingguan 2026'!$ER$6:$ER$25,2),'Perhitungan IPH Mingguan 2026'!$ER$6:$ER$25,0)),"")</f>
        <v>-0.360191771557541</v>
      </c>
      <c r="F215" s="6" t="str">
        <f aca="false">IF(ISNUMBER(E215),IF(E215&gt;0,"Penyumbang KENAIKAN IPH","Penyumbang PENURUNAN IPH"),"-")</f>
        <v>Penyumbang PENURUNAN IPH</v>
      </c>
    </row>
    <row r="216" customFormat="false" ht="15" hidden="false" customHeight="true" outlineLevel="0" collapsed="false">
      <c r="A216" s="5" t="n">
        <v>3</v>
      </c>
      <c r="B216" s="6" t="str">
        <f aca="false">IFERROR(INDEX('Perhitungan IPH Mingguan 2026'!$B$6:$B$25,MATCH(LARGE('Perhitungan IPH Mingguan 2026'!$ER$6:$ER$25,3),'Perhitungan IPH Mingguan 2026'!$ER$6:$ER$25,0)),"-")</f>
        <v>daging sapi 01121001</v>
      </c>
      <c r="C216" s="7" t="n">
        <f aca="false">IFERROR(INDEX('Perhitungan IPH Mingguan 2026'!$C$6:$C$25,MATCH(LARGE('Perhitungan IPH Mingguan 2026'!$ER$6:$ER$25,3),'Perhitungan IPH Mingguan 2026'!$ER$6:$ER$25,0)),"")</f>
        <v>0.0598704213474298</v>
      </c>
      <c r="D216" s="25" t="n">
        <f aca="false">IFERROR(INDEX('Perhitungan IPH Mingguan 2026'!$CE$6:$CE$25,MATCH(LARGE('Perhitungan IPH Mingguan 2026'!$ER$6:$ER$25,3),'Perhitungan IPH Mingguan 2026'!$ER$6:$ER$25,0)),"")</f>
        <v>1.13207547169811</v>
      </c>
      <c r="E216" s="7" t="n">
        <f aca="false">IFERROR(INDEX('Perhitungan IPH Mingguan 2026'!$CF$6:$CF$25,MATCH(LARGE('Perhitungan IPH Mingguan 2026'!$ER$6:$ER$25,3),'Perhitungan IPH Mingguan 2026'!$ER$6:$ER$25,0)),"")</f>
        <v>0.0677778354876564</v>
      </c>
      <c r="F216" s="6" t="str">
        <f aca="false">IF(ISNUMBER(E216),IF(E216&gt;0,"Penyumbang KENAIKAN IPH","Penyumbang PENURUNAN IPH"),"-")</f>
        <v>Penyumbang KENAIKAN IPH</v>
      </c>
    </row>
    <row r="217" customFormat="false" ht="15" hidden="false" customHeight="true" outlineLevel="0" collapsed="false">
      <c r="A217" s="5" t="n">
        <v>4</v>
      </c>
      <c r="B217" s="6" t="str">
        <f aca="false">IFERROR(INDEX('Perhitungan IPH Mingguan 2026'!$B$6:$B$25,MATCH(LARGE('Perhitungan IPH Mingguan 2026'!$ER$6:$ER$25,4),'Perhitungan IPH Mingguan 2026'!$ER$6:$ER$25,0)),"-")</f>
        <v>cabai merah 01173012</v>
      </c>
      <c r="C217" s="7" t="n">
        <f aca="false">IFERROR(INDEX('Perhitungan IPH Mingguan 2026'!$C$6:$C$25,MATCH(LARGE('Perhitungan IPH Mingguan 2026'!$ER$6:$ER$25,4),'Perhitungan IPH Mingguan 2026'!$ER$6:$ER$25,0)),"")</f>
        <v>0.0110208839376634</v>
      </c>
      <c r="D217" s="25" t="n">
        <f aca="false">IFERROR(INDEX('Perhitungan IPH Mingguan 2026'!$CE$6:$CE$25,MATCH(LARGE('Perhitungan IPH Mingguan 2026'!$ER$6:$ER$25,4),'Perhitungan IPH Mingguan 2026'!$ER$6:$ER$25,0)),"")</f>
        <v>-24.5997088791849</v>
      </c>
      <c r="E217" s="7" t="n">
        <f aca="false">IFERROR(INDEX('Perhitungan IPH Mingguan 2026'!$CF$6:$CF$25,MATCH(LARGE('Perhitungan IPH Mingguan 2026'!$ER$6:$ER$25,4),'Perhitungan IPH Mingguan 2026'!$ER$6:$ER$25,0)),"")</f>
        <v>-0.271110536457804</v>
      </c>
      <c r="F217" s="6" t="str">
        <f aca="false">IF(ISNUMBER(E217),IF(E217&gt;0,"Penyumbang KENAIKAN IPH","Penyumbang PENURUNAN IPH"),"-")</f>
        <v>Penyumbang PENURUNAN IPH</v>
      </c>
    </row>
    <row r="218" customFormat="false" ht="15" hidden="false" customHeight="true" outlineLevel="0" collapsed="false">
      <c r="A218" s="5" t="n">
        <v>5</v>
      </c>
      <c r="B218" s="6" t="str">
        <f aca="false">IFERROR(INDEX('Perhitungan IPH Mingguan 2026'!$B$6:$B$25,MATCH(LARGE('Perhitungan IPH Mingguan 2026'!$ER$6:$ER$25,5),'Perhitungan IPH Mingguan 2026'!$ER$6:$ER$25,0)),"-")</f>
        <v>ikan kembung 01131028</v>
      </c>
      <c r="C218" s="7" t="n">
        <f aca="false">IFERROR(INDEX('Perhitungan IPH Mingguan 2026'!$C$6:$C$25,MATCH(LARGE('Perhitungan IPH Mingguan 2026'!$ER$6:$ER$25,5),'Perhitungan IPH Mingguan 2026'!$ER$6:$ER$25,0)),"")</f>
        <v>0.0207715409161349</v>
      </c>
      <c r="D218" s="25" t="n">
        <f aca="false">IFERROR(INDEX('Perhitungan IPH Mingguan 2026'!$CE$6:$CE$25,MATCH(LARGE('Perhitungan IPH Mingguan 2026'!$ER$6:$ER$25,5),'Perhitungan IPH Mingguan 2026'!$ER$6:$ER$25,0)),"")</f>
        <v>0</v>
      </c>
      <c r="E218" s="7" t="n">
        <f aca="false">IFERROR(INDEX('Perhitungan IPH Mingguan 2026'!$CF$6:$CF$25,MATCH(LARGE('Perhitungan IPH Mingguan 2026'!$ER$6:$ER$25,5),'Perhitungan IPH Mingguan 2026'!$ER$6:$ER$25,0)),"")</f>
        <v>0</v>
      </c>
      <c r="F218" s="6" t="str">
        <f aca="false">IF(ISNUMBER(E218),IF(E218&gt;0,"Penyumbang KENAIKAN IPH","Penyumbang PENURUNAN IPH"),"-")</f>
        <v>Penyumbang PENURUNAN IPH</v>
      </c>
    </row>
    <row r="220" customFormat="false" ht="15" hidden="false" customHeight="true" outlineLevel="0" collapsed="false">
      <c r="A220" s="24" t="s">
        <v>245</v>
      </c>
      <c r="B220" s="24"/>
      <c r="C220" s="24"/>
      <c r="D220" s="24"/>
      <c r="E220" s="24"/>
      <c r="F220" s="24"/>
    </row>
    <row r="221" customFormat="false" ht="21.75" hidden="false" customHeight="true" outlineLevel="0" collapsed="false">
      <c r="A221" s="3" t="s">
        <v>214</v>
      </c>
      <c r="B221" s="3" t="s">
        <v>215</v>
      </c>
      <c r="C221" s="3" t="s">
        <v>142</v>
      </c>
      <c r="D221" s="3" t="s">
        <v>216</v>
      </c>
      <c r="E221" s="3" t="s">
        <v>217</v>
      </c>
      <c r="F221" s="3" t="s">
        <v>218</v>
      </c>
    </row>
    <row r="222" customFormat="false" ht="15" hidden="false" customHeight="true" outlineLevel="0" collapsed="false">
      <c r="A222" s="5" t="n">
        <v>1</v>
      </c>
      <c r="B222" s="6" t="str">
        <f aca="false">IFERROR(INDEX('Perhitungan IPH Mingguan 2026'!$B$6:$B$25,MATCH(LARGE('Perhitungan IPH Mingguan 2026'!$ES$6:$ES$25,1),'Perhitungan IPH Mingguan 2026'!$ES$6:$ES$25,0)),"-")</f>
        <v>daging ayam ras 1124003</v>
      </c>
      <c r="C222" s="7" t="n">
        <f aca="false">IFERROR(INDEX('Perhitungan IPH Mingguan 2026'!$C$6:$C$25,MATCH(LARGE('Perhitungan IPH Mingguan 2026'!$ES$6:$ES$25,1),'Perhitungan IPH Mingguan 2026'!$ES$6:$ES$25,0)),"")</f>
        <v>0.0479107777850277</v>
      </c>
      <c r="D222" s="25" t="n">
        <f aca="false">IFERROR(INDEX('Perhitungan IPH Mingguan 2026'!$CH$6:$CH$25,MATCH(LARGE('Perhitungan IPH Mingguan 2026'!$ES$6:$ES$25,1),'Perhitungan IPH Mingguan 2026'!$ES$6:$ES$25,0)),"")</f>
        <v>-8.91840607210626</v>
      </c>
      <c r="E222" s="7" t="n">
        <f aca="false">IFERROR(INDEX('Perhitungan IPH Mingguan 2026'!$CI$6:$CI$25,MATCH(LARGE('Perhitungan IPH Mingguan 2026'!$ES$6:$ES$25,1),'Perhitungan IPH Mingguan 2026'!$ES$6:$ES$25,0)),"")</f>
        <v>-0.427287771517325</v>
      </c>
      <c r="F222" s="6" t="str">
        <f aca="false">IF(ISNUMBER(E222),IF(E222&gt;0,"Penyumbang KENAIKAN IPH","Penyumbang PENURUNAN IPH"),"-")</f>
        <v>Penyumbang PENURUNAN IPH</v>
      </c>
    </row>
    <row r="223" customFormat="false" ht="15" hidden="false" customHeight="true" outlineLevel="0" collapsed="false">
      <c r="A223" s="5" t="n">
        <v>2</v>
      </c>
      <c r="B223" s="6" t="str">
        <f aca="false">IFERROR(INDEX('Perhitungan IPH Mingguan 2026'!$B$6:$B$25,MATCH(LARGE('Perhitungan IPH Mingguan 2026'!$ES$6:$ES$25,2),'Perhitungan IPH Mingguan 2026'!$ES$6:$ES$25,0)),"-")</f>
        <v>ikan kembung 01131028</v>
      </c>
      <c r="C223" s="7" t="n">
        <f aca="false">IFERROR(INDEX('Perhitungan IPH Mingguan 2026'!$C$6:$C$25,MATCH(LARGE('Perhitungan IPH Mingguan 2026'!$ES$6:$ES$25,2),'Perhitungan IPH Mingguan 2026'!$ES$6:$ES$25,0)),"")</f>
        <v>0.0207715409161349</v>
      </c>
      <c r="D223" s="25" t="n">
        <f aca="false">IFERROR(INDEX('Perhitungan IPH Mingguan 2026'!$CH$6:$CH$25,MATCH(LARGE('Perhitungan IPH Mingguan 2026'!$ES$6:$ES$25,2),'Perhitungan IPH Mingguan 2026'!$ES$6:$ES$25,0)),"")</f>
        <v>0</v>
      </c>
      <c r="E223" s="7" t="n">
        <f aca="false">IFERROR(INDEX('Perhitungan IPH Mingguan 2026'!$CI$6:$CI$25,MATCH(LARGE('Perhitungan IPH Mingguan 2026'!$ES$6:$ES$25,2),'Perhitungan IPH Mingguan 2026'!$ES$6:$ES$25,0)),"")</f>
        <v>0</v>
      </c>
      <c r="F223" s="6" t="str">
        <f aca="false">IF(ISNUMBER(E223),IF(E223&gt;0,"Penyumbang KENAIKAN IPH","Penyumbang PENURUNAN IPH"),"-")</f>
        <v>Penyumbang PENURUNAN IPH</v>
      </c>
    </row>
    <row r="224" customFormat="false" ht="15" hidden="false" customHeight="true" outlineLevel="0" collapsed="false">
      <c r="A224" s="5" t="n">
        <v>3</v>
      </c>
      <c r="B224" s="6" t="str">
        <f aca="false">IFERROR(INDEX('Perhitungan IPH Mingguan 2026'!$B$6:$B$25,MATCH(LARGE('Perhitungan IPH Mingguan 2026'!$ES$6:$ES$25,3),'Perhitungan IPH Mingguan 2026'!$ES$6:$ES$25,0)),"-")</f>
        <v>daging sapi 01121001</v>
      </c>
      <c r="C224" s="7" t="n">
        <f aca="false">IFERROR(INDEX('Perhitungan IPH Mingguan 2026'!$C$6:$C$25,MATCH(LARGE('Perhitungan IPH Mingguan 2026'!$ES$6:$ES$25,3),'Perhitungan IPH Mingguan 2026'!$ES$6:$ES$25,0)),"")</f>
        <v>0.0598704213474298</v>
      </c>
      <c r="D224" s="25" t="n">
        <f aca="false">IFERROR(INDEX('Perhitungan IPH Mingguan 2026'!$CH$6:$CH$25,MATCH(LARGE('Perhitungan IPH Mingguan 2026'!$ES$6:$ES$25,3),'Perhitungan IPH Mingguan 2026'!$ES$6:$ES$25,0)),"")</f>
        <v>1.88679245283019</v>
      </c>
      <c r="E224" s="7" t="n">
        <f aca="false">IFERROR(INDEX('Perhitungan IPH Mingguan 2026'!$CI$6:$CI$25,MATCH(LARGE('Perhitungan IPH Mingguan 2026'!$ES$6:$ES$25,3),'Perhitungan IPH Mingguan 2026'!$ES$6:$ES$25,0)),"")</f>
        <v>0.112963059146094</v>
      </c>
      <c r="F224" s="6" t="str">
        <f aca="false">IF(ISNUMBER(E224),IF(E224&gt;0,"Penyumbang KENAIKAN IPH","Penyumbang PENURUNAN IPH"),"-")</f>
        <v>Penyumbang KENAIKAN IPH</v>
      </c>
    </row>
    <row r="225" customFormat="false" ht="15" hidden="false" customHeight="true" outlineLevel="0" collapsed="false">
      <c r="A225" s="5" t="n">
        <v>4</v>
      </c>
      <c r="B225" s="6" t="str">
        <f aca="false">IFERROR(INDEX('Perhitungan IPH Mingguan 2026'!$B$6:$B$25,MATCH(LARGE('Perhitungan IPH Mingguan 2026'!$ES$6:$ES$25,4),'Perhitungan IPH Mingguan 2026'!$ES$6:$ES$25,0)),"-")</f>
        <v>minyak goreng 01154001/4</v>
      </c>
      <c r="C225" s="7" t="n">
        <f aca="false">IFERROR(INDEX('Perhitungan IPH Mingguan 2026'!$C$6:$C$25,MATCH(LARGE('Perhitungan IPH Mingguan 2026'!$ES$6:$ES$25,4),'Perhitungan IPH Mingguan 2026'!$ES$6:$ES$25,0)),"")</f>
        <v>0.0451766229856385</v>
      </c>
      <c r="D225" s="25" t="n">
        <f aca="false">IFERROR(INDEX('Perhitungan IPH Mingguan 2026'!$CH$6:$CH$25,MATCH(LARGE('Perhitungan IPH Mingguan 2026'!$ES$6:$ES$25,4),'Perhitungan IPH Mingguan 2026'!$ES$6:$ES$25,0)),"")</f>
        <v>-0.567437800087311</v>
      </c>
      <c r="E225" s="7" t="n">
        <f aca="false">IFERROR(INDEX('Perhitungan IPH Mingguan 2026'!$CI$6:$CI$25,MATCH(LARGE('Perhitungan IPH Mingguan 2026'!$ES$6:$ES$25,4),'Perhitungan IPH Mingguan 2026'!$ES$6:$ES$25,0)),"")</f>
        <v>-0.0256349235623446</v>
      </c>
      <c r="F225" s="6" t="str">
        <f aca="false">IF(ISNUMBER(E225),IF(E225&gt;0,"Penyumbang KENAIKAN IPH","Penyumbang PENURUNAN IPH"),"-")</f>
        <v>Penyumbang PENURUNAN IPH</v>
      </c>
    </row>
    <row r="226" customFormat="false" ht="15" hidden="false" customHeight="true" outlineLevel="0" collapsed="false">
      <c r="A226" s="5" t="n">
        <v>5</v>
      </c>
      <c r="B226" s="6" t="str">
        <f aca="false">IFERROR(INDEX('Perhitungan IPH Mingguan 2026'!$B$6:$B$25,MATCH(LARGE('Perhitungan IPH Mingguan 2026'!$ES$6:$ES$25,5),'Perhitungan IPH Mingguan 2026'!$ES$6:$ES$25,0)),"-")</f>
        <v>tempe 01194013</v>
      </c>
      <c r="C226" s="7" t="n">
        <f aca="false">IFERROR(INDEX('Perhitungan IPH Mingguan 2026'!$C$6:$C$25,MATCH(LARGE('Perhitungan IPH Mingguan 2026'!$ES$6:$ES$25,5),'Perhitungan IPH Mingguan 2026'!$ES$6:$ES$25,0)),"")</f>
        <v>0.0202825952223294</v>
      </c>
      <c r="D226" s="25" t="n">
        <f aca="false">IFERROR(INDEX('Perhitungan IPH Mingguan 2026'!$CH$6:$CH$25,MATCH(LARGE('Perhitungan IPH Mingguan 2026'!$ES$6:$ES$25,5),'Perhitungan IPH Mingguan 2026'!$ES$6:$ES$25,0)),"")</f>
        <v>0</v>
      </c>
      <c r="E226" s="7" t="n">
        <f aca="false">IFERROR(INDEX('Perhitungan IPH Mingguan 2026'!$CI$6:$CI$25,MATCH(LARGE('Perhitungan IPH Mingguan 2026'!$ES$6:$ES$25,5),'Perhitungan IPH Mingguan 2026'!$ES$6:$ES$25,0)),"")</f>
        <v>0</v>
      </c>
      <c r="F226" s="6" t="str">
        <f aca="false">IF(ISNUMBER(E226),IF(E226&gt;0,"Penyumbang KENAIKAN IPH","Penyumbang PENURUNAN IPH"),"-")</f>
        <v>Penyumbang PENURUNAN IPH</v>
      </c>
    </row>
    <row r="228" customFormat="false" ht="15" hidden="false" customHeight="true" outlineLevel="0" collapsed="false">
      <c r="A228" s="24" t="s">
        <v>246</v>
      </c>
      <c r="B228" s="24"/>
      <c r="C228" s="24"/>
      <c r="D228" s="24"/>
      <c r="E228" s="24"/>
      <c r="F228" s="24"/>
    </row>
    <row r="229" customFormat="false" ht="21.75" hidden="false" customHeight="true" outlineLevel="0" collapsed="false">
      <c r="A229" s="3" t="s">
        <v>214</v>
      </c>
      <c r="B229" s="3" t="s">
        <v>215</v>
      </c>
      <c r="C229" s="3" t="s">
        <v>142</v>
      </c>
      <c r="D229" s="3" t="s">
        <v>216</v>
      </c>
      <c r="E229" s="3" t="s">
        <v>217</v>
      </c>
      <c r="F229" s="3" t="s">
        <v>218</v>
      </c>
    </row>
    <row r="230" customFormat="false" ht="15" hidden="false" customHeight="true" outlineLevel="0" collapsed="false">
      <c r="A230" s="5" t="n">
        <v>1</v>
      </c>
      <c r="B230" s="6" t="str">
        <f aca="false">IFERROR(INDEX('Perhitungan IPH Mingguan 2026'!$B$6:$B$25,MATCH(LARGE('Perhitungan IPH Mingguan 2026'!$ET$6:$ET$25,1),'Perhitungan IPH Mingguan 2026'!$ET$6:$ET$25,0)),"-")</f>
        <v>ikan kembung 01131028</v>
      </c>
      <c r="C230" s="7" t="n">
        <f aca="false">IFERROR(INDEX('Perhitungan IPH Mingguan 2026'!$C$6:$C$25,MATCH(LARGE('Perhitungan IPH Mingguan 2026'!$ET$6:$ET$25,1),'Perhitungan IPH Mingguan 2026'!$ET$6:$ET$25,0)),"")</f>
        <v>0.0207715409161349</v>
      </c>
      <c r="D230" s="25" t="n">
        <f aca="false">IFERROR(INDEX('Perhitungan IPH Mingguan 2026'!$CK$6:$CK$25,MATCH(LARGE('Perhitungan IPH Mingguan 2026'!$ET$6:$ET$25,1),'Perhitungan IPH Mingguan 2026'!$ET$6:$ET$25,0)),"")</f>
        <v>0</v>
      </c>
      <c r="E230" s="7" t="n">
        <f aca="false">IFERROR(INDEX('Perhitungan IPH Mingguan 2026'!$CL$6:$CL$25,MATCH(LARGE('Perhitungan IPH Mingguan 2026'!$ET$6:$ET$25,1),'Perhitungan IPH Mingguan 2026'!$ET$6:$ET$25,0)),"")</f>
        <v>0</v>
      </c>
      <c r="F230" s="6" t="str">
        <f aca="false">IF(ISNUMBER(E230),IF(E230&gt;0,"Penyumbang KENAIKAN IPH","Penyumbang PENURUNAN IPH"),"-")</f>
        <v>Penyumbang PENURUNAN IPH</v>
      </c>
    </row>
    <row r="231" customFormat="false" ht="15" hidden="false" customHeight="true" outlineLevel="0" collapsed="false">
      <c r="A231" s="5" t="n">
        <v>2</v>
      </c>
      <c r="B231" s="6" t="str">
        <f aca="false">IFERROR(INDEX('Perhitungan IPH Mingguan 2026'!$B$6:$B$25,MATCH(LARGE('Perhitungan IPH Mingguan 2026'!$ET$6:$ET$25,2),'Perhitungan IPH Mingguan 2026'!$ET$6:$ET$25,0)),"-")</f>
        <v>daging ayam ras 1124003</v>
      </c>
      <c r="C231" s="7" t="n">
        <f aca="false">IFERROR(INDEX('Perhitungan IPH Mingguan 2026'!$C$6:$C$25,MATCH(LARGE('Perhitungan IPH Mingguan 2026'!$ET$6:$ET$25,2),'Perhitungan IPH Mingguan 2026'!$ET$6:$ET$25,0)),"")</f>
        <v>0.0479107777850277</v>
      </c>
      <c r="D231" s="25" t="n">
        <f aca="false">IFERROR(INDEX('Perhitungan IPH Mingguan 2026'!$CK$6:$CK$25,MATCH(LARGE('Perhitungan IPH Mingguan 2026'!$ET$6:$ET$25,2),'Perhitungan IPH Mingguan 2026'!$ET$6:$ET$25,0)),"")</f>
        <v>-8.91840607210626</v>
      </c>
      <c r="E231" s="7" t="n">
        <f aca="false">IFERROR(INDEX('Perhitungan IPH Mingguan 2026'!$CL$6:$CL$25,MATCH(LARGE('Perhitungan IPH Mingguan 2026'!$ET$6:$ET$25,2),'Perhitungan IPH Mingguan 2026'!$ET$6:$ET$25,0)),"")</f>
        <v>-0.427287771517325</v>
      </c>
      <c r="F231" s="6" t="str">
        <f aca="false">IF(ISNUMBER(E231),IF(E231&gt;0,"Penyumbang KENAIKAN IPH","Penyumbang PENURUNAN IPH"),"-")</f>
        <v>Penyumbang PENURUNAN IPH</v>
      </c>
    </row>
    <row r="232" customFormat="false" ht="15" hidden="false" customHeight="true" outlineLevel="0" collapsed="false">
      <c r="A232" s="5" t="n">
        <v>3</v>
      </c>
      <c r="B232" s="6" t="str">
        <f aca="false">IFERROR(INDEX('Perhitungan IPH Mingguan 2026'!$B$6:$B$25,MATCH(LARGE('Perhitungan IPH Mingguan 2026'!$ET$6:$ET$25,3),'Perhitungan IPH Mingguan 2026'!$ET$6:$ET$25,0)),"-")</f>
        <v>daging sapi 01121001</v>
      </c>
      <c r="C232" s="7" t="n">
        <f aca="false">IFERROR(INDEX('Perhitungan IPH Mingguan 2026'!$C$6:$C$25,MATCH(LARGE('Perhitungan IPH Mingguan 2026'!$ET$6:$ET$25,3),'Perhitungan IPH Mingguan 2026'!$ET$6:$ET$25,0)),"")</f>
        <v>0.0598704213474298</v>
      </c>
      <c r="D232" s="25" t="n">
        <f aca="false">IFERROR(INDEX('Perhitungan IPH Mingguan 2026'!$CK$6:$CK$25,MATCH(LARGE('Perhitungan IPH Mingguan 2026'!$ET$6:$ET$25,3),'Perhitungan IPH Mingguan 2026'!$ET$6:$ET$25,0)),"")</f>
        <v>1.88679245283019</v>
      </c>
      <c r="E232" s="7" t="n">
        <f aca="false">IFERROR(INDEX('Perhitungan IPH Mingguan 2026'!$CL$6:$CL$25,MATCH(LARGE('Perhitungan IPH Mingguan 2026'!$ET$6:$ET$25,3),'Perhitungan IPH Mingguan 2026'!$ET$6:$ET$25,0)),"")</f>
        <v>0.112963059146094</v>
      </c>
      <c r="F232" s="6" t="str">
        <f aca="false">IF(ISNUMBER(E232),IF(E232&gt;0,"Penyumbang KENAIKAN IPH","Penyumbang PENURUNAN IPH"),"-")</f>
        <v>Penyumbang KENAIKAN IPH</v>
      </c>
    </row>
    <row r="233" customFormat="false" ht="15" hidden="false" customHeight="true" outlineLevel="0" collapsed="false">
      <c r="A233" s="5" t="n">
        <v>4</v>
      </c>
      <c r="B233" s="6" t="str">
        <f aca="false">IFERROR(INDEX('Perhitungan IPH Mingguan 2026'!$B$6:$B$25,MATCH(LARGE('Perhitungan IPH Mingguan 2026'!$ET$6:$ET$25,4),'Perhitungan IPH Mingguan 2026'!$ET$6:$ET$25,0)),"-")</f>
        <v>minyak goreng 01154001/4</v>
      </c>
      <c r="C233" s="7" t="n">
        <f aca="false">IFERROR(INDEX('Perhitungan IPH Mingguan 2026'!$C$6:$C$25,MATCH(LARGE('Perhitungan IPH Mingguan 2026'!$ET$6:$ET$25,4),'Perhitungan IPH Mingguan 2026'!$ET$6:$ET$25,0)),"")</f>
        <v>0.0451766229856385</v>
      </c>
      <c r="D233" s="25" t="n">
        <f aca="false">IFERROR(INDEX('Perhitungan IPH Mingguan 2026'!$CK$6:$CK$25,MATCH(LARGE('Perhitungan IPH Mingguan 2026'!$ET$6:$ET$25,4),'Perhitungan IPH Mingguan 2026'!$ET$6:$ET$25,0)),"")</f>
        <v>-0.567437800087311</v>
      </c>
      <c r="E233" s="7" t="n">
        <f aca="false">IFERROR(INDEX('Perhitungan IPH Mingguan 2026'!$CL$6:$CL$25,MATCH(LARGE('Perhitungan IPH Mingguan 2026'!$ET$6:$ET$25,4),'Perhitungan IPH Mingguan 2026'!$ET$6:$ET$25,0)),"")</f>
        <v>-0.0256349235623446</v>
      </c>
      <c r="F233" s="6" t="str">
        <f aca="false">IF(ISNUMBER(E233),IF(E233&gt;0,"Penyumbang KENAIKAN IPH","Penyumbang PENURUNAN IPH"),"-")</f>
        <v>Penyumbang PENURUNAN IPH</v>
      </c>
    </row>
    <row r="234" customFormat="false" ht="15" hidden="false" customHeight="true" outlineLevel="0" collapsed="false">
      <c r="A234" s="5" t="n">
        <v>5</v>
      </c>
      <c r="B234" s="6" t="str">
        <f aca="false">IFERROR(INDEX('Perhitungan IPH Mingguan 2026'!$B$6:$B$25,MATCH(LARGE('Perhitungan IPH Mingguan 2026'!$ET$6:$ET$25,5),'Perhitungan IPH Mingguan 2026'!$ET$6:$ET$25,0)),"-")</f>
        <v>tempe 01194013</v>
      </c>
      <c r="C234" s="7" t="n">
        <f aca="false">IFERROR(INDEX('Perhitungan IPH Mingguan 2026'!$C$6:$C$25,MATCH(LARGE('Perhitungan IPH Mingguan 2026'!$ET$6:$ET$25,5),'Perhitungan IPH Mingguan 2026'!$ET$6:$ET$25,0)),"")</f>
        <v>0.0202825952223294</v>
      </c>
      <c r="D234" s="25" t="n">
        <f aca="false">IFERROR(INDEX('Perhitungan IPH Mingguan 2026'!$CK$6:$CK$25,MATCH(LARGE('Perhitungan IPH Mingguan 2026'!$ET$6:$ET$25,5),'Perhitungan IPH Mingguan 2026'!$ET$6:$ET$25,0)),"")</f>
        <v>0</v>
      </c>
      <c r="E234" s="7" t="n">
        <f aca="false">IFERROR(INDEX('Perhitungan IPH Mingguan 2026'!$CL$6:$CL$25,MATCH(LARGE('Perhitungan IPH Mingguan 2026'!$ET$6:$ET$25,5),'Perhitungan IPH Mingguan 2026'!$ET$6:$ET$25,0)),"")</f>
        <v>0</v>
      </c>
      <c r="F234" s="6" t="str">
        <f aca="false">IF(ISNUMBER(E234),IF(E234&gt;0,"Penyumbang KENAIKAN IPH","Penyumbang PENURUNAN IPH"),"-")</f>
        <v>Penyumbang PENURUNAN IPH</v>
      </c>
    </row>
    <row r="236" customFormat="false" ht="15" hidden="false" customHeight="true" outlineLevel="0" collapsed="false">
      <c r="A236" s="24" t="s">
        <v>247</v>
      </c>
      <c r="B236" s="24"/>
      <c r="C236" s="24"/>
      <c r="D236" s="24"/>
      <c r="E236" s="24"/>
      <c r="F236" s="24"/>
    </row>
    <row r="237" customFormat="false" ht="21.75" hidden="false" customHeight="true" outlineLevel="0" collapsed="false">
      <c r="A237" s="3" t="s">
        <v>214</v>
      </c>
      <c r="B237" s="3" t="s">
        <v>215</v>
      </c>
      <c r="C237" s="3" t="s">
        <v>142</v>
      </c>
      <c r="D237" s="3" t="s">
        <v>216</v>
      </c>
      <c r="E237" s="3" t="s">
        <v>217</v>
      </c>
      <c r="F237" s="3" t="s">
        <v>218</v>
      </c>
    </row>
    <row r="238" customFormat="false" ht="15" hidden="false" customHeight="true" outlineLevel="0" collapsed="false">
      <c r="A238" s="5" t="n">
        <v>1</v>
      </c>
      <c r="B238" s="6" t="str">
        <f aca="false">IFERROR(INDEX('Perhitungan IPH Mingguan 2026'!$B$6:$B$25,MATCH(LARGE('Perhitungan IPH Mingguan 2026'!$EU$6:$EU$25,1),'Perhitungan IPH Mingguan 2026'!$EU$6:$EU$25,0)),"-")</f>
        <v>daging ayam ras 1124003</v>
      </c>
      <c r="C238" s="7" t="n">
        <f aca="false">IFERROR(INDEX('Perhitungan IPH Mingguan 2026'!$C$6:$C$25,MATCH(LARGE('Perhitungan IPH Mingguan 2026'!$EU$6:$EU$25,1),'Perhitungan IPH Mingguan 2026'!$EU$6:$EU$25,0)),"")</f>
        <v>0.0479107777850277</v>
      </c>
      <c r="D238" s="25" t="n">
        <f aca="false">IFERROR(INDEX('Perhitungan IPH Mingguan 2026'!$CN$6:$CN$25,MATCH(LARGE('Perhitungan IPH Mingguan 2026'!$EU$6:$EU$25,1),'Perhitungan IPH Mingguan 2026'!$EU$6:$EU$25,0)),"")</f>
        <v>-0.332225913621262</v>
      </c>
      <c r="E238" s="7" t="n">
        <f aca="false">IFERROR(INDEX('Perhitungan IPH Mingguan 2026'!$CO$6:$CO$25,MATCH(LARGE('Perhitungan IPH Mingguan 2026'!$EU$6:$EU$25,1),'Perhitungan IPH Mingguan 2026'!$EU$6:$EU$25,0)),"")</f>
        <v>-0.0159172019219361</v>
      </c>
      <c r="F238" s="6" t="str">
        <f aca="false">IF(ISNUMBER(E238),IF(E238&gt;0,"Penyumbang KENAIKAN IPH","Penyumbang PENURUNAN IPH"),"-")</f>
        <v>Penyumbang PENURUNAN IPH</v>
      </c>
    </row>
    <row r="239" customFormat="false" ht="15" hidden="false" customHeight="true" outlineLevel="0" collapsed="false">
      <c r="A239" s="5" t="n">
        <v>2</v>
      </c>
      <c r="B239" s="6" t="str">
        <f aca="false">IFERROR(INDEX('Perhitungan IPH Mingguan 2026'!$B$6:$B$25,MATCH(LARGE('Perhitungan IPH Mingguan 2026'!$EU$6:$EU$25,2),'Perhitungan IPH Mingguan 2026'!$EU$6:$EU$25,0)),"-")</f>
        <v>ikan kembung 01131028</v>
      </c>
      <c r="C239" s="7" t="n">
        <f aca="false">IFERROR(INDEX('Perhitungan IPH Mingguan 2026'!$C$6:$C$25,MATCH(LARGE('Perhitungan IPH Mingguan 2026'!$EU$6:$EU$25,2),'Perhitungan IPH Mingguan 2026'!$EU$6:$EU$25,0)),"")</f>
        <v>0.0207715409161349</v>
      </c>
      <c r="D239" s="25" t="n">
        <f aca="false">IFERROR(INDEX('Perhitungan IPH Mingguan 2026'!$CN$6:$CN$25,MATCH(LARGE('Perhitungan IPH Mingguan 2026'!$EU$6:$EU$25,2),'Perhitungan IPH Mingguan 2026'!$EU$6:$EU$25,0)),"")</f>
        <v>0</v>
      </c>
      <c r="E239" s="7" t="n">
        <f aca="false">IFERROR(INDEX('Perhitungan IPH Mingguan 2026'!$CO$6:$CO$25,MATCH(LARGE('Perhitungan IPH Mingguan 2026'!$EU$6:$EU$25,2),'Perhitungan IPH Mingguan 2026'!$EU$6:$EU$25,0)),"")</f>
        <v>0</v>
      </c>
      <c r="F239" s="6" t="str">
        <f aca="false">IF(ISNUMBER(E239),IF(E239&gt;0,"Penyumbang KENAIKAN IPH","Penyumbang PENURUNAN IPH"),"-")</f>
        <v>Penyumbang PENURUNAN IPH</v>
      </c>
    </row>
    <row r="240" customFormat="false" ht="15" hidden="false" customHeight="true" outlineLevel="0" collapsed="false">
      <c r="A240" s="5" t="n">
        <v>3</v>
      </c>
      <c r="B240" s="6" t="str">
        <f aca="false">IFERROR(INDEX('Perhitungan IPH Mingguan 2026'!$B$6:$B$25,MATCH(LARGE('Perhitungan IPH Mingguan 2026'!$EU$6:$EU$25,3),'Perhitungan IPH Mingguan 2026'!$EU$6:$EU$25,0)),"-")</f>
        <v>cabai rawit 01173013</v>
      </c>
      <c r="C240" s="7" t="n">
        <f aca="false">IFERROR(INDEX('Perhitungan IPH Mingguan 2026'!$C$6:$C$25,MATCH(LARGE('Perhitungan IPH Mingguan 2026'!$EU$6:$EU$25,3),'Perhitungan IPH Mingguan 2026'!$EU$6:$EU$25,0)),"")</f>
        <v>0.0177017323628706</v>
      </c>
      <c r="D240" s="25" t="n">
        <f aca="false">IFERROR(INDEX('Perhitungan IPH Mingguan 2026'!$CN$6:$CN$25,MATCH(LARGE('Perhitungan IPH Mingguan 2026'!$EU$6:$EU$25,3),'Perhitungan IPH Mingguan 2026'!$EU$6:$EU$25,0)),"")</f>
        <v>-20.844327176781</v>
      </c>
      <c r="E240" s="7" t="n">
        <f aca="false">IFERROR(INDEX('Perhitungan IPH Mingguan 2026'!$CO$6:$CO$25,MATCH(LARGE('Perhitungan IPH Mingguan 2026'!$EU$6:$EU$25,3),'Perhitungan IPH Mingguan 2026'!$EU$6:$EU$25,0)),"")</f>
        <v>-0.368980700967488</v>
      </c>
      <c r="F240" s="6" t="str">
        <f aca="false">IF(ISNUMBER(E240),IF(E240&gt;0,"Penyumbang KENAIKAN IPH","Penyumbang PENURUNAN IPH"),"-")</f>
        <v>Penyumbang PENURUNAN IPH</v>
      </c>
    </row>
    <row r="241" customFormat="false" ht="15" hidden="false" customHeight="true" outlineLevel="0" collapsed="false">
      <c r="A241" s="5" t="n">
        <v>4</v>
      </c>
      <c r="B241" s="6" t="str">
        <f aca="false">IFERROR(INDEX('Perhitungan IPH Mingguan 2026'!$B$6:$B$25,MATCH(LARGE('Perhitungan IPH Mingguan 2026'!$EU$6:$EU$25,4),'Perhitungan IPH Mingguan 2026'!$EU$6:$EU$25,0)),"-")</f>
        <v>minyak goreng 01154001/4</v>
      </c>
      <c r="C241" s="7" t="n">
        <f aca="false">IFERROR(INDEX('Perhitungan IPH Mingguan 2026'!$C$6:$C$25,MATCH(LARGE('Perhitungan IPH Mingguan 2026'!$EU$6:$EU$25,4),'Perhitungan IPH Mingguan 2026'!$EU$6:$EU$25,0)),"")</f>
        <v>0.0451766229856385</v>
      </c>
      <c r="D241" s="25" t="n">
        <f aca="false">IFERROR(INDEX('Perhitungan IPH Mingguan 2026'!$CN$6:$CN$25,MATCH(LARGE('Perhitungan IPH Mingguan 2026'!$EU$6:$EU$25,4),'Perhitungan IPH Mingguan 2026'!$EU$6:$EU$25,0)),"")</f>
        <v>0</v>
      </c>
      <c r="E241" s="7" t="n">
        <f aca="false">IFERROR(INDEX('Perhitungan IPH Mingguan 2026'!$CO$6:$CO$25,MATCH(LARGE('Perhitungan IPH Mingguan 2026'!$EU$6:$EU$25,4),'Perhitungan IPH Mingguan 2026'!$EU$6:$EU$25,0)),"")</f>
        <v>0</v>
      </c>
      <c r="F241" s="6" t="str">
        <f aca="false">IF(ISNUMBER(E241),IF(E241&gt;0,"Penyumbang KENAIKAN IPH","Penyumbang PENURUNAN IPH"),"-")</f>
        <v>Penyumbang PENURUNAN IPH</v>
      </c>
    </row>
    <row r="242" customFormat="false" ht="15" hidden="false" customHeight="true" outlineLevel="0" collapsed="false">
      <c r="A242" s="5" t="n">
        <v>5</v>
      </c>
      <c r="B242" s="6" t="str">
        <f aca="false">IFERROR(INDEX('Perhitungan IPH Mingguan 2026'!$B$6:$B$25,MATCH(LARGE('Perhitungan IPH Mingguan 2026'!$EU$6:$EU$25,5),'Perhitungan IPH Mingguan 2026'!$EU$6:$EU$25,0)),"-")</f>
        <v>telur ayam ras 01147002</v>
      </c>
      <c r="C242" s="7" t="n">
        <f aca="false">IFERROR(INDEX('Perhitungan IPH Mingguan 2026'!$C$6:$C$25,MATCH(LARGE('Perhitungan IPH Mingguan 2026'!$EU$6:$EU$25,5),'Perhitungan IPH Mingguan 2026'!$EU$6:$EU$25,0)),"")</f>
        <v>0.0298777910794593</v>
      </c>
      <c r="D242" s="25" t="n">
        <f aca="false">IFERROR(INDEX('Perhitungan IPH Mingguan 2026'!$CN$6:$CN$25,MATCH(LARGE('Perhitungan IPH Mingguan 2026'!$EU$6:$EU$25,5),'Perhitungan IPH Mingguan 2026'!$EU$6:$EU$25,0)),"")</f>
        <v>-2.85110876451954</v>
      </c>
      <c r="E242" s="7" t="n">
        <f aca="false">IFERROR(INDEX('Perhitungan IPH Mingguan 2026'!$CO$6:$CO$25,MATCH(LARGE('Perhitungan IPH Mingguan 2026'!$EU$6:$EU$25,5),'Perhitungan IPH Mingguan 2026'!$EU$6:$EU$25,0)),"")</f>
        <v>-0.08518483201113</v>
      </c>
      <c r="F242" s="6" t="str">
        <f aca="false">IF(ISNUMBER(E242),IF(E242&gt;0,"Penyumbang KENAIKAN IPH","Penyumbang PENURUNAN IPH"),"-")</f>
        <v>Penyumbang PENURUNAN IPH</v>
      </c>
    </row>
    <row r="244" customFormat="false" ht="15" hidden="false" customHeight="true" outlineLevel="0" collapsed="false">
      <c r="A244" s="24" t="s">
        <v>248</v>
      </c>
      <c r="B244" s="24"/>
      <c r="C244" s="24"/>
      <c r="D244" s="24"/>
      <c r="E244" s="24"/>
      <c r="F244" s="24"/>
    </row>
    <row r="245" customFormat="false" ht="21.75" hidden="false" customHeight="true" outlineLevel="0" collapsed="false">
      <c r="A245" s="3" t="s">
        <v>214</v>
      </c>
      <c r="B245" s="3" t="s">
        <v>215</v>
      </c>
      <c r="C245" s="3" t="s">
        <v>142</v>
      </c>
      <c r="D245" s="3" t="s">
        <v>216</v>
      </c>
      <c r="E245" s="3" t="s">
        <v>217</v>
      </c>
      <c r="F245" s="3" t="s">
        <v>218</v>
      </c>
    </row>
    <row r="246" customFormat="false" ht="15" hidden="false" customHeight="true" outlineLevel="0" collapsed="false">
      <c r="A246" s="5" t="n">
        <v>1</v>
      </c>
      <c r="B246" s="6" t="str">
        <f aca="false">IFERROR(INDEX('Perhitungan IPH Mingguan 2026'!$B$6:$B$25,MATCH(LARGE('Perhitungan IPH Mingguan 2026'!$EV$6:$EV$25,1),'Perhitungan IPH Mingguan 2026'!$EV$6:$EV$25,0)),"-")</f>
        <v>daging ayam ras 1124003</v>
      </c>
      <c r="C246" s="7" t="n">
        <f aca="false">IFERROR(INDEX('Perhitungan IPH Mingguan 2026'!$C$6:$C$25,MATCH(LARGE('Perhitungan IPH Mingguan 2026'!$EV$6:$EV$25,1),'Perhitungan IPH Mingguan 2026'!$EV$6:$EV$25,0)),"")</f>
        <v>0.0479107777850277</v>
      </c>
      <c r="D246" s="25" t="n">
        <f aca="false">IFERROR(INDEX('Perhitungan IPH Mingguan 2026'!$CQ$6:$CQ$25,MATCH(LARGE('Perhitungan IPH Mingguan 2026'!$EV$6:$EV$25,1),'Perhitungan IPH Mingguan 2026'!$EV$6:$EV$25,0)),"")</f>
        <v>-0.332225913621262</v>
      </c>
      <c r="E246" s="7" t="n">
        <f aca="false">IFERROR(INDEX('Perhitungan IPH Mingguan 2026'!$CR$6:$CR$25,MATCH(LARGE('Perhitungan IPH Mingguan 2026'!$EV$6:$EV$25,1),'Perhitungan IPH Mingguan 2026'!$EV$6:$EV$25,0)),"")</f>
        <v>-0.0159172019219361</v>
      </c>
      <c r="F246" s="6" t="str">
        <f aca="false">IF(ISNUMBER(E246),IF(E246&gt;0,"Penyumbang KENAIKAN IPH","Penyumbang PENURUNAN IPH"),"-")</f>
        <v>Penyumbang PENURUNAN IPH</v>
      </c>
    </row>
    <row r="247" customFormat="false" ht="15" hidden="false" customHeight="true" outlineLevel="0" collapsed="false">
      <c r="A247" s="5" t="n">
        <v>2</v>
      </c>
      <c r="B247" s="6" t="str">
        <f aca="false">IFERROR(INDEX('Perhitungan IPH Mingguan 2026'!$B$6:$B$25,MATCH(LARGE('Perhitungan IPH Mingguan 2026'!$EV$6:$EV$25,2),'Perhitungan IPH Mingguan 2026'!$EV$6:$EV$25,0)),"-")</f>
        <v>cabai rawit 01173013</v>
      </c>
      <c r="C247" s="7" t="n">
        <f aca="false">IFERROR(INDEX('Perhitungan IPH Mingguan 2026'!$C$6:$C$25,MATCH(LARGE('Perhitungan IPH Mingguan 2026'!$EV$6:$EV$25,2),'Perhitungan IPH Mingguan 2026'!$EV$6:$EV$25,0)),"")</f>
        <v>0.0177017323628706</v>
      </c>
      <c r="D247" s="25" t="n">
        <f aca="false">IFERROR(INDEX('Perhitungan IPH Mingguan 2026'!$CQ$6:$CQ$25,MATCH(LARGE('Perhitungan IPH Mingguan 2026'!$EV$6:$EV$25,2),'Perhitungan IPH Mingguan 2026'!$EV$6:$EV$25,0)),"")</f>
        <v>-20.844327176781</v>
      </c>
      <c r="E247" s="7" t="n">
        <f aca="false">IFERROR(INDEX('Perhitungan IPH Mingguan 2026'!$CR$6:$CR$25,MATCH(LARGE('Perhitungan IPH Mingguan 2026'!$EV$6:$EV$25,2),'Perhitungan IPH Mingguan 2026'!$EV$6:$EV$25,0)),"")</f>
        <v>-0.368980700967488</v>
      </c>
      <c r="F247" s="6" t="str">
        <f aca="false">IF(ISNUMBER(E247),IF(E247&gt;0,"Penyumbang KENAIKAN IPH","Penyumbang PENURUNAN IPH"),"-")</f>
        <v>Penyumbang PENURUNAN IPH</v>
      </c>
    </row>
    <row r="248" customFormat="false" ht="15" hidden="false" customHeight="true" outlineLevel="0" collapsed="false">
      <c r="A248" s="5" t="n">
        <v>3</v>
      </c>
      <c r="B248" s="6" t="str">
        <f aca="false">IFERROR(INDEX('Perhitungan IPH Mingguan 2026'!$B$6:$B$25,MATCH(LARGE('Perhitungan IPH Mingguan 2026'!$EV$6:$EV$25,3),'Perhitungan IPH Mingguan 2026'!$EV$6:$EV$25,0)),"-")</f>
        <v>ikan kembung 01131028</v>
      </c>
      <c r="C248" s="7" t="n">
        <f aca="false">IFERROR(INDEX('Perhitungan IPH Mingguan 2026'!$C$6:$C$25,MATCH(LARGE('Perhitungan IPH Mingguan 2026'!$EV$6:$EV$25,3),'Perhitungan IPH Mingguan 2026'!$EV$6:$EV$25,0)),"")</f>
        <v>0.0207715409161349</v>
      </c>
      <c r="D248" s="25" t="n">
        <f aca="false">IFERROR(INDEX('Perhitungan IPH Mingguan 2026'!$CQ$6:$CQ$25,MATCH(LARGE('Perhitungan IPH Mingguan 2026'!$EV$6:$EV$25,3),'Perhitungan IPH Mingguan 2026'!$EV$6:$EV$25,0)),"")</f>
        <v>0</v>
      </c>
      <c r="E248" s="7" t="n">
        <f aca="false">IFERROR(INDEX('Perhitungan IPH Mingguan 2026'!$CR$6:$CR$25,MATCH(LARGE('Perhitungan IPH Mingguan 2026'!$EV$6:$EV$25,3),'Perhitungan IPH Mingguan 2026'!$EV$6:$EV$25,0)),"")</f>
        <v>0</v>
      </c>
      <c r="F248" s="6" t="str">
        <f aca="false">IF(ISNUMBER(E248),IF(E248&gt;0,"Penyumbang KENAIKAN IPH","Penyumbang PENURUNAN IPH"),"-")</f>
        <v>Penyumbang PENURUNAN IPH</v>
      </c>
    </row>
    <row r="249" customFormat="false" ht="15" hidden="false" customHeight="true" outlineLevel="0" collapsed="false">
      <c r="A249" s="5" t="n">
        <v>4</v>
      </c>
      <c r="B249" s="6" t="str">
        <f aca="false">IFERROR(INDEX('Perhitungan IPH Mingguan 2026'!$B$6:$B$25,MATCH(LARGE('Perhitungan IPH Mingguan 2026'!$EV$6:$EV$25,4),'Perhitungan IPH Mingguan 2026'!$EV$6:$EV$25,0)),"-")</f>
        <v>telur ayam ras 01147002</v>
      </c>
      <c r="C249" s="7" t="n">
        <f aca="false">IFERROR(INDEX('Perhitungan IPH Mingguan 2026'!$C$6:$C$25,MATCH(LARGE('Perhitungan IPH Mingguan 2026'!$EV$6:$EV$25,4),'Perhitungan IPH Mingguan 2026'!$EV$6:$EV$25,0)),"")</f>
        <v>0.0298777910794593</v>
      </c>
      <c r="D249" s="25" t="n">
        <f aca="false">IFERROR(INDEX('Perhitungan IPH Mingguan 2026'!$CQ$6:$CQ$25,MATCH(LARGE('Perhitungan IPH Mingguan 2026'!$EV$6:$EV$25,4),'Perhitungan IPH Mingguan 2026'!$EV$6:$EV$25,0)),"")</f>
        <v>-4.96304118268215</v>
      </c>
      <c r="E249" s="7" t="n">
        <f aca="false">IFERROR(INDEX('Perhitungan IPH Mingguan 2026'!$CR$6:$CR$25,MATCH(LARGE('Perhitungan IPH Mingguan 2026'!$EV$6:$EV$25,4),'Perhitungan IPH Mingguan 2026'!$EV$6:$EV$25,0)),"")</f>
        <v>-0.14828470757493</v>
      </c>
      <c r="F249" s="6" t="str">
        <f aca="false">IF(ISNUMBER(E249),IF(E249&gt;0,"Penyumbang KENAIKAN IPH","Penyumbang PENURUNAN IPH"),"-")</f>
        <v>Penyumbang PENURUNAN IPH</v>
      </c>
    </row>
    <row r="250" customFormat="false" ht="15" hidden="false" customHeight="true" outlineLevel="0" collapsed="false">
      <c r="A250" s="5" t="n">
        <v>5</v>
      </c>
      <c r="B250" s="6" t="str">
        <f aca="false">IFERROR(INDEX('Perhitungan IPH Mingguan 2026'!$B$6:$B$25,MATCH(LARGE('Perhitungan IPH Mingguan 2026'!$EV$6:$EV$25,5),'Perhitungan IPH Mingguan 2026'!$EV$6:$EV$25,0)),"-")</f>
        <v>minyak goreng 01154001/4</v>
      </c>
      <c r="C250" s="7" t="n">
        <f aca="false">IFERROR(INDEX('Perhitungan IPH Mingguan 2026'!$C$6:$C$25,MATCH(LARGE('Perhitungan IPH Mingguan 2026'!$EV$6:$EV$25,5),'Perhitungan IPH Mingguan 2026'!$EV$6:$EV$25,0)),"")</f>
        <v>0.0451766229856385</v>
      </c>
      <c r="D250" s="25" t="n">
        <f aca="false">IFERROR(INDEX('Perhitungan IPH Mingguan 2026'!$CQ$6:$CQ$25,MATCH(LARGE('Perhitungan IPH Mingguan 2026'!$EV$6:$EV$25,5),'Perhitungan IPH Mingguan 2026'!$EV$6:$EV$25,0)),"")</f>
        <v>0</v>
      </c>
      <c r="E250" s="7" t="n">
        <f aca="false">IFERROR(INDEX('Perhitungan IPH Mingguan 2026'!$CR$6:$CR$25,MATCH(LARGE('Perhitungan IPH Mingguan 2026'!$EV$6:$EV$25,5),'Perhitungan IPH Mingguan 2026'!$EV$6:$EV$25,0)),"")</f>
        <v>0</v>
      </c>
      <c r="F250" s="6" t="str">
        <f aca="false">IF(ISNUMBER(E250),IF(E250&gt;0,"Penyumbang KENAIKAN IPH","Penyumbang PENURUNAN IPH"),"-")</f>
        <v>Penyumbang PENURUNAN IPH</v>
      </c>
    </row>
    <row r="252" customFormat="false" ht="15" hidden="false" customHeight="true" outlineLevel="0" collapsed="false">
      <c r="A252" s="24" t="s">
        <v>249</v>
      </c>
      <c r="B252" s="24"/>
      <c r="C252" s="24"/>
      <c r="D252" s="24"/>
      <c r="E252" s="24"/>
      <c r="F252" s="24"/>
    </row>
    <row r="253" customFormat="false" ht="21.75" hidden="false" customHeight="true" outlineLevel="0" collapsed="false">
      <c r="A253" s="3" t="s">
        <v>214</v>
      </c>
      <c r="B253" s="3" t="s">
        <v>215</v>
      </c>
      <c r="C253" s="3" t="s">
        <v>142</v>
      </c>
      <c r="D253" s="3" t="s">
        <v>216</v>
      </c>
      <c r="E253" s="3" t="s">
        <v>217</v>
      </c>
      <c r="F253" s="3" t="s">
        <v>218</v>
      </c>
    </row>
    <row r="254" customFormat="false" ht="15" hidden="false" customHeight="true" outlineLevel="0" collapsed="false">
      <c r="A254" s="5" t="n">
        <v>1</v>
      </c>
      <c r="B254" s="6" t="str">
        <f aca="false">IFERROR(INDEX('Perhitungan IPH Mingguan 2026'!$B$6:$B$25,MATCH(LARGE('Perhitungan IPH Mingguan 2026'!$EW$6:$EW$25,1),'Perhitungan IPH Mingguan 2026'!$EW$6:$EW$25,0)),"-")</f>
        <v>daging ayam ras 1124003</v>
      </c>
      <c r="C254" s="7" t="n">
        <f aca="false">IFERROR(INDEX('Perhitungan IPH Mingguan 2026'!$C$6:$C$25,MATCH(LARGE('Perhitungan IPH Mingguan 2026'!$EW$6:$EW$25,1),'Perhitungan IPH Mingguan 2026'!$EW$6:$EW$25,0)),"")</f>
        <v>0.0479107777850277</v>
      </c>
      <c r="D254" s="25" t="n">
        <f aca="false">IFERROR(INDEX('Perhitungan IPH Mingguan 2026'!$CT$6:$CT$25,MATCH(LARGE('Perhitungan IPH Mingguan 2026'!$EW$6:$EW$25,1),'Perhitungan IPH Mingguan 2026'!$EW$6:$EW$25,0)),"")</f>
        <v>-0.332225913621262</v>
      </c>
      <c r="E254" s="7" t="n">
        <f aca="false">IFERROR(INDEX('Perhitungan IPH Mingguan 2026'!$CU$6:$CU$25,MATCH(LARGE('Perhitungan IPH Mingguan 2026'!$EW$6:$EW$25,1),'Perhitungan IPH Mingguan 2026'!$EW$6:$EW$25,0)),"")</f>
        <v>-0.0159172019219361</v>
      </c>
      <c r="F254" s="6" t="str">
        <f aca="false">IF(ISNUMBER(E254),IF(E254&gt;0,"Penyumbang KENAIKAN IPH","Penyumbang PENURUNAN IPH"),"-")</f>
        <v>Penyumbang PENURUNAN IPH</v>
      </c>
    </row>
    <row r="255" customFormat="false" ht="15" hidden="false" customHeight="true" outlineLevel="0" collapsed="false">
      <c r="A255" s="5" t="n">
        <v>2</v>
      </c>
      <c r="B255" s="6" t="str">
        <f aca="false">IFERROR(INDEX('Perhitungan IPH Mingguan 2026'!$B$6:$B$25,MATCH(LARGE('Perhitungan IPH Mingguan 2026'!$EW$6:$EW$25,2),'Perhitungan IPH Mingguan 2026'!$EW$6:$EW$25,0)),"-")</f>
        <v>cabai rawit 01173013</v>
      </c>
      <c r="C255" s="7" t="n">
        <f aca="false">IFERROR(INDEX('Perhitungan IPH Mingguan 2026'!$C$6:$C$25,MATCH(LARGE('Perhitungan IPH Mingguan 2026'!$EW$6:$EW$25,2),'Perhitungan IPH Mingguan 2026'!$EW$6:$EW$25,0)),"")</f>
        <v>0.0177017323628706</v>
      </c>
      <c r="D255" s="25" t="n">
        <f aca="false">IFERROR(INDEX('Perhitungan IPH Mingguan 2026'!$CT$6:$CT$25,MATCH(LARGE('Perhitungan IPH Mingguan 2026'!$EW$6:$EW$25,2),'Perhitungan IPH Mingguan 2026'!$EW$6:$EW$25,0)),"")</f>
        <v>-20.844327176781</v>
      </c>
      <c r="E255" s="7" t="n">
        <f aca="false">IFERROR(INDEX('Perhitungan IPH Mingguan 2026'!$CU$6:$CU$25,MATCH(LARGE('Perhitungan IPH Mingguan 2026'!$EW$6:$EW$25,2),'Perhitungan IPH Mingguan 2026'!$EW$6:$EW$25,0)),"")</f>
        <v>-0.368980700967488</v>
      </c>
      <c r="F255" s="6" t="str">
        <f aca="false">IF(ISNUMBER(E255),IF(E255&gt;0,"Penyumbang KENAIKAN IPH","Penyumbang PENURUNAN IPH"),"-")</f>
        <v>Penyumbang PENURUNAN IPH</v>
      </c>
    </row>
    <row r="256" customFormat="false" ht="15" hidden="false" customHeight="true" outlineLevel="0" collapsed="false">
      <c r="A256" s="5" t="n">
        <v>3</v>
      </c>
      <c r="B256" s="6" t="str">
        <f aca="false">IFERROR(INDEX('Perhitungan IPH Mingguan 2026'!$B$6:$B$25,MATCH(LARGE('Perhitungan IPH Mingguan 2026'!$EW$6:$EW$25,3),'Perhitungan IPH Mingguan 2026'!$EW$6:$EW$25,0)),"-")</f>
        <v>ikan kembung 01131028</v>
      </c>
      <c r="C256" s="7" t="n">
        <f aca="false">IFERROR(INDEX('Perhitungan IPH Mingguan 2026'!$C$6:$C$25,MATCH(LARGE('Perhitungan IPH Mingguan 2026'!$EW$6:$EW$25,3),'Perhitungan IPH Mingguan 2026'!$EW$6:$EW$25,0)),"")</f>
        <v>0.0207715409161349</v>
      </c>
      <c r="D256" s="25" t="n">
        <f aca="false">IFERROR(INDEX('Perhitungan IPH Mingguan 2026'!$CT$6:$CT$25,MATCH(LARGE('Perhitungan IPH Mingguan 2026'!$EW$6:$EW$25,3),'Perhitungan IPH Mingguan 2026'!$EW$6:$EW$25,0)),"")</f>
        <v>0</v>
      </c>
      <c r="E256" s="7" t="n">
        <f aca="false">IFERROR(INDEX('Perhitungan IPH Mingguan 2026'!$CU$6:$CU$25,MATCH(LARGE('Perhitungan IPH Mingguan 2026'!$EW$6:$EW$25,3),'Perhitungan IPH Mingguan 2026'!$EW$6:$EW$25,0)),"")</f>
        <v>0</v>
      </c>
      <c r="F256" s="6" t="str">
        <f aca="false">IF(ISNUMBER(E256),IF(E256&gt;0,"Penyumbang KENAIKAN IPH","Penyumbang PENURUNAN IPH"),"-")</f>
        <v>Penyumbang PENURUNAN IPH</v>
      </c>
    </row>
    <row r="257" customFormat="false" ht="15" hidden="false" customHeight="true" outlineLevel="0" collapsed="false">
      <c r="A257" s="5" t="n">
        <v>4</v>
      </c>
      <c r="B257" s="6" t="str">
        <f aca="false">IFERROR(INDEX('Perhitungan IPH Mingguan 2026'!$B$6:$B$25,MATCH(LARGE('Perhitungan IPH Mingguan 2026'!$EW$6:$EW$25,4),'Perhitungan IPH Mingguan 2026'!$EW$6:$EW$25,0)),"-")</f>
        <v>telur ayam ras 01147002</v>
      </c>
      <c r="C257" s="7" t="n">
        <f aca="false">IFERROR(INDEX('Perhitungan IPH Mingguan 2026'!$C$6:$C$25,MATCH(LARGE('Perhitungan IPH Mingguan 2026'!$EW$6:$EW$25,4),'Perhitungan IPH Mingguan 2026'!$EW$6:$EW$25,0)),"")</f>
        <v>0.0298777910794593</v>
      </c>
      <c r="D257" s="25" t="n">
        <f aca="false">IFERROR(INDEX('Perhitungan IPH Mingguan 2026'!$CT$6:$CT$25,MATCH(LARGE('Perhitungan IPH Mingguan 2026'!$EW$6:$EW$25,4),'Perhitungan IPH Mingguan 2026'!$EW$6:$EW$25,0)),"")</f>
        <v>-4.96304118268215</v>
      </c>
      <c r="E257" s="7" t="n">
        <f aca="false">IFERROR(INDEX('Perhitungan IPH Mingguan 2026'!$CU$6:$CU$25,MATCH(LARGE('Perhitungan IPH Mingguan 2026'!$EW$6:$EW$25,4),'Perhitungan IPH Mingguan 2026'!$EW$6:$EW$25,0)),"")</f>
        <v>-0.14828470757493</v>
      </c>
      <c r="F257" s="6" t="str">
        <f aca="false">IF(ISNUMBER(E257),IF(E257&gt;0,"Penyumbang KENAIKAN IPH","Penyumbang PENURUNAN IPH"),"-")</f>
        <v>Penyumbang PENURUNAN IPH</v>
      </c>
    </row>
    <row r="258" customFormat="false" ht="15" hidden="false" customHeight="true" outlineLevel="0" collapsed="false">
      <c r="A258" s="5" t="n">
        <v>5</v>
      </c>
      <c r="B258" s="6" t="str">
        <f aca="false">IFERROR(INDEX('Perhitungan IPH Mingguan 2026'!$B$6:$B$25,MATCH(LARGE('Perhitungan IPH Mingguan 2026'!$EW$6:$EW$25,5),'Perhitungan IPH Mingguan 2026'!$EW$6:$EW$25,0)),"-")</f>
        <v>minyak goreng 01154001/4</v>
      </c>
      <c r="C258" s="7" t="n">
        <f aca="false">IFERROR(INDEX('Perhitungan IPH Mingguan 2026'!$C$6:$C$25,MATCH(LARGE('Perhitungan IPH Mingguan 2026'!$EW$6:$EW$25,5),'Perhitungan IPH Mingguan 2026'!$EW$6:$EW$25,0)),"")</f>
        <v>0.0451766229856385</v>
      </c>
      <c r="D258" s="25" t="n">
        <f aca="false">IFERROR(INDEX('Perhitungan IPH Mingguan 2026'!$CT$6:$CT$25,MATCH(LARGE('Perhitungan IPH Mingguan 2026'!$EW$6:$EW$25,5),'Perhitungan IPH Mingguan 2026'!$EW$6:$EW$25,0)),"")</f>
        <v>0</v>
      </c>
      <c r="E258" s="7" t="n">
        <f aca="false">IFERROR(INDEX('Perhitungan IPH Mingguan 2026'!$CU$6:$CU$25,MATCH(LARGE('Perhitungan IPH Mingguan 2026'!$EW$6:$EW$25,5),'Perhitungan IPH Mingguan 2026'!$EW$6:$EW$25,0)),"")</f>
        <v>0</v>
      </c>
      <c r="F258" s="6" t="str">
        <f aca="false">IF(ISNUMBER(E258),IF(E258&gt;0,"Penyumbang KENAIKAN IPH","Penyumbang PENURUNAN IPH"),"-")</f>
        <v>Penyumbang PENURUNAN IPH</v>
      </c>
    </row>
    <row r="260" customFormat="false" ht="15" hidden="false" customHeight="true" outlineLevel="0" collapsed="false">
      <c r="A260" s="24" t="s">
        <v>250</v>
      </c>
      <c r="B260" s="24"/>
      <c r="C260" s="24"/>
      <c r="D260" s="24"/>
      <c r="E260" s="24"/>
      <c r="F260" s="24"/>
    </row>
    <row r="261" customFormat="false" ht="21.75" hidden="false" customHeight="true" outlineLevel="0" collapsed="false">
      <c r="A261" s="3" t="s">
        <v>214</v>
      </c>
      <c r="B261" s="3" t="s">
        <v>215</v>
      </c>
      <c r="C261" s="3" t="s">
        <v>142</v>
      </c>
      <c r="D261" s="3" t="s">
        <v>216</v>
      </c>
      <c r="E261" s="3" t="s">
        <v>217</v>
      </c>
      <c r="F261" s="3" t="s">
        <v>218</v>
      </c>
    </row>
    <row r="262" customFormat="false" ht="15" hidden="false" customHeight="true" outlineLevel="0" collapsed="false">
      <c r="A262" s="5" t="n">
        <v>1</v>
      </c>
      <c r="B262" s="6" t="str">
        <f aca="false">IFERROR(INDEX('Perhitungan IPH Mingguan 2026'!$B$6:$B$25,MATCH(LARGE('Perhitungan IPH Mingguan 2026'!$EX$6:$EX$25,1),'Perhitungan IPH Mingguan 2026'!$EX$6:$EX$25,0)),"-")</f>
        <v>daging ayam ras 1124003</v>
      </c>
      <c r="C262" s="7" t="n">
        <f aca="false">IFERROR(INDEX('Perhitungan IPH Mingguan 2026'!$C$6:$C$25,MATCH(LARGE('Perhitungan IPH Mingguan 2026'!$EX$6:$EX$25,1),'Perhitungan IPH Mingguan 2026'!$EX$6:$EX$25,0)),"")</f>
        <v>0.0479107777850277</v>
      </c>
      <c r="D262" s="25" t="n">
        <f aca="false">IFERROR(INDEX('Perhitungan IPH Mingguan 2026'!$CW$6:$CW$25,MATCH(LARGE('Perhitungan IPH Mingguan 2026'!$EX$6:$EX$25,1),'Perhitungan IPH Mingguan 2026'!$EX$6:$EX$25,0)),"")</f>
        <v>0.996677740863787</v>
      </c>
      <c r="E262" s="7" t="n">
        <f aca="false">IFERROR(INDEX('Perhitungan IPH Mingguan 2026'!$CX$6:$CX$25,MATCH(LARGE('Perhitungan IPH Mingguan 2026'!$EX$6:$EX$25,1),'Perhitungan IPH Mingguan 2026'!$EX$6:$EX$25,0)),"")</f>
        <v>0.0477516057658083</v>
      </c>
      <c r="F262" s="6" t="str">
        <f aca="false">IF(ISNUMBER(E262),IF(E262&gt;0,"Penyumbang KENAIKAN IPH","Penyumbang PENURUNAN IPH"),"-")</f>
        <v>Penyumbang KENAIKAN IPH</v>
      </c>
    </row>
    <row r="263" customFormat="false" ht="15" hidden="false" customHeight="true" outlineLevel="0" collapsed="false">
      <c r="A263" s="5" t="n">
        <v>2</v>
      </c>
      <c r="B263" s="6" t="str">
        <f aca="false">IFERROR(INDEX('Perhitungan IPH Mingguan 2026'!$B$6:$B$25,MATCH(LARGE('Perhitungan IPH Mingguan 2026'!$EX$6:$EX$25,2),'Perhitungan IPH Mingguan 2026'!$EX$6:$EX$25,0)),"-")</f>
        <v>cabai rawit 01173013</v>
      </c>
      <c r="C263" s="7" t="n">
        <f aca="false">IFERROR(INDEX('Perhitungan IPH Mingguan 2026'!$C$6:$C$25,MATCH(LARGE('Perhitungan IPH Mingguan 2026'!$EX$6:$EX$25,2),'Perhitungan IPH Mingguan 2026'!$EX$6:$EX$25,0)),"")</f>
        <v>0.0177017323628706</v>
      </c>
      <c r="D263" s="25" t="n">
        <f aca="false">IFERROR(INDEX('Perhitungan IPH Mingguan 2026'!$CW$6:$CW$25,MATCH(LARGE('Perhitungan IPH Mingguan 2026'!$EX$6:$EX$25,2),'Perhitungan IPH Mingguan 2026'!$EX$6:$EX$25,0)),"")</f>
        <v>-22.6033421284081</v>
      </c>
      <c r="E263" s="7" t="n">
        <f aca="false">IFERROR(INDEX('Perhitungan IPH Mingguan 2026'!$CX$6:$CX$25,MATCH(LARGE('Perhitungan IPH Mingguan 2026'!$EX$6:$EX$25,2),'Perhitungan IPH Mingguan 2026'!$EX$6:$EX$25,0)),"")</f>
        <v>-0.400118312863478</v>
      </c>
      <c r="F263" s="6" t="str">
        <f aca="false">IF(ISNUMBER(E263),IF(E263&gt;0,"Penyumbang KENAIKAN IPH","Penyumbang PENURUNAN IPH"),"-")</f>
        <v>Penyumbang PENURUNAN IPH</v>
      </c>
    </row>
    <row r="264" customFormat="false" ht="15" hidden="false" customHeight="true" outlineLevel="0" collapsed="false">
      <c r="A264" s="5" t="n">
        <v>3</v>
      </c>
      <c r="B264" s="6" t="str">
        <f aca="false">IFERROR(INDEX('Perhitungan IPH Mingguan 2026'!$B$6:$B$25,MATCH(LARGE('Perhitungan IPH Mingguan 2026'!$EX$6:$EX$25,3),'Perhitungan IPH Mingguan 2026'!$EX$6:$EX$25,0)),"-")</f>
        <v>beras 1111001</v>
      </c>
      <c r="C264" s="7" t="n">
        <f aca="false">IFERROR(INDEX('Perhitungan IPH Mingguan 2026'!$C$6:$C$25,MATCH(LARGE('Perhitungan IPH Mingguan 2026'!$EX$6:$EX$25,3),'Perhitungan IPH Mingguan 2026'!$EX$6:$EX$25,0)),"")</f>
        <v>0.125089056759346</v>
      </c>
      <c r="D264" s="25" t="n">
        <f aca="false">IFERROR(INDEX('Perhitungan IPH Mingguan 2026'!$CW$6:$CW$25,MATCH(LARGE('Perhitungan IPH Mingguan 2026'!$EX$6:$EX$25,3),'Perhitungan IPH Mingguan 2026'!$EX$6:$EX$25,0)),"")</f>
        <v>-0.181018877682963</v>
      </c>
      <c r="E264" s="7" t="n">
        <f aca="false">IFERROR(INDEX('Perhitungan IPH Mingguan 2026'!$CX$6:$CX$25,MATCH(LARGE('Perhitungan IPH Mingguan 2026'!$EX$6:$EX$25,3),'Perhitungan IPH Mingguan 2026'!$EX$6:$EX$25,0)),"")</f>
        <v>-0.0226434806649973</v>
      </c>
      <c r="F264" s="6" t="str">
        <f aca="false">IF(ISNUMBER(E264),IF(E264&gt;0,"Penyumbang KENAIKAN IPH","Penyumbang PENURUNAN IPH"),"-")</f>
        <v>Penyumbang PENURUNAN IPH</v>
      </c>
    </row>
    <row r="265" customFormat="false" ht="15" hidden="false" customHeight="true" outlineLevel="0" collapsed="false">
      <c r="A265" s="5" t="n">
        <v>4</v>
      </c>
      <c r="B265" s="6" t="str">
        <f aca="false">IFERROR(INDEX('Perhitungan IPH Mingguan 2026'!$B$6:$B$25,MATCH(LARGE('Perhitungan IPH Mingguan 2026'!$EX$6:$EX$25,4),'Perhitungan IPH Mingguan 2026'!$EX$6:$EX$25,0)),"-")</f>
        <v>ikan kembung 01131028</v>
      </c>
      <c r="C265" s="7" t="n">
        <f aca="false">IFERROR(INDEX('Perhitungan IPH Mingguan 2026'!$C$6:$C$25,MATCH(LARGE('Perhitungan IPH Mingguan 2026'!$EX$6:$EX$25,4),'Perhitungan IPH Mingguan 2026'!$EX$6:$EX$25,0)),"")</f>
        <v>0.0207715409161349</v>
      </c>
      <c r="D265" s="25" t="n">
        <f aca="false">IFERROR(INDEX('Perhitungan IPH Mingguan 2026'!$CW$6:$CW$25,MATCH(LARGE('Perhitungan IPH Mingguan 2026'!$EX$6:$EX$25,4),'Perhitungan IPH Mingguan 2026'!$EX$6:$EX$25,0)),"")</f>
        <v>0</v>
      </c>
      <c r="E265" s="7" t="n">
        <f aca="false">IFERROR(INDEX('Perhitungan IPH Mingguan 2026'!$CX$6:$CX$25,MATCH(LARGE('Perhitungan IPH Mingguan 2026'!$EX$6:$EX$25,4),'Perhitungan IPH Mingguan 2026'!$EX$6:$EX$25,0)),"")</f>
        <v>0</v>
      </c>
      <c r="F265" s="6" t="str">
        <f aca="false">IF(ISNUMBER(E265),IF(E265&gt;0,"Penyumbang KENAIKAN IPH","Penyumbang PENURUNAN IPH"),"-")</f>
        <v>Penyumbang PENURUNAN IPH</v>
      </c>
    </row>
    <row r="266" customFormat="false" ht="15" hidden="false" customHeight="true" outlineLevel="0" collapsed="false">
      <c r="A266" s="5" t="n">
        <v>5</v>
      </c>
      <c r="B266" s="6" t="str">
        <f aca="false">IFERROR(INDEX('Perhitungan IPH Mingguan 2026'!$B$6:$B$25,MATCH(LARGE('Perhitungan IPH Mingguan 2026'!$EX$6:$EX$25,5),'Perhitungan IPH Mingguan 2026'!$EX$6:$EX$25,0)),"-")</f>
        <v>telur ayam ras 01147002</v>
      </c>
      <c r="C266" s="7" t="n">
        <f aca="false">IFERROR(INDEX('Perhitungan IPH Mingguan 2026'!$C$6:$C$25,MATCH(LARGE('Perhitungan IPH Mingguan 2026'!$EX$6:$EX$25,5),'Perhitungan IPH Mingguan 2026'!$EX$6:$EX$25,0)),"")</f>
        <v>0.0298777910794593</v>
      </c>
      <c r="D266" s="25" t="n">
        <f aca="false">IFERROR(INDEX('Perhitungan IPH Mingguan 2026'!$CW$6:$CW$25,MATCH(LARGE('Perhitungan IPH Mingguan 2026'!$EX$6:$EX$25,5),'Perhitungan IPH Mingguan 2026'!$EX$6:$EX$25,0)),"")</f>
        <v>-3.69588173178458</v>
      </c>
      <c r="E266" s="7" t="n">
        <f aca="false">IFERROR(INDEX('Perhitungan IPH Mingguan 2026'!$CX$6:$CX$25,MATCH(LARGE('Perhitungan IPH Mingguan 2026'!$EX$6:$EX$25,5),'Perhitungan IPH Mingguan 2026'!$EX$6:$EX$25,0)),"")</f>
        <v>-0.11042478223665</v>
      </c>
      <c r="F266" s="6" t="str">
        <f aca="false">IF(ISNUMBER(E266),IF(E266&gt;0,"Penyumbang KENAIKAN IPH","Penyumbang PENURUNAN IPH"),"-")</f>
        <v>Penyumbang PENURUNAN IPH</v>
      </c>
    </row>
    <row r="268" customFormat="false" ht="15" hidden="false" customHeight="true" outlineLevel="0" collapsed="false">
      <c r="A268" s="24" t="s">
        <v>251</v>
      </c>
      <c r="B268" s="24"/>
      <c r="C268" s="24"/>
      <c r="D268" s="24"/>
      <c r="E268" s="24"/>
      <c r="F268" s="24"/>
    </row>
    <row r="269" customFormat="false" ht="21.75" hidden="false" customHeight="true" outlineLevel="0" collapsed="false">
      <c r="A269" s="3" t="s">
        <v>214</v>
      </c>
      <c r="B269" s="3" t="s">
        <v>215</v>
      </c>
      <c r="C269" s="3" t="s">
        <v>142</v>
      </c>
      <c r="D269" s="3" t="s">
        <v>216</v>
      </c>
      <c r="E269" s="3" t="s">
        <v>217</v>
      </c>
      <c r="F269" s="3" t="s">
        <v>218</v>
      </c>
    </row>
    <row r="270" customFormat="false" ht="15" hidden="false" customHeight="true" outlineLevel="0" collapsed="false">
      <c r="A270" s="5" t="n">
        <v>1</v>
      </c>
      <c r="B270" s="6" t="str">
        <f aca="false">IFERROR(INDEX('Perhitungan IPH Mingguan 2026'!$B$6:$B$25,MATCH(LARGE('Perhitungan IPH Mingguan 2026'!$EY$6:$EY$25,1),'Perhitungan IPH Mingguan 2026'!$EY$6:$EY$25,0)),"-")</f>
        <v>cabai rawit 01173013</v>
      </c>
      <c r="C270" s="7" t="n">
        <f aca="false">IFERROR(INDEX('Perhitungan IPH Mingguan 2026'!$C$6:$C$25,MATCH(LARGE('Perhitungan IPH Mingguan 2026'!$EY$6:$EY$25,1),'Perhitungan IPH Mingguan 2026'!$EY$6:$EY$25,0)),"")</f>
        <v>0.0177017323628706</v>
      </c>
      <c r="D270" s="25" t="n">
        <f aca="false">IFERROR(INDEX('Perhitungan IPH Mingguan 2026'!$CZ$6:$CZ$25,MATCH(LARGE('Perhitungan IPH Mingguan 2026'!$EY$6:$EY$25,1),'Perhitungan IPH Mingguan 2026'!$EY$6:$EY$25,0)),"")</f>
        <v>-27.5285839929639</v>
      </c>
      <c r="E270" s="7" t="n">
        <f aca="false">IFERROR(INDEX('Perhitungan IPH Mingguan 2026'!$DA$6:$DA$25,MATCH(LARGE('Perhitungan IPH Mingguan 2026'!$EY$6:$EY$25,1),'Perhitungan IPH Mingguan 2026'!$EY$6:$EY$25,0)),"")</f>
        <v>-0.487303626172251</v>
      </c>
      <c r="F270" s="6" t="str">
        <f aca="false">IF(ISNUMBER(E270),IF(E270&gt;0,"Penyumbang KENAIKAN IPH","Penyumbang PENURUNAN IPH"),"-")</f>
        <v>Penyumbang PENURUNAN IPH</v>
      </c>
    </row>
    <row r="271" customFormat="false" ht="15" hidden="false" customHeight="true" outlineLevel="0" collapsed="false">
      <c r="A271" s="5" t="n">
        <v>2</v>
      </c>
      <c r="B271" s="6" t="str">
        <f aca="false">IFERROR(INDEX('Perhitungan IPH Mingguan 2026'!$B$6:$B$25,MATCH(LARGE('Perhitungan IPH Mingguan 2026'!$EY$6:$EY$25,2),'Perhitungan IPH Mingguan 2026'!$EY$6:$EY$25,0)),"-")</f>
        <v>daging ayam ras 1124003</v>
      </c>
      <c r="C271" s="7" t="n">
        <f aca="false">IFERROR(INDEX('Perhitungan IPH Mingguan 2026'!$C$6:$C$25,MATCH(LARGE('Perhitungan IPH Mingguan 2026'!$EY$6:$EY$25,2),'Perhitungan IPH Mingguan 2026'!$EY$6:$EY$25,0)),"")</f>
        <v>0.0479107777850277</v>
      </c>
      <c r="D271" s="25" t="n">
        <f aca="false">IFERROR(INDEX('Perhitungan IPH Mingguan 2026'!$CZ$6:$CZ$25,MATCH(LARGE('Perhitungan IPH Mingguan 2026'!$EY$6:$EY$25,2),'Perhitungan IPH Mingguan 2026'!$EY$6:$EY$25,0)),"")</f>
        <v>10.2990033222591</v>
      </c>
      <c r="E271" s="7" t="n">
        <f aca="false">IFERROR(INDEX('Perhitungan IPH Mingguan 2026'!$DA$6:$DA$25,MATCH(LARGE('Perhitungan IPH Mingguan 2026'!$EY$6:$EY$25,2),'Perhitungan IPH Mingguan 2026'!$EY$6:$EY$25,0)),"")</f>
        <v>0.493433259580019</v>
      </c>
      <c r="F271" s="6" t="str">
        <f aca="false">IF(ISNUMBER(E271),IF(E271&gt;0,"Penyumbang KENAIKAN IPH","Penyumbang PENURUNAN IPH"),"-")</f>
        <v>Penyumbang KENAIKAN IPH</v>
      </c>
    </row>
    <row r="272" customFormat="false" ht="15" hidden="false" customHeight="true" outlineLevel="0" collapsed="false">
      <c r="A272" s="5" t="n">
        <v>3</v>
      </c>
      <c r="B272" s="6" t="str">
        <f aca="false">IFERROR(INDEX('Perhitungan IPH Mingguan 2026'!$B$6:$B$25,MATCH(LARGE('Perhitungan IPH Mingguan 2026'!$EY$6:$EY$25,3),'Perhitungan IPH Mingguan 2026'!$EY$6:$EY$25,0)),"-")</f>
        <v>beras 1111001</v>
      </c>
      <c r="C272" s="7" t="n">
        <f aca="false">IFERROR(INDEX('Perhitungan IPH Mingguan 2026'!$C$6:$C$25,MATCH(LARGE('Perhitungan IPH Mingguan 2026'!$EY$6:$EY$25,3),'Perhitungan IPH Mingguan 2026'!$EY$6:$EY$25,0)),"")</f>
        <v>0.125089056759346</v>
      </c>
      <c r="D272" s="25" t="n">
        <f aca="false">IFERROR(INDEX('Perhitungan IPH Mingguan 2026'!$CZ$6:$CZ$25,MATCH(LARGE('Perhitungan IPH Mingguan 2026'!$EY$6:$EY$25,3),'Perhitungan IPH Mingguan 2026'!$EY$6:$EY$25,0)),"")</f>
        <v>-0.181018877682963</v>
      </c>
      <c r="E272" s="7" t="n">
        <f aca="false">IFERROR(INDEX('Perhitungan IPH Mingguan 2026'!$DA$6:$DA$25,MATCH(LARGE('Perhitungan IPH Mingguan 2026'!$EY$6:$EY$25,3),'Perhitungan IPH Mingguan 2026'!$EY$6:$EY$25,0)),"")</f>
        <v>-0.0226434806649973</v>
      </c>
      <c r="F272" s="6" t="str">
        <f aca="false">IF(ISNUMBER(E272),IF(E272&gt;0,"Penyumbang KENAIKAN IPH","Penyumbang PENURUNAN IPH"),"-")</f>
        <v>Penyumbang PENURUNAN IPH</v>
      </c>
    </row>
    <row r="273" customFormat="false" ht="15" hidden="false" customHeight="true" outlineLevel="0" collapsed="false">
      <c r="A273" s="5" t="n">
        <v>4</v>
      </c>
      <c r="B273" s="6" t="str">
        <f aca="false">IFERROR(INDEX('Perhitungan IPH Mingguan 2026'!$B$6:$B$25,MATCH(LARGE('Perhitungan IPH Mingguan 2026'!$EY$6:$EY$25,4),'Perhitungan IPH Mingguan 2026'!$EY$6:$EY$25,0)),"-")</f>
        <v>telur ayam ras 01147002</v>
      </c>
      <c r="C273" s="7" t="n">
        <f aca="false">IFERROR(INDEX('Perhitungan IPH Mingguan 2026'!$C$6:$C$25,MATCH(LARGE('Perhitungan IPH Mingguan 2026'!$EY$6:$EY$25,4),'Perhitungan IPH Mingguan 2026'!$EY$6:$EY$25,0)),"")</f>
        <v>0.0298777910794593</v>
      </c>
      <c r="D273" s="25" t="n">
        <f aca="false">IFERROR(INDEX('Perhitungan IPH Mingguan 2026'!$CZ$6:$CZ$25,MATCH(LARGE('Perhitungan IPH Mingguan 2026'!$EY$6:$EY$25,4),'Perhitungan IPH Mingguan 2026'!$EY$6:$EY$25,0)),"")</f>
        <v>-2.42872228088701</v>
      </c>
      <c r="E273" s="7" t="n">
        <f aca="false">IFERROR(INDEX('Perhitungan IPH Mingguan 2026'!$DA$6:$DA$25,MATCH(LARGE('Perhitungan IPH Mingguan 2026'!$EY$6:$EY$25,4),'Perhitungan IPH Mingguan 2026'!$EY$6:$EY$25,0)),"")</f>
        <v>-0.07256485689837</v>
      </c>
      <c r="F273" s="6" t="str">
        <f aca="false">IF(ISNUMBER(E273),IF(E273&gt;0,"Penyumbang KENAIKAN IPH","Penyumbang PENURUNAN IPH"),"-")</f>
        <v>Penyumbang PENURUNAN IPH</v>
      </c>
    </row>
    <row r="274" customFormat="false" ht="15" hidden="false" customHeight="true" outlineLevel="0" collapsed="false">
      <c r="A274" s="5" t="n">
        <v>5</v>
      </c>
      <c r="B274" s="6" t="str">
        <f aca="false">IFERROR(INDEX('Perhitungan IPH Mingguan 2026'!$B$6:$B$25,MATCH(LARGE('Perhitungan IPH Mingguan 2026'!$EY$6:$EY$25,5),'Perhitungan IPH Mingguan 2026'!$EY$6:$EY$25,0)),"-")</f>
        <v>ikan kembung 01131028</v>
      </c>
      <c r="C274" s="7" t="n">
        <f aca="false">IFERROR(INDEX('Perhitungan IPH Mingguan 2026'!$C$6:$C$25,MATCH(LARGE('Perhitungan IPH Mingguan 2026'!$EY$6:$EY$25,5),'Perhitungan IPH Mingguan 2026'!$EY$6:$EY$25,0)),"")</f>
        <v>0.0207715409161349</v>
      </c>
      <c r="D274" s="25" t="n">
        <f aca="false">IFERROR(INDEX('Perhitungan IPH Mingguan 2026'!$CZ$6:$CZ$25,MATCH(LARGE('Perhitungan IPH Mingguan 2026'!$EY$6:$EY$25,5),'Perhitungan IPH Mingguan 2026'!$EY$6:$EY$25,0)),"")</f>
        <v>0</v>
      </c>
      <c r="E274" s="7" t="n">
        <f aca="false">IFERROR(INDEX('Perhitungan IPH Mingguan 2026'!$DA$6:$DA$25,MATCH(LARGE('Perhitungan IPH Mingguan 2026'!$EY$6:$EY$25,5),'Perhitungan IPH Mingguan 2026'!$EY$6:$EY$25,0)),"")</f>
        <v>0</v>
      </c>
      <c r="F274" s="6" t="str">
        <f aca="false">IF(ISNUMBER(E274),IF(E274&gt;0,"Penyumbang KENAIKAN IPH","Penyumbang PENURUNAN IPH"),"-")</f>
        <v>Penyumbang PENURUNAN IPH</v>
      </c>
    </row>
    <row r="276" customFormat="false" ht="15" hidden="false" customHeight="true" outlineLevel="0" collapsed="false">
      <c r="A276" s="24" t="s">
        <v>252</v>
      </c>
      <c r="B276" s="24"/>
      <c r="C276" s="24"/>
      <c r="D276" s="24"/>
      <c r="E276" s="24"/>
      <c r="F276" s="24"/>
    </row>
    <row r="277" customFormat="false" ht="21.75" hidden="false" customHeight="true" outlineLevel="0" collapsed="false">
      <c r="A277" s="3" t="s">
        <v>214</v>
      </c>
      <c r="B277" s="3" t="s">
        <v>215</v>
      </c>
      <c r="C277" s="3" t="s">
        <v>142</v>
      </c>
      <c r="D277" s="3" t="s">
        <v>216</v>
      </c>
      <c r="E277" s="3" t="s">
        <v>217</v>
      </c>
      <c r="F277" s="3" t="s">
        <v>218</v>
      </c>
    </row>
    <row r="278" customFormat="false" ht="15" hidden="false" customHeight="true" outlineLevel="0" collapsed="false">
      <c r="A278" s="5" t="n">
        <v>1</v>
      </c>
      <c r="B278" s="6" t="str">
        <f aca="false">IFERROR(INDEX('Perhitungan IPH Mingguan 2026'!$B$6:$B$25,MATCH(LARGE('Perhitungan IPH Mingguan 2026'!$EZ$6:$EZ$25,1),'Perhitungan IPH Mingguan 2026'!$EZ$6:$EZ$25,0)),"-")</f>
        <v>beras 1111001</v>
      </c>
      <c r="C278" s="7" t="n">
        <f aca="false">IFERROR(INDEX('Perhitungan IPH Mingguan 2026'!$C$6:$C$25,MATCH(LARGE('Perhitungan IPH Mingguan 2026'!$EZ$6:$EZ$25,1),'Perhitungan IPH Mingguan 2026'!$EZ$6:$EZ$25,0)),"")</f>
        <v>0.125089056759346</v>
      </c>
      <c r="D278" s="25" t="n">
        <f aca="false">IFERROR(INDEX('Perhitungan IPH Mingguan 2026'!$DC$6:$DC$25,MATCH(LARGE('Perhitungan IPH Mingguan 2026'!$EZ$6:$EZ$25,1),'Perhitungan IPH Mingguan 2026'!$EZ$6:$EZ$25,0)),"")</f>
        <v>0</v>
      </c>
      <c r="E278" s="7" t="n">
        <f aca="false">IFERROR(INDEX('Perhitungan IPH Mingguan 2026'!$DD$6:$DD$25,MATCH(LARGE('Perhitungan IPH Mingguan 2026'!$EZ$6:$EZ$25,1),'Perhitungan IPH Mingguan 2026'!$EZ$6:$EZ$25,0)),"")</f>
        <v>0</v>
      </c>
      <c r="F278" s="6" t="str">
        <f aca="false">IF(ISNUMBER(E278),IF(E278&gt;0,"Penyumbang KENAIKAN IPH","Penyumbang PENURUNAN IPH"),"-")</f>
        <v>Penyumbang PENURUNAN IPH</v>
      </c>
    </row>
    <row r="279" customFormat="false" ht="15" hidden="false" customHeight="true" outlineLevel="0" collapsed="false">
      <c r="A279" s="5" t="n">
        <v>2</v>
      </c>
      <c r="B279" s="6" t="str">
        <f aca="false">IFERROR(INDEX('Perhitungan IPH Mingguan 2026'!$B$6:$B$25,MATCH(LARGE('Perhitungan IPH Mingguan 2026'!$EZ$6:$EZ$25,2),'Perhitungan IPH Mingguan 2026'!$EZ$6:$EZ$25,0)),"-")</f>
        <v>beras 1111001</v>
      </c>
      <c r="C279" s="7" t="n">
        <f aca="false">IFERROR(INDEX('Perhitungan IPH Mingguan 2026'!$C$6:$C$25,MATCH(LARGE('Perhitungan IPH Mingguan 2026'!$EZ$6:$EZ$25,2),'Perhitungan IPH Mingguan 2026'!$EZ$6:$EZ$25,0)),"")</f>
        <v>0.125089056759346</v>
      </c>
      <c r="D279" s="25" t="n">
        <f aca="false">IFERROR(INDEX('Perhitungan IPH Mingguan 2026'!$DC$6:$DC$25,MATCH(LARGE('Perhitungan IPH Mingguan 2026'!$EZ$6:$EZ$25,2),'Perhitungan IPH Mingguan 2026'!$EZ$6:$EZ$25,0)),"")</f>
        <v>0</v>
      </c>
      <c r="E279" s="7" t="n">
        <f aca="false">IFERROR(INDEX('Perhitungan IPH Mingguan 2026'!$DD$6:$DD$25,MATCH(LARGE('Perhitungan IPH Mingguan 2026'!$EZ$6:$EZ$25,2),'Perhitungan IPH Mingguan 2026'!$EZ$6:$EZ$25,0)),"")</f>
        <v>0</v>
      </c>
      <c r="F279" s="6" t="str">
        <f aca="false">IF(ISNUMBER(E279),IF(E279&gt;0,"Penyumbang KENAIKAN IPH","Penyumbang PENURUNAN IPH"),"-")</f>
        <v>Penyumbang PENURUNAN IPH</v>
      </c>
    </row>
    <row r="280" customFormat="false" ht="15" hidden="false" customHeight="true" outlineLevel="0" collapsed="false">
      <c r="A280" s="5" t="n">
        <v>3</v>
      </c>
      <c r="B280" s="6" t="str">
        <f aca="false">IFERROR(INDEX('Perhitungan IPH Mingguan 2026'!$B$6:$B$25,MATCH(LARGE('Perhitungan IPH Mingguan 2026'!$EZ$6:$EZ$25,3),'Perhitungan IPH Mingguan 2026'!$EZ$6:$EZ$25,0)),"-")</f>
        <v>beras 1111001</v>
      </c>
      <c r="C280" s="7" t="n">
        <f aca="false">IFERROR(INDEX('Perhitungan IPH Mingguan 2026'!$C$6:$C$25,MATCH(LARGE('Perhitungan IPH Mingguan 2026'!$EZ$6:$EZ$25,3),'Perhitungan IPH Mingguan 2026'!$EZ$6:$EZ$25,0)),"")</f>
        <v>0.125089056759346</v>
      </c>
      <c r="D280" s="25" t="n">
        <f aca="false">IFERROR(INDEX('Perhitungan IPH Mingguan 2026'!$DC$6:$DC$25,MATCH(LARGE('Perhitungan IPH Mingguan 2026'!$EZ$6:$EZ$25,3),'Perhitungan IPH Mingguan 2026'!$EZ$6:$EZ$25,0)),"")</f>
        <v>0</v>
      </c>
      <c r="E280" s="7" t="n">
        <f aca="false">IFERROR(INDEX('Perhitungan IPH Mingguan 2026'!$DD$6:$DD$25,MATCH(LARGE('Perhitungan IPH Mingguan 2026'!$EZ$6:$EZ$25,3),'Perhitungan IPH Mingguan 2026'!$EZ$6:$EZ$25,0)),"")</f>
        <v>0</v>
      </c>
      <c r="F280" s="6" t="str">
        <f aca="false">IF(ISNUMBER(E280),IF(E280&gt;0,"Penyumbang KENAIKAN IPH","Penyumbang PENURUNAN IPH"),"-")</f>
        <v>Penyumbang PENURUNAN IPH</v>
      </c>
    </row>
    <row r="281" customFormat="false" ht="15" hidden="false" customHeight="true" outlineLevel="0" collapsed="false">
      <c r="A281" s="5" t="n">
        <v>4</v>
      </c>
      <c r="B281" s="6" t="str">
        <f aca="false">IFERROR(INDEX('Perhitungan IPH Mingguan 2026'!$B$6:$B$25,MATCH(LARGE('Perhitungan IPH Mingguan 2026'!$EZ$6:$EZ$25,4),'Perhitungan IPH Mingguan 2026'!$EZ$6:$EZ$25,0)),"-")</f>
        <v>beras 1111001</v>
      </c>
      <c r="C281" s="7" t="n">
        <f aca="false">IFERROR(INDEX('Perhitungan IPH Mingguan 2026'!$C$6:$C$25,MATCH(LARGE('Perhitungan IPH Mingguan 2026'!$EZ$6:$EZ$25,4),'Perhitungan IPH Mingguan 2026'!$EZ$6:$EZ$25,0)),"")</f>
        <v>0.125089056759346</v>
      </c>
      <c r="D281" s="25" t="n">
        <f aca="false">IFERROR(INDEX('Perhitungan IPH Mingguan 2026'!$DC$6:$DC$25,MATCH(LARGE('Perhitungan IPH Mingguan 2026'!$EZ$6:$EZ$25,4),'Perhitungan IPH Mingguan 2026'!$EZ$6:$EZ$25,0)),"")</f>
        <v>0</v>
      </c>
      <c r="E281" s="7" t="n">
        <f aca="false">IFERROR(INDEX('Perhitungan IPH Mingguan 2026'!$DD$6:$DD$25,MATCH(LARGE('Perhitungan IPH Mingguan 2026'!$EZ$6:$EZ$25,4),'Perhitungan IPH Mingguan 2026'!$EZ$6:$EZ$25,0)),"")</f>
        <v>0</v>
      </c>
      <c r="F281" s="6" t="str">
        <f aca="false">IF(ISNUMBER(E281),IF(E281&gt;0,"Penyumbang KENAIKAN IPH","Penyumbang PENURUNAN IPH"),"-")</f>
        <v>Penyumbang PENURUNAN IPH</v>
      </c>
    </row>
    <row r="282" customFormat="false" ht="15" hidden="false" customHeight="true" outlineLevel="0" collapsed="false">
      <c r="A282" s="5" t="n">
        <v>5</v>
      </c>
      <c r="B282" s="6" t="str">
        <f aca="false">IFERROR(INDEX('Perhitungan IPH Mingguan 2026'!$B$6:$B$25,MATCH(LARGE('Perhitungan IPH Mingguan 2026'!$EZ$6:$EZ$25,5),'Perhitungan IPH Mingguan 2026'!$EZ$6:$EZ$25,0)),"-")</f>
        <v>beras 1111001</v>
      </c>
      <c r="C282" s="7" t="n">
        <f aca="false">IFERROR(INDEX('Perhitungan IPH Mingguan 2026'!$C$6:$C$25,MATCH(LARGE('Perhitungan IPH Mingguan 2026'!$EZ$6:$EZ$25,5),'Perhitungan IPH Mingguan 2026'!$EZ$6:$EZ$25,0)),"")</f>
        <v>0.125089056759346</v>
      </c>
      <c r="D282" s="25" t="n">
        <f aca="false">IFERROR(INDEX('Perhitungan IPH Mingguan 2026'!$DC$6:$DC$25,MATCH(LARGE('Perhitungan IPH Mingguan 2026'!$EZ$6:$EZ$25,5),'Perhitungan IPH Mingguan 2026'!$EZ$6:$EZ$25,0)),"")</f>
        <v>0</v>
      </c>
      <c r="E282" s="7" t="n">
        <f aca="false">IFERROR(INDEX('Perhitungan IPH Mingguan 2026'!$DD$6:$DD$25,MATCH(LARGE('Perhitungan IPH Mingguan 2026'!$EZ$6:$EZ$25,5),'Perhitungan IPH Mingguan 2026'!$EZ$6:$EZ$25,0)),"")</f>
        <v>0</v>
      </c>
      <c r="F282" s="6" t="str">
        <f aca="false">IF(ISNUMBER(E282),IF(E282&gt;0,"Penyumbang KENAIKAN IPH","Penyumbang PENURUNAN IPH"),"-")</f>
        <v>Penyumbang PENURUNAN IPH</v>
      </c>
    </row>
    <row r="284" customFormat="false" ht="15" hidden="false" customHeight="true" outlineLevel="0" collapsed="false">
      <c r="A284" s="24" t="s">
        <v>253</v>
      </c>
      <c r="B284" s="24"/>
      <c r="C284" s="24"/>
      <c r="D284" s="24"/>
      <c r="E284" s="24"/>
      <c r="F284" s="24"/>
    </row>
    <row r="285" customFormat="false" ht="21.75" hidden="false" customHeight="true" outlineLevel="0" collapsed="false">
      <c r="A285" s="3" t="s">
        <v>214</v>
      </c>
      <c r="B285" s="3" t="s">
        <v>215</v>
      </c>
      <c r="C285" s="3" t="s">
        <v>142</v>
      </c>
      <c r="D285" s="3" t="s">
        <v>216</v>
      </c>
      <c r="E285" s="3" t="s">
        <v>217</v>
      </c>
      <c r="F285" s="3" t="s">
        <v>218</v>
      </c>
    </row>
    <row r="286" customFormat="false" ht="15" hidden="false" customHeight="true" outlineLevel="0" collapsed="false">
      <c r="A286" s="5" t="n">
        <v>1</v>
      </c>
      <c r="B286" s="6" t="str">
        <f aca="false">IFERROR(INDEX('Perhitungan IPH Mingguan 2026'!$B$6:$B$25,MATCH(LARGE('Perhitungan IPH Mingguan 2026'!$FA$6:$FA$25,1),'Perhitungan IPH Mingguan 2026'!$FA$6:$FA$25,0)),"-")</f>
        <v>bawang merah 1174006</v>
      </c>
      <c r="C286" s="7" t="n">
        <f aca="false">IFERROR(INDEX('Perhitungan IPH Mingguan 2026'!$C$6:$C$25,MATCH(LARGE('Perhitungan IPH Mingguan 2026'!$FA$6:$FA$25,1),'Perhitungan IPH Mingguan 2026'!$FA$6:$FA$25,0)),"")</f>
        <v>0.0194434650422287</v>
      </c>
      <c r="D286" s="25" t="n">
        <f aca="false">IFERROR(INDEX('Perhitungan IPH Mingguan 2026'!$DF$6:$DF$25,MATCH(LARGE('Perhitungan IPH Mingguan 2026'!$FA$6:$FA$25,1),'Perhitungan IPH Mingguan 2026'!$FA$6:$FA$25,0)),"")</f>
        <v>-13.3165829145729</v>
      </c>
      <c r="E286" s="7" t="n">
        <f aca="false">IFERROR(INDEX('Perhitungan IPH Mingguan 2026'!$DG$6:$DG$25,MATCH(LARGE('Perhitungan IPH Mingguan 2026'!$FA$6:$FA$25,1),'Perhitungan IPH Mingguan 2026'!$FA$6:$FA$25,0)),"")</f>
        <v>-0.258920514381437</v>
      </c>
      <c r="F286" s="6" t="str">
        <f aca="false">IF(ISNUMBER(E286),IF(E286&gt;0,"Penyumbang KENAIKAN IPH","Penyumbang PENURUNAN IPH"),"-")</f>
        <v>Penyumbang PENURUNAN IPH</v>
      </c>
    </row>
    <row r="287" customFormat="false" ht="15" hidden="false" customHeight="true" outlineLevel="0" collapsed="false">
      <c r="A287" s="5" t="n">
        <v>2</v>
      </c>
      <c r="B287" s="6" t="str">
        <f aca="false">IFERROR(INDEX('Perhitungan IPH Mingguan 2026'!$B$6:$B$25,MATCH(LARGE('Perhitungan IPH Mingguan 2026'!$FA$6:$FA$25,2),'Perhitungan IPH Mingguan 2026'!$FA$6:$FA$25,0)),"-")</f>
        <v>cabai rawit 01173013</v>
      </c>
      <c r="C287" s="7" t="n">
        <f aca="false">IFERROR(INDEX('Perhitungan IPH Mingguan 2026'!$C$6:$C$25,MATCH(LARGE('Perhitungan IPH Mingguan 2026'!$FA$6:$FA$25,2),'Perhitungan IPH Mingguan 2026'!$FA$6:$FA$25,0)),"")</f>
        <v>0.0177017323628706</v>
      </c>
      <c r="D287" s="25" t="n">
        <f aca="false">IFERROR(INDEX('Perhitungan IPH Mingguan 2026'!$DF$6:$DF$25,MATCH(LARGE('Perhitungan IPH Mingguan 2026'!$FA$6:$FA$25,2),'Perhitungan IPH Mingguan 2026'!$FA$6:$FA$25,0)),"")</f>
        <v>-9.00098911968348</v>
      </c>
      <c r="E287" s="7" t="n">
        <f aca="false">IFERROR(INDEX('Perhitungan IPH Mingguan 2026'!$DG$6:$DG$25,MATCH(LARGE('Perhitungan IPH Mingguan 2026'!$FA$6:$FA$25,2),'Perhitungan IPH Mingguan 2026'!$FA$6:$FA$25,0)),"")</f>
        <v>-0.159333100397747</v>
      </c>
      <c r="F287" s="6" t="str">
        <f aca="false">IF(ISNUMBER(E287),IF(E287&gt;0,"Penyumbang KENAIKAN IPH","Penyumbang PENURUNAN IPH"),"-")</f>
        <v>Penyumbang PENURUNAN IPH</v>
      </c>
    </row>
    <row r="288" customFormat="false" ht="15" hidden="false" customHeight="true" outlineLevel="0" collapsed="false">
      <c r="A288" s="5" t="n">
        <v>3</v>
      </c>
      <c r="B288" s="6" t="str">
        <f aca="false">IFERROR(INDEX('Perhitungan IPH Mingguan 2026'!$B$6:$B$25,MATCH(LARGE('Perhitungan IPH Mingguan 2026'!$FA$6:$FA$25,3),'Perhitungan IPH Mingguan 2026'!$FA$6:$FA$25,0)),"-")</f>
        <v>beras 1111001</v>
      </c>
      <c r="C288" s="7" t="n">
        <f aca="false">IFERROR(INDEX('Perhitungan IPH Mingguan 2026'!$C$6:$C$25,MATCH(LARGE('Perhitungan IPH Mingguan 2026'!$FA$6:$FA$25,3),'Perhitungan IPH Mingguan 2026'!$FA$6:$FA$25,0)),"")</f>
        <v>0.125089056759346</v>
      </c>
      <c r="D288" s="25" t="n">
        <f aca="false">IFERROR(INDEX('Perhitungan IPH Mingguan 2026'!$DF$6:$DF$25,MATCH(LARGE('Perhitungan IPH Mingguan 2026'!$FA$6:$FA$25,3),'Perhitungan IPH Mingguan 2026'!$FA$6:$FA$25,0)),"")</f>
        <v>0</v>
      </c>
      <c r="E288" s="7" t="n">
        <f aca="false">IFERROR(INDEX('Perhitungan IPH Mingguan 2026'!$DG$6:$DG$25,MATCH(LARGE('Perhitungan IPH Mingguan 2026'!$FA$6:$FA$25,3),'Perhitungan IPH Mingguan 2026'!$FA$6:$FA$25,0)),"")</f>
        <v>0</v>
      </c>
      <c r="F288" s="6" t="str">
        <f aca="false">IF(ISNUMBER(E288),IF(E288&gt;0,"Penyumbang KENAIKAN IPH","Penyumbang PENURUNAN IPH"),"-")</f>
        <v>Penyumbang PENURUNAN IPH</v>
      </c>
    </row>
    <row r="289" customFormat="false" ht="15" hidden="false" customHeight="true" outlineLevel="0" collapsed="false">
      <c r="A289" s="5" t="n">
        <v>4</v>
      </c>
      <c r="B289" s="6" t="str">
        <f aca="false">IFERROR(INDEX('Perhitungan IPH Mingguan 2026'!$B$6:$B$25,MATCH(LARGE('Perhitungan IPH Mingguan 2026'!$FA$6:$FA$25,4),'Perhitungan IPH Mingguan 2026'!$FA$6:$FA$25,0)),"-")</f>
        <v>daging ayam ras 1124003</v>
      </c>
      <c r="C289" s="7" t="n">
        <f aca="false">IFERROR(INDEX('Perhitungan IPH Mingguan 2026'!$C$6:$C$25,MATCH(LARGE('Perhitungan IPH Mingguan 2026'!$FA$6:$FA$25,4),'Perhitungan IPH Mingguan 2026'!$FA$6:$FA$25,0)),"")</f>
        <v>0.0479107777850277</v>
      </c>
      <c r="D289" s="25" t="n">
        <f aca="false">IFERROR(INDEX('Perhitungan IPH Mingguan 2026'!$DF$6:$DF$25,MATCH(LARGE('Perhitungan IPH Mingguan 2026'!$FA$6:$FA$25,4),'Perhitungan IPH Mingguan 2026'!$FA$6:$FA$25,0)),"")</f>
        <v>10.45197740113</v>
      </c>
      <c r="E289" s="7" t="n">
        <f aca="false">IFERROR(INDEX('Perhitungan IPH Mingguan 2026'!$DG$6:$DG$25,MATCH(LARGE('Perhitungan IPH Mingguan 2026'!$FA$6:$FA$25,4),'Perhitungan IPH Mingguan 2026'!$FA$6:$FA$25,0)),"")</f>
        <v>0.500762366679668</v>
      </c>
      <c r="F289" s="6" t="str">
        <f aca="false">IF(ISNUMBER(E289),IF(E289&gt;0,"Penyumbang KENAIKAN IPH","Penyumbang PENURUNAN IPH"),"-")</f>
        <v>Penyumbang KENAIKAN IPH</v>
      </c>
    </row>
    <row r="290" customFormat="false" ht="15" hidden="false" customHeight="true" outlineLevel="0" collapsed="false">
      <c r="A290" s="5" t="n">
        <v>5</v>
      </c>
      <c r="B290" s="6" t="str">
        <f aca="false">IFERROR(INDEX('Perhitungan IPH Mingguan 2026'!$B$6:$B$25,MATCH(LARGE('Perhitungan IPH Mingguan 2026'!$FA$6:$FA$25,5),'Perhitungan IPH Mingguan 2026'!$FA$6:$FA$25,0)),"-")</f>
        <v>cabai merah 01173012</v>
      </c>
      <c r="C290" s="7" t="n">
        <f aca="false">IFERROR(INDEX('Perhitungan IPH Mingguan 2026'!$C$6:$C$25,MATCH(LARGE('Perhitungan IPH Mingguan 2026'!$FA$6:$FA$25,5),'Perhitungan IPH Mingguan 2026'!$FA$6:$FA$25,0)),"")</f>
        <v>0.0110208839376634</v>
      </c>
      <c r="D290" s="25" t="n">
        <f aca="false">IFERROR(INDEX('Perhitungan IPH Mingguan 2026'!$DF$6:$DF$25,MATCH(LARGE('Perhitungan IPH Mingguan 2026'!$FA$6:$FA$25,5),'Perhitungan IPH Mingguan 2026'!$FA$6:$FA$25,0)),"")</f>
        <v>0</v>
      </c>
      <c r="E290" s="7" t="n">
        <f aca="false">IFERROR(INDEX('Perhitungan IPH Mingguan 2026'!$DG$6:$DG$25,MATCH(LARGE('Perhitungan IPH Mingguan 2026'!$FA$6:$FA$25,5),'Perhitungan IPH Mingguan 2026'!$FA$6:$FA$25,0)),"")</f>
        <v>0</v>
      </c>
      <c r="F290" s="6" t="str">
        <f aca="false">IF(ISNUMBER(E290),IF(E290&gt;0,"Penyumbang KENAIKAN IPH","Penyumbang PENURUNAN IPH"),"-")</f>
        <v>Penyumbang PENURUNAN IPH</v>
      </c>
    </row>
    <row r="292" customFormat="false" ht="15" hidden="false" customHeight="true" outlineLevel="0" collapsed="false">
      <c r="A292" s="24" t="s">
        <v>254</v>
      </c>
      <c r="B292" s="24"/>
      <c r="C292" s="24"/>
      <c r="D292" s="24"/>
      <c r="E292" s="24"/>
      <c r="F292" s="24"/>
    </row>
    <row r="293" customFormat="false" ht="21.75" hidden="false" customHeight="true" outlineLevel="0" collapsed="false">
      <c r="A293" s="3" t="s">
        <v>214</v>
      </c>
      <c r="B293" s="3" t="s">
        <v>215</v>
      </c>
      <c r="C293" s="3" t="s">
        <v>142</v>
      </c>
      <c r="D293" s="3" t="s">
        <v>216</v>
      </c>
      <c r="E293" s="3" t="s">
        <v>217</v>
      </c>
      <c r="F293" s="3" t="s">
        <v>218</v>
      </c>
    </row>
    <row r="294" customFormat="false" ht="15" hidden="false" customHeight="true" outlineLevel="0" collapsed="false">
      <c r="A294" s="5" t="n">
        <v>1</v>
      </c>
      <c r="B294" s="6" t="str">
        <f aca="false">IFERROR(INDEX('Perhitungan IPH Mingguan 2026'!$B$6:$B$25,MATCH(LARGE('Perhitungan IPH Mingguan 2026'!$FB$6:$FB$25,1),'Perhitungan IPH Mingguan 2026'!$FB$6:$FB$25,0)),"-")</f>
        <v>cabai rawit 01173013</v>
      </c>
      <c r="C294" s="7" t="n">
        <f aca="false">IFERROR(INDEX('Perhitungan IPH Mingguan 2026'!$C$6:$C$25,MATCH(LARGE('Perhitungan IPH Mingguan 2026'!$FB$6:$FB$25,1),'Perhitungan IPH Mingguan 2026'!$FB$6:$FB$25,0)),"")</f>
        <v>0.0177017323628706</v>
      </c>
      <c r="D294" s="25" t="n">
        <f aca="false">IFERROR(INDEX('Perhitungan IPH Mingguan 2026'!$DI$6:$DI$25,MATCH(LARGE('Perhitungan IPH Mingguan 2026'!$FB$6:$FB$25,1),'Perhitungan IPH Mingguan 2026'!$FB$6:$FB$25,0)),"")</f>
        <v>-5.58852621167161</v>
      </c>
      <c r="E294" s="7" t="n">
        <f aca="false">IFERROR(INDEX('Perhitungan IPH Mingguan 2026'!$DJ$6:$DJ$25,MATCH(LARGE('Perhitungan IPH Mingguan 2026'!$FB$6:$FB$25,1),'Perhitungan IPH Mingguan 2026'!$FB$6:$FB$25,0)),"")</f>
        <v>-0.0989265953018979</v>
      </c>
      <c r="F294" s="6" t="str">
        <f aca="false">IF(ISNUMBER(E294),IF(E294&gt;0,"Penyumbang KENAIKAN IPH","Penyumbang PENURUNAN IPH"),"-")</f>
        <v>Penyumbang PENURUNAN IPH</v>
      </c>
    </row>
    <row r="295" customFormat="false" ht="15" hidden="false" customHeight="true" outlineLevel="0" collapsed="false">
      <c r="A295" s="5" t="n">
        <v>2</v>
      </c>
      <c r="B295" s="6" t="str">
        <f aca="false">IFERROR(INDEX('Perhitungan IPH Mingguan 2026'!$B$6:$B$25,MATCH(LARGE('Perhitungan IPH Mingguan 2026'!$FB$6:$FB$25,2),'Perhitungan IPH Mingguan 2026'!$FB$6:$FB$25,0)),"-")</f>
        <v>bawang merah 1174006</v>
      </c>
      <c r="C295" s="7" t="n">
        <f aca="false">IFERROR(INDEX('Perhitungan IPH Mingguan 2026'!$C$6:$C$25,MATCH(LARGE('Perhitungan IPH Mingguan 2026'!$FB$6:$FB$25,2),'Perhitungan IPH Mingguan 2026'!$FB$6:$FB$25,0)),"")</f>
        <v>0.0194434650422287</v>
      </c>
      <c r="D295" s="25" t="n">
        <f aca="false">IFERROR(INDEX('Perhitungan IPH Mingguan 2026'!$DI$6:$DI$25,MATCH(LARGE('Perhitungan IPH Mingguan 2026'!$FB$6:$FB$25,2),'Perhitungan IPH Mingguan 2026'!$FB$6:$FB$25,0)),"")</f>
        <v>-13.3165829145729</v>
      </c>
      <c r="E295" s="7" t="n">
        <f aca="false">IFERROR(INDEX('Perhitungan IPH Mingguan 2026'!$DJ$6:$DJ$25,MATCH(LARGE('Perhitungan IPH Mingguan 2026'!$FB$6:$FB$25,2),'Perhitungan IPH Mingguan 2026'!$FB$6:$FB$25,0)),"")</f>
        <v>-0.258920514381437</v>
      </c>
      <c r="F295" s="6" t="str">
        <f aca="false">IF(ISNUMBER(E295),IF(E295&gt;0,"Penyumbang KENAIKAN IPH","Penyumbang PENURUNAN IPH"),"-")</f>
        <v>Penyumbang PENURUNAN IPH</v>
      </c>
    </row>
    <row r="296" customFormat="false" ht="15" hidden="false" customHeight="true" outlineLevel="0" collapsed="false">
      <c r="A296" s="5" t="n">
        <v>3</v>
      </c>
      <c r="B296" s="6" t="str">
        <f aca="false">IFERROR(INDEX('Perhitungan IPH Mingguan 2026'!$B$6:$B$25,MATCH(LARGE('Perhitungan IPH Mingguan 2026'!$FB$6:$FB$25,3),'Perhitungan IPH Mingguan 2026'!$FB$6:$FB$25,0)),"-")</f>
        <v>cabai merah 01173012</v>
      </c>
      <c r="C296" s="7" t="n">
        <f aca="false">IFERROR(INDEX('Perhitungan IPH Mingguan 2026'!$C$6:$C$25,MATCH(LARGE('Perhitungan IPH Mingguan 2026'!$FB$6:$FB$25,3),'Perhitungan IPH Mingguan 2026'!$FB$6:$FB$25,0)),"")</f>
        <v>0.0110208839376634</v>
      </c>
      <c r="D296" s="25" t="n">
        <f aca="false">IFERROR(INDEX('Perhitungan IPH Mingguan 2026'!$DI$6:$DI$25,MATCH(LARGE('Perhitungan IPH Mingguan 2026'!$FB$6:$FB$25,3),'Perhitungan IPH Mingguan 2026'!$FB$6:$FB$25,0)),"")</f>
        <v>-5.17241379310345</v>
      </c>
      <c r="E296" s="7" t="n">
        <f aca="false">IFERROR(INDEX('Perhitungan IPH Mingguan 2026'!$DJ$6:$DJ$25,MATCH(LARGE('Perhitungan IPH Mingguan 2026'!$FB$6:$FB$25,3),'Perhitungan IPH Mingguan 2026'!$FB$6:$FB$25,0)),"")</f>
        <v>-0.0570045720913624</v>
      </c>
      <c r="F296" s="6" t="str">
        <f aca="false">IF(ISNUMBER(E296),IF(E296&gt;0,"Penyumbang KENAIKAN IPH","Penyumbang PENURUNAN IPH"),"-")</f>
        <v>Penyumbang PENURUNAN IPH</v>
      </c>
    </row>
    <row r="297" customFormat="false" ht="15" hidden="false" customHeight="true" outlineLevel="0" collapsed="false">
      <c r="A297" s="5" t="n">
        <v>4</v>
      </c>
      <c r="B297" s="6" t="str">
        <f aca="false">IFERROR(INDEX('Perhitungan IPH Mingguan 2026'!$B$6:$B$25,MATCH(LARGE('Perhitungan IPH Mingguan 2026'!$FB$6:$FB$25,4),'Perhitungan IPH Mingguan 2026'!$FB$6:$FB$25,0)),"-")</f>
        <v>beras 1111001</v>
      </c>
      <c r="C297" s="7" t="n">
        <f aca="false">IFERROR(INDEX('Perhitungan IPH Mingguan 2026'!$C$6:$C$25,MATCH(LARGE('Perhitungan IPH Mingguan 2026'!$FB$6:$FB$25,4),'Perhitungan IPH Mingguan 2026'!$FB$6:$FB$25,0)),"")</f>
        <v>0.125089056759346</v>
      </c>
      <c r="D297" s="25" t="n">
        <f aca="false">IFERROR(INDEX('Perhitungan IPH Mingguan 2026'!$DI$6:$DI$25,MATCH(LARGE('Perhitungan IPH Mingguan 2026'!$FB$6:$FB$25,4),'Perhitungan IPH Mingguan 2026'!$FB$6:$FB$25,0)),"")</f>
        <v>0</v>
      </c>
      <c r="E297" s="7" t="n">
        <f aca="false">IFERROR(INDEX('Perhitungan IPH Mingguan 2026'!$DJ$6:$DJ$25,MATCH(LARGE('Perhitungan IPH Mingguan 2026'!$FB$6:$FB$25,4),'Perhitungan IPH Mingguan 2026'!$FB$6:$FB$25,0)),"")</f>
        <v>0</v>
      </c>
      <c r="F297" s="6" t="str">
        <f aca="false">IF(ISNUMBER(E297),IF(E297&gt;0,"Penyumbang KENAIKAN IPH","Penyumbang PENURUNAN IPH"),"-")</f>
        <v>Penyumbang PENURUNAN IPH</v>
      </c>
    </row>
    <row r="298" customFormat="false" ht="15" hidden="false" customHeight="true" outlineLevel="0" collapsed="false">
      <c r="A298" s="5" t="n">
        <v>5</v>
      </c>
      <c r="B298" s="6" t="str">
        <f aca="false">IFERROR(INDEX('Perhitungan IPH Mingguan 2026'!$B$6:$B$25,MATCH(LARGE('Perhitungan IPH Mingguan 2026'!$FB$6:$FB$25,5),'Perhitungan IPH Mingguan 2026'!$FB$6:$FB$25,0)),"-")</f>
        <v>daging ayam ras 1124003</v>
      </c>
      <c r="C298" s="7" t="n">
        <f aca="false">IFERROR(INDEX('Perhitungan IPH Mingguan 2026'!$C$6:$C$25,MATCH(LARGE('Perhitungan IPH Mingguan 2026'!$FB$6:$FB$25,5),'Perhitungan IPH Mingguan 2026'!$FB$6:$FB$25,0)),"")</f>
        <v>0.0479107777850277</v>
      </c>
      <c r="D298" s="25" t="n">
        <f aca="false">IFERROR(INDEX('Perhitungan IPH Mingguan 2026'!$DI$6:$DI$25,MATCH(LARGE('Perhitungan IPH Mingguan 2026'!$FB$6:$FB$25,5),'Perhitungan IPH Mingguan 2026'!$FB$6:$FB$25,0)),"")</f>
        <v>15.3248587570622</v>
      </c>
      <c r="E298" s="7" t="n">
        <f aca="false">IFERROR(INDEX('Perhitungan IPH Mingguan 2026'!$DJ$6:$DJ$25,MATCH(LARGE('Perhitungan IPH Mingguan 2026'!$FB$6:$FB$25,5),'Perhitungan IPH Mingguan 2026'!$FB$6:$FB$25,0)),"")</f>
        <v>0.734225902496541</v>
      </c>
      <c r="F298" s="6" t="str">
        <f aca="false">IF(ISNUMBER(E298),IF(E298&gt;0,"Penyumbang KENAIKAN IPH","Penyumbang PENURUNAN IPH"),"-")</f>
        <v>Penyumbang KENAIKAN IPH</v>
      </c>
    </row>
    <row r="300" customFormat="false" ht="15" hidden="false" customHeight="true" outlineLevel="0" collapsed="false">
      <c r="A300" s="24" t="s">
        <v>255</v>
      </c>
      <c r="B300" s="24"/>
      <c r="C300" s="24"/>
      <c r="D300" s="24"/>
      <c r="E300" s="24"/>
      <c r="F300" s="24"/>
    </row>
    <row r="301" customFormat="false" ht="21.75" hidden="false" customHeight="true" outlineLevel="0" collapsed="false">
      <c r="A301" s="3" t="s">
        <v>214</v>
      </c>
      <c r="B301" s="3" t="s">
        <v>215</v>
      </c>
      <c r="C301" s="3" t="s">
        <v>142</v>
      </c>
      <c r="D301" s="3" t="s">
        <v>216</v>
      </c>
      <c r="E301" s="3" t="s">
        <v>217</v>
      </c>
      <c r="F301" s="3" t="s">
        <v>218</v>
      </c>
    </row>
    <row r="302" customFormat="false" ht="15" hidden="false" customHeight="true" outlineLevel="0" collapsed="false">
      <c r="A302" s="5" t="n">
        <v>1</v>
      </c>
      <c r="B302" s="6" t="str">
        <f aca="false">IFERROR(INDEX('Perhitungan IPH Mingguan 2026'!$B$6:$B$25,MATCH(LARGE('Perhitungan IPH Mingguan 2026'!$FC$6:$FC$25,1),'Perhitungan IPH Mingguan 2026'!$FC$6:$FC$25,0)),"-")</f>
        <v>cabai rawit 01173013</v>
      </c>
      <c r="C302" s="7" t="n">
        <f aca="false">IFERROR(INDEX('Perhitungan IPH Mingguan 2026'!$C$6:$C$25,MATCH(LARGE('Perhitungan IPH Mingguan 2026'!$FC$6:$FC$25,1),'Perhitungan IPH Mingguan 2026'!$FC$6:$FC$25,0)),"")</f>
        <v>0.0177017323628706</v>
      </c>
      <c r="D302" s="25" t="n">
        <f aca="false">IFERROR(INDEX('Perhitungan IPH Mingguan 2026'!$DL$6:$DL$25,MATCH(LARGE('Perhitungan IPH Mingguan 2026'!$FC$6:$FC$25,1),'Perhitungan IPH Mingguan 2026'!$FC$6:$FC$25,0)),"")</f>
        <v>-2.74480712166172</v>
      </c>
      <c r="E302" s="7" t="n">
        <f aca="false">IFERROR(INDEX('Perhitungan IPH Mingguan 2026'!$DM$6:$DM$25,MATCH(LARGE('Perhitungan IPH Mingguan 2026'!$FC$6:$FC$25,1),'Perhitungan IPH Mingguan 2026'!$FC$6:$FC$25,0)),"")</f>
        <v>-0.0485878410553569</v>
      </c>
      <c r="F302" s="6" t="str">
        <f aca="false">IF(ISNUMBER(E302),IF(E302&gt;0,"Penyumbang KENAIKAN IPH","Penyumbang PENURUNAN IPH"),"-")</f>
        <v>Penyumbang PENURUNAN IPH</v>
      </c>
    </row>
    <row r="303" customFormat="false" ht="15" hidden="false" customHeight="true" outlineLevel="0" collapsed="false">
      <c r="A303" s="5" t="n">
        <v>2</v>
      </c>
      <c r="B303" s="6" t="str">
        <f aca="false">IFERROR(INDEX('Perhitungan IPH Mingguan 2026'!$B$6:$B$25,MATCH(LARGE('Perhitungan IPH Mingguan 2026'!$FC$6:$FC$25,2),'Perhitungan IPH Mingguan 2026'!$FC$6:$FC$25,0)),"-")</f>
        <v>bawang merah 1174006</v>
      </c>
      <c r="C303" s="7" t="n">
        <f aca="false">IFERROR(INDEX('Perhitungan IPH Mingguan 2026'!$C$6:$C$25,MATCH(LARGE('Perhitungan IPH Mingguan 2026'!$FC$6:$FC$25,2),'Perhitungan IPH Mingguan 2026'!$FC$6:$FC$25,0)),"")</f>
        <v>0.0194434650422287</v>
      </c>
      <c r="D303" s="25" t="n">
        <f aca="false">IFERROR(INDEX('Perhitungan IPH Mingguan 2026'!$DL$6:$DL$25,MATCH(LARGE('Perhitungan IPH Mingguan 2026'!$FC$6:$FC$25,2),'Perhitungan IPH Mingguan 2026'!$FC$6:$FC$25,0)),"")</f>
        <v>-13.3165829145729</v>
      </c>
      <c r="E303" s="7" t="n">
        <f aca="false">IFERROR(INDEX('Perhitungan IPH Mingguan 2026'!$DM$6:$DM$25,MATCH(LARGE('Perhitungan IPH Mingguan 2026'!$FC$6:$FC$25,2),'Perhitungan IPH Mingguan 2026'!$FC$6:$FC$25,0)),"")</f>
        <v>-0.258920514381437</v>
      </c>
      <c r="F303" s="6" t="str">
        <f aca="false">IF(ISNUMBER(E303),IF(E303&gt;0,"Penyumbang KENAIKAN IPH","Penyumbang PENURUNAN IPH"),"-")</f>
        <v>Penyumbang PENURUNAN IPH</v>
      </c>
    </row>
    <row r="304" customFormat="false" ht="15" hidden="false" customHeight="true" outlineLevel="0" collapsed="false">
      <c r="A304" s="5" t="n">
        <v>3</v>
      </c>
      <c r="B304" s="6" t="str">
        <f aca="false">IFERROR(INDEX('Perhitungan IPH Mingguan 2026'!$B$6:$B$25,MATCH(LARGE('Perhitungan IPH Mingguan 2026'!$FC$6:$FC$25,3),'Perhitungan IPH Mingguan 2026'!$FC$6:$FC$25,0)),"-")</f>
        <v>cabai merah 01173012</v>
      </c>
      <c r="C304" s="7" t="n">
        <f aca="false">IFERROR(INDEX('Perhitungan IPH Mingguan 2026'!$C$6:$C$25,MATCH(LARGE('Perhitungan IPH Mingguan 2026'!$FC$6:$FC$25,3),'Perhitungan IPH Mingguan 2026'!$FC$6:$FC$25,0)),"")</f>
        <v>0.0110208839376634</v>
      </c>
      <c r="D304" s="25" t="n">
        <f aca="false">IFERROR(INDEX('Perhitungan IPH Mingguan 2026'!$DL$6:$DL$25,MATCH(LARGE('Perhitungan IPH Mingguan 2026'!$FC$6:$FC$25,3),'Perhitungan IPH Mingguan 2026'!$FC$6:$FC$25,0)),"")</f>
        <v>-6.89655172413793</v>
      </c>
      <c r="E304" s="7" t="n">
        <f aca="false">IFERROR(INDEX('Perhitungan IPH Mingguan 2026'!$DM$6:$DM$25,MATCH(LARGE('Perhitungan IPH Mingguan 2026'!$FC$6:$FC$25,3),'Perhitungan IPH Mingguan 2026'!$FC$6:$FC$25,0)),"")</f>
        <v>-0.0760060961218166</v>
      </c>
      <c r="F304" s="6" t="str">
        <f aca="false">IF(ISNUMBER(E304),IF(E304&gt;0,"Penyumbang KENAIKAN IPH","Penyumbang PENURUNAN IPH"),"-")</f>
        <v>Penyumbang PENURUNAN IPH</v>
      </c>
    </row>
    <row r="305" customFormat="false" ht="15" hidden="false" customHeight="true" outlineLevel="0" collapsed="false">
      <c r="A305" s="5" t="n">
        <v>4</v>
      </c>
      <c r="B305" s="6" t="str">
        <f aca="false">IFERROR(INDEX('Perhitungan IPH Mingguan 2026'!$B$6:$B$25,MATCH(LARGE('Perhitungan IPH Mingguan 2026'!$FC$6:$FC$25,4),'Perhitungan IPH Mingguan 2026'!$FC$6:$FC$25,0)),"-")</f>
        <v>beras 1111001</v>
      </c>
      <c r="C305" s="7" t="n">
        <f aca="false">IFERROR(INDEX('Perhitungan IPH Mingguan 2026'!$C$6:$C$25,MATCH(LARGE('Perhitungan IPH Mingguan 2026'!$FC$6:$FC$25,4),'Perhitungan IPH Mingguan 2026'!$FC$6:$FC$25,0)),"")</f>
        <v>0.125089056759346</v>
      </c>
      <c r="D305" s="25" t="n">
        <f aca="false">IFERROR(INDEX('Perhitungan IPH Mingguan 2026'!$DL$6:$DL$25,MATCH(LARGE('Perhitungan IPH Mingguan 2026'!$FC$6:$FC$25,4),'Perhitungan IPH Mingguan 2026'!$FC$6:$FC$25,0)),"")</f>
        <v>0.0971502590673575</v>
      </c>
      <c r="E305" s="7" t="n">
        <f aca="false">IFERROR(INDEX('Perhitungan IPH Mingguan 2026'!$DM$6:$DM$25,MATCH(LARGE('Perhitungan IPH Mingguan 2026'!$FC$6:$FC$25,4),'Perhitungan IPH Mingguan 2026'!$FC$6:$FC$25,0)),"")</f>
        <v>0.0121524342706619</v>
      </c>
      <c r="F305" s="6" t="str">
        <f aca="false">IF(ISNUMBER(E305),IF(E305&gt;0,"Penyumbang KENAIKAN IPH","Penyumbang PENURUNAN IPH"),"-")</f>
        <v>Penyumbang KENAIKAN IPH</v>
      </c>
    </row>
    <row r="306" customFormat="false" ht="15" hidden="false" customHeight="true" outlineLevel="0" collapsed="false">
      <c r="A306" s="5" t="n">
        <v>5</v>
      </c>
      <c r="B306" s="6" t="str">
        <f aca="false">IFERROR(INDEX('Perhitungan IPH Mingguan 2026'!$B$6:$B$25,MATCH(LARGE('Perhitungan IPH Mingguan 2026'!$FC$6:$FC$25,5),'Perhitungan IPH Mingguan 2026'!$FC$6:$FC$25,0)),"-")</f>
        <v>telur ayam ras 01147002</v>
      </c>
      <c r="C306" s="7" t="n">
        <f aca="false">IFERROR(INDEX('Perhitungan IPH Mingguan 2026'!$C$6:$C$25,MATCH(LARGE('Perhitungan IPH Mingguan 2026'!$FC$6:$FC$25,5),'Perhitungan IPH Mingguan 2026'!$FC$6:$FC$25,0)),"")</f>
        <v>0.0298777910794593</v>
      </c>
      <c r="D306" s="25" t="n">
        <f aca="false">IFERROR(INDEX('Perhitungan IPH Mingguan 2026'!$DL$6:$DL$25,MATCH(LARGE('Perhitungan IPH Mingguan 2026'!$FC$6:$FC$25,5),'Perhitungan IPH Mingguan 2026'!$FC$6:$FC$25,0)),"")</f>
        <v>-0.0477554918815692</v>
      </c>
      <c r="E306" s="7" t="n">
        <f aca="false">IFERROR(INDEX('Perhitungan IPH Mingguan 2026'!$DM$6:$DM$25,MATCH(LARGE('Perhitungan IPH Mingguan 2026'!$FC$6:$FC$25,5),'Perhitungan IPH Mingguan 2026'!$FC$6:$FC$25,0)),"")</f>
        <v>-0.00142682860933434</v>
      </c>
      <c r="F306" s="6" t="str">
        <f aca="false">IF(ISNUMBER(E306),IF(E306&gt;0,"Penyumbang KENAIKAN IPH","Penyumbang PENURUNAN IPH"),"-")</f>
        <v>Penyumbang PENURUNAN IPH</v>
      </c>
    </row>
    <row r="308" customFormat="false" ht="15" hidden="false" customHeight="true" outlineLevel="0" collapsed="false">
      <c r="A308" s="24" t="s">
        <v>256</v>
      </c>
      <c r="B308" s="24"/>
      <c r="C308" s="24"/>
      <c r="D308" s="24"/>
      <c r="E308" s="24"/>
      <c r="F308" s="24"/>
    </row>
    <row r="309" customFormat="false" ht="21.75" hidden="false" customHeight="true" outlineLevel="0" collapsed="false">
      <c r="A309" s="3" t="s">
        <v>214</v>
      </c>
      <c r="B309" s="3" t="s">
        <v>215</v>
      </c>
      <c r="C309" s="3" t="s">
        <v>142</v>
      </c>
      <c r="D309" s="3" t="s">
        <v>216</v>
      </c>
      <c r="E309" s="3" t="s">
        <v>217</v>
      </c>
      <c r="F309" s="3" t="s">
        <v>218</v>
      </c>
    </row>
    <row r="310" customFormat="false" ht="15" hidden="false" customHeight="true" outlineLevel="0" collapsed="false">
      <c r="A310" s="5" t="n">
        <v>1</v>
      </c>
      <c r="B310" s="6" t="str">
        <f aca="false">IFERROR(INDEX('Perhitungan IPH Mingguan 2026'!$B$6:$B$25,MATCH(LARGE('Perhitungan IPH Mingguan 2026'!$FD$6:$FD$25,1),'Perhitungan IPH Mingguan 2026'!$FD$6:$FD$25,0)),"-")</f>
        <v>cabai rawit 01173013</v>
      </c>
      <c r="C310" s="7" t="n">
        <f aca="false">IFERROR(INDEX('Perhitungan IPH Mingguan 2026'!$C$6:$C$25,MATCH(LARGE('Perhitungan IPH Mingguan 2026'!$FD$6:$FD$25,1),'Perhitungan IPH Mingguan 2026'!$FD$6:$FD$25,0)),"")</f>
        <v>0.0177017323628706</v>
      </c>
      <c r="D310" s="25" t="str">
        <f aca="false">IFERROR(INDEX('Perhitungan IPH Mingguan 2026'!$DO$6:$DO$25,MATCH(LARGE('Perhitungan IPH Mingguan 2026'!$FD$6:$FD$25,1),'Perhitungan IPH Mingguan 2026'!$FD$6:$FD$25,0)),"")</f>
        <v>n/a</v>
      </c>
      <c r="E310" s="7" t="str">
        <f aca="false">IFERROR(INDEX('Perhitungan IPH Mingguan 2026'!$DP$6:$DP$25,MATCH(LARGE('Perhitungan IPH Mingguan 2026'!$FD$6:$FD$25,1),'Perhitungan IPH Mingguan 2026'!$FD$6:$FD$25,0)),"")</f>
        <v>n/a</v>
      </c>
      <c r="F310" s="6" t="str">
        <f aca="false">IF(ISNUMBER(E310),IF(E310&gt;0,"Penyumbang KENAIKAN IPH","Penyumbang PENURUNAN IPH"),"-")</f>
        <v>-</v>
      </c>
    </row>
    <row r="311" customFormat="false" ht="15" hidden="false" customHeight="true" outlineLevel="0" collapsed="false">
      <c r="A311" s="5" t="n">
        <v>2</v>
      </c>
      <c r="B311" s="6" t="str">
        <f aca="false">IFERROR(INDEX('Perhitungan IPH Mingguan 2026'!$B$6:$B$25,MATCH(LARGE('Perhitungan IPH Mingguan 2026'!$FD$6:$FD$25,2),'Perhitungan IPH Mingguan 2026'!$FD$6:$FD$25,0)),"-")</f>
        <v>bawang merah 1174006</v>
      </c>
      <c r="C311" s="7" t="n">
        <f aca="false">IFERROR(INDEX('Perhitungan IPH Mingguan 2026'!$C$6:$C$25,MATCH(LARGE('Perhitungan IPH Mingguan 2026'!$FD$6:$FD$25,2),'Perhitungan IPH Mingguan 2026'!$FD$6:$FD$25,0)),"")</f>
        <v>0.0194434650422287</v>
      </c>
      <c r="D311" s="25" t="str">
        <f aca="false">IFERROR(INDEX('Perhitungan IPH Mingguan 2026'!$DO$6:$DO$25,MATCH(LARGE('Perhitungan IPH Mingguan 2026'!$FD$6:$FD$25,2),'Perhitungan IPH Mingguan 2026'!$FD$6:$FD$25,0)),"")</f>
        <v>n/a</v>
      </c>
      <c r="E311" s="7" t="str">
        <f aca="false">IFERROR(INDEX('Perhitungan IPH Mingguan 2026'!$DP$6:$DP$25,MATCH(LARGE('Perhitungan IPH Mingguan 2026'!$FD$6:$FD$25,2),'Perhitungan IPH Mingguan 2026'!$FD$6:$FD$25,0)),"")</f>
        <v>n/a</v>
      </c>
      <c r="F311" s="6" t="str">
        <f aca="false">IF(ISNUMBER(E311),IF(E311&gt;0,"Penyumbang KENAIKAN IPH","Penyumbang PENURUNAN IPH"),"-")</f>
        <v>-</v>
      </c>
    </row>
    <row r="312" customFormat="false" ht="15" hidden="false" customHeight="true" outlineLevel="0" collapsed="false">
      <c r="A312" s="5" t="n">
        <v>3</v>
      </c>
      <c r="B312" s="6" t="str">
        <f aca="false">IFERROR(INDEX('Perhitungan IPH Mingguan 2026'!$B$6:$B$25,MATCH(LARGE('Perhitungan IPH Mingguan 2026'!$FD$6:$FD$25,3),'Perhitungan IPH Mingguan 2026'!$FD$6:$FD$25,0)),"-")</f>
        <v>cabai merah 01173012</v>
      </c>
      <c r="C312" s="7" t="n">
        <f aca="false">IFERROR(INDEX('Perhitungan IPH Mingguan 2026'!$C$6:$C$25,MATCH(LARGE('Perhitungan IPH Mingguan 2026'!$FD$6:$FD$25,3),'Perhitungan IPH Mingguan 2026'!$FD$6:$FD$25,0)),"")</f>
        <v>0.0110208839376634</v>
      </c>
      <c r="D312" s="25" t="str">
        <f aca="false">IFERROR(INDEX('Perhitungan IPH Mingguan 2026'!$DO$6:$DO$25,MATCH(LARGE('Perhitungan IPH Mingguan 2026'!$FD$6:$FD$25,3),'Perhitungan IPH Mingguan 2026'!$FD$6:$FD$25,0)),"")</f>
        <v>n/a</v>
      </c>
      <c r="E312" s="7" t="str">
        <f aca="false">IFERROR(INDEX('Perhitungan IPH Mingguan 2026'!$DP$6:$DP$25,MATCH(LARGE('Perhitungan IPH Mingguan 2026'!$FD$6:$FD$25,3),'Perhitungan IPH Mingguan 2026'!$FD$6:$FD$25,0)),"")</f>
        <v>n/a</v>
      </c>
      <c r="F312" s="6" t="str">
        <f aca="false">IF(ISNUMBER(E312),IF(E312&gt;0,"Penyumbang KENAIKAN IPH","Penyumbang PENURUNAN IPH"),"-")</f>
        <v>-</v>
      </c>
    </row>
    <row r="313" customFormat="false" ht="15" hidden="false" customHeight="true" outlineLevel="0" collapsed="false">
      <c r="A313" s="5" t="n">
        <v>4</v>
      </c>
      <c r="B313" s="6" t="str">
        <f aca="false">IFERROR(INDEX('Perhitungan IPH Mingguan 2026'!$B$6:$B$25,MATCH(LARGE('Perhitungan IPH Mingguan 2026'!$FD$6:$FD$25,4),'Perhitungan IPH Mingguan 2026'!$FD$6:$FD$25,0)),"-")</f>
        <v>daging ayam ras 1124003</v>
      </c>
      <c r="C313" s="7" t="n">
        <f aca="false">IFERROR(INDEX('Perhitungan IPH Mingguan 2026'!$C$6:$C$25,MATCH(LARGE('Perhitungan IPH Mingguan 2026'!$FD$6:$FD$25,4),'Perhitungan IPH Mingguan 2026'!$FD$6:$FD$25,0)),"")</f>
        <v>0.0479107777850277</v>
      </c>
      <c r="D313" s="25" t="str">
        <f aca="false">IFERROR(INDEX('Perhitungan IPH Mingguan 2026'!$DO$6:$DO$25,MATCH(LARGE('Perhitungan IPH Mingguan 2026'!$FD$6:$FD$25,4),'Perhitungan IPH Mingguan 2026'!$FD$6:$FD$25,0)),"")</f>
        <v>n/a</v>
      </c>
      <c r="E313" s="7" t="str">
        <f aca="false">IFERROR(INDEX('Perhitungan IPH Mingguan 2026'!$DP$6:$DP$25,MATCH(LARGE('Perhitungan IPH Mingguan 2026'!$FD$6:$FD$25,4),'Perhitungan IPH Mingguan 2026'!$FD$6:$FD$25,0)),"")</f>
        <v>n/a</v>
      </c>
      <c r="F313" s="6" t="str">
        <f aca="false">IF(ISNUMBER(E313),IF(E313&gt;0,"Penyumbang KENAIKAN IPH","Penyumbang PENURUNAN IPH"),"-")</f>
        <v>-</v>
      </c>
    </row>
    <row r="314" customFormat="false" ht="15" hidden="false" customHeight="true" outlineLevel="0" collapsed="false">
      <c r="A314" s="5" t="n">
        <v>5</v>
      </c>
      <c r="B314" s="6" t="str">
        <f aca="false">IFERROR(INDEX('Perhitungan IPH Mingguan 2026'!$B$6:$B$25,MATCH(LARGE('Perhitungan IPH Mingguan 2026'!$FD$6:$FD$25,5),'Perhitungan IPH Mingguan 2026'!$FD$6:$FD$25,0)),"-")</f>
        <v>gula pasir 1181001</v>
      </c>
      <c r="C314" s="7" t="n">
        <f aca="false">IFERROR(INDEX('Perhitungan IPH Mingguan 2026'!$C$6:$C$25,MATCH(LARGE('Perhitungan IPH Mingguan 2026'!$FD$6:$FD$25,5),'Perhitungan IPH Mingguan 2026'!$FD$6:$FD$25,0)),"")</f>
        <v>0.0193652206786879</v>
      </c>
      <c r="D314" s="25" t="str">
        <f aca="false">IFERROR(INDEX('Perhitungan IPH Mingguan 2026'!$DO$6:$DO$25,MATCH(LARGE('Perhitungan IPH Mingguan 2026'!$FD$6:$FD$25,5),'Perhitungan IPH Mingguan 2026'!$FD$6:$FD$25,0)),"")</f>
        <v>n/a</v>
      </c>
      <c r="E314" s="7" t="str">
        <f aca="false">IFERROR(INDEX('Perhitungan IPH Mingguan 2026'!$DP$6:$DP$25,MATCH(LARGE('Perhitungan IPH Mingguan 2026'!$FD$6:$FD$25,5),'Perhitungan IPH Mingguan 2026'!$FD$6:$FD$25,0)),"")</f>
        <v>n/a</v>
      </c>
      <c r="F314" s="6" t="str">
        <f aca="false">IF(ISNUMBER(E314),IF(E314&gt;0,"Penyumbang KENAIKAN IPH","Penyumbang PENURUNAN IPH"),"-")</f>
        <v>-</v>
      </c>
    </row>
    <row r="316" customFormat="false" ht="15" hidden="false" customHeight="true" outlineLevel="0" collapsed="false">
      <c r="A316" s="24" t="s">
        <v>257</v>
      </c>
      <c r="B316" s="24"/>
      <c r="C316" s="24"/>
      <c r="D316" s="24"/>
      <c r="E316" s="24"/>
      <c r="F316" s="24"/>
    </row>
    <row r="317" customFormat="false" ht="21.75" hidden="false" customHeight="true" outlineLevel="0" collapsed="false">
      <c r="A317" s="4" t="s">
        <v>214</v>
      </c>
      <c r="B317" s="4" t="s">
        <v>215</v>
      </c>
      <c r="C317" s="4" t="s">
        <v>142</v>
      </c>
      <c r="D317" s="4" t="s">
        <v>216</v>
      </c>
      <c r="E317" s="4" t="s">
        <v>217</v>
      </c>
      <c r="F317" s="4" t="s">
        <v>218</v>
      </c>
    </row>
    <row r="318" customFormat="false" ht="15" hidden="false" customHeight="true" outlineLevel="0" collapsed="false">
      <c r="A318" s="9" t="n">
        <v>1</v>
      </c>
      <c r="B318" s="10" t="str">
        <f aca="false">IFERROR(INDEX('Perhitungan IPH Mingguan 2026'!$B$6:$B$25,MATCH(LARGE('Perhitungan IPH Mingguan 2026'!$FT$6:$FT$25,1),'Perhitungan IPH Mingguan 2026'!$FT$6:$FT$25,0)),"-")</f>
        <v>daging ayam ras 1124003</v>
      </c>
      <c r="C318" s="11" t="n">
        <f aca="false">IFERROR(INDEX('Perhitungan IPH Mingguan 2026'!$C$6:$C$25,MATCH(LARGE('Perhitungan IPH Mingguan 2026'!$FT$6:$FT$25,1),'Perhitungan IPH Mingguan 2026'!$FT$6:$FT$25,0)),"")</f>
        <v>0.0479107777850277</v>
      </c>
      <c r="D318" s="26" t="n">
        <f aca="false">IFERROR(INDEX('Perhitungan IPH Mingguan 2026'!$DR$6:$DR$25,MATCH(LARGE('Perhitungan IPH Mingguan 2026'!$FT$6:$FT$25,1),'Perhitungan IPH Mingguan 2026'!$FT$6:$FT$25,0)),"")</f>
        <v>3.5143769968051</v>
      </c>
      <c r="E318" s="11" t="n">
        <f aca="false">IFERROR(INDEX('Perhitungan IPH Mingguan 2026'!$DS$6:$DS$25,MATCH(LARGE('Perhitungan IPH Mingguan 2026'!$FT$6:$FT$25,1),'Perhitungan IPH Mingguan 2026'!$FT$6:$FT$25,0)),"")</f>
        <v>0.168376535346742</v>
      </c>
      <c r="F318" s="10" t="str">
        <f aca="false">IF(ISNUMBER(E318),IF(E318&gt;0,"Penyumbang KENAIKAN IPH","Penyumbang PENURUNAN IPH"),"-")</f>
        <v>Penyumbang KENAIKAN IPH</v>
      </c>
    </row>
    <row r="319" customFormat="false" ht="15" hidden="false" customHeight="true" outlineLevel="0" collapsed="false">
      <c r="A319" s="9" t="n">
        <v>2</v>
      </c>
      <c r="B319" s="10" t="str">
        <f aca="false">IFERROR(INDEX('Perhitungan IPH Mingguan 2026'!$B$6:$B$25,MATCH(LARGE('Perhitungan IPH Mingguan 2026'!$FT$6:$FT$25,2),'Perhitungan IPH Mingguan 2026'!$FT$6:$FT$25,0)),"-")</f>
        <v>telur ayam ras 01147002</v>
      </c>
      <c r="C319" s="11" t="n">
        <f aca="false">IFERROR(INDEX('Perhitungan IPH Mingguan 2026'!$C$6:$C$25,MATCH(LARGE('Perhitungan IPH Mingguan 2026'!$FT$6:$FT$25,2),'Perhitungan IPH Mingguan 2026'!$FT$6:$FT$25,0)),"")</f>
        <v>0.0298777910794593</v>
      </c>
      <c r="D319" s="26" t="n">
        <f aca="false">IFERROR(INDEX('Perhitungan IPH Mingguan 2026'!$DR$6:$DR$25,MATCH(LARGE('Perhitungan IPH Mingguan 2026'!$FT$6:$FT$25,2),'Perhitungan IPH Mingguan 2026'!$FT$6:$FT$25,0)),"")</f>
        <v>3.5</v>
      </c>
      <c r="E319" s="11" t="n">
        <f aca="false">IFERROR(INDEX('Perhitungan IPH Mingguan 2026'!$DS$6:$DS$25,MATCH(LARGE('Perhitungan IPH Mingguan 2026'!$FT$6:$FT$25,2),'Perhitungan IPH Mingguan 2026'!$FT$6:$FT$25,0)),"")</f>
        <v>0.104572268778108</v>
      </c>
      <c r="F319" s="10" t="str">
        <f aca="false">IF(ISNUMBER(E319),IF(E319&gt;0,"Penyumbang KENAIKAN IPH","Penyumbang PENURUNAN IPH"),"-")</f>
        <v>Penyumbang KENAIKAN IPH</v>
      </c>
    </row>
    <row r="320" customFormat="false" ht="15" hidden="false" customHeight="true" outlineLevel="0" collapsed="false">
      <c r="A320" s="9" t="n">
        <v>3</v>
      </c>
      <c r="B320" s="10" t="str">
        <f aca="false">IFERROR(INDEX('Perhitungan IPH Mingguan 2026'!$B$6:$B$25,MATCH(LARGE('Perhitungan IPH Mingguan 2026'!$FT$6:$FT$25,3),'Perhitungan IPH Mingguan 2026'!$FT$6:$FT$25,0)),"-")</f>
        <v>cabai rawit 01173013</v>
      </c>
      <c r="C320" s="11" t="n">
        <f aca="false">IFERROR(INDEX('Perhitungan IPH Mingguan 2026'!$C$6:$C$25,MATCH(LARGE('Perhitungan IPH Mingguan 2026'!$FT$6:$FT$25,3),'Perhitungan IPH Mingguan 2026'!$FT$6:$FT$25,0)),"")</f>
        <v>0.0177017323628706</v>
      </c>
      <c r="D320" s="26" t="n">
        <f aca="false">IFERROR(INDEX('Perhitungan IPH Mingguan 2026'!$DR$6:$DR$25,MATCH(LARGE('Perhitungan IPH Mingguan 2026'!$FT$6:$FT$25,3),'Perhitungan IPH Mingguan 2026'!$FT$6:$FT$25,0)),"")</f>
        <v>4.7361299052774</v>
      </c>
      <c r="E320" s="11" t="n">
        <f aca="false">IFERROR(INDEX('Perhitungan IPH Mingguan 2026'!$DS$6:$DS$25,MATCH(LARGE('Perhitungan IPH Mingguan 2026'!$FT$6:$FT$25,3),'Perhitungan IPH Mingguan 2026'!$FT$6:$FT$25,0)),"")</f>
        <v>0.0838377040190083</v>
      </c>
      <c r="F320" s="10" t="str">
        <f aca="false">IF(ISNUMBER(E320),IF(E320&gt;0,"Penyumbang KENAIKAN IPH","Penyumbang PENURUNAN IPH"),"-")</f>
        <v>Penyumbang KENAIKAN IPH</v>
      </c>
    </row>
    <row r="321" customFormat="false" ht="15" hidden="false" customHeight="true" outlineLevel="0" collapsed="false">
      <c r="A321" s="9" t="n">
        <v>4</v>
      </c>
      <c r="B321" s="10" t="str">
        <f aca="false">IFERROR(INDEX('Perhitungan IPH Mingguan 2026'!$B$6:$B$25,MATCH(LARGE('Perhitungan IPH Mingguan 2026'!$FT$6:$FT$25,4),'Perhitungan IPH Mingguan 2026'!$FT$6:$FT$25,0)),"-")</f>
        <v>cabai merah 01173012</v>
      </c>
      <c r="C321" s="11" t="n">
        <f aca="false">IFERROR(INDEX('Perhitungan IPH Mingguan 2026'!$C$6:$C$25,MATCH(LARGE('Perhitungan IPH Mingguan 2026'!$FT$6:$FT$25,4),'Perhitungan IPH Mingguan 2026'!$FT$6:$FT$25,0)),"")</f>
        <v>0.0110208839376634</v>
      </c>
      <c r="D321" s="26" t="n">
        <f aca="false">IFERROR(INDEX('Perhitungan IPH Mingguan 2026'!$DR$6:$DR$25,MATCH(LARGE('Perhitungan IPH Mingguan 2026'!$FT$6:$FT$25,4),'Perhitungan IPH Mingguan 2026'!$FT$6:$FT$25,0)),"")</f>
        <v>-4.33070866141732</v>
      </c>
      <c r="E321" s="11" t="n">
        <f aca="false">IFERROR(INDEX('Perhitungan IPH Mingguan 2026'!$DS$6:$DS$25,MATCH(LARGE('Perhitungan IPH Mingguan 2026'!$FT$6:$FT$25,4),'Perhitungan IPH Mingguan 2026'!$FT$6:$FT$25,0)),"")</f>
        <v>-0.047728237525314</v>
      </c>
      <c r="F321" s="10" t="str">
        <f aca="false">IF(ISNUMBER(E321),IF(E321&gt;0,"Penyumbang KENAIKAN IPH","Penyumbang PENURUNAN IPH"),"-")</f>
        <v>Penyumbang PENURUNAN IPH</v>
      </c>
    </row>
    <row r="322" customFormat="false" ht="15" hidden="false" customHeight="true" outlineLevel="0" collapsed="false">
      <c r="A322" s="9" t="n">
        <v>5</v>
      </c>
      <c r="B322" s="10" t="str">
        <f aca="false">IFERROR(INDEX('Perhitungan IPH Mingguan 2026'!$B$6:$B$25,MATCH(LARGE('Perhitungan IPH Mingguan 2026'!$FT$6:$FT$25,5),'Perhitungan IPH Mingguan 2026'!$FT$6:$FT$25,0)),"-")</f>
        <v>bawang merah 1174006</v>
      </c>
      <c r="C322" s="11" t="n">
        <f aca="false">IFERROR(INDEX('Perhitungan IPH Mingguan 2026'!$C$6:$C$25,MATCH(LARGE('Perhitungan IPH Mingguan 2026'!$FT$6:$FT$25,5),'Perhitungan IPH Mingguan 2026'!$FT$6:$FT$25,0)),"")</f>
        <v>0.0194434650422287</v>
      </c>
      <c r="D322" s="26" t="n">
        <f aca="false">IFERROR(INDEX('Perhitungan IPH Mingguan 2026'!$DR$6:$DR$25,MATCH(LARGE('Perhitungan IPH Mingguan 2026'!$FT$6:$FT$25,5),'Perhitungan IPH Mingguan 2026'!$FT$6:$FT$25,0)),"")</f>
        <v>-0.73529411764706</v>
      </c>
      <c r="E322" s="11" t="n">
        <f aca="false">IFERROR(INDEX('Perhitungan IPH Mingguan 2026'!$DS$6:$DS$25,MATCH(LARGE('Perhitungan IPH Mingguan 2026'!$FT$6:$FT$25,5),'Perhitungan IPH Mingguan 2026'!$FT$6:$FT$25,0)),"")</f>
        <v>-0.014296665472227</v>
      </c>
      <c r="F322" s="10" t="str">
        <f aca="false">IF(ISNUMBER(E322),IF(E322&gt;0,"Penyumbang KENAIKAN IPH","Penyumbang PENURUNAN IPH"),"-")</f>
        <v>Penyumbang PENURUNAN IPH</v>
      </c>
    </row>
    <row r="324" customFormat="false" ht="15" hidden="false" customHeight="true" outlineLevel="0" collapsed="false">
      <c r="A324" s="24" t="s">
        <v>258</v>
      </c>
      <c r="B324" s="24"/>
      <c r="C324" s="24"/>
      <c r="D324" s="24"/>
      <c r="E324" s="24"/>
      <c r="F324" s="24"/>
    </row>
    <row r="325" customFormat="false" ht="21.75" hidden="false" customHeight="true" outlineLevel="0" collapsed="false">
      <c r="A325" s="4" t="s">
        <v>214</v>
      </c>
      <c r="B325" s="4" t="s">
        <v>215</v>
      </c>
      <c r="C325" s="4" t="s">
        <v>142</v>
      </c>
      <c r="D325" s="4" t="s">
        <v>216</v>
      </c>
      <c r="E325" s="4" t="s">
        <v>217</v>
      </c>
      <c r="F325" s="4" t="s">
        <v>218</v>
      </c>
    </row>
    <row r="326" customFormat="false" ht="15" hidden="false" customHeight="true" outlineLevel="0" collapsed="false">
      <c r="A326" s="9" t="n">
        <v>1</v>
      </c>
      <c r="B326" s="10" t="str">
        <f aca="false">IFERROR(INDEX('Perhitungan IPH Mingguan 2026'!$B$6:$B$25,MATCH(LARGE('Perhitungan IPH Mingguan 2026'!$FU$6:$FU$25,1),'Perhitungan IPH Mingguan 2026'!$FU$6:$FU$25,0)),"-")</f>
        <v>beras 1111001</v>
      </c>
      <c r="C326" s="11" t="n">
        <f aca="false">IFERROR(INDEX('Perhitungan IPH Mingguan 2026'!$C$6:$C$25,MATCH(LARGE('Perhitungan IPH Mingguan 2026'!$FU$6:$FU$25,1),'Perhitungan IPH Mingguan 2026'!$FU$6:$FU$25,0)),"")</f>
        <v>0.125089056759346</v>
      </c>
      <c r="D326" s="26" t="str">
        <f aca="false">IFERROR(INDEX('Perhitungan IPH Mingguan 2026'!$DU$6:$DU$25,MATCH(LARGE('Perhitungan IPH Mingguan 2026'!$FU$6:$FU$25,1),'Perhitungan IPH Mingguan 2026'!$FU$6:$FU$25,0)),"")</f>
        <v>n/a</v>
      </c>
      <c r="E326" s="11" t="str">
        <f aca="false">IFERROR(INDEX('Perhitungan IPH Mingguan 2026'!$DV$6:$DV$25,MATCH(LARGE('Perhitungan IPH Mingguan 2026'!$FU$6:$FU$25,1),'Perhitungan IPH Mingguan 2026'!$FU$6:$FU$25,0)),"")</f>
        <v>n/a</v>
      </c>
      <c r="F326" s="10" t="str">
        <f aca="false">IF(ISNUMBER(E326),IF(E326&gt;0,"Penyumbang KENAIKAN IPH","Penyumbang PENURUNAN IPH"),"-")</f>
        <v>-</v>
      </c>
    </row>
    <row r="327" customFormat="false" ht="15" hidden="false" customHeight="true" outlineLevel="0" collapsed="false">
      <c r="A327" s="9" t="n">
        <v>2</v>
      </c>
      <c r="B327" s="10" t="str">
        <f aca="false">IFERROR(INDEX('Perhitungan IPH Mingguan 2026'!$B$6:$B$25,MATCH(LARGE('Perhitungan IPH Mingguan 2026'!$FU$6:$FU$25,2),'Perhitungan IPH Mingguan 2026'!$FU$6:$FU$25,0)),"-")</f>
        <v>beras 1111001</v>
      </c>
      <c r="C327" s="11" t="n">
        <f aca="false">IFERROR(INDEX('Perhitungan IPH Mingguan 2026'!$C$6:$C$25,MATCH(LARGE('Perhitungan IPH Mingguan 2026'!$FU$6:$FU$25,2),'Perhitungan IPH Mingguan 2026'!$FU$6:$FU$25,0)),"")</f>
        <v>0.125089056759346</v>
      </c>
      <c r="D327" s="26" t="str">
        <f aca="false">IFERROR(INDEX('Perhitungan IPH Mingguan 2026'!$DU$6:$DU$25,MATCH(LARGE('Perhitungan IPH Mingguan 2026'!$FU$6:$FU$25,2),'Perhitungan IPH Mingguan 2026'!$FU$6:$FU$25,0)),"")</f>
        <v>n/a</v>
      </c>
      <c r="E327" s="11" t="str">
        <f aca="false">IFERROR(INDEX('Perhitungan IPH Mingguan 2026'!$DV$6:$DV$25,MATCH(LARGE('Perhitungan IPH Mingguan 2026'!$FU$6:$FU$25,2),'Perhitungan IPH Mingguan 2026'!$FU$6:$FU$25,0)),"")</f>
        <v>n/a</v>
      </c>
      <c r="F327" s="10" t="str">
        <f aca="false">IF(ISNUMBER(E327),IF(E327&gt;0,"Penyumbang KENAIKAN IPH","Penyumbang PENURUNAN IPH"),"-")</f>
        <v>-</v>
      </c>
    </row>
    <row r="328" customFormat="false" ht="15" hidden="false" customHeight="true" outlineLevel="0" collapsed="false">
      <c r="A328" s="9" t="n">
        <v>3</v>
      </c>
      <c r="B328" s="10" t="str">
        <f aca="false">IFERROR(INDEX('Perhitungan IPH Mingguan 2026'!$B$6:$B$25,MATCH(LARGE('Perhitungan IPH Mingguan 2026'!$FU$6:$FU$25,3),'Perhitungan IPH Mingguan 2026'!$FU$6:$FU$25,0)),"-")</f>
        <v>beras 1111001</v>
      </c>
      <c r="C328" s="11" t="n">
        <f aca="false">IFERROR(INDEX('Perhitungan IPH Mingguan 2026'!$C$6:$C$25,MATCH(LARGE('Perhitungan IPH Mingguan 2026'!$FU$6:$FU$25,3),'Perhitungan IPH Mingguan 2026'!$FU$6:$FU$25,0)),"")</f>
        <v>0.125089056759346</v>
      </c>
      <c r="D328" s="26" t="str">
        <f aca="false">IFERROR(INDEX('Perhitungan IPH Mingguan 2026'!$DU$6:$DU$25,MATCH(LARGE('Perhitungan IPH Mingguan 2026'!$FU$6:$FU$25,3),'Perhitungan IPH Mingguan 2026'!$FU$6:$FU$25,0)),"")</f>
        <v>n/a</v>
      </c>
      <c r="E328" s="11" t="str">
        <f aca="false">IFERROR(INDEX('Perhitungan IPH Mingguan 2026'!$DV$6:$DV$25,MATCH(LARGE('Perhitungan IPH Mingguan 2026'!$FU$6:$FU$25,3),'Perhitungan IPH Mingguan 2026'!$FU$6:$FU$25,0)),"")</f>
        <v>n/a</v>
      </c>
      <c r="F328" s="10" t="str">
        <f aca="false">IF(ISNUMBER(E328),IF(E328&gt;0,"Penyumbang KENAIKAN IPH","Penyumbang PENURUNAN IPH"),"-")</f>
        <v>-</v>
      </c>
    </row>
    <row r="329" customFormat="false" ht="15" hidden="false" customHeight="true" outlineLevel="0" collapsed="false">
      <c r="A329" s="9" t="n">
        <v>4</v>
      </c>
      <c r="B329" s="10" t="str">
        <f aca="false">IFERROR(INDEX('Perhitungan IPH Mingguan 2026'!$B$6:$B$25,MATCH(LARGE('Perhitungan IPH Mingguan 2026'!$FU$6:$FU$25,4),'Perhitungan IPH Mingguan 2026'!$FU$6:$FU$25,0)),"-")</f>
        <v>beras 1111001</v>
      </c>
      <c r="C329" s="11" t="n">
        <f aca="false">IFERROR(INDEX('Perhitungan IPH Mingguan 2026'!$C$6:$C$25,MATCH(LARGE('Perhitungan IPH Mingguan 2026'!$FU$6:$FU$25,4),'Perhitungan IPH Mingguan 2026'!$FU$6:$FU$25,0)),"")</f>
        <v>0.125089056759346</v>
      </c>
      <c r="D329" s="26" t="str">
        <f aca="false">IFERROR(INDEX('Perhitungan IPH Mingguan 2026'!$DU$6:$DU$25,MATCH(LARGE('Perhitungan IPH Mingguan 2026'!$FU$6:$FU$25,4),'Perhitungan IPH Mingguan 2026'!$FU$6:$FU$25,0)),"")</f>
        <v>n/a</v>
      </c>
      <c r="E329" s="11" t="str">
        <f aca="false">IFERROR(INDEX('Perhitungan IPH Mingguan 2026'!$DV$6:$DV$25,MATCH(LARGE('Perhitungan IPH Mingguan 2026'!$FU$6:$FU$25,4),'Perhitungan IPH Mingguan 2026'!$FU$6:$FU$25,0)),"")</f>
        <v>n/a</v>
      </c>
      <c r="F329" s="10" t="str">
        <f aca="false">IF(ISNUMBER(E329),IF(E329&gt;0,"Penyumbang KENAIKAN IPH","Penyumbang PENURUNAN IPH"),"-")</f>
        <v>-</v>
      </c>
    </row>
    <row r="330" customFormat="false" ht="15" hidden="false" customHeight="true" outlineLevel="0" collapsed="false">
      <c r="A330" s="9" t="n">
        <v>5</v>
      </c>
      <c r="B330" s="10" t="str">
        <f aca="false">IFERROR(INDEX('Perhitungan IPH Mingguan 2026'!$B$6:$B$25,MATCH(LARGE('Perhitungan IPH Mingguan 2026'!$FU$6:$FU$25,5),'Perhitungan IPH Mingguan 2026'!$FU$6:$FU$25,0)),"-")</f>
        <v>beras 1111001</v>
      </c>
      <c r="C330" s="11" t="n">
        <f aca="false">IFERROR(INDEX('Perhitungan IPH Mingguan 2026'!$C$6:$C$25,MATCH(LARGE('Perhitungan IPH Mingguan 2026'!$FU$6:$FU$25,5),'Perhitungan IPH Mingguan 2026'!$FU$6:$FU$25,0)),"")</f>
        <v>0.125089056759346</v>
      </c>
      <c r="D330" s="26" t="str">
        <f aca="false">IFERROR(INDEX('Perhitungan IPH Mingguan 2026'!$DU$6:$DU$25,MATCH(LARGE('Perhitungan IPH Mingguan 2026'!$FU$6:$FU$25,5),'Perhitungan IPH Mingguan 2026'!$FU$6:$FU$25,0)),"")</f>
        <v>n/a</v>
      </c>
      <c r="E330" s="11" t="str">
        <f aca="false">IFERROR(INDEX('Perhitungan IPH Mingguan 2026'!$DV$6:$DV$25,MATCH(LARGE('Perhitungan IPH Mingguan 2026'!$FU$6:$FU$25,5),'Perhitungan IPH Mingguan 2026'!$FU$6:$FU$25,0)),"")</f>
        <v>n/a</v>
      </c>
      <c r="F330" s="10" t="str">
        <f aca="false">IF(ISNUMBER(E330),IF(E330&gt;0,"Penyumbang KENAIKAN IPH","Penyumbang PENURUNAN IPH"),"-")</f>
        <v>-</v>
      </c>
    </row>
    <row r="332" customFormat="false" ht="15" hidden="false" customHeight="true" outlineLevel="0" collapsed="false">
      <c r="A332" s="24" t="s">
        <v>259</v>
      </c>
      <c r="B332" s="24"/>
      <c r="C332" s="24"/>
      <c r="D332" s="24"/>
      <c r="E332" s="24"/>
      <c r="F332" s="24"/>
    </row>
    <row r="333" customFormat="false" ht="21.75" hidden="false" customHeight="true" outlineLevel="0" collapsed="false">
      <c r="A333" s="4" t="s">
        <v>214</v>
      </c>
      <c r="B333" s="4" t="s">
        <v>215</v>
      </c>
      <c r="C333" s="4" t="s">
        <v>142</v>
      </c>
      <c r="D333" s="4" t="s">
        <v>216</v>
      </c>
      <c r="E333" s="4" t="s">
        <v>217</v>
      </c>
      <c r="F333" s="4" t="s">
        <v>218</v>
      </c>
    </row>
    <row r="334" customFormat="false" ht="15" hidden="false" customHeight="true" outlineLevel="0" collapsed="false">
      <c r="A334" s="9" t="n">
        <v>1</v>
      </c>
      <c r="B334" s="10" t="str">
        <f aca="false">IFERROR(INDEX('Perhitungan IPH Mingguan 2026'!$B$6:$B$25,MATCH(LARGE('Perhitungan IPH Mingguan 2026'!$FV$6:$FV$25,1),'Perhitungan IPH Mingguan 2026'!$FV$6:$FV$25,0)),"-")</f>
        <v>beras 1111001</v>
      </c>
      <c r="C334" s="11" t="n">
        <f aca="false">IFERROR(INDEX('Perhitungan IPH Mingguan 2026'!$C$6:$C$25,MATCH(LARGE('Perhitungan IPH Mingguan 2026'!$FV$6:$FV$25,1),'Perhitungan IPH Mingguan 2026'!$FV$6:$FV$25,0)),"")</f>
        <v>0.125089056759346</v>
      </c>
      <c r="D334" s="26" t="str">
        <f aca="false">IFERROR(INDEX('Perhitungan IPH Mingguan 2026'!$DX$6:$DX$25,MATCH(LARGE('Perhitungan IPH Mingguan 2026'!$FV$6:$FV$25,1),'Perhitungan IPH Mingguan 2026'!$FV$6:$FV$25,0)),"")</f>
        <v>n/a</v>
      </c>
      <c r="E334" s="11" t="str">
        <f aca="false">IFERROR(INDEX('Perhitungan IPH Mingguan 2026'!$DY$6:$DY$25,MATCH(LARGE('Perhitungan IPH Mingguan 2026'!$FV$6:$FV$25,1),'Perhitungan IPH Mingguan 2026'!$FV$6:$FV$25,0)),"")</f>
        <v>n/a</v>
      </c>
      <c r="F334" s="10" t="str">
        <f aca="false">IF(ISNUMBER(E334),IF(E334&gt;0,"Penyumbang KENAIKAN IPH","Penyumbang PENURUNAN IPH"),"-")</f>
        <v>-</v>
      </c>
    </row>
    <row r="335" customFormat="false" ht="15" hidden="false" customHeight="true" outlineLevel="0" collapsed="false">
      <c r="A335" s="9" t="n">
        <v>2</v>
      </c>
      <c r="B335" s="10" t="str">
        <f aca="false">IFERROR(INDEX('Perhitungan IPH Mingguan 2026'!$B$6:$B$25,MATCH(LARGE('Perhitungan IPH Mingguan 2026'!$FV$6:$FV$25,2),'Perhitungan IPH Mingguan 2026'!$FV$6:$FV$25,0)),"-")</f>
        <v>beras 1111001</v>
      </c>
      <c r="C335" s="11" t="n">
        <f aca="false">IFERROR(INDEX('Perhitungan IPH Mingguan 2026'!$C$6:$C$25,MATCH(LARGE('Perhitungan IPH Mingguan 2026'!$FV$6:$FV$25,2),'Perhitungan IPH Mingguan 2026'!$FV$6:$FV$25,0)),"")</f>
        <v>0.125089056759346</v>
      </c>
      <c r="D335" s="26" t="str">
        <f aca="false">IFERROR(INDEX('Perhitungan IPH Mingguan 2026'!$DX$6:$DX$25,MATCH(LARGE('Perhitungan IPH Mingguan 2026'!$FV$6:$FV$25,2),'Perhitungan IPH Mingguan 2026'!$FV$6:$FV$25,0)),"")</f>
        <v>n/a</v>
      </c>
      <c r="E335" s="11" t="str">
        <f aca="false">IFERROR(INDEX('Perhitungan IPH Mingguan 2026'!$DY$6:$DY$25,MATCH(LARGE('Perhitungan IPH Mingguan 2026'!$FV$6:$FV$25,2),'Perhitungan IPH Mingguan 2026'!$FV$6:$FV$25,0)),"")</f>
        <v>n/a</v>
      </c>
      <c r="F335" s="10" t="str">
        <f aca="false">IF(ISNUMBER(E335),IF(E335&gt;0,"Penyumbang KENAIKAN IPH","Penyumbang PENURUNAN IPH"),"-")</f>
        <v>-</v>
      </c>
    </row>
    <row r="336" customFormat="false" ht="15" hidden="false" customHeight="true" outlineLevel="0" collapsed="false">
      <c r="A336" s="9" t="n">
        <v>3</v>
      </c>
      <c r="B336" s="10" t="str">
        <f aca="false">IFERROR(INDEX('Perhitungan IPH Mingguan 2026'!$B$6:$B$25,MATCH(LARGE('Perhitungan IPH Mingguan 2026'!$FV$6:$FV$25,3),'Perhitungan IPH Mingguan 2026'!$FV$6:$FV$25,0)),"-")</f>
        <v>beras 1111001</v>
      </c>
      <c r="C336" s="11" t="n">
        <f aca="false">IFERROR(INDEX('Perhitungan IPH Mingguan 2026'!$C$6:$C$25,MATCH(LARGE('Perhitungan IPH Mingguan 2026'!$FV$6:$FV$25,3),'Perhitungan IPH Mingguan 2026'!$FV$6:$FV$25,0)),"")</f>
        <v>0.125089056759346</v>
      </c>
      <c r="D336" s="26" t="str">
        <f aca="false">IFERROR(INDEX('Perhitungan IPH Mingguan 2026'!$DX$6:$DX$25,MATCH(LARGE('Perhitungan IPH Mingguan 2026'!$FV$6:$FV$25,3),'Perhitungan IPH Mingguan 2026'!$FV$6:$FV$25,0)),"")</f>
        <v>n/a</v>
      </c>
      <c r="E336" s="11" t="str">
        <f aca="false">IFERROR(INDEX('Perhitungan IPH Mingguan 2026'!$DY$6:$DY$25,MATCH(LARGE('Perhitungan IPH Mingguan 2026'!$FV$6:$FV$25,3),'Perhitungan IPH Mingguan 2026'!$FV$6:$FV$25,0)),"")</f>
        <v>n/a</v>
      </c>
      <c r="F336" s="10" t="str">
        <f aca="false">IF(ISNUMBER(E336),IF(E336&gt;0,"Penyumbang KENAIKAN IPH","Penyumbang PENURUNAN IPH"),"-")</f>
        <v>-</v>
      </c>
    </row>
    <row r="337" customFormat="false" ht="15" hidden="false" customHeight="true" outlineLevel="0" collapsed="false">
      <c r="A337" s="9" t="n">
        <v>4</v>
      </c>
      <c r="B337" s="10" t="str">
        <f aca="false">IFERROR(INDEX('Perhitungan IPH Mingguan 2026'!$B$6:$B$25,MATCH(LARGE('Perhitungan IPH Mingguan 2026'!$FV$6:$FV$25,4),'Perhitungan IPH Mingguan 2026'!$FV$6:$FV$25,0)),"-")</f>
        <v>beras 1111001</v>
      </c>
      <c r="C337" s="11" t="n">
        <f aca="false">IFERROR(INDEX('Perhitungan IPH Mingguan 2026'!$C$6:$C$25,MATCH(LARGE('Perhitungan IPH Mingguan 2026'!$FV$6:$FV$25,4),'Perhitungan IPH Mingguan 2026'!$FV$6:$FV$25,0)),"")</f>
        <v>0.125089056759346</v>
      </c>
      <c r="D337" s="26" t="str">
        <f aca="false">IFERROR(INDEX('Perhitungan IPH Mingguan 2026'!$DX$6:$DX$25,MATCH(LARGE('Perhitungan IPH Mingguan 2026'!$FV$6:$FV$25,4),'Perhitungan IPH Mingguan 2026'!$FV$6:$FV$25,0)),"")</f>
        <v>n/a</v>
      </c>
      <c r="E337" s="11" t="str">
        <f aca="false">IFERROR(INDEX('Perhitungan IPH Mingguan 2026'!$DY$6:$DY$25,MATCH(LARGE('Perhitungan IPH Mingguan 2026'!$FV$6:$FV$25,4),'Perhitungan IPH Mingguan 2026'!$FV$6:$FV$25,0)),"")</f>
        <v>n/a</v>
      </c>
      <c r="F337" s="10" t="str">
        <f aca="false">IF(ISNUMBER(E337),IF(E337&gt;0,"Penyumbang KENAIKAN IPH","Penyumbang PENURUNAN IPH"),"-")</f>
        <v>-</v>
      </c>
    </row>
    <row r="338" customFormat="false" ht="15" hidden="false" customHeight="true" outlineLevel="0" collapsed="false">
      <c r="A338" s="9" t="n">
        <v>5</v>
      </c>
      <c r="B338" s="10" t="str">
        <f aca="false">IFERROR(INDEX('Perhitungan IPH Mingguan 2026'!$B$6:$B$25,MATCH(LARGE('Perhitungan IPH Mingguan 2026'!$FV$6:$FV$25,5),'Perhitungan IPH Mingguan 2026'!$FV$6:$FV$25,0)),"-")</f>
        <v>beras 1111001</v>
      </c>
      <c r="C338" s="11" t="n">
        <f aca="false">IFERROR(INDEX('Perhitungan IPH Mingguan 2026'!$C$6:$C$25,MATCH(LARGE('Perhitungan IPH Mingguan 2026'!$FV$6:$FV$25,5),'Perhitungan IPH Mingguan 2026'!$FV$6:$FV$25,0)),"")</f>
        <v>0.125089056759346</v>
      </c>
      <c r="D338" s="26" t="str">
        <f aca="false">IFERROR(INDEX('Perhitungan IPH Mingguan 2026'!$DX$6:$DX$25,MATCH(LARGE('Perhitungan IPH Mingguan 2026'!$FV$6:$FV$25,5),'Perhitungan IPH Mingguan 2026'!$FV$6:$FV$25,0)),"")</f>
        <v>n/a</v>
      </c>
      <c r="E338" s="11" t="str">
        <f aca="false">IFERROR(INDEX('Perhitungan IPH Mingguan 2026'!$DY$6:$DY$25,MATCH(LARGE('Perhitungan IPH Mingguan 2026'!$FV$6:$FV$25,5),'Perhitungan IPH Mingguan 2026'!$FV$6:$FV$25,0)),"")</f>
        <v>n/a</v>
      </c>
      <c r="F338" s="10" t="str">
        <f aca="false">IF(ISNUMBER(E338),IF(E338&gt;0,"Penyumbang KENAIKAN IPH","Penyumbang PENURUNAN IPH"),"-")</f>
        <v>-</v>
      </c>
    </row>
    <row r="340" customFormat="false" ht="15" hidden="false" customHeight="true" outlineLevel="0" collapsed="false">
      <c r="A340" s="24" t="s">
        <v>260</v>
      </c>
      <c r="B340" s="24"/>
      <c r="C340" s="24"/>
      <c r="D340" s="24"/>
      <c r="E340" s="24"/>
      <c r="F340" s="24"/>
    </row>
    <row r="341" customFormat="false" ht="21.75" hidden="false" customHeight="true" outlineLevel="0" collapsed="false">
      <c r="A341" s="4" t="s">
        <v>214</v>
      </c>
      <c r="B341" s="4" t="s">
        <v>215</v>
      </c>
      <c r="C341" s="4" t="s">
        <v>142</v>
      </c>
      <c r="D341" s="4" t="s">
        <v>216</v>
      </c>
      <c r="E341" s="4" t="s">
        <v>217</v>
      </c>
      <c r="F341" s="4" t="s">
        <v>218</v>
      </c>
    </row>
    <row r="342" customFormat="false" ht="15" hidden="false" customHeight="true" outlineLevel="0" collapsed="false">
      <c r="A342" s="9" t="n">
        <v>1</v>
      </c>
      <c r="B342" s="10" t="str">
        <f aca="false">IFERROR(INDEX('Perhitungan IPH Mingguan 2026'!$B$6:$B$25,MATCH(LARGE('Perhitungan IPH Mingguan 2026'!$FW$6:$FW$25,1),'Perhitungan IPH Mingguan 2026'!$FW$6:$FW$25,0)),"-")</f>
        <v>beras 1111001</v>
      </c>
      <c r="C342" s="11" t="n">
        <f aca="false">IFERROR(INDEX('Perhitungan IPH Mingguan 2026'!$C$6:$C$25,MATCH(LARGE('Perhitungan IPH Mingguan 2026'!$FW$6:$FW$25,1),'Perhitungan IPH Mingguan 2026'!$FW$6:$FW$25,0)),"")</f>
        <v>0.125089056759346</v>
      </c>
      <c r="D342" s="26" t="str">
        <f aca="false">IFERROR(INDEX('Perhitungan IPH Mingguan 2026'!$EA$6:$EA$25,MATCH(LARGE('Perhitungan IPH Mingguan 2026'!$FW$6:$FW$25,1),'Perhitungan IPH Mingguan 2026'!$FW$6:$FW$25,0)),"")</f>
        <v>n/a</v>
      </c>
      <c r="E342" s="11" t="str">
        <f aca="false">IFERROR(INDEX('Perhitungan IPH Mingguan 2026'!$EB$6:$EB$25,MATCH(LARGE('Perhitungan IPH Mingguan 2026'!$FW$6:$FW$25,1),'Perhitungan IPH Mingguan 2026'!$FW$6:$FW$25,0)),"")</f>
        <v>n/a</v>
      </c>
      <c r="F342" s="10" t="str">
        <f aca="false">IF(ISNUMBER(E342),IF(E342&gt;0,"Penyumbang KENAIKAN IPH","Penyumbang PENURUNAN IPH"),"-")</f>
        <v>-</v>
      </c>
    </row>
    <row r="343" customFormat="false" ht="15" hidden="false" customHeight="true" outlineLevel="0" collapsed="false">
      <c r="A343" s="9" t="n">
        <v>2</v>
      </c>
      <c r="B343" s="10" t="str">
        <f aca="false">IFERROR(INDEX('Perhitungan IPH Mingguan 2026'!$B$6:$B$25,MATCH(LARGE('Perhitungan IPH Mingguan 2026'!$FW$6:$FW$25,2),'Perhitungan IPH Mingguan 2026'!$FW$6:$FW$25,0)),"-")</f>
        <v>beras 1111001</v>
      </c>
      <c r="C343" s="11" t="n">
        <f aca="false">IFERROR(INDEX('Perhitungan IPH Mingguan 2026'!$C$6:$C$25,MATCH(LARGE('Perhitungan IPH Mingguan 2026'!$FW$6:$FW$25,2),'Perhitungan IPH Mingguan 2026'!$FW$6:$FW$25,0)),"")</f>
        <v>0.125089056759346</v>
      </c>
      <c r="D343" s="26" t="str">
        <f aca="false">IFERROR(INDEX('Perhitungan IPH Mingguan 2026'!$EA$6:$EA$25,MATCH(LARGE('Perhitungan IPH Mingguan 2026'!$FW$6:$FW$25,2),'Perhitungan IPH Mingguan 2026'!$FW$6:$FW$25,0)),"")</f>
        <v>n/a</v>
      </c>
      <c r="E343" s="11" t="str">
        <f aca="false">IFERROR(INDEX('Perhitungan IPH Mingguan 2026'!$EB$6:$EB$25,MATCH(LARGE('Perhitungan IPH Mingguan 2026'!$FW$6:$FW$25,2),'Perhitungan IPH Mingguan 2026'!$FW$6:$FW$25,0)),"")</f>
        <v>n/a</v>
      </c>
      <c r="F343" s="10" t="str">
        <f aca="false">IF(ISNUMBER(E343),IF(E343&gt;0,"Penyumbang KENAIKAN IPH","Penyumbang PENURUNAN IPH"),"-")</f>
        <v>-</v>
      </c>
    </row>
    <row r="344" customFormat="false" ht="15" hidden="false" customHeight="true" outlineLevel="0" collapsed="false">
      <c r="A344" s="9" t="n">
        <v>3</v>
      </c>
      <c r="B344" s="10" t="str">
        <f aca="false">IFERROR(INDEX('Perhitungan IPH Mingguan 2026'!$B$6:$B$25,MATCH(LARGE('Perhitungan IPH Mingguan 2026'!$FW$6:$FW$25,3),'Perhitungan IPH Mingguan 2026'!$FW$6:$FW$25,0)),"-")</f>
        <v>beras 1111001</v>
      </c>
      <c r="C344" s="11" t="n">
        <f aca="false">IFERROR(INDEX('Perhitungan IPH Mingguan 2026'!$C$6:$C$25,MATCH(LARGE('Perhitungan IPH Mingguan 2026'!$FW$6:$FW$25,3),'Perhitungan IPH Mingguan 2026'!$FW$6:$FW$25,0)),"")</f>
        <v>0.125089056759346</v>
      </c>
      <c r="D344" s="26" t="str">
        <f aca="false">IFERROR(INDEX('Perhitungan IPH Mingguan 2026'!$EA$6:$EA$25,MATCH(LARGE('Perhitungan IPH Mingguan 2026'!$FW$6:$FW$25,3),'Perhitungan IPH Mingguan 2026'!$FW$6:$FW$25,0)),"")</f>
        <v>n/a</v>
      </c>
      <c r="E344" s="11" t="str">
        <f aca="false">IFERROR(INDEX('Perhitungan IPH Mingguan 2026'!$EB$6:$EB$25,MATCH(LARGE('Perhitungan IPH Mingguan 2026'!$FW$6:$FW$25,3),'Perhitungan IPH Mingguan 2026'!$FW$6:$FW$25,0)),"")</f>
        <v>n/a</v>
      </c>
      <c r="F344" s="10" t="str">
        <f aca="false">IF(ISNUMBER(E344),IF(E344&gt;0,"Penyumbang KENAIKAN IPH","Penyumbang PENURUNAN IPH"),"-")</f>
        <v>-</v>
      </c>
    </row>
    <row r="345" customFormat="false" ht="15" hidden="false" customHeight="true" outlineLevel="0" collapsed="false">
      <c r="A345" s="9" t="n">
        <v>4</v>
      </c>
      <c r="B345" s="10" t="str">
        <f aca="false">IFERROR(INDEX('Perhitungan IPH Mingguan 2026'!$B$6:$B$25,MATCH(LARGE('Perhitungan IPH Mingguan 2026'!$FW$6:$FW$25,4),'Perhitungan IPH Mingguan 2026'!$FW$6:$FW$25,0)),"-")</f>
        <v>beras 1111001</v>
      </c>
      <c r="C345" s="11" t="n">
        <f aca="false">IFERROR(INDEX('Perhitungan IPH Mingguan 2026'!$C$6:$C$25,MATCH(LARGE('Perhitungan IPH Mingguan 2026'!$FW$6:$FW$25,4),'Perhitungan IPH Mingguan 2026'!$FW$6:$FW$25,0)),"")</f>
        <v>0.125089056759346</v>
      </c>
      <c r="D345" s="26" t="str">
        <f aca="false">IFERROR(INDEX('Perhitungan IPH Mingguan 2026'!$EA$6:$EA$25,MATCH(LARGE('Perhitungan IPH Mingguan 2026'!$FW$6:$FW$25,4),'Perhitungan IPH Mingguan 2026'!$FW$6:$FW$25,0)),"")</f>
        <v>n/a</v>
      </c>
      <c r="E345" s="11" t="str">
        <f aca="false">IFERROR(INDEX('Perhitungan IPH Mingguan 2026'!$EB$6:$EB$25,MATCH(LARGE('Perhitungan IPH Mingguan 2026'!$FW$6:$FW$25,4),'Perhitungan IPH Mingguan 2026'!$FW$6:$FW$25,0)),"")</f>
        <v>n/a</v>
      </c>
      <c r="F345" s="10" t="str">
        <f aca="false">IF(ISNUMBER(E345),IF(E345&gt;0,"Penyumbang KENAIKAN IPH","Penyumbang PENURUNAN IPH"),"-")</f>
        <v>-</v>
      </c>
    </row>
    <row r="346" customFormat="false" ht="15" hidden="false" customHeight="true" outlineLevel="0" collapsed="false">
      <c r="A346" s="9" t="n">
        <v>5</v>
      </c>
      <c r="B346" s="10" t="str">
        <f aca="false">IFERROR(INDEX('Perhitungan IPH Mingguan 2026'!$B$6:$B$25,MATCH(LARGE('Perhitungan IPH Mingguan 2026'!$FW$6:$FW$25,5),'Perhitungan IPH Mingguan 2026'!$FW$6:$FW$25,0)),"-")</f>
        <v>beras 1111001</v>
      </c>
      <c r="C346" s="11" t="n">
        <f aca="false">IFERROR(INDEX('Perhitungan IPH Mingguan 2026'!$C$6:$C$25,MATCH(LARGE('Perhitungan IPH Mingguan 2026'!$FW$6:$FW$25,5),'Perhitungan IPH Mingguan 2026'!$FW$6:$FW$25,0)),"")</f>
        <v>0.125089056759346</v>
      </c>
      <c r="D346" s="26" t="str">
        <f aca="false">IFERROR(INDEX('Perhitungan IPH Mingguan 2026'!$EA$6:$EA$25,MATCH(LARGE('Perhitungan IPH Mingguan 2026'!$FW$6:$FW$25,5),'Perhitungan IPH Mingguan 2026'!$FW$6:$FW$25,0)),"")</f>
        <v>n/a</v>
      </c>
      <c r="E346" s="11" t="str">
        <f aca="false">IFERROR(INDEX('Perhitungan IPH Mingguan 2026'!$EB$6:$EB$25,MATCH(LARGE('Perhitungan IPH Mingguan 2026'!$FW$6:$FW$25,5),'Perhitungan IPH Mingguan 2026'!$FW$6:$FW$25,0)),"")</f>
        <v>n/a</v>
      </c>
      <c r="F346" s="10" t="str">
        <f aca="false">IF(ISNUMBER(E346),IF(E346&gt;0,"Penyumbang KENAIKAN IPH","Penyumbang PENURUNAN IPH"),"-")</f>
        <v>-</v>
      </c>
    </row>
    <row r="348" customFormat="false" ht="15" hidden="false" customHeight="true" outlineLevel="0" collapsed="false">
      <c r="A348" s="24" t="s">
        <v>261</v>
      </c>
      <c r="B348" s="24"/>
      <c r="C348" s="24"/>
      <c r="D348" s="24"/>
      <c r="E348" s="24"/>
      <c r="F348" s="24"/>
    </row>
    <row r="349" customFormat="false" ht="21.75" hidden="false" customHeight="true" outlineLevel="0" collapsed="false">
      <c r="A349" s="4" t="s">
        <v>214</v>
      </c>
      <c r="B349" s="4" t="s">
        <v>215</v>
      </c>
      <c r="C349" s="4" t="s">
        <v>142</v>
      </c>
      <c r="D349" s="4" t="s">
        <v>216</v>
      </c>
      <c r="E349" s="4" t="s">
        <v>217</v>
      </c>
      <c r="F349" s="4" t="s">
        <v>218</v>
      </c>
    </row>
    <row r="350" customFormat="false" ht="15" hidden="false" customHeight="true" outlineLevel="0" collapsed="false">
      <c r="A350" s="9" t="n">
        <v>1</v>
      </c>
      <c r="B350" s="10" t="str">
        <f aca="false">IFERROR(INDEX('Perhitungan IPH Mingguan 2026'!$B$6:$B$25,MATCH(LARGE('Perhitungan IPH Mingguan 2026'!$FX$6:$FX$25,1),'Perhitungan IPH Mingguan 2026'!$FX$6:$FX$25,0)),"-")</f>
        <v>beras 1111001</v>
      </c>
      <c r="C350" s="11" t="n">
        <f aca="false">IFERROR(INDEX('Perhitungan IPH Mingguan 2026'!$C$6:$C$25,MATCH(LARGE('Perhitungan IPH Mingguan 2026'!$FX$6:$FX$25,1),'Perhitungan IPH Mingguan 2026'!$FX$6:$FX$25,0)),"")</f>
        <v>0.125089056759346</v>
      </c>
      <c r="D350" s="26" t="str">
        <f aca="false">IFERROR(INDEX('Perhitungan IPH Mingguan 2026'!$ED$6:$ED$25,MATCH(LARGE('Perhitungan IPH Mingguan 2026'!$FX$6:$FX$25,1),'Perhitungan IPH Mingguan 2026'!$FX$6:$FX$25,0)),"")</f>
        <v>n/a</v>
      </c>
      <c r="E350" s="11" t="str">
        <f aca="false">IFERROR(INDEX('Perhitungan IPH Mingguan 2026'!$EE$6:$EE$25,MATCH(LARGE('Perhitungan IPH Mingguan 2026'!$FX$6:$FX$25,1),'Perhitungan IPH Mingguan 2026'!$FX$6:$FX$25,0)),"")</f>
        <v>n/a</v>
      </c>
      <c r="F350" s="10" t="str">
        <f aca="false">IF(ISNUMBER(E350),IF(E350&gt;0,"Penyumbang KENAIKAN IPH","Penyumbang PENURUNAN IPH"),"-")</f>
        <v>-</v>
      </c>
    </row>
    <row r="351" customFormat="false" ht="15" hidden="false" customHeight="true" outlineLevel="0" collapsed="false">
      <c r="A351" s="9" t="n">
        <v>2</v>
      </c>
      <c r="B351" s="10" t="str">
        <f aca="false">IFERROR(INDEX('Perhitungan IPH Mingguan 2026'!$B$6:$B$25,MATCH(LARGE('Perhitungan IPH Mingguan 2026'!$FX$6:$FX$25,2),'Perhitungan IPH Mingguan 2026'!$FX$6:$FX$25,0)),"-")</f>
        <v>beras 1111001</v>
      </c>
      <c r="C351" s="11" t="n">
        <f aca="false">IFERROR(INDEX('Perhitungan IPH Mingguan 2026'!$C$6:$C$25,MATCH(LARGE('Perhitungan IPH Mingguan 2026'!$FX$6:$FX$25,2),'Perhitungan IPH Mingguan 2026'!$FX$6:$FX$25,0)),"")</f>
        <v>0.125089056759346</v>
      </c>
      <c r="D351" s="26" t="str">
        <f aca="false">IFERROR(INDEX('Perhitungan IPH Mingguan 2026'!$ED$6:$ED$25,MATCH(LARGE('Perhitungan IPH Mingguan 2026'!$FX$6:$FX$25,2),'Perhitungan IPH Mingguan 2026'!$FX$6:$FX$25,0)),"")</f>
        <v>n/a</v>
      </c>
      <c r="E351" s="11" t="str">
        <f aca="false">IFERROR(INDEX('Perhitungan IPH Mingguan 2026'!$EE$6:$EE$25,MATCH(LARGE('Perhitungan IPH Mingguan 2026'!$FX$6:$FX$25,2),'Perhitungan IPH Mingguan 2026'!$FX$6:$FX$25,0)),"")</f>
        <v>n/a</v>
      </c>
      <c r="F351" s="10" t="str">
        <f aca="false">IF(ISNUMBER(E351),IF(E351&gt;0,"Penyumbang KENAIKAN IPH","Penyumbang PENURUNAN IPH"),"-")</f>
        <v>-</v>
      </c>
    </row>
    <row r="352" customFormat="false" ht="15" hidden="false" customHeight="true" outlineLevel="0" collapsed="false">
      <c r="A352" s="9" t="n">
        <v>3</v>
      </c>
      <c r="B352" s="10" t="str">
        <f aca="false">IFERROR(INDEX('Perhitungan IPH Mingguan 2026'!$B$6:$B$25,MATCH(LARGE('Perhitungan IPH Mingguan 2026'!$FX$6:$FX$25,3),'Perhitungan IPH Mingguan 2026'!$FX$6:$FX$25,0)),"-")</f>
        <v>beras 1111001</v>
      </c>
      <c r="C352" s="11" t="n">
        <f aca="false">IFERROR(INDEX('Perhitungan IPH Mingguan 2026'!$C$6:$C$25,MATCH(LARGE('Perhitungan IPH Mingguan 2026'!$FX$6:$FX$25,3),'Perhitungan IPH Mingguan 2026'!$FX$6:$FX$25,0)),"")</f>
        <v>0.125089056759346</v>
      </c>
      <c r="D352" s="26" t="str">
        <f aca="false">IFERROR(INDEX('Perhitungan IPH Mingguan 2026'!$ED$6:$ED$25,MATCH(LARGE('Perhitungan IPH Mingguan 2026'!$FX$6:$FX$25,3),'Perhitungan IPH Mingguan 2026'!$FX$6:$FX$25,0)),"")</f>
        <v>n/a</v>
      </c>
      <c r="E352" s="11" t="str">
        <f aca="false">IFERROR(INDEX('Perhitungan IPH Mingguan 2026'!$EE$6:$EE$25,MATCH(LARGE('Perhitungan IPH Mingguan 2026'!$FX$6:$FX$25,3),'Perhitungan IPH Mingguan 2026'!$FX$6:$FX$25,0)),"")</f>
        <v>n/a</v>
      </c>
      <c r="F352" s="10" t="str">
        <f aca="false">IF(ISNUMBER(E352),IF(E352&gt;0,"Penyumbang KENAIKAN IPH","Penyumbang PENURUNAN IPH"),"-")</f>
        <v>-</v>
      </c>
    </row>
    <row r="353" customFormat="false" ht="15" hidden="false" customHeight="true" outlineLevel="0" collapsed="false">
      <c r="A353" s="9" t="n">
        <v>4</v>
      </c>
      <c r="B353" s="10" t="str">
        <f aca="false">IFERROR(INDEX('Perhitungan IPH Mingguan 2026'!$B$6:$B$25,MATCH(LARGE('Perhitungan IPH Mingguan 2026'!$FX$6:$FX$25,4),'Perhitungan IPH Mingguan 2026'!$FX$6:$FX$25,0)),"-")</f>
        <v>beras 1111001</v>
      </c>
      <c r="C353" s="11" t="n">
        <f aca="false">IFERROR(INDEX('Perhitungan IPH Mingguan 2026'!$C$6:$C$25,MATCH(LARGE('Perhitungan IPH Mingguan 2026'!$FX$6:$FX$25,4),'Perhitungan IPH Mingguan 2026'!$FX$6:$FX$25,0)),"")</f>
        <v>0.125089056759346</v>
      </c>
      <c r="D353" s="26" t="str">
        <f aca="false">IFERROR(INDEX('Perhitungan IPH Mingguan 2026'!$ED$6:$ED$25,MATCH(LARGE('Perhitungan IPH Mingguan 2026'!$FX$6:$FX$25,4),'Perhitungan IPH Mingguan 2026'!$FX$6:$FX$25,0)),"")</f>
        <v>n/a</v>
      </c>
      <c r="E353" s="11" t="str">
        <f aca="false">IFERROR(INDEX('Perhitungan IPH Mingguan 2026'!$EE$6:$EE$25,MATCH(LARGE('Perhitungan IPH Mingguan 2026'!$FX$6:$FX$25,4),'Perhitungan IPH Mingguan 2026'!$FX$6:$FX$25,0)),"")</f>
        <v>n/a</v>
      </c>
      <c r="F353" s="10" t="str">
        <f aca="false">IF(ISNUMBER(E353),IF(E353&gt;0,"Penyumbang KENAIKAN IPH","Penyumbang PENURUNAN IPH"),"-")</f>
        <v>-</v>
      </c>
    </row>
    <row r="354" customFormat="false" ht="15" hidden="false" customHeight="true" outlineLevel="0" collapsed="false">
      <c r="A354" s="9" t="n">
        <v>5</v>
      </c>
      <c r="B354" s="10" t="str">
        <f aca="false">IFERROR(INDEX('Perhitungan IPH Mingguan 2026'!$B$6:$B$25,MATCH(LARGE('Perhitungan IPH Mingguan 2026'!$FX$6:$FX$25,5),'Perhitungan IPH Mingguan 2026'!$FX$6:$FX$25,0)),"-")</f>
        <v>beras 1111001</v>
      </c>
      <c r="C354" s="11" t="n">
        <f aca="false">IFERROR(INDEX('Perhitungan IPH Mingguan 2026'!$C$6:$C$25,MATCH(LARGE('Perhitungan IPH Mingguan 2026'!$FX$6:$FX$25,5),'Perhitungan IPH Mingguan 2026'!$FX$6:$FX$25,0)),"")</f>
        <v>0.125089056759346</v>
      </c>
      <c r="D354" s="26" t="str">
        <f aca="false">IFERROR(INDEX('Perhitungan IPH Mingguan 2026'!$ED$6:$ED$25,MATCH(LARGE('Perhitungan IPH Mingguan 2026'!$FX$6:$FX$25,5),'Perhitungan IPH Mingguan 2026'!$FX$6:$FX$25,0)),"")</f>
        <v>n/a</v>
      </c>
      <c r="E354" s="11" t="str">
        <f aca="false">IFERROR(INDEX('Perhitungan IPH Mingguan 2026'!$EE$6:$EE$25,MATCH(LARGE('Perhitungan IPH Mingguan 2026'!$FX$6:$FX$25,5),'Perhitungan IPH Mingguan 2026'!$FX$6:$FX$25,0)),"")</f>
        <v>n/a</v>
      </c>
      <c r="F354" s="10" t="str">
        <f aca="false">IF(ISNUMBER(E354),IF(E354&gt;0,"Penyumbang KENAIKAN IPH","Penyumbang PENURUNAN IPH"),"-")</f>
        <v>-</v>
      </c>
    </row>
  </sheetData>
  <mergeCells count="46">
    <mergeCell ref="A1:F1"/>
    <mergeCell ref="A2:F2"/>
    <mergeCell ref="A4:F4"/>
    <mergeCell ref="A12:F12"/>
    <mergeCell ref="A20:F20"/>
    <mergeCell ref="A28:F28"/>
    <mergeCell ref="A36:F36"/>
    <mergeCell ref="A44:F44"/>
    <mergeCell ref="A52:F52"/>
    <mergeCell ref="A60:F60"/>
    <mergeCell ref="A68:F68"/>
    <mergeCell ref="A76:F76"/>
    <mergeCell ref="A84:F84"/>
    <mergeCell ref="A92:F92"/>
    <mergeCell ref="A100:F100"/>
    <mergeCell ref="A108:F108"/>
    <mergeCell ref="A116:F116"/>
    <mergeCell ref="A124:F124"/>
    <mergeCell ref="A132:F132"/>
    <mergeCell ref="A140:F140"/>
    <mergeCell ref="A148:F148"/>
    <mergeCell ref="A156:F156"/>
    <mergeCell ref="A164:F164"/>
    <mergeCell ref="A172:F172"/>
    <mergeCell ref="A180:F180"/>
    <mergeCell ref="A188:F188"/>
    <mergeCell ref="A196:F196"/>
    <mergeCell ref="A204:F204"/>
    <mergeCell ref="A212:F212"/>
    <mergeCell ref="A220:F220"/>
    <mergeCell ref="A228:F228"/>
    <mergeCell ref="A236:F236"/>
    <mergeCell ref="A244:F244"/>
    <mergeCell ref="A252:F252"/>
    <mergeCell ref="A260:F260"/>
    <mergeCell ref="A268:F268"/>
    <mergeCell ref="A276:F276"/>
    <mergeCell ref="A284:F284"/>
    <mergeCell ref="A292:F292"/>
    <mergeCell ref="A300:F300"/>
    <mergeCell ref="A308:F308"/>
    <mergeCell ref="A316:F316"/>
    <mergeCell ref="A324:F324"/>
    <mergeCell ref="A332:F332"/>
    <mergeCell ref="A340:F340"/>
    <mergeCell ref="A348:F3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0"/>
  </cols>
  <sheetData>
    <row r="1" customFormat="false" ht="15.75" hidden="false" customHeight="true" outlineLevel="0" collapsed="false">
      <c r="A1" s="27" t="s">
        <v>262</v>
      </c>
    </row>
    <row r="2" customFormat="false" ht="15" hidden="false" customHeight="true" outlineLevel="0" collapsed="false">
      <c r="A2" s="28" t="s">
        <v>263</v>
      </c>
    </row>
    <row r="4" customFormat="false" ht="15" hidden="false" customHeight="true" outlineLevel="0" collapsed="false">
      <c r="A4" s="29" t="s">
        <v>264</v>
      </c>
    </row>
    <row r="5" customFormat="false" ht="90" hidden="false" customHeight="true" outlineLevel="0" collapsed="false">
      <c r="A5" s="30" t="s">
        <v>265</v>
      </c>
      <c r="B5" s="30"/>
      <c r="C5" s="30"/>
      <c r="D5" s="30"/>
      <c r="E5" s="30"/>
      <c r="F5" s="30"/>
    </row>
    <row r="7" customFormat="false" ht="15" hidden="false" customHeight="true" outlineLevel="0" collapsed="false">
      <c r="A7" s="29" t="s">
        <v>266</v>
      </c>
    </row>
    <row r="8" customFormat="false" ht="75" hidden="false" customHeight="true" outlineLevel="0" collapsed="false">
      <c r="A8" s="30" t="s">
        <v>267</v>
      </c>
      <c r="B8" s="30"/>
      <c r="C8" s="30"/>
      <c r="D8" s="30"/>
      <c r="E8" s="30"/>
      <c r="F8" s="30"/>
    </row>
    <row r="10" customFormat="false" ht="15" hidden="false" customHeight="true" outlineLevel="0" collapsed="false">
      <c r="A10" s="29" t="s">
        <v>268</v>
      </c>
    </row>
    <row r="11" customFormat="false" ht="60" hidden="false" customHeight="true" outlineLevel="0" collapsed="false">
      <c r="A11" s="30" t="s">
        <v>269</v>
      </c>
      <c r="B11" s="30"/>
      <c r="C11" s="30"/>
      <c r="D11" s="30"/>
      <c r="E11" s="30"/>
      <c r="F11" s="30"/>
    </row>
    <row r="13" customFormat="false" ht="15" hidden="false" customHeight="true" outlineLevel="0" collapsed="false">
      <c r="A13" s="29" t="s">
        <v>270</v>
      </c>
    </row>
    <row r="14" customFormat="false" ht="60" hidden="false" customHeight="true" outlineLevel="0" collapsed="false">
      <c r="A14" s="30" t="s">
        <v>271</v>
      </c>
      <c r="B14" s="30"/>
      <c r="C14" s="30"/>
      <c r="D14" s="30"/>
      <c r="E14" s="30"/>
      <c r="F14" s="30"/>
    </row>
    <row r="15" customFormat="false" ht="60" hidden="false" customHeight="true" outlineLevel="0" collapsed="false">
      <c r="A15" s="30" t="s">
        <v>272</v>
      </c>
      <c r="B15" s="30"/>
      <c r="C15" s="30"/>
      <c r="D15" s="30"/>
      <c r="E15" s="30"/>
      <c r="F15" s="30"/>
    </row>
    <row r="16" customFormat="false" ht="60" hidden="false" customHeight="true" outlineLevel="0" collapsed="false">
      <c r="A16" s="30" t="s">
        <v>273</v>
      </c>
      <c r="B16" s="30"/>
      <c r="C16" s="30"/>
      <c r="D16" s="30"/>
      <c r="E16" s="30"/>
      <c r="F16" s="30"/>
    </row>
    <row r="17" customFormat="false" ht="60" hidden="false" customHeight="true" outlineLevel="0" collapsed="false">
      <c r="A17" s="30" t="s">
        <v>274</v>
      </c>
      <c r="B17" s="30"/>
      <c r="C17" s="30"/>
      <c r="D17" s="30"/>
      <c r="E17" s="30"/>
      <c r="F17" s="30"/>
    </row>
    <row r="18" customFormat="false" ht="60" hidden="false" customHeight="true" outlineLevel="0" collapsed="false">
      <c r="A18" s="30" t="s">
        <v>275</v>
      </c>
      <c r="B18" s="30"/>
      <c r="C18" s="30"/>
      <c r="D18" s="30"/>
      <c r="E18" s="30"/>
      <c r="F18" s="30"/>
    </row>
    <row r="19" customFormat="false" ht="60" hidden="false" customHeight="true" outlineLevel="0" collapsed="false">
      <c r="A19" s="30" t="s">
        <v>276</v>
      </c>
      <c r="B19" s="30"/>
      <c r="C19" s="30"/>
      <c r="D19" s="30"/>
      <c r="E19" s="30"/>
      <c r="F19" s="30"/>
    </row>
  </sheetData>
  <mergeCells count="9">
    <mergeCell ref="A5:F5"/>
    <mergeCell ref="A8:F8"/>
    <mergeCell ref="A11:F11"/>
    <mergeCell ref="A14:F14"/>
    <mergeCell ref="A15:F15"/>
    <mergeCell ref="A16:F16"/>
    <mergeCell ref="A17:F17"/>
    <mergeCell ref="A18:F18"/>
    <mergeCell ref="A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30"/>
    <col collapsed="false" customWidth="true" hidden="false" outlineLevel="0" max="56" min="4" style="1" width="11"/>
  </cols>
  <sheetData>
    <row r="1" customFormat="false" ht="26.25" hidden="false" customHeight="true" outlineLevel="0" collapsed="false">
      <c r="A1" s="2" t="s">
        <v>277</v>
      </c>
      <c r="B1" s="2"/>
      <c r="C1" s="2"/>
      <c r="D1" s="2"/>
    </row>
    <row r="2" customFormat="false" ht="18.75" hidden="false" customHeight="true" outlineLevel="0" collapsed="false">
      <c r="A2" s="12" t="s">
        <v>278</v>
      </c>
      <c r="B2" s="12"/>
      <c r="C2" s="12"/>
      <c r="D2" s="12"/>
    </row>
    <row r="4" customFormat="false" ht="30" hidden="false" customHeight="true" outlineLevel="0" collapsed="false">
      <c r="A4" s="14" t="s">
        <v>141</v>
      </c>
      <c r="B4" s="14" t="s">
        <v>279</v>
      </c>
      <c r="C4" s="14" t="s">
        <v>280</v>
      </c>
      <c r="D4" s="31" t="s">
        <v>281</v>
      </c>
      <c r="E4" s="31" t="s">
        <v>282</v>
      </c>
      <c r="F4" s="31" t="s">
        <v>283</v>
      </c>
      <c r="G4" s="31" t="s">
        <v>284</v>
      </c>
      <c r="H4" s="31" t="s">
        <v>285</v>
      </c>
      <c r="I4" s="31" t="s">
        <v>286</v>
      </c>
      <c r="J4" s="31" t="s">
        <v>287</v>
      </c>
      <c r="K4" s="31" t="s">
        <v>288</v>
      </c>
      <c r="L4" s="32" t="s">
        <v>289</v>
      </c>
      <c r="M4" s="32" t="s">
        <v>290</v>
      </c>
      <c r="N4" s="32" t="s">
        <v>291</v>
      </c>
      <c r="O4" s="32" t="s">
        <v>292</v>
      </c>
      <c r="P4" s="32" t="s">
        <v>293</v>
      </c>
      <c r="Q4" s="32" t="s">
        <v>294</v>
      </c>
      <c r="R4" s="32" t="s">
        <v>295</v>
      </c>
      <c r="S4" s="32" t="s">
        <v>296</v>
      </c>
      <c r="T4" s="32" t="s">
        <v>297</v>
      </c>
      <c r="U4" s="32" t="s">
        <v>298</v>
      </c>
      <c r="V4" s="32" t="s">
        <v>299</v>
      </c>
      <c r="W4" s="32" t="s">
        <v>300</v>
      </c>
      <c r="X4" s="32" t="s">
        <v>301</v>
      </c>
      <c r="Y4" s="32" t="s">
        <v>302</v>
      </c>
      <c r="Z4" s="32" t="s">
        <v>303</v>
      </c>
      <c r="AA4" s="32" t="s">
        <v>304</v>
      </c>
      <c r="AB4" s="32" t="s">
        <v>305</v>
      </c>
      <c r="AC4" s="32" t="s">
        <v>306</v>
      </c>
      <c r="AD4" s="32" t="s">
        <v>307</v>
      </c>
      <c r="AE4" s="32" t="s">
        <v>308</v>
      </c>
      <c r="AF4" s="32" t="s">
        <v>309</v>
      </c>
      <c r="AG4" s="32" t="s">
        <v>310</v>
      </c>
      <c r="AH4" s="32" t="s">
        <v>311</v>
      </c>
      <c r="AI4" s="32" t="s">
        <v>312</v>
      </c>
      <c r="AJ4" s="32" t="s">
        <v>313</v>
      </c>
      <c r="AK4" s="32" t="s">
        <v>314</v>
      </c>
      <c r="AL4" s="32" t="s">
        <v>315</v>
      </c>
      <c r="AM4" s="32" t="s">
        <v>316</v>
      </c>
      <c r="AN4" s="32" t="s">
        <v>317</v>
      </c>
      <c r="AO4" s="32" t="s">
        <v>318</v>
      </c>
      <c r="AP4" s="32" t="s">
        <v>319</v>
      </c>
      <c r="AQ4" s="32" t="s">
        <v>320</v>
      </c>
      <c r="AR4" s="32" t="s">
        <v>321</v>
      </c>
      <c r="AS4" s="32" t="s">
        <v>322</v>
      </c>
      <c r="AT4" s="32" t="s">
        <v>323</v>
      </c>
      <c r="AU4" s="32" t="s">
        <v>324</v>
      </c>
      <c r="AV4" s="32" t="s">
        <v>325</v>
      </c>
      <c r="AW4" s="32" t="s">
        <v>326</v>
      </c>
      <c r="AX4" s="32" t="s">
        <v>327</v>
      </c>
      <c r="AY4" s="31" t="s">
        <v>328</v>
      </c>
      <c r="AZ4" s="32" t="s">
        <v>329</v>
      </c>
      <c r="BA4" s="32" t="s">
        <v>330</v>
      </c>
      <c r="BB4" s="32" t="s">
        <v>331</v>
      </c>
      <c r="BC4" s="32" t="s">
        <v>332</v>
      </c>
      <c r="BD4" s="32" t="s">
        <v>333</v>
      </c>
    </row>
    <row r="5" customFormat="false" ht="13.5" hidden="false" customHeight="true" outlineLevel="0" collapsed="false">
      <c r="A5" s="6" t="s">
        <v>190</v>
      </c>
      <c r="B5" s="6" t="s">
        <v>334</v>
      </c>
      <c r="C5" s="33"/>
      <c r="D5" s="17" t="n">
        <f aca="false">'Data Des 2025'!AF5</f>
        <v>12500</v>
      </c>
      <c r="E5" s="17" t="n">
        <f aca="false">'Data Jan 2026'!AE5</f>
        <v>12500</v>
      </c>
      <c r="F5" s="17" t="n">
        <f aca="false">'Data Feb 2026'!AB5</f>
        <v>12500</v>
      </c>
      <c r="G5" s="17" t="n">
        <f aca="false">'Data Mar 2026'!AE5</f>
        <v>12500</v>
      </c>
      <c r="H5" s="17" t="n">
        <f aca="false">'Data Apr 2026'!AE5</f>
        <v>12928.5714285714</v>
      </c>
      <c r="I5" s="17" t="n">
        <f aca="false">'Data Mei 2026'!AD5</f>
        <v>13400</v>
      </c>
      <c r="J5" s="17" t="n">
        <f aca="false">'Data Jun 2026'!AE5</f>
        <v>12535</v>
      </c>
      <c r="K5" s="17" t="n">
        <f aca="false">'Data Jul 2026'!AF5</f>
        <v>12500</v>
      </c>
      <c r="L5" s="17" t="n">
        <f aca="false">'Data Jan 2026'!Z5</f>
        <v>12500</v>
      </c>
      <c r="M5" s="17" t="n">
        <f aca="false">'Data Jan 2026'!AA5</f>
        <v>12500</v>
      </c>
      <c r="N5" s="17" t="n">
        <f aca="false">'Data Jan 2026'!AB5</f>
        <v>12500</v>
      </c>
      <c r="O5" s="17" t="n">
        <f aca="false">'Data Jan 2026'!AC5</f>
        <v>12500</v>
      </c>
      <c r="P5" s="17" t="n">
        <f aca="false">'Data Jan 2026'!AD5</f>
        <v>12500</v>
      </c>
      <c r="Q5" s="17" t="n">
        <f aca="false">'Data Feb 2026'!X5</f>
        <v>12500</v>
      </c>
      <c r="R5" s="17" t="n">
        <f aca="false">'Data Feb 2026'!Y5</f>
        <v>12500</v>
      </c>
      <c r="S5" s="17" t="n">
        <f aca="false">'Data Feb 2026'!Z5</f>
        <v>12500</v>
      </c>
      <c r="T5" s="17" t="n">
        <f aca="false">'Data Feb 2026'!AA5</f>
        <v>12500</v>
      </c>
      <c r="U5" s="17" t="n">
        <f aca="false">'Data Mar 2026'!Z5</f>
        <v>12500</v>
      </c>
      <c r="V5" s="17" t="n">
        <f aca="false">'Data Mar 2026'!AA5</f>
        <v>12500</v>
      </c>
      <c r="W5" s="17" t="n">
        <f aca="false">'Data Mar 2026'!AB5</f>
        <v>12500</v>
      </c>
      <c r="X5" s="17" t="n">
        <f aca="false">'Data Mar 2026'!AC5</f>
        <v>12500</v>
      </c>
      <c r="Y5" s="17" t="n">
        <f aca="false">'Data Mar 2026'!AD5</f>
        <v>12500</v>
      </c>
      <c r="Z5" s="17" t="n">
        <f aca="false">'Data Apr 2026'!Z5</f>
        <v>12500</v>
      </c>
      <c r="AA5" s="17" t="n">
        <f aca="false">'Data Apr 2026'!AA5</f>
        <v>12500</v>
      </c>
      <c r="AB5" s="17" t="n">
        <f aca="false">'Data Apr 2026'!AB5</f>
        <v>12500</v>
      </c>
      <c r="AC5" s="17" t="n">
        <f aca="false">'Data Apr 2026'!AC5</f>
        <v>13500</v>
      </c>
      <c r="AD5" s="17" t="n">
        <f aca="false">'Data Apr 2026'!AD5</f>
        <v>13500</v>
      </c>
      <c r="AE5" s="17" t="str">
        <f aca="false">'Data Mei 2026'!Y5</f>
        <v/>
      </c>
      <c r="AF5" s="17" t="n">
        <f aca="false">'Data Mei 2026'!Z5</f>
        <v>13500</v>
      </c>
      <c r="AG5" s="17" t="n">
        <f aca="false">'Data Mei 2026'!AA5</f>
        <v>13450</v>
      </c>
      <c r="AH5" s="17" t="n">
        <f aca="false">'Data Mei 2026'!AB5</f>
        <v>13430</v>
      </c>
      <c r="AI5" s="17" t="n">
        <f aca="false">'Data Mei 2026'!AC5</f>
        <v>13133.3333333333</v>
      </c>
      <c r="AJ5" s="17" t="n">
        <f aca="false">'Data Jun 2026'!Z5</f>
        <v>12700</v>
      </c>
      <c r="AK5" s="17" t="n">
        <f aca="false">'Data Jun 2026'!AA5</f>
        <v>12480</v>
      </c>
      <c r="AL5" s="17" t="n">
        <f aca="false">'Data Jun 2026'!AB5</f>
        <v>12500</v>
      </c>
      <c r="AM5" s="17" t="n">
        <f aca="false">'Data Jun 2026'!AC5</f>
        <v>12500</v>
      </c>
      <c r="AN5" s="17" t="n">
        <f aca="false">'Data Jun 2026'!AD5</f>
        <v>12500</v>
      </c>
      <c r="AO5" s="17" t="n">
        <f aca="false">'Data Jul 2026'!AA5</f>
        <v>12500</v>
      </c>
      <c r="AP5" s="17" t="n">
        <f aca="false">'Data Jul 2026'!AB5</f>
        <v>12500</v>
      </c>
      <c r="AQ5" s="17" t="n">
        <f aca="false">'Data Jul 2026'!AC5</f>
        <v>12500</v>
      </c>
      <c r="AR5" s="17" t="n">
        <f aca="false">'Data Jul 2026'!AD5</f>
        <v>12500</v>
      </c>
      <c r="AS5" s="17" t="n">
        <f aca="false">'Data Jul 2026'!AE5</f>
        <v>12500</v>
      </c>
      <c r="AT5" s="17" t="n">
        <f aca="false">'Data Agu 2026'!Y5</f>
        <v>12500</v>
      </c>
      <c r="AU5" s="17" t="n">
        <f aca="false">'Data Agu 2026'!Z5</f>
        <v>12500</v>
      </c>
      <c r="AV5" s="17" t="n">
        <f aca="false">'Data Agu 2026'!AA5</f>
        <v>12500</v>
      </c>
      <c r="AW5" s="17" t="n">
        <f aca="false">'Data Agu 2026'!AB5</f>
        <v>12518.75</v>
      </c>
      <c r="AX5" s="17" t="str">
        <f aca="false">'Data Agu 2026'!AC5</f>
        <v/>
      </c>
      <c r="AY5" s="17" t="n">
        <f aca="false">'Data Agu 2026'!AD5</f>
        <v>12504.1666666667</v>
      </c>
      <c r="AZ5" s="17" t="n">
        <f aca="false">'Data Sep 2026'!AA5</f>
        <v>12525</v>
      </c>
      <c r="BA5" s="17" t="str">
        <f aca="false">'Data Sep 2026'!AB5</f>
        <v/>
      </c>
      <c r="BB5" s="17" t="str">
        <f aca="false">'Data Sep 2026'!AC5</f>
        <v/>
      </c>
      <c r="BC5" s="17" t="str">
        <f aca="false">'Data Sep 2026'!AD5</f>
        <v/>
      </c>
      <c r="BD5" s="17" t="str">
        <f aca="false">'Data Sep 2026'!AE5</f>
        <v/>
      </c>
    </row>
    <row r="6" customFormat="false" ht="13.5" hidden="false" customHeight="true" outlineLevel="0" collapsed="false">
      <c r="A6" s="6" t="s">
        <v>190</v>
      </c>
      <c r="B6" s="6" t="s">
        <v>335</v>
      </c>
      <c r="C6" s="33"/>
      <c r="D6" s="17" t="n">
        <f aca="false">'Data Des 2025'!AF6</f>
        <v>14000</v>
      </c>
      <c r="E6" s="17" t="n">
        <f aca="false">'Data Jan 2026'!AE6</f>
        <v>14000</v>
      </c>
      <c r="F6" s="17" t="n">
        <f aca="false">'Data Feb 2026'!AB6</f>
        <v>14000</v>
      </c>
      <c r="G6" s="17" t="n">
        <f aca="false">'Data Mar 2026'!AE6</f>
        <v>14000</v>
      </c>
      <c r="H6" s="17" t="n">
        <f aca="false">'Data Apr 2026'!AE6</f>
        <v>14385.7142857143</v>
      </c>
      <c r="I6" s="17" t="n">
        <f aca="false">'Data Mei 2026'!AD6</f>
        <v>14823.4375</v>
      </c>
      <c r="J6" s="17" t="n">
        <f aca="false">'Data Jun 2026'!AE6</f>
        <v>14300</v>
      </c>
      <c r="K6" s="17" t="n">
        <f aca="false">'Data Jul 2026'!AF6</f>
        <v>14300</v>
      </c>
      <c r="L6" s="17" t="n">
        <f aca="false">'Data Jan 2026'!Z6</f>
        <v>14000</v>
      </c>
      <c r="M6" s="17" t="n">
        <f aca="false">'Data Jan 2026'!AA6</f>
        <v>14000</v>
      </c>
      <c r="N6" s="17" t="n">
        <f aca="false">'Data Jan 2026'!AB6</f>
        <v>14000</v>
      </c>
      <c r="O6" s="17" t="n">
        <f aca="false">'Data Jan 2026'!AC6</f>
        <v>14000</v>
      </c>
      <c r="P6" s="17" t="n">
        <f aca="false">'Data Jan 2026'!AD6</f>
        <v>14000</v>
      </c>
      <c r="Q6" s="17" t="n">
        <f aca="false">'Data Feb 2026'!X6</f>
        <v>14000</v>
      </c>
      <c r="R6" s="17" t="n">
        <f aca="false">'Data Feb 2026'!Y6</f>
        <v>14000</v>
      </c>
      <c r="S6" s="17" t="n">
        <f aca="false">'Data Feb 2026'!Z6</f>
        <v>14000</v>
      </c>
      <c r="T6" s="17" t="n">
        <f aca="false">'Data Feb 2026'!AA6</f>
        <v>14000</v>
      </c>
      <c r="U6" s="17" t="n">
        <f aca="false">'Data Mar 2026'!Z6</f>
        <v>14000</v>
      </c>
      <c r="V6" s="17" t="n">
        <f aca="false">'Data Mar 2026'!AA6</f>
        <v>14000</v>
      </c>
      <c r="W6" s="17" t="n">
        <f aca="false">'Data Mar 2026'!AB6</f>
        <v>14000</v>
      </c>
      <c r="X6" s="17" t="n">
        <f aca="false">'Data Mar 2026'!AC6</f>
        <v>14000</v>
      </c>
      <c r="Y6" s="17" t="n">
        <f aca="false">'Data Mar 2026'!AD6</f>
        <v>14000</v>
      </c>
      <c r="Z6" s="17" t="n">
        <f aca="false">'Data Apr 2026'!Z6</f>
        <v>14000</v>
      </c>
      <c r="AA6" s="17" t="n">
        <f aca="false">'Data Apr 2026'!AA6</f>
        <v>14000</v>
      </c>
      <c r="AB6" s="17" t="n">
        <f aca="false">'Data Apr 2026'!AB6</f>
        <v>14000</v>
      </c>
      <c r="AC6" s="17" t="n">
        <f aca="false">'Data Apr 2026'!AC6</f>
        <v>14900</v>
      </c>
      <c r="AD6" s="17" t="n">
        <f aca="false">'Data Apr 2026'!AD6</f>
        <v>14900</v>
      </c>
      <c r="AE6" s="17" t="str">
        <f aca="false">'Data Mei 2026'!Y6</f>
        <v/>
      </c>
      <c r="AF6" s="17" t="n">
        <f aca="false">'Data Mei 2026'!Z6</f>
        <v>14900</v>
      </c>
      <c r="AG6" s="17" t="n">
        <f aca="false">'Data Mei 2026'!AA6</f>
        <v>14875</v>
      </c>
      <c r="AH6" s="17" t="n">
        <f aca="false">'Data Mei 2026'!AB6</f>
        <v>14830</v>
      </c>
      <c r="AI6" s="17" t="n">
        <f aca="false">'Data Mei 2026'!AC6</f>
        <v>14633.3333333333</v>
      </c>
      <c r="AJ6" s="17" t="n">
        <f aca="false">'Data Jun 2026'!Z6</f>
        <v>14300</v>
      </c>
      <c r="AK6" s="17" t="n">
        <f aca="false">'Data Jun 2026'!AA6</f>
        <v>14300</v>
      </c>
      <c r="AL6" s="17" t="n">
        <f aca="false">'Data Jun 2026'!AB6</f>
        <v>14300</v>
      </c>
      <c r="AM6" s="17" t="n">
        <f aca="false">'Data Jun 2026'!AC6</f>
        <v>14300</v>
      </c>
      <c r="AN6" s="17" t="n">
        <f aca="false">'Data Jun 2026'!AD6</f>
        <v>14300</v>
      </c>
      <c r="AO6" s="17" t="n">
        <f aca="false">'Data Jul 2026'!AA6</f>
        <v>14300</v>
      </c>
      <c r="AP6" s="17" t="n">
        <f aca="false">'Data Jul 2026'!AB6</f>
        <v>14300</v>
      </c>
      <c r="AQ6" s="17" t="n">
        <f aca="false">'Data Jul 2026'!AC6</f>
        <v>14300</v>
      </c>
      <c r="AR6" s="17" t="n">
        <f aca="false">'Data Jul 2026'!AD6</f>
        <v>14300</v>
      </c>
      <c r="AS6" s="17" t="n">
        <f aca="false">'Data Jul 2026'!AE6</f>
        <v>14300</v>
      </c>
      <c r="AT6" s="17" t="n">
        <f aca="false">'Data Agu 2026'!Y6</f>
        <v>14300</v>
      </c>
      <c r="AU6" s="17" t="n">
        <f aca="false">'Data Agu 2026'!Z6</f>
        <v>14300</v>
      </c>
      <c r="AV6" s="17" t="n">
        <f aca="false">'Data Agu 2026'!AA6</f>
        <v>14300</v>
      </c>
      <c r="AW6" s="17" t="n">
        <f aca="false">'Data Agu 2026'!AB6</f>
        <v>14318.75</v>
      </c>
      <c r="AX6" s="17" t="str">
        <f aca="false">'Data Agu 2026'!AC6</f>
        <v/>
      </c>
      <c r="AY6" s="17" t="n">
        <f aca="false">'Data Agu 2026'!AD6</f>
        <v>14304.1666666667</v>
      </c>
      <c r="AZ6" s="17" t="n">
        <f aca="false">'Data Sep 2026'!AA6</f>
        <v>14325</v>
      </c>
      <c r="BA6" s="17" t="str">
        <f aca="false">'Data Sep 2026'!AB6</f>
        <v/>
      </c>
      <c r="BB6" s="17" t="str">
        <f aca="false">'Data Sep 2026'!AC6</f>
        <v/>
      </c>
      <c r="BC6" s="17" t="str">
        <f aca="false">'Data Sep 2026'!AD6</f>
        <v/>
      </c>
      <c r="BD6" s="17" t="str">
        <f aca="false">'Data Sep 2026'!AE6</f>
        <v/>
      </c>
    </row>
    <row r="7" customFormat="false" ht="13.5" hidden="false" customHeight="true" outlineLevel="0" collapsed="false">
      <c r="A7" s="6" t="s">
        <v>190</v>
      </c>
      <c r="B7" s="6" t="s">
        <v>336</v>
      </c>
      <c r="C7" s="33"/>
      <c r="D7" s="17" t="n">
        <f aca="false">'Data Des 2025'!AF7</f>
        <v>12500</v>
      </c>
      <c r="E7" s="17" t="n">
        <f aca="false">'Data Jan 2026'!AE7</f>
        <v>12500</v>
      </c>
      <c r="F7" s="17" t="n">
        <f aca="false">'Data Feb 2026'!AB7</f>
        <v>12500</v>
      </c>
      <c r="G7" s="17" t="n">
        <f aca="false">'Data Mar 2026'!AE7</f>
        <v>12500</v>
      </c>
      <c r="H7" s="17" t="n">
        <f aca="false">'Data Apr 2026'!AE7</f>
        <v>12500</v>
      </c>
      <c r="I7" s="17" t="n">
        <f aca="false">'Data Mei 2026'!AD7</f>
        <v>12393.75</v>
      </c>
      <c r="J7" s="17" t="n">
        <f aca="false">'Data Jun 2026'!AE7</f>
        <v>11835</v>
      </c>
      <c r="K7" s="17" t="n">
        <f aca="false">'Data Jul 2026'!AF7</f>
        <v>11800</v>
      </c>
      <c r="L7" s="17" t="n">
        <f aca="false">'Data Jan 2026'!Z7</f>
        <v>12500</v>
      </c>
      <c r="M7" s="17" t="n">
        <f aca="false">'Data Jan 2026'!AA7</f>
        <v>12500</v>
      </c>
      <c r="N7" s="17" t="n">
        <f aca="false">'Data Jan 2026'!AB7</f>
        <v>12500</v>
      </c>
      <c r="O7" s="17" t="n">
        <f aca="false">'Data Jan 2026'!AC7</f>
        <v>12500</v>
      </c>
      <c r="P7" s="17" t="n">
        <f aca="false">'Data Jan 2026'!AD7</f>
        <v>12500</v>
      </c>
      <c r="Q7" s="17" t="n">
        <f aca="false">'Data Feb 2026'!X7</f>
        <v>12500</v>
      </c>
      <c r="R7" s="17" t="n">
        <f aca="false">'Data Feb 2026'!Y7</f>
        <v>12500</v>
      </c>
      <c r="S7" s="17" t="n">
        <f aca="false">'Data Feb 2026'!Z7</f>
        <v>12500</v>
      </c>
      <c r="T7" s="17" t="n">
        <f aca="false">'Data Feb 2026'!AA7</f>
        <v>12500</v>
      </c>
      <c r="U7" s="17" t="n">
        <f aca="false">'Data Mar 2026'!Z7</f>
        <v>12500</v>
      </c>
      <c r="V7" s="17" t="n">
        <f aca="false">'Data Mar 2026'!AA7</f>
        <v>12500</v>
      </c>
      <c r="W7" s="17" t="n">
        <f aca="false">'Data Mar 2026'!AB7</f>
        <v>12500</v>
      </c>
      <c r="X7" s="17" t="n">
        <f aca="false">'Data Mar 2026'!AC7</f>
        <v>12500</v>
      </c>
      <c r="Y7" s="17" t="n">
        <f aca="false">'Data Mar 2026'!AD7</f>
        <v>12500</v>
      </c>
      <c r="Z7" s="17" t="n">
        <f aca="false">'Data Apr 2026'!Z7</f>
        <v>12500</v>
      </c>
      <c r="AA7" s="17" t="n">
        <f aca="false">'Data Apr 2026'!AA7</f>
        <v>12500</v>
      </c>
      <c r="AB7" s="17" t="n">
        <f aca="false">'Data Apr 2026'!AB7</f>
        <v>12500</v>
      </c>
      <c r="AC7" s="17" t="n">
        <f aca="false">'Data Apr 2026'!AC7</f>
        <v>12500</v>
      </c>
      <c r="AD7" s="17" t="n">
        <f aca="false">'Data Apr 2026'!AD7</f>
        <v>12500</v>
      </c>
      <c r="AE7" s="17" t="str">
        <f aca="false">'Data Mei 2026'!Y7</f>
        <v/>
      </c>
      <c r="AF7" s="17" t="n">
        <f aca="false">'Data Mei 2026'!Z7</f>
        <v>12500</v>
      </c>
      <c r="AG7" s="17" t="n">
        <f aca="false">'Data Mei 2026'!AA7</f>
        <v>12500</v>
      </c>
      <c r="AH7" s="17" t="n">
        <f aca="false">'Data Mei 2026'!AB7</f>
        <v>12500</v>
      </c>
      <c r="AI7" s="17" t="n">
        <f aca="false">'Data Mei 2026'!AC7</f>
        <v>11933.3333333333</v>
      </c>
      <c r="AJ7" s="17" t="n">
        <f aca="false">'Data Jun 2026'!Z7</f>
        <v>11800</v>
      </c>
      <c r="AK7" s="17" t="n">
        <f aca="false">'Data Jun 2026'!AA7</f>
        <v>11800</v>
      </c>
      <c r="AL7" s="17" t="n">
        <f aca="false">'Data Jun 2026'!AB7</f>
        <v>11975</v>
      </c>
      <c r="AM7" s="17" t="n">
        <f aca="false">'Data Jun 2026'!AC7</f>
        <v>11800</v>
      </c>
      <c r="AN7" s="17" t="n">
        <f aca="false">'Data Jun 2026'!AD7</f>
        <v>11800</v>
      </c>
      <c r="AO7" s="17" t="n">
        <f aca="false">'Data Jul 2026'!AA7</f>
        <v>11800</v>
      </c>
      <c r="AP7" s="17" t="n">
        <f aca="false">'Data Jul 2026'!AB7</f>
        <v>11800</v>
      </c>
      <c r="AQ7" s="17" t="n">
        <f aca="false">'Data Jul 2026'!AC7</f>
        <v>11800</v>
      </c>
      <c r="AR7" s="17" t="n">
        <f aca="false">'Data Jul 2026'!AD7</f>
        <v>11800</v>
      </c>
      <c r="AS7" s="17" t="n">
        <f aca="false">'Data Jul 2026'!AE7</f>
        <v>11800</v>
      </c>
      <c r="AT7" s="17" t="n">
        <f aca="false">'Data Agu 2026'!Y7</f>
        <v>11800</v>
      </c>
      <c r="AU7" s="17" t="n">
        <f aca="false">'Data Agu 2026'!Z7</f>
        <v>11800</v>
      </c>
      <c r="AV7" s="17" t="n">
        <f aca="false">'Data Agu 2026'!AA7</f>
        <v>11800</v>
      </c>
      <c r="AW7" s="17" t="n">
        <f aca="false">'Data Agu 2026'!AB7</f>
        <v>11800</v>
      </c>
      <c r="AX7" s="17" t="str">
        <f aca="false">'Data Agu 2026'!AC7</f>
        <v/>
      </c>
      <c r="AY7" s="17" t="n">
        <f aca="false">'Data Agu 2026'!AD7</f>
        <v>11800</v>
      </c>
      <c r="AZ7" s="17" t="n">
        <f aca="false">'Data Sep 2026'!AA7</f>
        <v>11800</v>
      </c>
      <c r="BA7" s="17" t="str">
        <f aca="false">'Data Sep 2026'!AB7</f>
        <v/>
      </c>
      <c r="BB7" s="17" t="str">
        <f aca="false">'Data Sep 2026'!AC7</f>
        <v/>
      </c>
      <c r="BC7" s="17" t="str">
        <f aca="false">'Data Sep 2026'!AD7</f>
        <v/>
      </c>
      <c r="BD7" s="17" t="str">
        <f aca="false">'Data Sep 2026'!AE7</f>
        <v/>
      </c>
    </row>
    <row r="8" customFormat="false" ht="13.5" hidden="false" customHeight="true" outlineLevel="0" collapsed="false">
      <c r="A8" s="6" t="s">
        <v>191</v>
      </c>
      <c r="B8" s="6" t="s">
        <v>337</v>
      </c>
      <c r="C8" s="33"/>
      <c r="D8" s="17" t="n">
        <f aca="false">'Data Des 2025'!AF17</f>
        <v>11000</v>
      </c>
      <c r="E8" s="17" t="n">
        <f aca="false">'Data Jan 2026'!AE17</f>
        <v>11000</v>
      </c>
      <c r="F8" s="17" t="n">
        <f aca="false">'Data Feb 2026'!AB17</f>
        <v>11000</v>
      </c>
      <c r="G8" s="17" t="n">
        <f aca="false">'Data Mar 2026'!AE17</f>
        <v>11000</v>
      </c>
      <c r="H8" s="17" t="n">
        <f aca="false">'Data Apr 2026'!AE17</f>
        <v>11000</v>
      </c>
      <c r="I8" s="17" t="n">
        <f aca="false">'Data Mei 2026'!AD17</f>
        <v>11000</v>
      </c>
      <c r="J8" s="17" t="n">
        <f aca="false">'Data Jun 2026'!AE17</f>
        <v>11000</v>
      </c>
      <c r="K8" s="17" t="n">
        <f aca="false">'Data Jul 2026'!AF17</f>
        <v>11000</v>
      </c>
      <c r="L8" s="17" t="n">
        <f aca="false">'Data Jan 2026'!Z17</f>
        <v>11000</v>
      </c>
      <c r="M8" s="17" t="n">
        <f aca="false">'Data Jan 2026'!AA17</f>
        <v>11000</v>
      </c>
      <c r="N8" s="17" t="n">
        <f aca="false">'Data Jan 2026'!AB17</f>
        <v>11000</v>
      </c>
      <c r="O8" s="17" t="n">
        <f aca="false">'Data Jan 2026'!AC17</f>
        <v>11000</v>
      </c>
      <c r="P8" s="17" t="n">
        <f aca="false">'Data Jan 2026'!AD17</f>
        <v>11000</v>
      </c>
      <c r="Q8" s="17" t="n">
        <f aca="false">'Data Feb 2026'!X17</f>
        <v>11000</v>
      </c>
      <c r="R8" s="17" t="n">
        <f aca="false">'Data Feb 2026'!Y17</f>
        <v>11000</v>
      </c>
      <c r="S8" s="17" t="n">
        <f aca="false">'Data Feb 2026'!Z17</f>
        <v>11000</v>
      </c>
      <c r="T8" s="17" t="n">
        <f aca="false">'Data Feb 2026'!AA17</f>
        <v>11000</v>
      </c>
      <c r="U8" s="17" t="n">
        <f aca="false">'Data Mar 2026'!Z17</f>
        <v>11000</v>
      </c>
      <c r="V8" s="17" t="n">
        <f aca="false">'Data Mar 2026'!AA17</f>
        <v>11000</v>
      </c>
      <c r="W8" s="17" t="n">
        <f aca="false">'Data Mar 2026'!AB17</f>
        <v>11000</v>
      </c>
      <c r="X8" s="17" t="n">
        <f aca="false">'Data Mar 2026'!AC17</f>
        <v>11000</v>
      </c>
      <c r="Y8" s="17" t="n">
        <f aca="false">'Data Mar 2026'!AD17</f>
        <v>11000</v>
      </c>
      <c r="Z8" s="17" t="n">
        <f aca="false">'Data Apr 2026'!Z17</f>
        <v>11000</v>
      </c>
      <c r="AA8" s="17" t="n">
        <f aca="false">'Data Apr 2026'!AA17</f>
        <v>11000</v>
      </c>
      <c r="AB8" s="17" t="n">
        <f aca="false">'Data Apr 2026'!AB17</f>
        <v>11000</v>
      </c>
      <c r="AC8" s="17" t="n">
        <f aca="false">'Data Apr 2026'!AC17</f>
        <v>11000</v>
      </c>
      <c r="AD8" s="17" t="n">
        <f aca="false">'Data Apr 2026'!AD17</f>
        <v>11000</v>
      </c>
      <c r="AE8" s="17" t="str">
        <f aca="false">'Data Mei 2026'!Y17</f>
        <v/>
      </c>
      <c r="AF8" s="17" t="n">
        <f aca="false">'Data Mei 2026'!Z17</f>
        <v>11000</v>
      </c>
      <c r="AG8" s="17" t="n">
        <f aca="false">'Data Mei 2026'!AA17</f>
        <v>11000</v>
      </c>
      <c r="AH8" s="17" t="n">
        <f aca="false">'Data Mei 2026'!AB17</f>
        <v>11000</v>
      </c>
      <c r="AI8" s="17" t="n">
        <f aca="false">'Data Mei 2026'!AC17</f>
        <v>11000</v>
      </c>
      <c r="AJ8" s="17" t="n">
        <f aca="false">'Data Jun 2026'!Z17</f>
        <v>11000</v>
      </c>
      <c r="AK8" s="17" t="n">
        <f aca="false">'Data Jun 2026'!AA17</f>
        <v>11000</v>
      </c>
      <c r="AL8" s="17" t="n">
        <f aca="false">'Data Jun 2026'!AB17</f>
        <v>11000</v>
      </c>
      <c r="AM8" s="17" t="n">
        <f aca="false">'Data Jun 2026'!AC17</f>
        <v>11000</v>
      </c>
      <c r="AN8" s="17" t="n">
        <f aca="false">'Data Jun 2026'!AD17</f>
        <v>11000</v>
      </c>
      <c r="AO8" s="17" t="n">
        <f aca="false">'Data Jul 2026'!AA17</f>
        <v>11000</v>
      </c>
      <c r="AP8" s="17" t="n">
        <f aca="false">'Data Jul 2026'!AB17</f>
        <v>11000</v>
      </c>
      <c r="AQ8" s="17" t="n">
        <f aca="false">'Data Jul 2026'!AC17</f>
        <v>11000</v>
      </c>
      <c r="AR8" s="17" t="n">
        <f aca="false">'Data Jul 2026'!AD17</f>
        <v>11000</v>
      </c>
      <c r="AS8" s="17" t="n">
        <f aca="false">'Data Jul 2026'!AE17</f>
        <v>11000</v>
      </c>
      <c r="AT8" s="17" t="n">
        <f aca="false">'Data Agu 2026'!Y17</f>
        <v>11000</v>
      </c>
      <c r="AU8" s="17" t="n">
        <f aca="false">'Data Agu 2026'!Z17</f>
        <v>11000</v>
      </c>
      <c r="AV8" s="17" t="n">
        <f aca="false">'Data Agu 2026'!AA17</f>
        <v>11000</v>
      </c>
      <c r="AW8" s="17" t="n">
        <f aca="false">'Data Agu 2026'!AB17</f>
        <v>11000</v>
      </c>
      <c r="AX8" s="17" t="str">
        <f aca="false">'Data Agu 2026'!AC17</f>
        <v/>
      </c>
      <c r="AY8" s="17" t="n">
        <f aca="false">'Data Agu 2026'!AD17</f>
        <v>11000</v>
      </c>
      <c r="AZ8" s="17" t="n">
        <f aca="false">'Data Sep 2026'!AA17</f>
        <v>11000</v>
      </c>
      <c r="BA8" s="17" t="str">
        <f aca="false">'Data Sep 2026'!AB17</f>
        <v/>
      </c>
      <c r="BB8" s="17" t="str">
        <f aca="false">'Data Sep 2026'!AC17</f>
        <v/>
      </c>
      <c r="BC8" s="17" t="str">
        <f aca="false">'Data Sep 2026'!AD17</f>
        <v/>
      </c>
      <c r="BD8" s="17" t="str">
        <f aca="false">'Data Sep 2026'!AE17</f>
        <v/>
      </c>
    </row>
    <row r="9" customFormat="false" ht="13.5" hidden="false" customHeight="true" outlineLevel="0" collapsed="false">
      <c r="A9" s="6" t="s">
        <v>192</v>
      </c>
      <c r="B9" s="6" t="s">
        <v>338</v>
      </c>
      <c r="C9" s="33"/>
      <c r="D9" s="17" t="n">
        <f aca="false">'Data Des 2025'!AF34</f>
        <v>6000</v>
      </c>
      <c r="E9" s="17" t="n">
        <f aca="false">'Data Jan 2026'!AE34</f>
        <v>6000</v>
      </c>
      <c r="F9" s="17" t="n">
        <f aca="false">'Data Feb 2026'!AB34</f>
        <v>6000</v>
      </c>
      <c r="G9" s="17" t="n">
        <f aca="false">'Data Mar 2026'!AE34</f>
        <v>6000</v>
      </c>
      <c r="H9" s="17" t="n">
        <f aca="false">'Data Apr 2026'!AE34</f>
        <v>6000</v>
      </c>
      <c r="I9" s="17" t="n">
        <f aca="false">'Data Mei 2026'!AD34</f>
        <v>6000</v>
      </c>
      <c r="J9" s="17" t="n">
        <f aca="false">'Data Jun 2026'!AE34</f>
        <v>6000</v>
      </c>
      <c r="K9" s="17" t="n">
        <f aca="false">'Data Jul 2026'!AF34</f>
        <v>6000</v>
      </c>
      <c r="L9" s="17" t="n">
        <f aca="false">'Data Jan 2026'!Z34</f>
        <v>6000</v>
      </c>
      <c r="M9" s="17" t="n">
        <f aca="false">'Data Jan 2026'!AA34</f>
        <v>6000</v>
      </c>
      <c r="N9" s="17" t="n">
        <f aca="false">'Data Jan 2026'!AB34</f>
        <v>6000</v>
      </c>
      <c r="O9" s="17" t="n">
        <f aca="false">'Data Jan 2026'!AC34</f>
        <v>6000</v>
      </c>
      <c r="P9" s="17" t="n">
        <f aca="false">'Data Jan 2026'!AD34</f>
        <v>6000</v>
      </c>
      <c r="Q9" s="17" t="n">
        <f aca="false">'Data Feb 2026'!X34</f>
        <v>6000</v>
      </c>
      <c r="R9" s="17" t="n">
        <f aca="false">'Data Feb 2026'!Y34</f>
        <v>6000</v>
      </c>
      <c r="S9" s="17" t="n">
        <f aca="false">'Data Feb 2026'!Z34</f>
        <v>6000</v>
      </c>
      <c r="T9" s="17" t="n">
        <f aca="false">'Data Feb 2026'!AA34</f>
        <v>6000</v>
      </c>
      <c r="U9" s="17" t="n">
        <f aca="false">'Data Mar 2026'!Z34</f>
        <v>6000</v>
      </c>
      <c r="V9" s="17" t="n">
        <f aca="false">'Data Mar 2026'!AA34</f>
        <v>6000</v>
      </c>
      <c r="W9" s="17" t="n">
        <f aca="false">'Data Mar 2026'!AB34</f>
        <v>6000</v>
      </c>
      <c r="X9" s="17" t="n">
        <f aca="false">'Data Mar 2026'!AC34</f>
        <v>6000</v>
      </c>
      <c r="Y9" s="17" t="n">
        <f aca="false">'Data Mar 2026'!AD34</f>
        <v>6000</v>
      </c>
      <c r="Z9" s="17" t="n">
        <f aca="false">'Data Apr 2026'!Z34</f>
        <v>6000</v>
      </c>
      <c r="AA9" s="17" t="n">
        <f aca="false">'Data Apr 2026'!AA34</f>
        <v>6000</v>
      </c>
      <c r="AB9" s="17" t="n">
        <f aca="false">'Data Apr 2026'!AB34</f>
        <v>6000</v>
      </c>
      <c r="AC9" s="17" t="n">
        <f aca="false">'Data Apr 2026'!AC34</f>
        <v>6000</v>
      </c>
      <c r="AD9" s="17" t="n">
        <f aca="false">'Data Apr 2026'!AD34</f>
        <v>6000</v>
      </c>
      <c r="AE9" s="17" t="str">
        <f aca="false">'Data Mei 2026'!Y34</f>
        <v/>
      </c>
      <c r="AF9" s="17" t="n">
        <f aca="false">'Data Mei 2026'!Z34</f>
        <v>6000</v>
      </c>
      <c r="AG9" s="17" t="n">
        <f aca="false">'Data Mei 2026'!AA34</f>
        <v>6000</v>
      </c>
      <c r="AH9" s="17" t="n">
        <f aca="false">'Data Mei 2026'!AB34</f>
        <v>6000</v>
      </c>
      <c r="AI9" s="17" t="n">
        <f aca="false">'Data Mei 2026'!AC34</f>
        <v>6000</v>
      </c>
      <c r="AJ9" s="17" t="n">
        <f aca="false">'Data Jun 2026'!Z34</f>
        <v>6000</v>
      </c>
      <c r="AK9" s="17" t="n">
        <f aca="false">'Data Jun 2026'!AA34</f>
        <v>6000</v>
      </c>
      <c r="AL9" s="17" t="n">
        <f aca="false">'Data Jun 2026'!AB34</f>
        <v>6000</v>
      </c>
      <c r="AM9" s="17" t="n">
        <f aca="false">'Data Jun 2026'!AC34</f>
        <v>6000</v>
      </c>
      <c r="AN9" s="17" t="n">
        <f aca="false">'Data Jun 2026'!AD34</f>
        <v>6000</v>
      </c>
      <c r="AO9" s="17" t="n">
        <f aca="false">'Data Jul 2026'!AA34</f>
        <v>6000</v>
      </c>
      <c r="AP9" s="17" t="n">
        <f aca="false">'Data Jul 2026'!AB34</f>
        <v>6000</v>
      </c>
      <c r="AQ9" s="17" t="n">
        <f aca="false">'Data Jul 2026'!AC34</f>
        <v>6000</v>
      </c>
      <c r="AR9" s="17" t="n">
        <f aca="false">'Data Jul 2026'!AD34</f>
        <v>6000</v>
      </c>
      <c r="AS9" s="17" t="n">
        <f aca="false">'Data Jul 2026'!AE34</f>
        <v>6000</v>
      </c>
      <c r="AT9" s="17" t="n">
        <f aca="false">'Data Agu 2026'!Y34</f>
        <v>6000</v>
      </c>
      <c r="AU9" s="17" t="n">
        <f aca="false">'Data Agu 2026'!Z34</f>
        <v>6000</v>
      </c>
      <c r="AV9" s="17" t="n">
        <f aca="false">'Data Agu 2026'!AA34</f>
        <v>6000</v>
      </c>
      <c r="AW9" s="17" t="n">
        <f aca="false">'Data Agu 2026'!AB34</f>
        <v>6000</v>
      </c>
      <c r="AX9" s="17" t="str">
        <f aca="false">'Data Agu 2026'!AC34</f>
        <v/>
      </c>
      <c r="AY9" s="17" t="n">
        <f aca="false">'Data Agu 2026'!AD34</f>
        <v>6000</v>
      </c>
      <c r="AZ9" s="17" t="n">
        <f aca="false">'Data Sep 2026'!AA34</f>
        <v>6000</v>
      </c>
      <c r="BA9" s="17" t="str">
        <f aca="false">'Data Sep 2026'!AB34</f>
        <v/>
      </c>
      <c r="BB9" s="17" t="str">
        <f aca="false">'Data Sep 2026'!AC34</f>
        <v/>
      </c>
      <c r="BC9" s="17" t="str">
        <f aca="false">'Data Sep 2026'!AD34</f>
        <v/>
      </c>
      <c r="BD9" s="17" t="str">
        <f aca="false">'Data Sep 2026'!AE34</f>
        <v/>
      </c>
    </row>
    <row r="10" customFormat="false" ht="13.5" hidden="false" customHeight="true" outlineLevel="0" collapsed="false">
      <c r="A10" s="6" t="s">
        <v>193</v>
      </c>
      <c r="B10" s="6" t="s">
        <v>339</v>
      </c>
      <c r="C10" s="33"/>
      <c r="D10" s="17" t="n">
        <f aca="false">'Data Des 2025'!AF18</f>
        <v>25452.380952381</v>
      </c>
      <c r="E10" s="17" t="n">
        <f aca="false">'Data Jan 2026'!AE18</f>
        <v>26000</v>
      </c>
      <c r="F10" s="17" t="n">
        <f aca="false">'Data Feb 2026'!AB18</f>
        <v>30611.1111111111</v>
      </c>
      <c r="G10" s="17" t="n">
        <f aca="false">'Data Mar 2026'!AE18</f>
        <v>38250</v>
      </c>
      <c r="H10" s="17" t="n">
        <f aca="false">'Data Apr 2026'!AE18</f>
        <v>32857.1428571429</v>
      </c>
      <c r="I10" s="17" t="n">
        <f aca="false">'Data Mei 2026'!AD18</f>
        <v>32937.5</v>
      </c>
      <c r="J10" s="17" t="n">
        <f aca="false">'Data Jun 2026'!AE18</f>
        <v>30100</v>
      </c>
      <c r="K10" s="17" t="n">
        <f aca="false">'Data Jul 2026'!AF18</f>
        <v>30782.6086956522</v>
      </c>
      <c r="L10" s="17" t="n">
        <f aca="false">'Data Jan 2026'!Z18</f>
        <v>26000</v>
      </c>
      <c r="M10" s="17" t="n">
        <f aca="false">'Data Jan 2026'!AA18</f>
        <v>26000</v>
      </c>
      <c r="N10" s="17" t="n">
        <f aca="false">'Data Jan 2026'!AB18</f>
        <v>26000</v>
      </c>
      <c r="O10" s="17" t="n">
        <f aca="false">'Data Jan 2026'!AC18</f>
        <v>26000</v>
      </c>
      <c r="P10" s="17" t="n">
        <f aca="false">'Data Jan 2026'!AD18</f>
        <v>26000</v>
      </c>
      <c r="Q10" s="17" t="n">
        <f aca="false">'Data Feb 2026'!X18</f>
        <v>28200</v>
      </c>
      <c r="R10" s="17" t="n">
        <f aca="false">'Data Feb 2026'!Y18</f>
        <v>26400</v>
      </c>
      <c r="S10" s="17" t="n">
        <f aca="false">'Data Feb 2026'!Z18</f>
        <v>35000</v>
      </c>
      <c r="T10" s="17" t="n">
        <f aca="false">'Data Feb 2026'!AA18</f>
        <v>34600</v>
      </c>
      <c r="U10" s="17" t="n">
        <f aca="false">'Data Mar 2026'!Z18</f>
        <v>37000</v>
      </c>
      <c r="V10" s="17" t="n">
        <f aca="false">'Data Mar 2026'!AA18</f>
        <v>37600</v>
      </c>
      <c r="W10" s="17" t="n">
        <f aca="false">'Data Mar 2026'!AB18</f>
        <v>40000</v>
      </c>
      <c r="X10" s="17" t="n">
        <f aca="false">'Data Mar 2026'!AC18</f>
        <v>40000</v>
      </c>
      <c r="Y10" s="17" t="n">
        <f aca="false">'Data Mar 2026'!AD18</f>
        <v>36000</v>
      </c>
      <c r="Z10" s="17" t="n">
        <f aca="false">'Data Apr 2026'!Z18</f>
        <v>35000</v>
      </c>
      <c r="AA10" s="17" t="n">
        <f aca="false">'Data Apr 2026'!AA18</f>
        <v>32400</v>
      </c>
      <c r="AB10" s="17" t="n">
        <f aca="false">'Data Apr 2026'!AB18</f>
        <v>33000</v>
      </c>
      <c r="AC10" s="17" t="n">
        <f aca="false">'Data Apr 2026'!AC18</f>
        <v>32600</v>
      </c>
      <c r="AD10" s="17" t="n">
        <f aca="false">'Data Apr 2026'!AD18</f>
        <v>32500</v>
      </c>
      <c r="AE10" s="17" t="str">
        <f aca="false">'Data Mei 2026'!Y18</f>
        <v/>
      </c>
      <c r="AF10" s="17" t="n">
        <f aca="false">'Data Mei 2026'!Z18</f>
        <v>34000</v>
      </c>
      <c r="AG10" s="17" t="n">
        <f aca="false">'Data Mei 2026'!AA18</f>
        <v>33666.6666666667</v>
      </c>
      <c r="AH10" s="17" t="n">
        <f aca="false">'Data Mei 2026'!AB18</f>
        <v>32000</v>
      </c>
      <c r="AI10" s="17" t="n">
        <f aca="false">'Data Mei 2026'!AC18</f>
        <v>32000</v>
      </c>
      <c r="AJ10" s="17" t="n">
        <f aca="false">'Data Jun 2026'!Z18</f>
        <v>31750</v>
      </c>
      <c r="AK10" s="17" t="n">
        <f aca="false">'Data Jun 2026'!AA18</f>
        <v>29200</v>
      </c>
      <c r="AL10" s="17" t="n">
        <f aca="false">'Data Jun 2026'!AB18</f>
        <v>29750</v>
      </c>
      <c r="AM10" s="17" t="n">
        <f aca="false">'Data Jun 2026'!AC18</f>
        <v>30000</v>
      </c>
      <c r="AN10" s="17" t="n">
        <f aca="false">'Data Jun 2026'!AD18</f>
        <v>30000</v>
      </c>
      <c r="AO10" s="17" t="n">
        <f aca="false">'Data Jul 2026'!AA18</f>
        <v>30000</v>
      </c>
      <c r="AP10" s="17" t="n">
        <f aca="false">'Data Jul 2026'!AB18</f>
        <v>30000</v>
      </c>
      <c r="AQ10" s="17" t="n">
        <f aca="false">'Data Jul 2026'!AC18</f>
        <v>30000</v>
      </c>
      <c r="AR10" s="17" t="n">
        <f aca="false">'Data Jul 2026'!AD18</f>
        <v>30400</v>
      </c>
      <c r="AS10" s="17" t="n">
        <f aca="false">'Data Jul 2026'!AE18</f>
        <v>33200</v>
      </c>
      <c r="AT10" s="17" t="n">
        <f aca="false">'Data Agu 2026'!Y18</f>
        <v>34000</v>
      </c>
      <c r="AU10" s="17" t="n">
        <f aca="false">'Data Agu 2026'!Z18</f>
        <v>34000</v>
      </c>
      <c r="AV10" s="17" t="n">
        <f aca="false">'Data Agu 2026'!AA18</f>
        <v>35500</v>
      </c>
      <c r="AW10" s="17" t="n">
        <f aca="false">'Data Agu 2026'!AB18</f>
        <v>36000</v>
      </c>
      <c r="AX10" s="17" t="str">
        <f aca="false">'Data Agu 2026'!AC18</f>
        <v/>
      </c>
      <c r="AY10" s="17" t="n">
        <f aca="false">'Data Agu 2026'!AD18</f>
        <v>34777.7777777778</v>
      </c>
      <c r="AZ10" s="17" t="n">
        <f aca="false">'Data Sep 2026'!AA18</f>
        <v>36000</v>
      </c>
      <c r="BA10" s="17" t="str">
        <f aca="false">'Data Sep 2026'!AB18</f>
        <v/>
      </c>
      <c r="BB10" s="17" t="str">
        <f aca="false">'Data Sep 2026'!AC18</f>
        <v/>
      </c>
      <c r="BC10" s="17" t="str">
        <f aca="false">'Data Sep 2026'!AD18</f>
        <v/>
      </c>
      <c r="BD10" s="17" t="str">
        <f aca="false">'Data Sep 2026'!AE18</f>
        <v/>
      </c>
    </row>
    <row r="11" customFormat="false" ht="13.5" hidden="false" customHeight="true" outlineLevel="0" collapsed="false">
      <c r="A11" s="6" t="s">
        <v>194</v>
      </c>
      <c r="B11" s="6" t="s">
        <v>340</v>
      </c>
      <c r="C11" s="33"/>
      <c r="D11" s="17" t="n">
        <f aca="false">'Data Des 2025'!AF14</f>
        <v>15000</v>
      </c>
      <c r="E11" s="17" t="n">
        <f aca="false">'Data Jan 2026'!AE14</f>
        <v>15000</v>
      </c>
      <c r="F11" s="17" t="n">
        <f aca="false">'Data Feb 2026'!AB14</f>
        <v>15833.3333333333</v>
      </c>
      <c r="G11" s="17" t="n">
        <f aca="false">'Data Mar 2026'!AE14</f>
        <v>18385</v>
      </c>
      <c r="H11" s="17" t="n">
        <f aca="false">'Data Apr 2026'!AE14</f>
        <v>19328.5714285714</v>
      </c>
      <c r="I11" s="17" t="n">
        <f aca="false">'Data Mei 2026'!AD14</f>
        <v>18675</v>
      </c>
      <c r="J11" s="17" t="n">
        <f aca="false">'Data Jun 2026'!AE14</f>
        <v>18450</v>
      </c>
      <c r="K11" s="17" t="n">
        <f aca="false">'Data Jul 2026'!AF14</f>
        <v>18450</v>
      </c>
      <c r="L11" s="17" t="n">
        <f aca="false">'Data Jan 2026'!Z14</f>
        <v>15000</v>
      </c>
      <c r="M11" s="17" t="n">
        <f aca="false">'Data Jan 2026'!AA14</f>
        <v>15000</v>
      </c>
      <c r="N11" s="17" t="n">
        <f aca="false">'Data Jan 2026'!AB14</f>
        <v>15000</v>
      </c>
      <c r="O11" s="17" t="n">
        <f aca="false">'Data Jan 2026'!AC14</f>
        <v>15000</v>
      </c>
      <c r="P11" s="17" t="n">
        <f aca="false">'Data Jan 2026'!AD14</f>
        <v>15000</v>
      </c>
      <c r="Q11" s="17" t="n">
        <f aca="false">'Data Feb 2026'!X14</f>
        <v>15500</v>
      </c>
      <c r="R11" s="17" t="n">
        <f aca="false">'Data Feb 2026'!Y14</f>
        <v>15000</v>
      </c>
      <c r="S11" s="17" t="n">
        <f aca="false">'Data Feb 2026'!Z14</f>
        <v>16666.6666666667</v>
      </c>
      <c r="T11" s="17" t="n">
        <f aca="false">'Data Feb 2026'!AA14</f>
        <v>16500</v>
      </c>
      <c r="U11" s="17" t="n">
        <f aca="false">'Data Mar 2026'!Z14</f>
        <v>17500</v>
      </c>
      <c r="V11" s="17" t="n">
        <f aca="false">'Data Mar 2026'!AA14</f>
        <v>17600</v>
      </c>
      <c r="W11" s="17" t="n">
        <f aca="false">'Data Mar 2026'!AB14</f>
        <v>19090</v>
      </c>
      <c r="X11" s="17" t="n">
        <f aca="false">'Data Mar 2026'!AC14</f>
        <v>19350</v>
      </c>
      <c r="Y11" s="17" t="n">
        <f aca="false">'Data Mar 2026'!AD14</f>
        <v>19350</v>
      </c>
      <c r="Z11" s="17" t="n">
        <f aca="false">'Data Apr 2026'!Z14</f>
        <v>19350</v>
      </c>
      <c r="AA11" s="17" t="n">
        <f aca="false">'Data Apr 2026'!AA14</f>
        <v>19350</v>
      </c>
      <c r="AB11" s="17" t="n">
        <f aca="false">'Data Apr 2026'!AB14</f>
        <v>19350</v>
      </c>
      <c r="AC11" s="17" t="n">
        <f aca="false">'Data Apr 2026'!AC14</f>
        <v>19350</v>
      </c>
      <c r="AD11" s="17" t="n">
        <f aca="false">'Data Apr 2026'!AD14</f>
        <v>19237.5</v>
      </c>
      <c r="AE11" s="17" t="str">
        <f aca="false">'Data Mei 2026'!Y14</f>
        <v/>
      </c>
      <c r="AF11" s="17" t="n">
        <f aca="false">'Data Mei 2026'!Z14</f>
        <v>18900</v>
      </c>
      <c r="AG11" s="17" t="n">
        <f aca="false">'Data Mei 2026'!AA14</f>
        <v>18900</v>
      </c>
      <c r="AH11" s="17" t="n">
        <f aca="false">'Data Mei 2026'!AB14</f>
        <v>18450</v>
      </c>
      <c r="AI11" s="17" t="n">
        <f aca="false">'Data Mei 2026'!AC14</f>
        <v>18450</v>
      </c>
      <c r="AJ11" s="17" t="n">
        <f aca="false">'Data Jun 2026'!Z14</f>
        <v>18450</v>
      </c>
      <c r="AK11" s="17" t="n">
        <f aca="false">'Data Jun 2026'!AA14</f>
        <v>18450</v>
      </c>
      <c r="AL11" s="17" t="n">
        <f aca="false">'Data Jun 2026'!AB14</f>
        <v>18450</v>
      </c>
      <c r="AM11" s="17" t="n">
        <f aca="false">'Data Jun 2026'!AC14</f>
        <v>18450</v>
      </c>
      <c r="AN11" s="17" t="n">
        <f aca="false">'Data Jun 2026'!AD14</f>
        <v>18450</v>
      </c>
      <c r="AO11" s="17" t="n">
        <f aca="false">'Data Jul 2026'!AA14</f>
        <v>18450</v>
      </c>
      <c r="AP11" s="17" t="n">
        <f aca="false">'Data Jul 2026'!AB14</f>
        <v>18450</v>
      </c>
      <c r="AQ11" s="17" t="n">
        <f aca="false">'Data Jul 2026'!AC14</f>
        <v>18450</v>
      </c>
      <c r="AR11" s="17" t="n">
        <f aca="false">'Data Jul 2026'!AD14</f>
        <v>18450</v>
      </c>
      <c r="AS11" s="17" t="n">
        <f aca="false">'Data Jul 2026'!AE14</f>
        <v>18450</v>
      </c>
      <c r="AT11" s="17" t="n">
        <f aca="false">'Data Agu 2026'!Y14</f>
        <v>18450</v>
      </c>
      <c r="AU11" s="17" t="n">
        <f aca="false">'Data Agu 2026'!Z14</f>
        <v>18450</v>
      </c>
      <c r="AV11" s="17" t="n">
        <f aca="false">'Data Agu 2026'!AA14</f>
        <v>18450</v>
      </c>
      <c r="AW11" s="17" t="n">
        <f aca="false">'Data Agu 2026'!AB14</f>
        <v>18450</v>
      </c>
      <c r="AX11" s="17" t="str">
        <f aca="false">'Data Agu 2026'!AC14</f>
        <v/>
      </c>
      <c r="AY11" s="17" t="n">
        <f aca="false">'Data Agu 2026'!AD14</f>
        <v>18450</v>
      </c>
      <c r="AZ11" s="17" t="n">
        <f aca="false">'Data Sep 2026'!AA14</f>
        <v>18450</v>
      </c>
      <c r="BA11" s="17" t="str">
        <f aca="false">'Data Sep 2026'!AB14</f>
        <v/>
      </c>
      <c r="BB11" s="17" t="str">
        <f aca="false">'Data Sep 2026'!AC14</f>
        <v/>
      </c>
      <c r="BC11" s="17" t="str">
        <f aca="false">'Data Sep 2026'!AD14</f>
        <v/>
      </c>
      <c r="BD11" s="17" t="str">
        <f aca="false">'Data Sep 2026'!AE14</f>
        <v/>
      </c>
    </row>
    <row r="12" customFormat="false" ht="13.5" hidden="false" customHeight="true" outlineLevel="0" collapsed="false">
      <c r="A12" s="6" t="s">
        <v>194</v>
      </c>
      <c r="B12" s="6" t="s">
        <v>341</v>
      </c>
      <c r="C12" s="33"/>
      <c r="D12" s="17" t="n">
        <f aca="false">'Data Des 2025'!AF15</f>
        <v>18000</v>
      </c>
      <c r="E12" s="17" t="n">
        <f aca="false">'Data Jan 2026'!AE15</f>
        <v>18000</v>
      </c>
      <c r="F12" s="17" t="n">
        <f aca="false">'Data Feb 2026'!AB15</f>
        <v>18666.6666666667</v>
      </c>
      <c r="G12" s="17" t="n">
        <f aca="false">'Data Mar 2026'!AE15</f>
        <v>21000</v>
      </c>
      <c r="H12" s="17" t="n">
        <f aca="false">'Data Apr 2026'!AE15</f>
        <v>22000</v>
      </c>
      <c r="I12" s="17" t="n">
        <f aca="false">'Data Mei 2026'!AD15</f>
        <v>23000</v>
      </c>
      <c r="J12" s="17" t="n">
        <f aca="false">'Data Jun 2026'!AE15</f>
        <v>23000</v>
      </c>
      <c r="K12" s="17" t="n">
        <f aca="false">'Data Jul 2026'!AF15</f>
        <v>23000</v>
      </c>
      <c r="L12" s="17" t="n">
        <f aca="false">'Data Jan 2026'!Z15</f>
        <v>18000</v>
      </c>
      <c r="M12" s="17" t="n">
        <f aca="false">'Data Jan 2026'!AA15</f>
        <v>18000</v>
      </c>
      <c r="N12" s="17" t="n">
        <f aca="false">'Data Jan 2026'!AB15</f>
        <v>18000</v>
      </c>
      <c r="O12" s="17" t="n">
        <f aca="false">'Data Jan 2026'!AC15</f>
        <v>18000</v>
      </c>
      <c r="P12" s="17" t="n">
        <f aca="false">'Data Jan 2026'!AD15</f>
        <v>18000</v>
      </c>
      <c r="Q12" s="17" t="n">
        <f aca="false">'Data Feb 2026'!X15</f>
        <v>18400</v>
      </c>
      <c r="R12" s="17" t="n">
        <f aca="false">'Data Feb 2026'!Y15</f>
        <v>18000</v>
      </c>
      <c r="S12" s="17" t="n">
        <f aca="false">'Data Feb 2026'!Z15</f>
        <v>19333.3333333333</v>
      </c>
      <c r="T12" s="17" t="n">
        <f aca="false">'Data Feb 2026'!AA15</f>
        <v>19200</v>
      </c>
      <c r="U12" s="17" t="n">
        <f aca="false">'Data Mar 2026'!Z15</f>
        <v>20000</v>
      </c>
      <c r="V12" s="17" t="n">
        <f aca="false">'Data Mar 2026'!AA15</f>
        <v>20000</v>
      </c>
      <c r="W12" s="17" t="n">
        <f aca="false">'Data Mar 2026'!AB15</f>
        <v>22000</v>
      </c>
      <c r="X12" s="17" t="n">
        <f aca="false">'Data Mar 2026'!AC15</f>
        <v>22000</v>
      </c>
      <c r="Y12" s="17" t="n">
        <f aca="false">'Data Mar 2026'!AD15</f>
        <v>22000</v>
      </c>
      <c r="Z12" s="17" t="n">
        <f aca="false">'Data Apr 2026'!Z15</f>
        <v>22000</v>
      </c>
      <c r="AA12" s="17" t="n">
        <f aca="false">'Data Apr 2026'!AA15</f>
        <v>22000</v>
      </c>
      <c r="AB12" s="17" t="n">
        <f aca="false">'Data Apr 2026'!AB15</f>
        <v>22000</v>
      </c>
      <c r="AC12" s="17" t="n">
        <f aca="false">'Data Apr 2026'!AC15</f>
        <v>22000</v>
      </c>
      <c r="AD12" s="17" t="n">
        <f aca="false">'Data Apr 2026'!AD15</f>
        <v>22000</v>
      </c>
      <c r="AE12" s="17" t="str">
        <f aca="false">'Data Mei 2026'!Y15</f>
        <v/>
      </c>
      <c r="AF12" s="17" t="n">
        <f aca="false">'Data Mei 2026'!Z15</f>
        <v>23000</v>
      </c>
      <c r="AG12" s="17" t="n">
        <f aca="false">'Data Mei 2026'!AA15</f>
        <v>23000</v>
      </c>
      <c r="AH12" s="17" t="n">
        <f aca="false">'Data Mei 2026'!AB15</f>
        <v>23000</v>
      </c>
      <c r="AI12" s="17" t="n">
        <f aca="false">'Data Mei 2026'!AC15</f>
        <v>23000</v>
      </c>
      <c r="AJ12" s="17" t="n">
        <f aca="false">'Data Jun 2026'!Z15</f>
        <v>23000</v>
      </c>
      <c r="AK12" s="17" t="n">
        <f aca="false">'Data Jun 2026'!AA15</f>
        <v>23000</v>
      </c>
      <c r="AL12" s="17" t="n">
        <f aca="false">'Data Jun 2026'!AB15</f>
        <v>23000</v>
      </c>
      <c r="AM12" s="17" t="n">
        <f aca="false">'Data Jun 2026'!AC15</f>
        <v>23000</v>
      </c>
      <c r="AN12" s="17" t="n">
        <f aca="false">'Data Jun 2026'!AD15</f>
        <v>23000</v>
      </c>
      <c r="AO12" s="17" t="n">
        <f aca="false">'Data Jul 2026'!AA15</f>
        <v>23000</v>
      </c>
      <c r="AP12" s="17" t="n">
        <f aca="false">'Data Jul 2026'!AB15</f>
        <v>23000</v>
      </c>
      <c r="AQ12" s="17" t="n">
        <f aca="false">'Data Jul 2026'!AC15</f>
        <v>23000</v>
      </c>
      <c r="AR12" s="17" t="n">
        <f aca="false">'Data Jul 2026'!AD15</f>
        <v>23000</v>
      </c>
      <c r="AS12" s="17" t="n">
        <f aca="false">'Data Jul 2026'!AE15</f>
        <v>23000</v>
      </c>
      <c r="AT12" s="17" t="n">
        <f aca="false">'Data Agu 2026'!Y15</f>
        <v>23000</v>
      </c>
      <c r="AU12" s="17" t="n">
        <f aca="false">'Data Agu 2026'!Z15</f>
        <v>23000</v>
      </c>
      <c r="AV12" s="17" t="n">
        <f aca="false">'Data Agu 2026'!AA15</f>
        <v>23000</v>
      </c>
      <c r="AW12" s="17" t="n">
        <f aca="false">'Data Agu 2026'!AB15</f>
        <v>23000</v>
      </c>
      <c r="AX12" s="17" t="str">
        <f aca="false">'Data Agu 2026'!AC15</f>
        <v/>
      </c>
      <c r="AY12" s="17" t="n">
        <f aca="false">'Data Agu 2026'!AD15</f>
        <v>23000</v>
      </c>
      <c r="AZ12" s="17" t="n">
        <f aca="false">'Data Sep 2026'!AA15</f>
        <v>23000</v>
      </c>
      <c r="BA12" s="17" t="str">
        <f aca="false">'Data Sep 2026'!AB15</f>
        <v/>
      </c>
      <c r="BB12" s="17" t="str">
        <f aca="false">'Data Sep 2026'!AC15</f>
        <v/>
      </c>
      <c r="BC12" s="17" t="str">
        <f aca="false">'Data Sep 2026'!AD15</f>
        <v/>
      </c>
      <c r="BD12" s="17" t="str">
        <f aca="false">'Data Sep 2026'!AE15</f>
        <v/>
      </c>
    </row>
    <row r="13" customFormat="false" ht="13.5" hidden="false" customHeight="true" outlineLevel="0" collapsed="false">
      <c r="A13" s="6" t="s">
        <v>194</v>
      </c>
      <c r="B13" s="6" t="s">
        <v>342</v>
      </c>
      <c r="C13" s="33"/>
      <c r="D13" s="17" t="n">
        <f aca="false">'Data Des 2025'!AF16</f>
        <v>15700</v>
      </c>
      <c r="E13" s="17" t="n">
        <f aca="false">'Data Jan 2026'!AE16</f>
        <v>15700</v>
      </c>
      <c r="F13" s="17" t="n">
        <f aca="false">'Data Feb 2026'!AB16</f>
        <v>15700</v>
      </c>
      <c r="G13" s="17" t="n">
        <f aca="false">'Data Mar 2026'!AE16</f>
        <v>15700</v>
      </c>
      <c r="H13" s="17" t="n">
        <f aca="false">'Data Apr 2026'!AE16</f>
        <v>15700</v>
      </c>
      <c r="I13" s="17" t="n">
        <f aca="false">'Data Mei 2026'!AD16</f>
        <v>15600</v>
      </c>
      <c r="J13" s="17" t="n">
        <f aca="false">'Data Jun 2026'!AE16</f>
        <v>15500</v>
      </c>
      <c r="K13" s="17" t="n">
        <f aca="false">'Data Jul 2026'!AF16</f>
        <v>15500</v>
      </c>
      <c r="L13" s="17" t="n">
        <f aca="false">'Data Jan 2026'!Z16</f>
        <v>15700</v>
      </c>
      <c r="M13" s="17" t="n">
        <f aca="false">'Data Jan 2026'!AA16</f>
        <v>15700</v>
      </c>
      <c r="N13" s="17" t="n">
        <f aca="false">'Data Jan 2026'!AB16</f>
        <v>15700</v>
      </c>
      <c r="O13" s="17" t="n">
        <f aca="false">'Data Jan 2026'!AC16</f>
        <v>15700</v>
      </c>
      <c r="P13" s="17" t="n">
        <f aca="false">'Data Jan 2026'!AD16</f>
        <v>15700</v>
      </c>
      <c r="Q13" s="17" t="n">
        <f aca="false">'Data Feb 2026'!X16</f>
        <v>15700</v>
      </c>
      <c r="R13" s="17" t="n">
        <f aca="false">'Data Feb 2026'!Y16</f>
        <v>15700</v>
      </c>
      <c r="S13" s="17" t="n">
        <f aca="false">'Data Feb 2026'!Z16</f>
        <v>15700</v>
      </c>
      <c r="T13" s="17" t="n">
        <f aca="false">'Data Feb 2026'!AA16</f>
        <v>15700</v>
      </c>
      <c r="U13" s="17" t="n">
        <f aca="false">'Data Mar 2026'!Z16</f>
        <v>15700</v>
      </c>
      <c r="V13" s="17" t="n">
        <f aca="false">'Data Mar 2026'!AA16</f>
        <v>15700</v>
      </c>
      <c r="W13" s="17" t="n">
        <f aca="false">'Data Mar 2026'!AB16</f>
        <v>15700</v>
      </c>
      <c r="X13" s="17" t="n">
        <f aca="false">'Data Mar 2026'!AC16</f>
        <v>15700</v>
      </c>
      <c r="Y13" s="17" t="n">
        <f aca="false">'Data Mar 2026'!AD16</f>
        <v>15700</v>
      </c>
      <c r="Z13" s="17" t="n">
        <f aca="false">'Data Apr 2026'!Z16</f>
        <v>15700</v>
      </c>
      <c r="AA13" s="17" t="n">
        <f aca="false">'Data Apr 2026'!AA16</f>
        <v>15700</v>
      </c>
      <c r="AB13" s="17" t="n">
        <f aca="false">'Data Apr 2026'!AB16</f>
        <v>15700</v>
      </c>
      <c r="AC13" s="17" t="n">
        <f aca="false">'Data Apr 2026'!AC16</f>
        <v>15700</v>
      </c>
      <c r="AD13" s="17" t="n">
        <f aca="false">'Data Apr 2026'!AD16</f>
        <v>15700</v>
      </c>
      <c r="AE13" s="17" t="str">
        <f aca="false">'Data Mei 2026'!Y16</f>
        <v/>
      </c>
      <c r="AF13" s="17" t="n">
        <f aca="false">'Data Mei 2026'!Z16</f>
        <v>15700</v>
      </c>
      <c r="AG13" s="17" t="n">
        <f aca="false">'Data Mei 2026'!AA16</f>
        <v>15700</v>
      </c>
      <c r="AH13" s="17" t="n">
        <f aca="false">'Data Mei 2026'!AB16</f>
        <v>15500</v>
      </c>
      <c r="AI13" s="17" t="n">
        <f aca="false">'Data Mei 2026'!AC16</f>
        <v>15500</v>
      </c>
      <c r="AJ13" s="17" t="n">
        <f aca="false">'Data Jun 2026'!Z16</f>
        <v>15500</v>
      </c>
      <c r="AK13" s="17" t="n">
        <f aca="false">'Data Jun 2026'!AA16</f>
        <v>15500</v>
      </c>
      <c r="AL13" s="17" t="n">
        <f aca="false">'Data Jun 2026'!AB16</f>
        <v>15500</v>
      </c>
      <c r="AM13" s="17" t="n">
        <f aca="false">'Data Jun 2026'!AC16</f>
        <v>15500</v>
      </c>
      <c r="AN13" s="17" t="n">
        <f aca="false">'Data Jun 2026'!AD16</f>
        <v>15500</v>
      </c>
      <c r="AO13" s="17" t="n">
        <f aca="false">'Data Jul 2026'!AA16</f>
        <v>15500</v>
      </c>
      <c r="AP13" s="17" t="n">
        <f aca="false">'Data Jul 2026'!AB16</f>
        <v>15500</v>
      </c>
      <c r="AQ13" s="17" t="n">
        <f aca="false">'Data Jul 2026'!AC16</f>
        <v>15500</v>
      </c>
      <c r="AR13" s="17" t="n">
        <f aca="false">'Data Jul 2026'!AD16</f>
        <v>15500</v>
      </c>
      <c r="AS13" s="17" t="n">
        <f aca="false">'Data Jul 2026'!AE16</f>
        <v>15500</v>
      </c>
      <c r="AT13" s="17" t="n">
        <f aca="false">'Data Agu 2026'!Y16</f>
        <v>15500</v>
      </c>
      <c r="AU13" s="17" t="n">
        <f aca="false">'Data Agu 2026'!Z16</f>
        <v>15500</v>
      </c>
      <c r="AV13" s="17" t="n">
        <f aca="false">'Data Agu 2026'!AA16</f>
        <v>15500</v>
      </c>
      <c r="AW13" s="17" t="n">
        <f aca="false">'Data Agu 2026'!AB16</f>
        <v>15500</v>
      </c>
      <c r="AX13" s="17" t="str">
        <f aca="false">'Data Agu 2026'!AC16</f>
        <v/>
      </c>
      <c r="AY13" s="17" t="n">
        <f aca="false">'Data Agu 2026'!AD16</f>
        <v>15500</v>
      </c>
      <c r="AZ13" s="17" t="n">
        <f aca="false">'Data Sep 2026'!AA16</f>
        <v>15500</v>
      </c>
      <c r="BA13" s="17" t="str">
        <f aca="false">'Data Sep 2026'!AB16</f>
        <v/>
      </c>
      <c r="BB13" s="17" t="str">
        <f aca="false">'Data Sep 2026'!AC16</f>
        <v/>
      </c>
      <c r="BC13" s="17" t="str">
        <f aca="false">'Data Sep 2026'!AD16</f>
        <v/>
      </c>
      <c r="BD13" s="17" t="str">
        <f aca="false">'Data Sep 2026'!AE16</f>
        <v/>
      </c>
    </row>
    <row r="14" customFormat="false" ht="13.5" hidden="false" customHeight="true" outlineLevel="0" collapsed="false">
      <c r="A14" s="6" t="s">
        <v>195</v>
      </c>
      <c r="B14" s="6" t="s">
        <v>343</v>
      </c>
      <c r="C14" s="34" t="s">
        <v>344</v>
      </c>
      <c r="D14" s="17" t="n">
        <f aca="false">'Data Des 2025'!AF35</f>
        <v>60000</v>
      </c>
      <c r="E14" s="17" t="n">
        <f aca="false">'Data Jan 2026'!AE35</f>
        <v>64000</v>
      </c>
      <c r="F14" s="17" t="n">
        <f aca="false">'Data Feb 2026'!AB35</f>
        <v>70000</v>
      </c>
      <c r="G14" s="17" t="n">
        <f aca="false">'Data Mar 2026'!AE35</f>
        <v>70000</v>
      </c>
      <c r="H14" s="17" t="n">
        <f aca="false">'Data Apr 2026'!AE35</f>
        <v>70000</v>
      </c>
      <c r="I14" s="17" t="n">
        <f aca="false">'Data Mei 2026'!AD35</f>
        <v>70000</v>
      </c>
      <c r="J14" s="17" t="n">
        <f aca="false">'Data Jun 2026'!AE35</f>
        <v>70000</v>
      </c>
      <c r="K14" s="17" t="n">
        <f aca="false">'Data Jul 2026'!AF35</f>
        <v>70000</v>
      </c>
      <c r="L14" s="17" t="n">
        <f aca="false">'Data Jan 2026'!Z35</f>
        <v>60000</v>
      </c>
      <c r="M14" s="17" t="n">
        <f aca="false">'Data Jan 2026'!AA35</f>
        <v>60000</v>
      </c>
      <c r="N14" s="17" t="n">
        <f aca="false">'Data Jan 2026'!AB35</f>
        <v>60000</v>
      </c>
      <c r="O14" s="17" t="n">
        <f aca="false">'Data Jan 2026'!AC35</f>
        <v>66000</v>
      </c>
      <c r="P14" s="17" t="n">
        <f aca="false">'Data Jan 2026'!AD35</f>
        <v>70000</v>
      </c>
      <c r="Q14" s="17" t="n">
        <f aca="false">'Data Feb 2026'!X35</f>
        <v>70000</v>
      </c>
      <c r="R14" s="17" t="n">
        <f aca="false">'Data Feb 2026'!Y35</f>
        <v>70000</v>
      </c>
      <c r="S14" s="17" t="n">
        <f aca="false">'Data Feb 2026'!Z35</f>
        <v>70000</v>
      </c>
      <c r="T14" s="17" t="n">
        <f aca="false">'Data Feb 2026'!AA35</f>
        <v>70000</v>
      </c>
      <c r="U14" s="17" t="n">
        <f aca="false">'Data Mar 2026'!Z35</f>
        <v>70000</v>
      </c>
      <c r="V14" s="17" t="n">
        <f aca="false">'Data Mar 2026'!AA35</f>
        <v>70000</v>
      </c>
      <c r="W14" s="17" t="n">
        <f aca="false">'Data Mar 2026'!AB35</f>
        <v>70000</v>
      </c>
      <c r="X14" s="17" t="n">
        <f aca="false">'Data Mar 2026'!AC35</f>
        <v>70000</v>
      </c>
      <c r="Y14" s="17" t="n">
        <f aca="false">'Data Mar 2026'!AD35</f>
        <v>70000</v>
      </c>
      <c r="Z14" s="17" t="n">
        <f aca="false">'Data Apr 2026'!Z35</f>
        <v>70000</v>
      </c>
      <c r="AA14" s="17" t="n">
        <f aca="false">'Data Apr 2026'!AA35</f>
        <v>70000</v>
      </c>
      <c r="AB14" s="17" t="n">
        <f aca="false">'Data Apr 2026'!AB35</f>
        <v>70000</v>
      </c>
      <c r="AC14" s="17" t="n">
        <f aca="false">'Data Apr 2026'!AC35</f>
        <v>70000</v>
      </c>
      <c r="AD14" s="17" t="n">
        <f aca="false">'Data Apr 2026'!AD35</f>
        <v>70000</v>
      </c>
      <c r="AE14" s="17" t="str">
        <f aca="false">'Data Mei 2026'!Y35</f>
        <v/>
      </c>
      <c r="AF14" s="17" t="n">
        <f aca="false">'Data Mei 2026'!Z35</f>
        <v>70000</v>
      </c>
      <c r="AG14" s="17" t="n">
        <f aca="false">'Data Mei 2026'!AA35</f>
        <v>70000</v>
      </c>
      <c r="AH14" s="17" t="n">
        <f aca="false">'Data Mei 2026'!AB35</f>
        <v>70000</v>
      </c>
      <c r="AI14" s="17" t="n">
        <f aca="false">'Data Mei 2026'!AC35</f>
        <v>70000</v>
      </c>
      <c r="AJ14" s="17" t="n">
        <f aca="false">'Data Jun 2026'!Z35</f>
        <v>70000</v>
      </c>
      <c r="AK14" s="17" t="n">
        <f aca="false">'Data Jun 2026'!AA35</f>
        <v>70000</v>
      </c>
      <c r="AL14" s="17" t="n">
        <f aca="false">'Data Jun 2026'!AB35</f>
        <v>70000</v>
      </c>
      <c r="AM14" s="17" t="n">
        <f aca="false">'Data Jun 2026'!AC35</f>
        <v>70000</v>
      </c>
      <c r="AN14" s="17" t="n">
        <f aca="false">'Data Jun 2026'!AD35</f>
        <v>70000</v>
      </c>
      <c r="AO14" s="17" t="n">
        <f aca="false">'Data Jul 2026'!AA35</f>
        <v>70000</v>
      </c>
      <c r="AP14" s="17" t="n">
        <f aca="false">'Data Jul 2026'!AB35</f>
        <v>70000</v>
      </c>
      <c r="AQ14" s="17" t="n">
        <f aca="false">'Data Jul 2026'!AC35</f>
        <v>70000</v>
      </c>
      <c r="AR14" s="17" t="n">
        <f aca="false">'Data Jul 2026'!AD35</f>
        <v>70000</v>
      </c>
      <c r="AS14" s="17" t="n">
        <f aca="false">'Data Jul 2026'!AE35</f>
        <v>70000</v>
      </c>
      <c r="AT14" s="17" t="n">
        <f aca="false">'Data Agu 2026'!Y35</f>
        <v>70000</v>
      </c>
      <c r="AU14" s="17" t="n">
        <f aca="false">'Data Agu 2026'!Z35</f>
        <v>70000</v>
      </c>
      <c r="AV14" s="17" t="n">
        <f aca="false">'Data Agu 2026'!AA35</f>
        <v>70000</v>
      </c>
      <c r="AW14" s="17" t="n">
        <f aca="false">'Data Agu 2026'!AB35</f>
        <v>70000</v>
      </c>
      <c r="AX14" s="17" t="str">
        <f aca="false">'Data Agu 2026'!AC35</f>
        <v/>
      </c>
      <c r="AY14" s="17" t="n">
        <f aca="false">'Data Agu 2026'!AD35</f>
        <v>70000</v>
      </c>
      <c r="AZ14" s="17" t="n">
        <f aca="false">'Data Sep 2026'!AA35</f>
        <v>70000</v>
      </c>
      <c r="BA14" s="17" t="str">
        <f aca="false">'Data Sep 2026'!AB35</f>
        <v/>
      </c>
      <c r="BB14" s="17" t="str">
        <f aca="false">'Data Sep 2026'!AC35</f>
        <v/>
      </c>
      <c r="BC14" s="17" t="str">
        <f aca="false">'Data Sep 2026'!AD35</f>
        <v/>
      </c>
      <c r="BD14" s="17" t="str">
        <f aca="false">'Data Sep 2026'!AE35</f>
        <v/>
      </c>
    </row>
    <row r="15" customFormat="false" ht="13.5" hidden="false" customHeight="true" outlineLevel="0" collapsed="false">
      <c r="A15" s="6" t="s">
        <v>196</v>
      </c>
      <c r="B15" s="6" t="s">
        <v>345</v>
      </c>
      <c r="C15" s="34" t="s">
        <v>346</v>
      </c>
      <c r="D15" s="17" t="n">
        <f aca="false">'Data Des 2025'!AF36</f>
        <v>11380.9523809524</v>
      </c>
      <c r="E15" s="17" t="n">
        <f aca="false">'Data Jan 2026'!AE36</f>
        <v>11000</v>
      </c>
      <c r="F15" s="17" t="n">
        <f aca="false">'Data Feb 2026'!AB36</f>
        <v>11333.3333333333</v>
      </c>
      <c r="G15" s="17" t="n">
        <f aca="false">'Data Mar 2026'!AE36</f>
        <v>12000</v>
      </c>
      <c r="H15" s="17" t="n">
        <f aca="false">'Data Apr 2026'!AE36</f>
        <v>12000</v>
      </c>
      <c r="I15" s="17" t="n">
        <f aca="false">'Data Mei 2026'!AD36</f>
        <v>12000</v>
      </c>
      <c r="J15" s="17" t="n">
        <f aca="false">'Data Jun 2026'!AE36</f>
        <v>12000</v>
      </c>
      <c r="K15" s="17" t="n">
        <f aca="false">'Data Jul 2026'!AF36</f>
        <v>12000</v>
      </c>
      <c r="L15" s="17" t="n">
        <f aca="false">'Data Jan 2026'!Z36</f>
        <v>11000</v>
      </c>
      <c r="M15" s="17" t="n">
        <f aca="false">'Data Jan 2026'!AA36</f>
        <v>11000</v>
      </c>
      <c r="N15" s="17" t="n">
        <f aca="false">'Data Jan 2026'!AB36</f>
        <v>11000</v>
      </c>
      <c r="O15" s="17" t="n">
        <f aca="false">'Data Jan 2026'!AC36</f>
        <v>11000</v>
      </c>
      <c r="P15" s="17" t="n">
        <f aca="false">'Data Jan 2026'!AD36</f>
        <v>11000</v>
      </c>
      <c r="Q15" s="17" t="n">
        <f aca="false">'Data Feb 2026'!X36</f>
        <v>11200</v>
      </c>
      <c r="R15" s="17" t="n">
        <f aca="false">'Data Feb 2026'!Y36</f>
        <v>11000</v>
      </c>
      <c r="S15" s="17" t="n">
        <f aca="false">'Data Feb 2026'!Z36</f>
        <v>11666.6666666667</v>
      </c>
      <c r="T15" s="17" t="n">
        <f aca="false">'Data Feb 2026'!AA36</f>
        <v>11600</v>
      </c>
      <c r="U15" s="17" t="n">
        <f aca="false">'Data Mar 2026'!Z36</f>
        <v>12000</v>
      </c>
      <c r="V15" s="17" t="n">
        <f aca="false">'Data Mar 2026'!AA36</f>
        <v>12000</v>
      </c>
      <c r="W15" s="17" t="n">
        <f aca="false">'Data Mar 2026'!AB36</f>
        <v>12000</v>
      </c>
      <c r="X15" s="17" t="n">
        <f aca="false">'Data Mar 2026'!AC36</f>
        <v>12000</v>
      </c>
      <c r="Y15" s="17" t="n">
        <f aca="false">'Data Mar 2026'!AD36</f>
        <v>12000</v>
      </c>
      <c r="Z15" s="17" t="n">
        <f aca="false">'Data Apr 2026'!Z36</f>
        <v>12000</v>
      </c>
      <c r="AA15" s="17" t="n">
        <f aca="false">'Data Apr 2026'!AA36</f>
        <v>12000</v>
      </c>
      <c r="AB15" s="17" t="n">
        <f aca="false">'Data Apr 2026'!AB36</f>
        <v>12000</v>
      </c>
      <c r="AC15" s="17" t="n">
        <f aca="false">'Data Apr 2026'!AC36</f>
        <v>12000</v>
      </c>
      <c r="AD15" s="17" t="n">
        <f aca="false">'Data Apr 2026'!AD36</f>
        <v>12000</v>
      </c>
      <c r="AE15" s="17" t="str">
        <f aca="false">'Data Mei 2026'!Y36</f>
        <v/>
      </c>
      <c r="AF15" s="17" t="n">
        <f aca="false">'Data Mei 2026'!Z36</f>
        <v>12000</v>
      </c>
      <c r="AG15" s="17" t="n">
        <f aca="false">'Data Mei 2026'!AA36</f>
        <v>12000</v>
      </c>
      <c r="AH15" s="17" t="n">
        <f aca="false">'Data Mei 2026'!AB36</f>
        <v>12000</v>
      </c>
      <c r="AI15" s="17" t="n">
        <f aca="false">'Data Mei 2026'!AC36</f>
        <v>12000</v>
      </c>
      <c r="AJ15" s="17" t="n">
        <f aca="false">'Data Jun 2026'!Z36</f>
        <v>12000</v>
      </c>
      <c r="AK15" s="17" t="n">
        <f aca="false">'Data Jun 2026'!AA36</f>
        <v>12000</v>
      </c>
      <c r="AL15" s="17" t="n">
        <f aca="false">'Data Jun 2026'!AB36</f>
        <v>12000</v>
      </c>
      <c r="AM15" s="17" t="n">
        <f aca="false">'Data Jun 2026'!AC36</f>
        <v>12000</v>
      </c>
      <c r="AN15" s="17" t="n">
        <f aca="false">'Data Jun 2026'!AD36</f>
        <v>12000</v>
      </c>
      <c r="AO15" s="17" t="n">
        <f aca="false">'Data Jul 2026'!AA36</f>
        <v>12000</v>
      </c>
      <c r="AP15" s="17" t="n">
        <f aca="false">'Data Jul 2026'!AB36</f>
        <v>12000</v>
      </c>
      <c r="AQ15" s="17" t="n">
        <f aca="false">'Data Jul 2026'!AC36</f>
        <v>12000</v>
      </c>
      <c r="AR15" s="17" t="n">
        <f aca="false">'Data Jul 2026'!AD36</f>
        <v>12000</v>
      </c>
      <c r="AS15" s="17" t="n">
        <f aca="false">'Data Jul 2026'!AE36</f>
        <v>12000</v>
      </c>
      <c r="AT15" s="17" t="n">
        <f aca="false">'Data Agu 2026'!Y36</f>
        <v>12000</v>
      </c>
      <c r="AU15" s="17" t="n">
        <f aca="false">'Data Agu 2026'!Z36</f>
        <v>12000</v>
      </c>
      <c r="AV15" s="17" t="n">
        <f aca="false">'Data Agu 2026'!AA36</f>
        <v>12000</v>
      </c>
      <c r="AW15" s="17" t="n">
        <f aca="false">'Data Agu 2026'!AB36</f>
        <v>12000</v>
      </c>
      <c r="AX15" s="17" t="str">
        <f aca="false">'Data Agu 2026'!AC36</f>
        <v/>
      </c>
      <c r="AY15" s="17" t="n">
        <f aca="false">'Data Agu 2026'!AD36</f>
        <v>12000</v>
      </c>
      <c r="AZ15" s="17" t="n">
        <f aca="false">'Data Sep 2026'!AA36</f>
        <v>12000</v>
      </c>
      <c r="BA15" s="17" t="str">
        <f aca="false">'Data Sep 2026'!AB36</f>
        <v/>
      </c>
      <c r="BB15" s="17" t="str">
        <f aca="false">'Data Sep 2026'!AC36</f>
        <v/>
      </c>
      <c r="BC15" s="17" t="str">
        <f aca="false">'Data Sep 2026'!AD36</f>
        <v/>
      </c>
      <c r="BD15" s="17" t="str">
        <f aca="false">'Data Sep 2026'!AE36</f>
        <v/>
      </c>
    </row>
    <row r="16" customFormat="false" ht="13.5" hidden="false" customHeight="true" outlineLevel="0" collapsed="false">
      <c r="A16" s="6" t="s">
        <v>197</v>
      </c>
      <c r="B16" s="6" t="s">
        <v>347</v>
      </c>
      <c r="C16" s="33"/>
      <c r="D16" s="17" t="n">
        <f aca="false">'Data Des 2025'!AF11</f>
        <v>27666.6666666667</v>
      </c>
      <c r="E16" s="17" t="n">
        <f aca="false">'Data Jan 2026'!AE11</f>
        <v>30000</v>
      </c>
      <c r="F16" s="17" t="n">
        <f aca="false">'Data Feb 2026'!AB11</f>
        <v>51833.3333333333</v>
      </c>
      <c r="G16" s="17" t="n">
        <f aca="false">'Data Mar 2026'!AE11</f>
        <v>79500</v>
      </c>
      <c r="H16" s="17" t="n">
        <f aca="false">'Data Apr 2026'!AE11</f>
        <v>53666.6666666667</v>
      </c>
      <c r="I16" s="17" t="n">
        <f aca="false">'Data Mei 2026'!AD11</f>
        <v>71875</v>
      </c>
      <c r="J16" s="17" t="n">
        <f aca="false">'Data Jun 2026'!AE11</f>
        <v>56850</v>
      </c>
      <c r="K16" s="17" t="n">
        <f aca="false">'Data Jul 2026'!AF11</f>
        <v>43956.5217391304</v>
      </c>
      <c r="L16" s="17" t="n">
        <f aca="false">'Data Jan 2026'!Z11</f>
        <v>30000</v>
      </c>
      <c r="M16" s="17" t="n">
        <f aca="false">'Data Jan 2026'!AA11</f>
        <v>30000</v>
      </c>
      <c r="N16" s="17" t="n">
        <f aca="false">'Data Jan 2026'!AB11</f>
        <v>30000</v>
      </c>
      <c r="O16" s="17" t="n">
        <f aca="false">'Data Jan 2026'!AC11</f>
        <v>30000</v>
      </c>
      <c r="P16" s="17" t="n">
        <f aca="false">'Data Jan 2026'!AD11</f>
        <v>30000</v>
      </c>
      <c r="Q16" s="17" t="n">
        <f aca="false">'Data Feb 2026'!X11</f>
        <v>41800</v>
      </c>
      <c r="R16" s="17" t="n">
        <f aca="false">'Data Feb 2026'!Y11</f>
        <v>33200</v>
      </c>
      <c r="S16" s="17" t="n">
        <f aca="false">'Data Feb 2026'!Z11</f>
        <v>71000</v>
      </c>
      <c r="T16" s="17" t="n">
        <f aca="false">'Data Feb 2026'!AA11</f>
        <v>69000</v>
      </c>
      <c r="U16" s="17" t="n">
        <f aca="false">'Data Mar 2026'!Z11</f>
        <v>86000</v>
      </c>
      <c r="V16" s="17" t="n">
        <f aca="false">'Data Mar 2026'!AA11</f>
        <v>84000</v>
      </c>
      <c r="W16" s="17" t="n">
        <f aca="false">'Data Mar 2026'!AB11</f>
        <v>85200</v>
      </c>
      <c r="X16" s="17" t="n">
        <f aca="false">'Data Mar 2026'!AC11</f>
        <v>60000</v>
      </c>
      <c r="Y16" s="17" t="n">
        <f aca="false">'Data Mar 2026'!AD11</f>
        <v>67000</v>
      </c>
      <c r="Z16" s="17" t="n">
        <f aca="false">'Data Apr 2026'!Z11</f>
        <v>67500</v>
      </c>
      <c r="AA16" s="17" t="n">
        <f aca="false">'Data Apr 2026'!AA11</f>
        <v>61200</v>
      </c>
      <c r="AB16" s="17" t="n">
        <f aca="false">'Data Apr 2026'!AB11</f>
        <v>54000</v>
      </c>
      <c r="AC16" s="17" t="n">
        <f aca="false">'Data Apr 2026'!AC11</f>
        <v>49200</v>
      </c>
      <c r="AD16" s="17" t="n">
        <f aca="false">'Data Apr 2026'!AD11</f>
        <v>42500</v>
      </c>
      <c r="AE16" s="17" t="str">
        <f aca="false">'Data Mei 2026'!Y11</f>
        <v/>
      </c>
      <c r="AF16" s="17" t="n">
        <f aca="false">'Data Mei 2026'!Z11</f>
        <v>65000</v>
      </c>
      <c r="AG16" s="17" t="n">
        <f aca="false">'Data Mei 2026'!AA11</f>
        <v>73333.3333333333</v>
      </c>
      <c r="AH16" s="17" t="n">
        <f aca="false">'Data Mei 2026'!AB11</f>
        <v>77600</v>
      </c>
      <c r="AI16" s="17" t="n">
        <f aca="false">'Data Mei 2026'!AC11</f>
        <v>72333.3333333333</v>
      </c>
      <c r="AJ16" s="17" t="n">
        <f aca="false">'Data Jun 2026'!Z11</f>
        <v>63750</v>
      </c>
      <c r="AK16" s="17" t="n">
        <f aca="false">'Data Jun 2026'!AA11</f>
        <v>61600</v>
      </c>
      <c r="AL16" s="17" t="n">
        <f aca="false">'Data Jun 2026'!AB11</f>
        <v>57250</v>
      </c>
      <c r="AM16" s="17" t="n">
        <f aca="false">'Data Jun 2026'!AC11</f>
        <v>50000</v>
      </c>
      <c r="AN16" s="17" t="n">
        <f aca="false">'Data Jun 2026'!AD11</f>
        <v>47500</v>
      </c>
      <c r="AO16" s="17" t="n">
        <f aca="false">'Data Jul 2026'!AA11</f>
        <v>45000</v>
      </c>
      <c r="AP16" s="17" t="n">
        <f aca="false">'Data Jul 2026'!AB11</f>
        <v>45000</v>
      </c>
      <c r="AQ16" s="17" t="n">
        <f aca="false">'Data Jul 2026'!AC11</f>
        <v>45000</v>
      </c>
      <c r="AR16" s="17" t="n">
        <f aca="false">'Data Jul 2026'!AD11</f>
        <v>44000</v>
      </c>
      <c r="AS16" s="17" t="n">
        <f aca="false">'Data Jul 2026'!AE11</f>
        <v>41200</v>
      </c>
      <c r="AT16" s="17" t="n">
        <f aca="false">'Data Agu 2026'!Y11</f>
        <v>40400</v>
      </c>
      <c r="AU16" s="17" t="n">
        <f aca="false">'Data Agu 2026'!Z11</f>
        <v>40000</v>
      </c>
      <c r="AV16" s="17" t="n">
        <f aca="false">'Data Agu 2026'!AA11</f>
        <v>41500</v>
      </c>
      <c r="AW16" s="17" t="n">
        <f aca="false">'Data Agu 2026'!AB11</f>
        <v>42750</v>
      </c>
      <c r="AX16" s="17" t="str">
        <f aca="false">'Data Agu 2026'!AC11</f>
        <v/>
      </c>
      <c r="AY16" s="17" t="n">
        <f aca="false">'Data Agu 2026'!AD11</f>
        <v>41055.5555555556</v>
      </c>
      <c r="AZ16" s="17" t="n">
        <f aca="false">'Data Sep 2026'!AA11</f>
        <v>43000</v>
      </c>
      <c r="BA16" s="17" t="str">
        <f aca="false">'Data Sep 2026'!AB11</f>
        <v/>
      </c>
      <c r="BB16" s="17" t="str">
        <f aca="false">'Data Sep 2026'!AC11</f>
        <v/>
      </c>
      <c r="BC16" s="17" t="str">
        <f aca="false">'Data Sep 2026'!AD11</f>
        <v/>
      </c>
      <c r="BD16" s="17" t="str">
        <f aca="false">'Data Sep 2026'!AE11</f>
        <v/>
      </c>
    </row>
    <row r="17" customFormat="false" ht="13.5" hidden="false" customHeight="true" outlineLevel="0" collapsed="false">
      <c r="A17" s="6" t="s">
        <v>198</v>
      </c>
      <c r="B17" s="6" t="s">
        <v>348</v>
      </c>
      <c r="C17" s="33"/>
      <c r="D17" s="17" t="n">
        <f aca="false">'Data Des 2025'!AF19</f>
        <v>25047.619047619</v>
      </c>
      <c r="E17" s="17" t="n">
        <f aca="false">'Data Jan 2026'!AE19</f>
        <v>25000</v>
      </c>
      <c r="F17" s="17" t="n">
        <f aca="false">'Data Feb 2026'!AB19</f>
        <v>26222.2222222222</v>
      </c>
      <c r="G17" s="17" t="n">
        <f aca="false">'Data Mar 2026'!AE19</f>
        <v>27950</v>
      </c>
      <c r="H17" s="17" t="n">
        <f aca="false">'Data Apr 2026'!AE19</f>
        <v>25690.4761904762</v>
      </c>
      <c r="I17" s="17" t="n">
        <f aca="false">'Data Mei 2026'!AD19</f>
        <v>24656.25</v>
      </c>
      <c r="J17" s="17" t="n">
        <f aca="false">'Data Jun 2026'!AE19</f>
        <v>23675</v>
      </c>
      <c r="K17" s="17" t="n">
        <f aca="false">'Data Jul 2026'!AF19</f>
        <v>22760.8695652174</v>
      </c>
      <c r="L17" s="17" t="n">
        <f aca="false">'Data Jan 2026'!Z19</f>
        <v>25000</v>
      </c>
      <c r="M17" s="17" t="n">
        <f aca="false">'Data Jan 2026'!AA19</f>
        <v>25000</v>
      </c>
      <c r="N17" s="17" t="n">
        <f aca="false">'Data Jan 2026'!AB19</f>
        <v>25000</v>
      </c>
      <c r="O17" s="17" t="n">
        <f aca="false">'Data Jan 2026'!AC19</f>
        <v>25000</v>
      </c>
      <c r="P17" s="17" t="n">
        <f aca="false">'Data Jan 2026'!AD19</f>
        <v>25000</v>
      </c>
      <c r="Q17" s="17" t="n">
        <f aca="false">'Data Feb 2026'!X19</f>
        <v>25600</v>
      </c>
      <c r="R17" s="17" t="n">
        <f aca="false">'Data Feb 2026'!Y19</f>
        <v>25200</v>
      </c>
      <c r="S17" s="17" t="n">
        <f aca="false">'Data Feb 2026'!Z19</f>
        <v>27333.3333333333</v>
      </c>
      <c r="T17" s="17" t="n">
        <f aca="false">'Data Feb 2026'!AA19</f>
        <v>27200</v>
      </c>
      <c r="U17" s="17" t="n">
        <f aca="false">'Data Mar 2026'!Z19</f>
        <v>28000</v>
      </c>
      <c r="V17" s="17" t="n">
        <f aca="false">'Data Mar 2026'!AA19</f>
        <v>28100</v>
      </c>
      <c r="W17" s="17" t="n">
        <f aca="false">'Data Mar 2026'!AB19</f>
        <v>28000</v>
      </c>
      <c r="X17" s="17" t="n">
        <f aca="false">'Data Mar 2026'!AC19</f>
        <v>27833.3333333333</v>
      </c>
      <c r="Y17" s="17" t="n">
        <f aca="false">'Data Mar 2026'!AD19</f>
        <v>27500</v>
      </c>
      <c r="Z17" s="17" t="n">
        <f aca="false">'Data Apr 2026'!Z19</f>
        <v>26500</v>
      </c>
      <c r="AA17" s="17" t="n">
        <f aca="false">'Data Apr 2026'!AA19</f>
        <v>25800</v>
      </c>
      <c r="AB17" s="17" t="n">
        <f aca="false">'Data Apr 2026'!AB19</f>
        <v>25900</v>
      </c>
      <c r="AC17" s="17" t="n">
        <f aca="false">'Data Apr 2026'!AC19</f>
        <v>25600</v>
      </c>
      <c r="AD17" s="17" t="n">
        <f aca="false">'Data Apr 2026'!AD19</f>
        <v>25000</v>
      </c>
      <c r="AE17" s="17" t="str">
        <f aca="false">'Data Mei 2026'!Y19</f>
        <v/>
      </c>
      <c r="AF17" s="17" t="n">
        <f aca="false">'Data Mei 2026'!Z19</f>
        <v>25000</v>
      </c>
      <c r="AG17" s="17" t="n">
        <f aca="false">'Data Mei 2026'!AA19</f>
        <v>24833.3333333333</v>
      </c>
      <c r="AH17" s="17" t="n">
        <f aca="false">'Data Mei 2026'!AB19</f>
        <v>24000</v>
      </c>
      <c r="AI17" s="17" t="n">
        <f aca="false">'Data Mei 2026'!AC19</f>
        <v>25000</v>
      </c>
      <c r="AJ17" s="17" t="n">
        <f aca="false">'Data Jun 2026'!Z19</f>
        <v>24000</v>
      </c>
      <c r="AK17" s="17" t="n">
        <f aca="false">'Data Jun 2026'!AA19</f>
        <v>24200</v>
      </c>
      <c r="AL17" s="17" t="n">
        <f aca="false">'Data Jun 2026'!AB19</f>
        <v>23875</v>
      </c>
      <c r="AM17" s="17" t="n">
        <f aca="false">'Data Jun 2026'!AC19</f>
        <v>23000</v>
      </c>
      <c r="AN17" s="17" t="n">
        <f aca="false">'Data Jun 2026'!AD19</f>
        <v>23000</v>
      </c>
      <c r="AO17" s="17" t="n">
        <f aca="false">'Data Jul 2026'!AA19</f>
        <v>23000</v>
      </c>
      <c r="AP17" s="17" t="n">
        <f aca="false">'Data Jul 2026'!AB19</f>
        <v>22500</v>
      </c>
      <c r="AQ17" s="17" t="n">
        <f aca="false">'Data Jul 2026'!AC19</f>
        <v>22500</v>
      </c>
      <c r="AR17" s="17" t="n">
        <f aca="false">'Data Jul 2026'!AD19</f>
        <v>22800</v>
      </c>
      <c r="AS17" s="17" t="n">
        <f aca="false">'Data Jul 2026'!AE19</f>
        <v>23100</v>
      </c>
      <c r="AT17" s="17" t="n">
        <f aca="false">'Data Agu 2026'!Y19</f>
        <v>22200</v>
      </c>
      <c r="AU17" s="17" t="n">
        <f aca="false">'Data Agu 2026'!Z19</f>
        <v>22000</v>
      </c>
      <c r="AV17" s="17" t="n">
        <f aca="false">'Data Agu 2026'!AA19</f>
        <v>22000</v>
      </c>
      <c r="AW17" s="17" t="n">
        <f aca="false">'Data Agu 2026'!AB19</f>
        <v>22750</v>
      </c>
      <c r="AX17" s="17" t="str">
        <f aca="false">'Data Agu 2026'!AC19</f>
        <v/>
      </c>
      <c r="AY17" s="17" t="n">
        <f aca="false">'Data Agu 2026'!AD19</f>
        <v>22222.2222222222</v>
      </c>
      <c r="AZ17" s="17" t="n">
        <f aca="false">'Data Sep 2026'!AA19</f>
        <v>23000</v>
      </c>
      <c r="BA17" s="17" t="str">
        <f aca="false">'Data Sep 2026'!AB19</f>
        <v/>
      </c>
      <c r="BB17" s="17" t="str">
        <f aca="false">'Data Sep 2026'!AC19</f>
        <v/>
      </c>
      <c r="BC17" s="17" t="str">
        <f aca="false">'Data Sep 2026'!AD19</f>
        <v/>
      </c>
      <c r="BD17" s="17" t="str">
        <f aca="false">'Data Sep 2026'!AE19</f>
        <v/>
      </c>
    </row>
    <row r="18" customFormat="false" ht="13.5" hidden="false" customHeight="true" outlineLevel="0" collapsed="false">
      <c r="A18" s="6" t="s">
        <v>199</v>
      </c>
      <c r="B18" s="6" t="s">
        <v>349</v>
      </c>
      <c r="C18" s="33"/>
      <c r="D18" s="17" t="n">
        <f aca="false">'Data Des 2025'!AF13</f>
        <v>15000</v>
      </c>
      <c r="E18" s="17" t="n">
        <f aca="false">'Data Jan 2026'!AE13</f>
        <v>15000</v>
      </c>
      <c r="F18" s="17" t="n">
        <f aca="false">'Data Feb 2026'!AB13</f>
        <v>15500</v>
      </c>
      <c r="G18" s="17" t="n">
        <f aca="false">'Data Mar 2026'!AE13</f>
        <v>17045</v>
      </c>
      <c r="H18" s="17" t="n">
        <f aca="false">'Data Apr 2026'!AE13</f>
        <v>17261.9047619048</v>
      </c>
      <c r="I18" s="17" t="n">
        <f aca="false">'Data Mei 2026'!AD13</f>
        <v>16500</v>
      </c>
      <c r="J18" s="17" t="n">
        <f aca="false">'Data Jun 2026'!AE13</f>
        <v>16500</v>
      </c>
      <c r="K18" s="17" t="n">
        <f aca="false">'Data Jul 2026'!AF13</f>
        <v>16500</v>
      </c>
      <c r="L18" s="17" t="n">
        <f aca="false">'Data Jan 2026'!Z13</f>
        <v>15000</v>
      </c>
      <c r="M18" s="17" t="n">
        <f aca="false">'Data Jan 2026'!AA13</f>
        <v>15000</v>
      </c>
      <c r="N18" s="17" t="n">
        <f aca="false">'Data Jan 2026'!AB13</f>
        <v>15000</v>
      </c>
      <c r="O18" s="17" t="n">
        <f aca="false">'Data Jan 2026'!AC13</f>
        <v>15000</v>
      </c>
      <c r="P18" s="17" t="n">
        <f aca="false">'Data Jan 2026'!AD13</f>
        <v>15000</v>
      </c>
      <c r="Q18" s="17" t="n">
        <f aca="false">'Data Feb 2026'!X13</f>
        <v>15300</v>
      </c>
      <c r="R18" s="17" t="n">
        <f aca="false">'Data Feb 2026'!Y13</f>
        <v>15000</v>
      </c>
      <c r="S18" s="17" t="n">
        <f aca="false">'Data Feb 2026'!Z13</f>
        <v>16000</v>
      </c>
      <c r="T18" s="17" t="n">
        <f aca="false">'Data Feb 2026'!AA13</f>
        <v>15900</v>
      </c>
      <c r="U18" s="17" t="n">
        <f aca="false">'Data Mar 2026'!Z13</f>
        <v>16500</v>
      </c>
      <c r="V18" s="17" t="n">
        <f aca="false">'Data Mar 2026'!AA13</f>
        <v>16800</v>
      </c>
      <c r="W18" s="17" t="n">
        <f aca="false">'Data Mar 2026'!AB13</f>
        <v>17500</v>
      </c>
      <c r="X18" s="17" t="n">
        <f aca="false">'Data Mar 2026'!AC13</f>
        <v>17433.3333333333</v>
      </c>
      <c r="Y18" s="17" t="n">
        <f aca="false">'Data Mar 2026'!AD13</f>
        <v>17300</v>
      </c>
      <c r="Z18" s="17" t="n">
        <f aca="false">'Data Apr 2026'!Z13</f>
        <v>17300</v>
      </c>
      <c r="AA18" s="17" t="n">
        <f aca="false">'Data Apr 2026'!AA13</f>
        <v>17300</v>
      </c>
      <c r="AB18" s="17" t="n">
        <f aca="false">'Data Apr 2026'!AB13</f>
        <v>17300</v>
      </c>
      <c r="AC18" s="17" t="n">
        <f aca="false">'Data Apr 2026'!AC13</f>
        <v>17300</v>
      </c>
      <c r="AD18" s="17" t="n">
        <f aca="false">'Data Apr 2026'!AD13</f>
        <v>17100</v>
      </c>
      <c r="AE18" s="17" t="str">
        <f aca="false">'Data Mei 2026'!Y13</f>
        <v/>
      </c>
      <c r="AF18" s="17" t="n">
        <f aca="false">'Data Mei 2026'!Z13</f>
        <v>16500</v>
      </c>
      <c r="AG18" s="17" t="n">
        <f aca="false">'Data Mei 2026'!AA13</f>
        <v>16500</v>
      </c>
      <c r="AH18" s="17" t="n">
        <f aca="false">'Data Mei 2026'!AB13</f>
        <v>16500</v>
      </c>
      <c r="AI18" s="17" t="n">
        <f aca="false">'Data Mei 2026'!AC13</f>
        <v>16500</v>
      </c>
      <c r="AJ18" s="17" t="n">
        <f aca="false">'Data Jun 2026'!Z13</f>
        <v>16500</v>
      </c>
      <c r="AK18" s="17" t="n">
        <f aca="false">'Data Jun 2026'!AA13</f>
        <v>16500</v>
      </c>
      <c r="AL18" s="17" t="n">
        <f aca="false">'Data Jun 2026'!AB13</f>
        <v>16500</v>
      </c>
      <c r="AM18" s="17" t="n">
        <f aca="false">'Data Jun 2026'!AC13</f>
        <v>16500</v>
      </c>
      <c r="AN18" s="17" t="n">
        <f aca="false">'Data Jun 2026'!AD13</f>
        <v>16500</v>
      </c>
      <c r="AO18" s="17" t="n">
        <f aca="false">'Data Jul 2026'!AA13</f>
        <v>16500</v>
      </c>
      <c r="AP18" s="17" t="n">
        <f aca="false">'Data Jul 2026'!AB13</f>
        <v>16500</v>
      </c>
      <c r="AQ18" s="17" t="n">
        <f aca="false">'Data Jul 2026'!AC13</f>
        <v>16500</v>
      </c>
      <c r="AR18" s="17" t="n">
        <f aca="false">'Data Jul 2026'!AD13</f>
        <v>16500</v>
      </c>
      <c r="AS18" s="17" t="n">
        <f aca="false">'Data Jul 2026'!AE13</f>
        <v>16500</v>
      </c>
      <c r="AT18" s="17" t="n">
        <f aca="false">'Data Agu 2026'!Y13</f>
        <v>16500</v>
      </c>
      <c r="AU18" s="17" t="n">
        <f aca="false">'Data Agu 2026'!Z13</f>
        <v>16500</v>
      </c>
      <c r="AV18" s="17" t="n">
        <f aca="false">'Data Agu 2026'!AA13</f>
        <v>16500</v>
      </c>
      <c r="AW18" s="17" t="n">
        <f aca="false">'Data Agu 2026'!AB13</f>
        <v>16500</v>
      </c>
      <c r="AX18" s="17" t="str">
        <f aca="false">'Data Agu 2026'!AC13</f>
        <v/>
      </c>
      <c r="AY18" s="17" t="n">
        <f aca="false">'Data Agu 2026'!AD13</f>
        <v>16500</v>
      </c>
      <c r="AZ18" s="17" t="n">
        <f aca="false">'Data Sep 2026'!AA13</f>
        <v>16500</v>
      </c>
      <c r="BA18" s="17" t="str">
        <f aca="false">'Data Sep 2026'!AB13</f>
        <v/>
      </c>
      <c r="BB18" s="17" t="str">
        <f aca="false">'Data Sep 2026'!AC13</f>
        <v/>
      </c>
      <c r="BC18" s="17" t="str">
        <f aca="false">'Data Sep 2026'!AD13</f>
        <v/>
      </c>
      <c r="BD18" s="17" t="str">
        <f aca="false">'Data Sep 2026'!AE13</f>
        <v/>
      </c>
    </row>
    <row r="19" customFormat="false" ht="13.5" hidden="false" customHeight="true" outlineLevel="0" collapsed="false">
      <c r="A19" s="6" t="s">
        <v>200</v>
      </c>
      <c r="B19" s="6" t="s">
        <v>350</v>
      </c>
      <c r="C19" s="34" t="s">
        <v>351</v>
      </c>
      <c r="D19" s="17" t="n">
        <f aca="false">'Data Des 2025'!AF24</f>
        <v>28000</v>
      </c>
      <c r="E19" s="17" t="n">
        <f aca="false">'Data Jan 2026'!AE24</f>
        <v>28000</v>
      </c>
      <c r="F19" s="17" t="n">
        <f aca="false">'Data Feb 2026'!AB24</f>
        <v>30333.3333333333</v>
      </c>
      <c r="G19" s="17" t="n">
        <f aca="false">'Data Mar 2026'!AE24</f>
        <v>39250</v>
      </c>
      <c r="H19" s="17" t="n">
        <f aca="false">'Data Apr 2026'!AE24</f>
        <v>45000</v>
      </c>
      <c r="I19" s="17" t="n">
        <f aca="false">'Data Mei 2026'!AD24</f>
        <v>45000</v>
      </c>
      <c r="J19" s="17" t="n">
        <f aca="false">'Data Jun 2026'!AE24</f>
        <v>45000</v>
      </c>
      <c r="K19" s="17" t="n">
        <f aca="false">'Data Jul 2026'!AF24</f>
        <v>45000</v>
      </c>
      <c r="L19" s="17" t="n">
        <f aca="false">'Data Jan 2026'!Z24</f>
        <v>28000</v>
      </c>
      <c r="M19" s="17" t="n">
        <f aca="false">'Data Jan 2026'!AA24</f>
        <v>28000</v>
      </c>
      <c r="N19" s="17" t="n">
        <f aca="false">'Data Jan 2026'!AB24</f>
        <v>28000</v>
      </c>
      <c r="O19" s="17" t="n">
        <f aca="false">'Data Jan 2026'!AC24</f>
        <v>28000</v>
      </c>
      <c r="P19" s="17" t="n">
        <f aca="false">'Data Jan 2026'!AD24</f>
        <v>28000</v>
      </c>
      <c r="Q19" s="17" t="n">
        <f aca="false">'Data Feb 2026'!X24</f>
        <v>29400</v>
      </c>
      <c r="R19" s="17" t="n">
        <f aca="false">'Data Feb 2026'!Y24</f>
        <v>28000</v>
      </c>
      <c r="S19" s="17" t="n">
        <f aca="false">'Data Feb 2026'!Z24</f>
        <v>32666.6666666667</v>
      </c>
      <c r="T19" s="17" t="n">
        <f aca="false">'Data Feb 2026'!AA24</f>
        <v>32200</v>
      </c>
      <c r="U19" s="17" t="n">
        <f aca="false">'Data Mar 2026'!Z24</f>
        <v>35000</v>
      </c>
      <c r="V19" s="17" t="n">
        <f aca="false">'Data Mar 2026'!AA24</f>
        <v>35000</v>
      </c>
      <c r="W19" s="17" t="n">
        <f aca="false">'Data Mar 2026'!AB24</f>
        <v>42000</v>
      </c>
      <c r="X19" s="17" t="n">
        <f aca="false">'Data Mar 2026'!AC24</f>
        <v>45000</v>
      </c>
      <c r="Y19" s="17" t="n">
        <f aca="false">'Data Mar 2026'!AD24</f>
        <v>45000</v>
      </c>
      <c r="Z19" s="17" t="n">
        <f aca="false">'Data Apr 2026'!Z24</f>
        <v>45000</v>
      </c>
      <c r="AA19" s="17" t="n">
        <f aca="false">'Data Apr 2026'!AA24</f>
        <v>45000</v>
      </c>
      <c r="AB19" s="17" t="n">
        <f aca="false">'Data Apr 2026'!AB24</f>
        <v>45000</v>
      </c>
      <c r="AC19" s="17" t="n">
        <f aca="false">'Data Apr 2026'!AC24</f>
        <v>45000</v>
      </c>
      <c r="AD19" s="17" t="n">
        <f aca="false">'Data Apr 2026'!AD24</f>
        <v>45000</v>
      </c>
      <c r="AE19" s="17" t="str">
        <f aca="false">'Data Mei 2026'!Y24</f>
        <v/>
      </c>
      <c r="AF19" s="17" t="n">
        <f aca="false">'Data Mei 2026'!Z24</f>
        <v>45000</v>
      </c>
      <c r="AG19" s="17" t="n">
        <f aca="false">'Data Mei 2026'!AA24</f>
        <v>45000</v>
      </c>
      <c r="AH19" s="17" t="n">
        <f aca="false">'Data Mei 2026'!AB24</f>
        <v>45000</v>
      </c>
      <c r="AI19" s="17" t="n">
        <f aca="false">'Data Mei 2026'!AC24</f>
        <v>45000</v>
      </c>
      <c r="AJ19" s="17" t="n">
        <f aca="false">'Data Jun 2026'!Z24</f>
        <v>45000</v>
      </c>
      <c r="AK19" s="17" t="n">
        <f aca="false">'Data Jun 2026'!AA24</f>
        <v>45000</v>
      </c>
      <c r="AL19" s="17" t="n">
        <f aca="false">'Data Jun 2026'!AB24</f>
        <v>45000</v>
      </c>
      <c r="AM19" s="17" t="n">
        <f aca="false">'Data Jun 2026'!AC24</f>
        <v>45000</v>
      </c>
      <c r="AN19" s="17" t="n">
        <f aca="false">'Data Jun 2026'!AD24</f>
        <v>45000</v>
      </c>
      <c r="AO19" s="17" t="n">
        <f aca="false">'Data Jul 2026'!AA24</f>
        <v>45000</v>
      </c>
      <c r="AP19" s="17" t="n">
        <f aca="false">'Data Jul 2026'!AB24</f>
        <v>45000</v>
      </c>
      <c r="AQ19" s="17" t="n">
        <f aca="false">'Data Jul 2026'!AC24</f>
        <v>45000</v>
      </c>
      <c r="AR19" s="17" t="n">
        <f aca="false">'Data Jul 2026'!AD24</f>
        <v>45000</v>
      </c>
      <c r="AS19" s="17" t="n">
        <f aca="false">'Data Jul 2026'!AE24</f>
        <v>45000</v>
      </c>
      <c r="AT19" s="17" t="n">
        <f aca="false">'Data Agu 2026'!Y24</f>
        <v>45000</v>
      </c>
      <c r="AU19" s="17" t="n">
        <f aca="false">'Data Agu 2026'!Z24</f>
        <v>45000</v>
      </c>
      <c r="AV19" s="17" t="n">
        <f aca="false">'Data Agu 2026'!AA24</f>
        <v>45000</v>
      </c>
      <c r="AW19" s="17" t="n">
        <f aca="false">'Data Agu 2026'!AB24</f>
        <v>45000</v>
      </c>
      <c r="AX19" s="17" t="str">
        <f aca="false">'Data Agu 2026'!AC24</f>
        <v/>
      </c>
      <c r="AY19" s="17" t="n">
        <f aca="false">'Data Agu 2026'!AD24</f>
        <v>45000</v>
      </c>
      <c r="AZ19" s="17" t="n">
        <f aca="false">'Data Sep 2026'!AA24</f>
        <v>45000</v>
      </c>
      <c r="BA19" s="17" t="str">
        <f aca="false">'Data Sep 2026'!AB24</f>
        <v/>
      </c>
      <c r="BB19" s="17" t="str">
        <f aca="false">'Data Sep 2026'!AC24</f>
        <v/>
      </c>
      <c r="BC19" s="17" t="str">
        <f aca="false">'Data Sep 2026'!AD24</f>
        <v/>
      </c>
      <c r="BD19" s="17" t="str">
        <f aca="false">'Data Sep 2026'!AE24</f>
        <v/>
      </c>
    </row>
    <row r="20" customFormat="false" ht="13.5" hidden="false" customHeight="true" outlineLevel="0" collapsed="false">
      <c r="A20" s="6" t="s">
        <v>201</v>
      </c>
      <c r="B20" s="6" t="s">
        <v>352</v>
      </c>
      <c r="C20" s="34" t="s">
        <v>353</v>
      </c>
      <c r="D20" s="17" t="n">
        <f aca="false">'Data Des 2025'!AF32</f>
        <v>42000</v>
      </c>
      <c r="E20" s="17" t="n">
        <f aca="false">'Data Jan 2026'!AE32</f>
        <v>42000</v>
      </c>
      <c r="F20" s="17" t="n">
        <f aca="false">'Data Feb 2026'!AB32</f>
        <v>42000</v>
      </c>
      <c r="G20" s="17" t="n">
        <f aca="false">'Data Mar 2026'!AE32</f>
        <v>42000</v>
      </c>
      <c r="H20" s="17" t="n">
        <f aca="false">'Data Apr 2026'!AE32</f>
        <v>42000</v>
      </c>
      <c r="I20" s="17" t="n">
        <f aca="false">'Data Mei 2026'!AD32</f>
        <v>42000</v>
      </c>
      <c r="J20" s="17" t="n">
        <f aca="false">'Data Jun 2026'!AE32</f>
        <v>42000</v>
      </c>
      <c r="K20" s="17" t="n">
        <f aca="false">'Data Jul 2026'!AF32</f>
        <v>42000</v>
      </c>
      <c r="L20" s="17" t="n">
        <f aca="false">'Data Jan 2026'!Z32</f>
        <v>42000</v>
      </c>
      <c r="M20" s="17" t="n">
        <f aca="false">'Data Jan 2026'!AA32</f>
        <v>42000</v>
      </c>
      <c r="N20" s="17" t="n">
        <f aca="false">'Data Jan 2026'!AB32</f>
        <v>42000</v>
      </c>
      <c r="O20" s="17" t="n">
        <f aca="false">'Data Jan 2026'!AC32</f>
        <v>42000</v>
      </c>
      <c r="P20" s="17" t="n">
        <f aca="false">'Data Jan 2026'!AD32</f>
        <v>42000</v>
      </c>
      <c r="Q20" s="17" t="n">
        <f aca="false">'Data Feb 2026'!X32</f>
        <v>42000</v>
      </c>
      <c r="R20" s="17" t="n">
        <f aca="false">'Data Feb 2026'!Y32</f>
        <v>42000</v>
      </c>
      <c r="S20" s="17" t="n">
        <f aca="false">'Data Feb 2026'!Z32</f>
        <v>42000</v>
      </c>
      <c r="T20" s="17" t="n">
        <f aca="false">'Data Feb 2026'!AA32</f>
        <v>42000</v>
      </c>
      <c r="U20" s="17" t="n">
        <f aca="false">'Data Mar 2026'!Z32</f>
        <v>42000</v>
      </c>
      <c r="V20" s="17" t="n">
        <f aca="false">'Data Mar 2026'!AA32</f>
        <v>42000</v>
      </c>
      <c r="W20" s="17" t="n">
        <f aca="false">'Data Mar 2026'!AB32</f>
        <v>42000</v>
      </c>
      <c r="X20" s="17" t="n">
        <f aca="false">'Data Mar 2026'!AC32</f>
        <v>42000</v>
      </c>
      <c r="Y20" s="17" t="n">
        <f aca="false">'Data Mar 2026'!AD32</f>
        <v>42000</v>
      </c>
      <c r="Z20" s="17" t="n">
        <f aca="false">'Data Apr 2026'!Z32</f>
        <v>42000</v>
      </c>
      <c r="AA20" s="17" t="n">
        <f aca="false">'Data Apr 2026'!AA32</f>
        <v>42000</v>
      </c>
      <c r="AB20" s="17" t="n">
        <f aca="false">'Data Apr 2026'!AB32</f>
        <v>42000</v>
      </c>
      <c r="AC20" s="17" t="n">
        <f aca="false">'Data Apr 2026'!AC32</f>
        <v>42000</v>
      </c>
      <c r="AD20" s="17" t="n">
        <f aca="false">'Data Apr 2026'!AD32</f>
        <v>42000</v>
      </c>
      <c r="AE20" s="17" t="str">
        <f aca="false">'Data Mei 2026'!Y32</f>
        <v/>
      </c>
      <c r="AF20" s="17" t="n">
        <f aca="false">'Data Mei 2026'!Z32</f>
        <v>42000</v>
      </c>
      <c r="AG20" s="17" t="n">
        <f aca="false">'Data Mei 2026'!AA32</f>
        <v>42000</v>
      </c>
      <c r="AH20" s="17" t="n">
        <f aca="false">'Data Mei 2026'!AB32</f>
        <v>42000</v>
      </c>
      <c r="AI20" s="17" t="n">
        <f aca="false">'Data Mei 2026'!AC32</f>
        <v>42000</v>
      </c>
      <c r="AJ20" s="17" t="n">
        <f aca="false">'Data Jun 2026'!Z32</f>
        <v>42000</v>
      </c>
      <c r="AK20" s="17" t="n">
        <f aca="false">'Data Jun 2026'!AA32</f>
        <v>42000</v>
      </c>
      <c r="AL20" s="17" t="n">
        <f aca="false">'Data Jun 2026'!AB32</f>
        <v>42000</v>
      </c>
      <c r="AM20" s="17" t="n">
        <f aca="false">'Data Jun 2026'!AC32</f>
        <v>42000</v>
      </c>
      <c r="AN20" s="17" t="n">
        <f aca="false">'Data Jun 2026'!AD32</f>
        <v>42000</v>
      </c>
      <c r="AO20" s="17" t="n">
        <f aca="false">'Data Jul 2026'!AA32</f>
        <v>42000</v>
      </c>
      <c r="AP20" s="17" t="n">
        <f aca="false">'Data Jul 2026'!AB32</f>
        <v>42000</v>
      </c>
      <c r="AQ20" s="17" t="n">
        <f aca="false">'Data Jul 2026'!AC32</f>
        <v>42000</v>
      </c>
      <c r="AR20" s="17" t="n">
        <f aca="false">'Data Jul 2026'!AD32</f>
        <v>42000</v>
      </c>
      <c r="AS20" s="17" t="n">
        <f aca="false">'Data Jul 2026'!AE32</f>
        <v>42000</v>
      </c>
      <c r="AT20" s="17" t="n">
        <f aca="false">'Data Agu 2026'!Y32</f>
        <v>42000</v>
      </c>
      <c r="AU20" s="17" t="n">
        <f aca="false">'Data Agu 2026'!Z32</f>
        <v>42000</v>
      </c>
      <c r="AV20" s="17" t="n">
        <f aca="false">'Data Agu 2026'!AA32</f>
        <v>42000</v>
      </c>
      <c r="AW20" s="17" t="n">
        <f aca="false">'Data Agu 2026'!AB32</f>
        <v>42000</v>
      </c>
      <c r="AX20" s="17" t="str">
        <f aca="false">'Data Agu 2026'!AC32</f>
        <v/>
      </c>
      <c r="AY20" s="17" t="n">
        <f aca="false">'Data Agu 2026'!AD32</f>
        <v>42000</v>
      </c>
      <c r="AZ20" s="17" t="n">
        <f aca="false">'Data Sep 2026'!AA32</f>
        <v>42000</v>
      </c>
      <c r="BA20" s="17" t="str">
        <f aca="false">'Data Sep 2026'!AB32</f>
        <v/>
      </c>
      <c r="BB20" s="17" t="str">
        <f aca="false">'Data Sep 2026'!AC32</f>
        <v/>
      </c>
      <c r="BC20" s="17" t="str">
        <f aca="false">'Data Sep 2026'!AD32</f>
        <v/>
      </c>
      <c r="BD20" s="17" t="str">
        <f aca="false">'Data Sep 2026'!AE32</f>
        <v/>
      </c>
    </row>
    <row r="21" customFormat="false" ht="13.5" hidden="false" customHeight="true" outlineLevel="0" collapsed="false">
      <c r="A21" s="6" t="s">
        <v>202</v>
      </c>
      <c r="B21" s="6" t="s">
        <v>354</v>
      </c>
      <c r="C21" s="33"/>
      <c r="D21" s="17" t="n">
        <f aca="false">'Data Des 2025'!AF12</f>
        <v>26714.2857142857</v>
      </c>
      <c r="E21" s="17" t="n">
        <f aca="false">'Data Jan 2026'!AE12</f>
        <v>28000</v>
      </c>
      <c r="F21" s="17" t="n">
        <f aca="false">'Data Feb 2026'!AB12</f>
        <v>29333.3333333333</v>
      </c>
      <c r="G21" s="17" t="n">
        <f aca="false">'Data Mar 2026'!AE12</f>
        <v>30300</v>
      </c>
      <c r="H21" s="17" t="n">
        <f aca="false">'Data Apr 2026'!AE12</f>
        <v>29809.5238095238</v>
      </c>
      <c r="I21" s="17" t="n">
        <f aca="false">'Data Mei 2026'!AD12</f>
        <v>37062.5</v>
      </c>
      <c r="J21" s="17" t="n">
        <f aca="false">'Data Jun 2026'!AE12</f>
        <v>36550</v>
      </c>
      <c r="K21" s="17" t="n">
        <f aca="false">'Data Jul 2026'!AF12</f>
        <v>34608.6956521739</v>
      </c>
      <c r="L21" s="17" t="n">
        <f aca="false">'Data Jan 2026'!Z12</f>
        <v>28000</v>
      </c>
      <c r="M21" s="17" t="n">
        <f aca="false">'Data Jan 2026'!AA12</f>
        <v>28000</v>
      </c>
      <c r="N21" s="17" t="n">
        <f aca="false">'Data Jan 2026'!AB12</f>
        <v>28000</v>
      </c>
      <c r="O21" s="17" t="n">
        <f aca="false">'Data Jan 2026'!AC12</f>
        <v>28000</v>
      </c>
      <c r="P21" s="17" t="n">
        <f aca="false">'Data Jan 2026'!AD12</f>
        <v>28000</v>
      </c>
      <c r="Q21" s="17" t="n">
        <f aca="false">'Data Feb 2026'!X12</f>
        <v>28400</v>
      </c>
      <c r="R21" s="17" t="n">
        <f aca="false">'Data Feb 2026'!Y12</f>
        <v>29200</v>
      </c>
      <c r="S21" s="17" t="n">
        <f aca="false">'Data Feb 2026'!Z12</f>
        <v>30000</v>
      </c>
      <c r="T21" s="17" t="n">
        <f aca="false">'Data Feb 2026'!AA12</f>
        <v>30000</v>
      </c>
      <c r="U21" s="17" t="n">
        <f aca="false">'Data Mar 2026'!Z12</f>
        <v>30000</v>
      </c>
      <c r="V21" s="17" t="n">
        <f aca="false">'Data Mar 2026'!AA12</f>
        <v>31200</v>
      </c>
      <c r="W21" s="17" t="n">
        <f aca="false">'Data Mar 2026'!AB12</f>
        <v>30000</v>
      </c>
      <c r="X21" s="17" t="n">
        <f aca="false">'Data Mar 2026'!AC12</f>
        <v>30000</v>
      </c>
      <c r="Y21" s="17" t="n">
        <f aca="false">'Data Mar 2026'!AD12</f>
        <v>30000</v>
      </c>
      <c r="Z21" s="17" t="n">
        <f aca="false">'Data Apr 2026'!Z12</f>
        <v>28000</v>
      </c>
      <c r="AA21" s="17" t="n">
        <f aca="false">'Data Apr 2026'!AA12</f>
        <v>30000</v>
      </c>
      <c r="AB21" s="17" t="n">
        <f aca="false">'Data Apr 2026'!AB12</f>
        <v>28000</v>
      </c>
      <c r="AC21" s="17" t="n">
        <f aca="false">'Data Apr 2026'!AC12</f>
        <v>29600</v>
      </c>
      <c r="AD21" s="17" t="n">
        <f aca="false">'Data Apr 2026'!AD12</f>
        <v>33000</v>
      </c>
      <c r="AE21" s="17" t="str">
        <f aca="false">'Data Mei 2026'!Y12</f>
        <v/>
      </c>
      <c r="AF21" s="17" t="n">
        <f aca="false">'Data Mei 2026'!Z12</f>
        <v>37000</v>
      </c>
      <c r="AG21" s="17" t="n">
        <f aca="false">'Data Mei 2026'!AA12</f>
        <v>36000</v>
      </c>
      <c r="AH21" s="17" t="n">
        <f aca="false">'Data Mei 2026'!AB12</f>
        <v>37600</v>
      </c>
      <c r="AI21" s="17" t="n">
        <f aca="false">'Data Mei 2026'!AC12</f>
        <v>37333.3333333333</v>
      </c>
      <c r="AJ21" s="17" t="n">
        <f aca="false">'Data Jun 2026'!Z12</f>
        <v>35000</v>
      </c>
      <c r="AK21" s="17" t="n">
        <f aca="false">'Data Jun 2026'!AA12</f>
        <v>36400</v>
      </c>
      <c r="AL21" s="17" t="n">
        <f aca="false">'Data Jun 2026'!AB12</f>
        <v>39500</v>
      </c>
      <c r="AM21" s="17" t="n">
        <f aca="false">'Data Jun 2026'!AC12</f>
        <v>36000</v>
      </c>
      <c r="AN21" s="17" t="n">
        <f aca="false">'Data Jun 2026'!AD12</f>
        <v>35500</v>
      </c>
      <c r="AO21" s="17" t="n">
        <f aca="false">'Data Jul 2026'!AA12</f>
        <v>35000</v>
      </c>
      <c r="AP21" s="17" t="n">
        <f aca="false">'Data Jul 2026'!AB12</f>
        <v>35000</v>
      </c>
      <c r="AQ21" s="17" t="n">
        <f aca="false">'Data Jul 2026'!AC12</f>
        <v>35000</v>
      </c>
      <c r="AR21" s="17" t="n">
        <f aca="false">'Data Jul 2026'!AD12</f>
        <v>35000</v>
      </c>
      <c r="AS21" s="17" t="n">
        <f aca="false">'Data Jul 2026'!AE12</f>
        <v>33200</v>
      </c>
      <c r="AT21" s="17" t="n">
        <f aca="false">'Data Agu 2026'!Y12</f>
        <v>30800</v>
      </c>
      <c r="AU21" s="17" t="n">
        <f aca="false">'Data Agu 2026'!Z12</f>
        <v>30000</v>
      </c>
      <c r="AV21" s="17" t="n">
        <f aca="false">'Data Agu 2026'!AA12</f>
        <v>30000</v>
      </c>
      <c r="AW21" s="17" t="n">
        <f aca="false">'Data Agu 2026'!AB12</f>
        <v>30000</v>
      </c>
      <c r="AX21" s="17" t="str">
        <f aca="false">'Data Agu 2026'!AC12</f>
        <v/>
      </c>
      <c r="AY21" s="17" t="n">
        <f aca="false">'Data Agu 2026'!AD12</f>
        <v>30222.2222222222</v>
      </c>
      <c r="AZ21" s="17" t="n">
        <f aca="false">'Data Sep 2026'!AA12</f>
        <v>30000</v>
      </c>
      <c r="BA21" s="17" t="str">
        <f aca="false">'Data Sep 2026'!AB12</f>
        <v/>
      </c>
      <c r="BB21" s="17" t="str">
        <f aca="false">'Data Sep 2026'!AC12</f>
        <v/>
      </c>
      <c r="BC21" s="17" t="str">
        <f aca="false">'Data Sep 2026'!AD12</f>
        <v/>
      </c>
      <c r="BD21" s="17" t="str">
        <f aca="false">'Data Sep 2026'!AE12</f>
        <v/>
      </c>
    </row>
    <row r="22" customFormat="false" ht="13.5" hidden="false" customHeight="true" outlineLevel="0" collapsed="false">
      <c r="A22" s="6" t="s">
        <v>203</v>
      </c>
      <c r="B22" s="6" t="s">
        <v>355</v>
      </c>
      <c r="C22" s="33"/>
      <c r="D22" s="17" t="n">
        <f aca="false">'Data Des 2025'!AF27</f>
        <v>23380.9523809524</v>
      </c>
      <c r="E22" s="17" t="n">
        <f aca="false">'Data Jan 2026'!AE27</f>
        <v>24000</v>
      </c>
      <c r="F22" s="17" t="n">
        <f aca="false">'Data Feb 2026'!AB27</f>
        <v>26333.3333333333</v>
      </c>
      <c r="G22" s="17" t="n">
        <f aca="false">'Data Mar 2026'!AE27</f>
        <v>29650</v>
      </c>
      <c r="H22" s="17" t="n">
        <f aca="false">'Data Apr 2026'!AE27</f>
        <v>28000</v>
      </c>
      <c r="I22" s="17" t="n">
        <f aca="false">'Data Mei 2026'!AD27</f>
        <v>28125</v>
      </c>
      <c r="J22" s="17" t="n">
        <f aca="false">'Data Jun 2026'!AE27</f>
        <v>31400</v>
      </c>
      <c r="K22" s="17" t="n">
        <f aca="false">'Data Jul 2026'!AF27</f>
        <v>34608.6956521739</v>
      </c>
      <c r="L22" s="17" t="n">
        <f aca="false">'Data Jan 2026'!Z27</f>
        <v>24000</v>
      </c>
      <c r="M22" s="17" t="n">
        <f aca="false">'Data Jan 2026'!AA27</f>
        <v>24000</v>
      </c>
      <c r="N22" s="17" t="n">
        <f aca="false">'Data Jan 2026'!AB27</f>
        <v>24000</v>
      </c>
      <c r="O22" s="17" t="n">
        <f aca="false">'Data Jan 2026'!AC27</f>
        <v>24000</v>
      </c>
      <c r="P22" s="17" t="n">
        <f aca="false">'Data Jan 2026'!AD27</f>
        <v>24000</v>
      </c>
      <c r="Q22" s="17" t="n">
        <f aca="false">'Data Feb 2026'!X27</f>
        <v>25200</v>
      </c>
      <c r="R22" s="17" t="n">
        <f aca="false">'Data Feb 2026'!Y27</f>
        <v>24600</v>
      </c>
      <c r="S22" s="17" t="n">
        <f aca="false">'Data Feb 2026'!Z27</f>
        <v>28333.3333333333</v>
      </c>
      <c r="T22" s="17" t="n">
        <f aca="false">'Data Feb 2026'!AA27</f>
        <v>28000</v>
      </c>
      <c r="U22" s="17" t="n">
        <f aca="false">'Data Mar 2026'!Z27</f>
        <v>29800</v>
      </c>
      <c r="V22" s="17" t="n">
        <f aca="false">'Data Mar 2026'!AA27</f>
        <v>29400</v>
      </c>
      <c r="W22" s="17" t="n">
        <f aca="false">'Data Mar 2026'!AB27</f>
        <v>29400</v>
      </c>
      <c r="X22" s="17" t="n">
        <f aca="false">'Data Mar 2026'!AC27</f>
        <v>30000</v>
      </c>
      <c r="Y22" s="17" t="n">
        <f aca="false">'Data Mar 2026'!AD27</f>
        <v>30000</v>
      </c>
      <c r="Z22" s="17" t="n">
        <f aca="false">'Data Apr 2026'!Z27</f>
        <v>28000</v>
      </c>
      <c r="AA22" s="17" t="n">
        <f aca="false">'Data Apr 2026'!AA27</f>
        <v>29200</v>
      </c>
      <c r="AB22" s="17" t="n">
        <f aca="false">'Data Apr 2026'!AB27</f>
        <v>28000</v>
      </c>
      <c r="AC22" s="17" t="n">
        <f aca="false">'Data Apr 2026'!AC27</f>
        <v>27600</v>
      </c>
      <c r="AD22" s="17" t="n">
        <f aca="false">'Data Apr 2026'!AD27</f>
        <v>27000</v>
      </c>
      <c r="AE22" s="17" t="str">
        <f aca="false">'Data Mei 2026'!Y27</f>
        <v/>
      </c>
      <c r="AF22" s="17" t="n">
        <f aca="false">'Data Mei 2026'!Z27</f>
        <v>29000</v>
      </c>
      <c r="AG22" s="17" t="n">
        <f aca="false">'Data Mei 2026'!AA27</f>
        <v>28666.6666666667</v>
      </c>
      <c r="AH22" s="17" t="n">
        <f aca="false">'Data Mei 2026'!AB27</f>
        <v>27600</v>
      </c>
      <c r="AI22" s="17" t="n">
        <f aca="false">'Data Mei 2026'!AC27</f>
        <v>27000</v>
      </c>
      <c r="AJ22" s="17" t="n">
        <f aca="false">'Data Jun 2026'!Z27</f>
        <v>26250</v>
      </c>
      <c r="AK22" s="17" t="n">
        <f aca="false">'Data Jun 2026'!AA27</f>
        <v>27600</v>
      </c>
      <c r="AL22" s="17" t="n">
        <f aca="false">'Data Jun 2026'!AB27</f>
        <v>35000</v>
      </c>
      <c r="AM22" s="17" t="n">
        <f aca="false">'Data Jun 2026'!AC27</f>
        <v>35000</v>
      </c>
      <c r="AN22" s="17" t="n">
        <f aca="false">'Data Jun 2026'!AD27</f>
        <v>35000</v>
      </c>
      <c r="AO22" s="17" t="n">
        <f aca="false">'Data Jul 2026'!AA27</f>
        <v>35000</v>
      </c>
      <c r="AP22" s="17" t="n">
        <f aca="false">'Data Jul 2026'!AB27</f>
        <v>35000</v>
      </c>
      <c r="AQ22" s="17" t="n">
        <f aca="false">'Data Jul 2026'!AC27</f>
        <v>35000</v>
      </c>
      <c r="AR22" s="17" t="n">
        <f aca="false">'Data Jul 2026'!AD27</f>
        <v>35000</v>
      </c>
      <c r="AS22" s="17" t="n">
        <f aca="false">'Data Jul 2026'!AE27</f>
        <v>33200</v>
      </c>
      <c r="AT22" s="17" t="n">
        <f aca="false">'Data Agu 2026'!Y27</f>
        <v>30800</v>
      </c>
      <c r="AU22" s="17" t="n">
        <f aca="false">'Data Agu 2026'!Z27</f>
        <v>30000</v>
      </c>
      <c r="AV22" s="17" t="n">
        <f aca="false">'Data Agu 2026'!AA27</f>
        <v>30000</v>
      </c>
      <c r="AW22" s="17" t="n">
        <f aca="false">'Data Agu 2026'!AB27</f>
        <v>30000</v>
      </c>
      <c r="AX22" s="17" t="str">
        <f aca="false">'Data Agu 2026'!AC27</f>
        <v/>
      </c>
      <c r="AY22" s="17" t="n">
        <f aca="false">'Data Agu 2026'!AD27</f>
        <v>30222.2222222222</v>
      </c>
      <c r="AZ22" s="17" t="n">
        <f aca="false">'Data Sep 2026'!AA27</f>
        <v>30000</v>
      </c>
      <c r="BA22" s="17" t="str">
        <f aca="false">'Data Sep 2026'!AB27</f>
        <v/>
      </c>
      <c r="BB22" s="17" t="str">
        <f aca="false">'Data Sep 2026'!AC27</f>
        <v/>
      </c>
      <c r="BC22" s="17" t="str">
        <f aca="false">'Data Sep 2026'!AD27</f>
        <v/>
      </c>
      <c r="BD22" s="17" t="str">
        <f aca="false">'Data Sep 2026'!AE27</f>
        <v/>
      </c>
    </row>
    <row r="23" customFormat="false" ht="13.5" hidden="false" customHeight="true" outlineLevel="0" collapsed="false">
      <c r="A23" s="6" t="s">
        <v>203</v>
      </c>
      <c r="B23" s="6" t="s">
        <v>356</v>
      </c>
      <c r="C23" s="33"/>
      <c r="D23" s="17" t="n">
        <f aca="false">'Data Des 2025'!AF28</f>
        <v>30000</v>
      </c>
      <c r="E23" s="17" t="n">
        <f aca="false">'Data Jan 2026'!AE28</f>
        <v>30000</v>
      </c>
      <c r="F23" s="17" t="n">
        <f aca="false">'Data Feb 2026'!AB28</f>
        <v>31666.6666666667</v>
      </c>
      <c r="G23" s="17" t="n">
        <f aca="false">'Data Mar 2026'!AE28</f>
        <v>36050</v>
      </c>
      <c r="H23" s="17" t="n">
        <f aca="false">'Data Apr 2026'!AE28</f>
        <v>38000</v>
      </c>
      <c r="I23" s="17" t="n">
        <f aca="false">'Data Mei 2026'!AD28</f>
        <v>38000</v>
      </c>
      <c r="J23" s="17" t="n">
        <f aca="false">'Data Jun 2026'!AE28</f>
        <v>36650</v>
      </c>
      <c r="K23" s="17" t="n">
        <f aca="false">'Data Jul 2026'!AF28</f>
        <v>38000</v>
      </c>
      <c r="L23" s="17" t="n">
        <f aca="false">'Data Jan 2026'!Z28</f>
        <v>30000</v>
      </c>
      <c r="M23" s="17" t="n">
        <f aca="false">'Data Jan 2026'!AA28</f>
        <v>30000</v>
      </c>
      <c r="N23" s="17" t="n">
        <f aca="false">'Data Jan 2026'!AB28</f>
        <v>30000</v>
      </c>
      <c r="O23" s="17" t="n">
        <f aca="false">'Data Jan 2026'!AC28</f>
        <v>30000</v>
      </c>
      <c r="P23" s="17" t="n">
        <f aca="false">'Data Jan 2026'!AD28</f>
        <v>30000</v>
      </c>
      <c r="Q23" s="17" t="n">
        <f aca="false">'Data Feb 2026'!X28</f>
        <v>31000</v>
      </c>
      <c r="R23" s="17" t="n">
        <f aca="false">'Data Feb 2026'!Y28</f>
        <v>30000</v>
      </c>
      <c r="S23" s="17" t="n">
        <f aca="false">'Data Feb 2026'!Z28</f>
        <v>33333.3333333333</v>
      </c>
      <c r="T23" s="17" t="n">
        <f aca="false">'Data Feb 2026'!AA28</f>
        <v>33000</v>
      </c>
      <c r="U23" s="17" t="n">
        <f aca="false">'Data Mar 2026'!Z28</f>
        <v>35000</v>
      </c>
      <c r="V23" s="17" t="n">
        <f aca="false">'Data Mar 2026'!AA28</f>
        <v>35000</v>
      </c>
      <c r="W23" s="17" t="n">
        <f aca="false">'Data Mar 2026'!AB28</f>
        <v>36200</v>
      </c>
      <c r="X23" s="17" t="n">
        <f aca="false">'Data Mar 2026'!AC28</f>
        <v>38000</v>
      </c>
      <c r="Y23" s="17" t="n">
        <f aca="false">'Data Mar 2026'!AD28</f>
        <v>38000</v>
      </c>
      <c r="Z23" s="17" t="n">
        <f aca="false">'Data Apr 2026'!Z28</f>
        <v>38000</v>
      </c>
      <c r="AA23" s="17" t="n">
        <f aca="false">'Data Apr 2026'!AA28</f>
        <v>38000</v>
      </c>
      <c r="AB23" s="17" t="n">
        <f aca="false">'Data Apr 2026'!AB28</f>
        <v>38000</v>
      </c>
      <c r="AC23" s="17" t="n">
        <f aca="false">'Data Apr 2026'!AC28</f>
        <v>38000</v>
      </c>
      <c r="AD23" s="17" t="n">
        <f aca="false">'Data Apr 2026'!AD28</f>
        <v>38000</v>
      </c>
      <c r="AE23" s="17" t="str">
        <f aca="false">'Data Mei 2026'!Y28</f>
        <v/>
      </c>
      <c r="AF23" s="17" t="n">
        <f aca="false">'Data Mei 2026'!Z28</f>
        <v>38000</v>
      </c>
      <c r="AG23" s="17" t="n">
        <f aca="false">'Data Mei 2026'!AA28</f>
        <v>38000</v>
      </c>
      <c r="AH23" s="17" t="n">
        <f aca="false">'Data Mei 2026'!AB28</f>
        <v>38000</v>
      </c>
      <c r="AI23" s="17" t="n">
        <f aca="false">'Data Mei 2026'!AC28</f>
        <v>38000</v>
      </c>
      <c r="AJ23" s="17" t="n">
        <f aca="false">'Data Jun 2026'!Z28</f>
        <v>38000</v>
      </c>
      <c r="AK23" s="17" t="n">
        <f aca="false">'Data Jun 2026'!AA28</f>
        <v>36600</v>
      </c>
      <c r="AL23" s="17" t="n">
        <f aca="false">'Data Jun 2026'!AB28</f>
        <v>36000</v>
      </c>
      <c r="AM23" s="17" t="n">
        <f aca="false">'Data Jun 2026'!AC28</f>
        <v>36000</v>
      </c>
      <c r="AN23" s="17" t="n">
        <f aca="false">'Data Jun 2026'!AD28</f>
        <v>37000</v>
      </c>
      <c r="AO23" s="17" t="n">
        <f aca="false">'Data Jul 2026'!AA28</f>
        <v>38000</v>
      </c>
      <c r="AP23" s="17" t="n">
        <f aca="false">'Data Jul 2026'!AB28</f>
        <v>38000</v>
      </c>
      <c r="AQ23" s="17" t="n">
        <f aca="false">'Data Jul 2026'!AC28</f>
        <v>38000</v>
      </c>
      <c r="AR23" s="17" t="n">
        <f aca="false">'Data Jul 2026'!AD28</f>
        <v>38000</v>
      </c>
      <c r="AS23" s="17" t="n">
        <f aca="false">'Data Jul 2026'!AE28</f>
        <v>38000</v>
      </c>
      <c r="AT23" s="17" t="n">
        <f aca="false">'Data Agu 2026'!Y28</f>
        <v>38000</v>
      </c>
      <c r="AU23" s="17" t="n">
        <f aca="false">'Data Agu 2026'!Z28</f>
        <v>38000</v>
      </c>
      <c r="AV23" s="17" t="n">
        <f aca="false">'Data Agu 2026'!AA28</f>
        <v>38000</v>
      </c>
      <c r="AW23" s="17" t="n">
        <f aca="false">'Data Agu 2026'!AB28</f>
        <v>38000</v>
      </c>
      <c r="AX23" s="17" t="str">
        <f aca="false">'Data Agu 2026'!AC28</f>
        <v/>
      </c>
      <c r="AY23" s="17" t="n">
        <f aca="false">'Data Agu 2026'!AD28</f>
        <v>38000</v>
      </c>
      <c r="AZ23" s="17" t="n">
        <f aca="false">'Data Sep 2026'!AA28</f>
        <v>38000</v>
      </c>
      <c r="BA23" s="17" t="str">
        <f aca="false">'Data Sep 2026'!AB28</f>
        <v/>
      </c>
      <c r="BB23" s="17" t="str">
        <f aca="false">'Data Sep 2026'!AC28</f>
        <v/>
      </c>
      <c r="BC23" s="17" t="str">
        <f aca="false">'Data Sep 2026'!AD28</f>
        <v/>
      </c>
      <c r="BD23" s="17" t="str">
        <f aca="false">'Data Sep 2026'!AE28</f>
        <v/>
      </c>
    </row>
    <row r="24" customFormat="false" ht="13.5" hidden="false" customHeight="true" outlineLevel="0" collapsed="false">
      <c r="A24" s="6" t="s">
        <v>204</v>
      </c>
      <c r="B24" s="6" t="s">
        <v>357</v>
      </c>
      <c r="C24" s="33"/>
      <c r="D24" s="17" t="n">
        <f aca="false">'Data Des 2025'!AF26</f>
        <v>2800</v>
      </c>
      <c r="E24" s="17" t="n">
        <f aca="false">'Data Jan 2026'!AE26</f>
        <v>2800</v>
      </c>
      <c r="F24" s="17" t="n">
        <f aca="false">'Data Feb 2026'!AB26</f>
        <v>2800</v>
      </c>
      <c r="G24" s="17" t="n">
        <f aca="false">'Data Mar 2026'!AE26</f>
        <v>2800</v>
      </c>
      <c r="H24" s="17" t="n">
        <f aca="false">'Data Apr 2026'!AE26</f>
        <v>2800</v>
      </c>
      <c r="I24" s="17" t="n">
        <f aca="false">'Data Mei 2026'!AD26</f>
        <v>2800</v>
      </c>
      <c r="J24" s="17" t="n">
        <f aca="false">'Data Jun 2026'!AE26</f>
        <v>2800</v>
      </c>
      <c r="K24" s="17" t="n">
        <f aca="false">'Data Jul 2026'!AF26</f>
        <v>2800</v>
      </c>
      <c r="L24" s="17" t="n">
        <f aca="false">'Data Jan 2026'!Z26</f>
        <v>2800</v>
      </c>
      <c r="M24" s="17" t="n">
        <f aca="false">'Data Jan 2026'!AA26</f>
        <v>2800</v>
      </c>
      <c r="N24" s="17" t="n">
        <f aca="false">'Data Jan 2026'!AB26</f>
        <v>2800</v>
      </c>
      <c r="O24" s="17" t="n">
        <f aca="false">'Data Jan 2026'!AC26</f>
        <v>2800</v>
      </c>
      <c r="P24" s="17" t="n">
        <f aca="false">'Data Jan 2026'!AD26</f>
        <v>2800</v>
      </c>
      <c r="Q24" s="17" t="n">
        <f aca="false">'Data Feb 2026'!X26</f>
        <v>2800</v>
      </c>
      <c r="R24" s="17" t="n">
        <f aca="false">'Data Feb 2026'!Y26</f>
        <v>2800</v>
      </c>
      <c r="S24" s="17" t="n">
        <f aca="false">'Data Feb 2026'!Z26</f>
        <v>2800</v>
      </c>
      <c r="T24" s="17" t="n">
        <f aca="false">'Data Feb 2026'!AA26</f>
        <v>2800</v>
      </c>
      <c r="U24" s="17" t="n">
        <f aca="false">'Data Mar 2026'!Z26</f>
        <v>2800</v>
      </c>
      <c r="V24" s="17" t="n">
        <f aca="false">'Data Mar 2026'!AA26</f>
        <v>2800</v>
      </c>
      <c r="W24" s="17" t="n">
        <f aca="false">'Data Mar 2026'!AB26</f>
        <v>2800</v>
      </c>
      <c r="X24" s="17" t="n">
        <f aca="false">'Data Mar 2026'!AC26</f>
        <v>2800</v>
      </c>
      <c r="Y24" s="17" t="n">
        <f aca="false">'Data Mar 2026'!AD26</f>
        <v>2800</v>
      </c>
      <c r="Z24" s="17" t="n">
        <f aca="false">'Data Apr 2026'!Z26</f>
        <v>2800</v>
      </c>
      <c r="AA24" s="17" t="n">
        <f aca="false">'Data Apr 2026'!AA26</f>
        <v>2800</v>
      </c>
      <c r="AB24" s="17" t="n">
        <f aca="false">'Data Apr 2026'!AB26</f>
        <v>2800</v>
      </c>
      <c r="AC24" s="17" t="n">
        <f aca="false">'Data Apr 2026'!AC26</f>
        <v>2800</v>
      </c>
      <c r="AD24" s="17" t="n">
        <f aca="false">'Data Apr 2026'!AD26</f>
        <v>2800</v>
      </c>
      <c r="AE24" s="17" t="str">
        <f aca="false">'Data Mei 2026'!Y26</f>
        <v/>
      </c>
      <c r="AF24" s="17" t="n">
        <f aca="false">'Data Mei 2026'!Z26</f>
        <v>2800</v>
      </c>
      <c r="AG24" s="17" t="n">
        <f aca="false">'Data Mei 2026'!AA26</f>
        <v>2800</v>
      </c>
      <c r="AH24" s="17" t="n">
        <f aca="false">'Data Mei 2026'!AB26</f>
        <v>2800</v>
      </c>
      <c r="AI24" s="17" t="n">
        <f aca="false">'Data Mei 2026'!AC26</f>
        <v>2800</v>
      </c>
      <c r="AJ24" s="17" t="n">
        <f aca="false">'Data Jun 2026'!Z26</f>
        <v>2800</v>
      </c>
      <c r="AK24" s="17" t="n">
        <f aca="false">'Data Jun 2026'!AA26</f>
        <v>2800</v>
      </c>
      <c r="AL24" s="17" t="n">
        <f aca="false">'Data Jun 2026'!AB26</f>
        <v>2800</v>
      </c>
      <c r="AM24" s="17" t="n">
        <f aca="false">'Data Jun 2026'!AC26</f>
        <v>2800</v>
      </c>
      <c r="AN24" s="17" t="n">
        <f aca="false">'Data Jun 2026'!AD26</f>
        <v>2800</v>
      </c>
      <c r="AO24" s="17" t="n">
        <f aca="false">'Data Jul 2026'!AA26</f>
        <v>2800</v>
      </c>
      <c r="AP24" s="17" t="n">
        <f aca="false">'Data Jul 2026'!AB26</f>
        <v>2800</v>
      </c>
      <c r="AQ24" s="17" t="n">
        <f aca="false">'Data Jul 2026'!AC26</f>
        <v>2800</v>
      </c>
      <c r="AR24" s="17" t="n">
        <f aca="false">'Data Jul 2026'!AD26</f>
        <v>2800</v>
      </c>
      <c r="AS24" s="17" t="n">
        <f aca="false">'Data Jul 2026'!AE26</f>
        <v>2800</v>
      </c>
      <c r="AT24" s="17" t="n">
        <f aca="false">'Data Agu 2026'!Y26</f>
        <v>2800</v>
      </c>
      <c r="AU24" s="17" t="n">
        <f aca="false">'Data Agu 2026'!Z26</f>
        <v>2800</v>
      </c>
      <c r="AV24" s="17" t="n">
        <f aca="false">'Data Agu 2026'!AA26</f>
        <v>2800</v>
      </c>
      <c r="AW24" s="17" t="n">
        <f aca="false">'Data Agu 2026'!AB26</f>
        <v>2800</v>
      </c>
      <c r="AX24" s="17" t="str">
        <f aca="false">'Data Agu 2026'!AC26</f>
        <v/>
      </c>
      <c r="AY24" s="17" t="n">
        <f aca="false">'Data Agu 2026'!AD26</f>
        <v>2800</v>
      </c>
      <c r="AZ24" s="17" t="n">
        <f aca="false">'Data Sep 2026'!AA26</f>
        <v>2800</v>
      </c>
      <c r="BA24" s="17" t="str">
        <f aca="false">'Data Sep 2026'!AB26</f>
        <v/>
      </c>
      <c r="BB24" s="17" t="str">
        <f aca="false">'Data Sep 2026'!AC26</f>
        <v/>
      </c>
      <c r="BC24" s="17" t="str">
        <f aca="false">'Data Sep 2026'!AD26</f>
        <v/>
      </c>
      <c r="BD24" s="17" t="str">
        <f aca="false">'Data Sep 2026'!AE26</f>
        <v/>
      </c>
    </row>
    <row r="25" customFormat="false" ht="13.5" hidden="false" customHeight="true" outlineLevel="0" collapsed="false">
      <c r="A25" s="6" t="s">
        <v>205</v>
      </c>
      <c r="B25" s="6" t="s">
        <v>358</v>
      </c>
      <c r="C25" s="34" t="s">
        <v>359</v>
      </c>
      <c r="D25" s="17" t="n">
        <f aca="false">'Data Des 2025'!AF31</f>
        <v>10500</v>
      </c>
      <c r="E25" s="17" t="n">
        <f aca="false">'Data Jan 2026'!AE31</f>
        <v>10500</v>
      </c>
      <c r="F25" s="17" t="n">
        <f aca="false">'Data Feb 2026'!AB31</f>
        <v>10500</v>
      </c>
      <c r="G25" s="17" t="n">
        <f aca="false">'Data Mar 2026'!AE31</f>
        <v>10500</v>
      </c>
      <c r="H25" s="17" t="n">
        <f aca="false">'Data Apr 2026'!AE31</f>
        <v>10500</v>
      </c>
      <c r="I25" s="17" t="n">
        <f aca="false">'Data Mei 2026'!AD31</f>
        <v>10500</v>
      </c>
      <c r="J25" s="17" t="n">
        <f aca="false">'Data Jun 2026'!AE31</f>
        <v>10500</v>
      </c>
      <c r="K25" s="17" t="n">
        <f aca="false">'Data Jul 2026'!AF31</f>
        <v>10500</v>
      </c>
      <c r="L25" s="17" t="n">
        <f aca="false">'Data Jan 2026'!Z31</f>
        <v>10500</v>
      </c>
      <c r="M25" s="17" t="n">
        <f aca="false">'Data Jan 2026'!AA31</f>
        <v>10500</v>
      </c>
      <c r="N25" s="17" t="n">
        <f aca="false">'Data Jan 2026'!AB31</f>
        <v>10500</v>
      </c>
      <c r="O25" s="17" t="n">
        <f aca="false">'Data Jan 2026'!AC31</f>
        <v>10500</v>
      </c>
      <c r="P25" s="17" t="n">
        <f aca="false">'Data Jan 2026'!AD31</f>
        <v>10500</v>
      </c>
      <c r="Q25" s="17" t="n">
        <f aca="false">'Data Feb 2026'!X31</f>
        <v>10500</v>
      </c>
      <c r="R25" s="17" t="n">
        <f aca="false">'Data Feb 2026'!Y31</f>
        <v>10500</v>
      </c>
      <c r="S25" s="17" t="n">
        <f aca="false">'Data Feb 2026'!Z31</f>
        <v>10500</v>
      </c>
      <c r="T25" s="17" t="n">
        <f aca="false">'Data Feb 2026'!AA31</f>
        <v>10500</v>
      </c>
      <c r="U25" s="17" t="n">
        <f aca="false">'Data Mar 2026'!Z31</f>
        <v>10500</v>
      </c>
      <c r="V25" s="17" t="n">
        <f aca="false">'Data Mar 2026'!AA31</f>
        <v>10500</v>
      </c>
      <c r="W25" s="17" t="n">
        <f aca="false">'Data Mar 2026'!AB31</f>
        <v>10500</v>
      </c>
      <c r="X25" s="17" t="n">
        <f aca="false">'Data Mar 2026'!AC31</f>
        <v>10500</v>
      </c>
      <c r="Y25" s="17" t="n">
        <f aca="false">'Data Mar 2026'!AD31</f>
        <v>10500</v>
      </c>
      <c r="Z25" s="17" t="n">
        <f aca="false">'Data Apr 2026'!Z31</f>
        <v>10500</v>
      </c>
      <c r="AA25" s="17" t="n">
        <f aca="false">'Data Apr 2026'!AA31</f>
        <v>10500</v>
      </c>
      <c r="AB25" s="17" t="n">
        <f aca="false">'Data Apr 2026'!AB31</f>
        <v>10500</v>
      </c>
      <c r="AC25" s="17" t="n">
        <f aca="false">'Data Apr 2026'!AC31</f>
        <v>10500</v>
      </c>
      <c r="AD25" s="17" t="n">
        <f aca="false">'Data Apr 2026'!AD31</f>
        <v>10500</v>
      </c>
      <c r="AE25" s="17" t="str">
        <f aca="false">'Data Mei 2026'!Y31</f>
        <v/>
      </c>
      <c r="AF25" s="17" t="n">
        <f aca="false">'Data Mei 2026'!Z31</f>
        <v>10500</v>
      </c>
      <c r="AG25" s="17" t="n">
        <f aca="false">'Data Mei 2026'!AA31</f>
        <v>10500</v>
      </c>
      <c r="AH25" s="17" t="n">
        <f aca="false">'Data Mei 2026'!AB31</f>
        <v>10500</v>
      </c>
      <c r="AI25" s="17" t="n">
        <f aca="false">'Data Mei 2026'!AC31</f>
        <v>10500</v>
      </c>
      <c r="AJ25" s="17" t="n">
        <f aca="false">'Data Jun 2026'!Z31</f>
        <v>10500</v>
      </c>
      <c r="AK25" s="17" t="n">
        <f aca="false">'Data Jun 2026'!AA31</f>
        <v>10500</v>
      </c>
      <c r="AL25" s="17" t="n">
        <f aca="false">'Data Jun 2026'!AB31</f>
        <v>10500</v>
      </c>
      <c r="AM25" s="17" t="n">
        <f aca="false">'Data Jun 2026'!AC31</f>
        <v>10500</v>
      </c>
      <c r="AN25" s="17" t="n">
        <f aca="false">'Data Jun 2026'!AD31</f>
        <v>10500</v>
      </c>
      <c r="AO25" s="17" t="n">
        <f aca="false">'Data Jul 2026'!AA31</f>
        <v>10500</v>
      </c>
      <c r="AP25" s="17" t="n">
        <f aca="false">'Data Jul 2026'!AB31</f>
        <v>10500</v>
      </c>
      <c r="AQ25" s="17" t="n">
        <f aca="false">'Data Jul 2026'!AC31</f>
        <v>10500</v>
      </c>
      <c r="AR25" s="17" t="n">
        <f aca="false">'Data Jul 2026'!AD31</f>
        <v>10500</v>
      </c>
      <c r="AS25" s="17" t="n">
        <f aca="false">'Data Jul 2026'!AE31</f>
        <v>10500</v>
      </c>
      <c r="AT25" s="17" t="n">
        <f aca="false">'Data Agu 2026'!Y31</f>
        <v>10500</v>
      </c>
      <c r="AU25" s="17" t="n">
        <f aca="false">'Data Agu 2026'!Z31</f>
        <v>10500</v>
      </c>
      <c r="AV25" s="17" t="n">
        <f aca="false">'Data Agu 2026'!AA31</f>
        <v>10500</v>
      </c>
      <c r="AW25" s="17" t="n">
        <f aca="false">'Data Agu 2026'!AB31</f>
        <v>10500</v>
      </c>
      <c r="AX25" s="17" t="str">
        <f aca="false">'Data Agu 2026'!AC31</f>
        <v/>
      </c>
      <c r="AY25" s="17" t="n">
        <f aca="false">'Data Agu 2026'!AD31</f>
        <v>10500</v>
      </c>
      <c r="AZ25" s="17" t="n">
        <f aca="false">'Data Sep 2026'!AA31</f>
        <v>10500</v>
      </c>
      <c r="BA25" s="17" t="str">
        <f aca="false">'Data Sep 2026'!AB31</f>
        <v/>
      </c>
      <c r="BB25" s="17" t="str">
        <f aca="false">'Data Sep 2026'!AC31</f>
        <v/>
      </c>
      <c r="BC25" s="17" t="str">
        <f aca="false">'Data Sep 2026'!AD31</f>
        <v/>
      </c>
      <c r="BD25" s="17" t="str">
        <f aca="false">'Data Sep 2026'!AE31</f>
        <v/>
      </c>
    </row>
    <row r="26" customFormat="false" ht="13.5" hidden="false" customHeight="true" outlineLevel="0" collapsed="false">
      <c r="A26" s="6" t="s">
        <v>206</v>
      </c>
      <c r="B26" s="6" t="s">
        <v>360</v>
      </c>
      <c r="C26" s="33"/>
      <c r="D26" s="17" t="n">
        <f aca="false">'Data Des 2025'!AF9</f>
        <v>25000</v>
      </c>
      <c r="E26" s="17" t="n">
        <f aca="false">'Data Jan 2026'!AE9</f>
        <v>23350</v>
      </c>
      <c r="F26" s="17" t="n">
        <f aca="false">'Data Feb 2026'!AB9</f>
        <v>23888.8888888889</v>
      </c>
      <c r="G26" s="17" t="n">
        <f aca="false">'Data Mar 2026'!AE9</f>
        <v>32100</v>
      </c>
      <c r="H26" s="17" t="n">
        <f aca="false">'Data Apr 2026'!AE9</f>
        <v>32904.7619047619</v>
      </c>
      <c r="I26" s="17" t="n">
        <f aca="false">'Data Mei 2026'!AD9</f>
        <v>40500</v>
      </c>
      <c r="J26" s="17" t="n">
        <f aca="false">'Data Jun 2026'!AE9</f>
        <v>36150</v>
      </c>
      <c r="K26" s="17" t="n">
        <f aca="false">'Data Jul 2026'!AF9</f>
        <v>30000</v>
      </c>
      <c r="L26" s="17" t="n">
        <f aca="false">'Data Jan 2026'!Z9</f>
        <v>25000</v>
      </c>
      <c r="M26" s="17" t="n">
        <f aca="false">'Data Jan 2026'!AA9</f>
        <v>25000</v>
      </c>
      <c r="N26" s="17" t="n">
        <f aca="false">'Data Jan 2026'!AB9</f>
        <v>24250</v>
      </c>
      <c r="O26" s="17" t="n">
        <f aca="false">'Data Jan 2026'!AC9</f>
        <v>22000</v>
      </c>
      <c r="P26" s="17" t="n">
        <f aca="false">'Data Jan 2026'!AD9</f>
        <v>22000</v>
      </c>
      <c r="Q26" s="17" t="n">
        <f aca="false">'Data Feb 2026'!X9</f>
        <v>22800</v>
      </c>
      <c r="R26" s="17" t="n">
        <f aca="false">'Data Feb 2026'!Y9</f>
        <v>22300</v>
      </c>
      <c r="S26" s="17" t="n">
        <f aca="false">'Data Feb 2026'!Z9</f>
        <v>25166.6666666667</v>
      </c>
      <c r="T26" s="17" t="n">
        <f aca="false">'Data Feb 2026'!AA9</f>
        <v>25800</v>
      </c>
      <c r="U26" s="17" t="n">
        <f aca="false">'Data Mar 2026'!Z9</f>
        <v>28000</v>
      </c>
      <c r="V26" s="17" t="n">
        <f aca="false">'Data Mar 2026'!AA9</f>
        <v>30400</v>
      </c>
      <c r="W26" s="17" t="n">
        <f aca="false">'Data Mar 2026'!AB9</f>
        <v>37600</v>
      </c>
      <c r="X26" s="17" t="n">
        <f aca="false">'Data Mar 2026'!AC9</f>
        <v>31666.6666666667</v>
      </c>
      <c r="Y26" s="17" t="n">
        <f aca="false">'Data Mar 2026'!AD9</f>
        <v>33500</v>
      </c>
      <c r="Z26" s="17" t="n">
        <f aca="false">'Data Apr 2026'!Z9</f>
        <v>30500</v>
      </c>
      <c r="AA26" s="17" t="n">
        <f aca="false">'Data Apr 2026'!AA9</f>
        <v>30400</v>
      </c>
      <c r="AB26" s="17" t="n">
        <f aca="false">'Data Apr 2026'!AB9</f>
        <v>32800</v>
      </c>
      <c r="AC26" s="17" t="n">
        <f aca="false">'Data Apr 2026'!AC9</f>
        <v>34000</v>
      </c>
      <c r="AD26" s="17" t="n">
        <f aca="false">'Data Apr 2026'!AD9</f>
        <v>36000</v>
      </c>
      <c r="AE26" s="17" t="str">
        <f aca="false">'Data Mei 2026'!Y9</f>
        <v/>
      </c>
      <c r="AF26" s="17" t="n">
        <f aca="false">'Data Mei 2026'!Z9</f>
        <v>35000</v>
      </c>
      <c r="AG26" s="17" t="n">
        <f aca="false">'Data Mei 2026'!AA9</f>
        <v>40666.6666666667</v>
      </c>
      <c r="AH26" s="17" t="n">
        <f aca="false">'Data Mei 2026'!AB9</f>
        <v>42600</v>
      </c>
      <c r="AI26" s="17" t="n">
        <f aca="false">'Data Mei 2026'!AC9</f>
        <v>46000</v>
      </c>
      <c r="AJ26" s="17" t="n">
        <f aca="false">'Data Jun 2026'!Z9</f>
        <v>43500</v>
      </c>
      <c r="AK26" s="17" t="n">
        <f aca="false">'Data Jun 2026'!AA9</f>
        <v>39600</v>
      </c>
      <c r="AL26" s="17" t="n">
        <f aca="false">'Data Jun 2026'!AB9</f>
        <v>32250</v>
      </c>
      <c r="AM26" s="17" t="n">
        <f aca="false">'Data Jun 2026'!AC9</f>
        <v>32000</v>
      </c>
      <c r="AN26" s="17" t="n">
        <f aca="false">'Data Jun 2026'!AD9</f>
        <v>31000</v>
      </c>
      <c r="AO26" s="17" t="n">
        <f aca="false">'Data Jul 2026'!AA9</f>
        <v>30000</v>
      </c>
      <c r="AP26" s="17" t="n">
        <f aca="false">'Data Jul 2026'!AB9</f>
        <v>30000</v>
      </c>
      <c r="AQ26" s="17" t="n">
        <f aca="false">'Data Jul 2026'!AC9</f>
        <v>30000</v>
      </c>
      <c r="AR26" s="17" t="n">
        <f aca="false">'Data Jul 2026'!AD9</f>
        <v>30000</v>
      </c>
      <c r="AS26" s="17" t="n">
        <f aca="false">'Data Jul 2026'!AE9</f>
        <v>30000</v>
      </c>
      <c r="AT26" s="17" t="n">
        <f aca="false">'Data Agu 2026'!Y9</f>
        <v>30000</v>
      </c>
      <c r="AU26" s="17" t="n">
        <f aca="false">'Data Agu 2026'!Z9</f>
        <v>30000</v>
      </c>
      <c r="AV26" s="17" t="n">
        <f aca="false">'Data Agu 2026'!AA9</f>
        <v>28500</v>
      </c>
      <c r="AW26" s="17" t="n">
        <f aca="false">'Data Agu 2026'!AB9</f>
        <v>28000</v>
      </c>
      <c r="AX26" s="17" t="str">
        <f aca="false">'Data Agu 2026'!AC9</f>
        <v/>
      </c>
      <c r="AY26" s="17" t="n">
        <f aca="false">'Data Agu 2026'!AD9</f>
        <v>29222.2222222222</v>
      </c>
      <c r="AZ26" s="17" t="n">
        <f aca="false">'Data Sep 2026'!AA9</f>
        <v>28000</v>
      </c>
      <c r="BA26" s="17" t="str">
        <f aca="false">'Data Sep 2026'!AB9</f>
        <v/>
      </c>
      <c r="BB26" s="17" t="str">
        <f aca="false">'Data Sep 2026'!AC9</f>
        <v/>
      </c>
      <c r="BC26" s="17" t="str">
        <f aca="false">'Data Sep 2026'!AD9</f>
        <v/>
      </c>
      <c r="BD26" s="17" t="str">
        <f aca="false">'Data Sep 2026'!AE9</f>
        <v/>
      </c>
    </row>
    <row r="27" customFormat="false" ht="13.5" hidden="false" customHeight="true" outlineLevel="0" collapsed="false">
      <c r="A27" s="6" t="s">
        <v>206</v>
      </c>
      <c r="B27" s="6" t="s">
        <v>361</v>
      </c>
      <c r="C27" s="33"/>
      <c r="D27" s="17" t="n">
        <f aca="false">'Data Des 2025'!AF10</f>
        <v>25666.6666666667</v>
      </c>
      <c r="E27" s="17" t="n">
        <f aca="false">'Data Jan 2026'!AE10</f>
        <v>23350</v>
      </c>
      <c r="F27" s="17" t="n">
        <f aca="false">'Data Feb 2026'!AB10</f>
        <v>23333.3333333333</v>
      </c>
      <c r="G27" s="17" t="n">
        <f aca="false">'Data Mar 2026'!AE10</f>
        <v>32850</v>
      </c>
      <c r="H27" s="17" t="n">
        <f aca="false">'Data Apr 2026'!AE10</f>
        <v>34190.4761904762</v>
      </c>
      <c r="I27" s="17" t="n">
        <f aca="false">'Data Mei 2026'!AD10</f>
        <v>45375</v>
      </c>
      <c r="J27" s="17" t="n">
        <f aca="false">'Data Jun 2026'!AE10</f>
        <v>37850</v>
      </c>
      <c r="K27" s="17" t="n">
        <f aca="false">'Data Jul 2026'!AF10</f>
        <v>28000</v>
      </c>
      <c r="L27" s="17" t="n">
        <f aca="false">'Data Jan 2026'!Z10</f>
        <v>25000</v>
      </c>
      <c r="M27" s="17" t="n">
        <f aca="false">'Data Jan 2026'!AA10</f>
        <v>25000</v>
      </c>
      <c r="N27" s="17" t="n">
        <f aca="false">'Data Jan 2026'!AB10</f>
        <v>24250</v>
      </c>
      <c r="O27" s="17" t="n">
        <f aca="false">'Data Jan 2026'!AC10</f>
        <v>22000</v>
      </c>
      <c r="P27" s="17" t="n">
        <f aca="false">'Data Jan 2026'!AD10</f>
        <v>22000</v>
      </c>
      <c r="Q27" s="17" t="n">
        <f aca="false">'Data Feb 2026'!X10</f>
        <v>22400</v>
      </c>
      <c r="R27" s="17" t="n">
        <f aca="false">'Data Feb 2026'!Y10</f>
        <v>22300</v>
      </c>
      <c r="S27" s="17" t="n">
        <f aca="false">'Data Feb 2026'!Z10</f>
        <v>23833.3333333333</v>
      </c>
      <c r="T27" s="17" t="n">
        <f aca="false">'Data Feb 2026'!AA10</f>
        <v>25000</v>
      </c>
      <c r="U27" s="17" t="n">
        <f aca="false">'Data Mar 2026'!Z10</f>
        <v>24400</v>
      </c>
      <c r="V27" s="17" t="n">
        <f aca="false">'Data Mar 2026'!AA10</f>
        <v>29200</v>
      </c>
      <c r="W27" s="17" t="n">
        <f aca="false">'Data Mar 2026'!AB10</f>
        <v>44600</v>
      </c>
      <c r="X27" s="17" t="n">
        <f aca="false">'Data Mar 2026'!AC10</f>
        <v>32666.6666666667</v>
      </c>
      <c r="Y27" s="17" t="n">
        <f aca="false">'Data Mar 2026'!AD10</f>
        <v>34000</v>
      </c>
      <c r="Z27" s="17" t="n">
        <f aca="false">'Data Apr 2026'!Z10</f>
        <v>30000</v>
      </c>
      <c r="AA27" s="17" t="n">
        <f aca="false">'Data Apr 2026'!AA10</f>
        <v>31200</v>
      </c>
      <c r="AB27" s="17" t="n">
        <f aca="false">'Data Apr 2026'!AB10</f>
        <v>32400</v>
      </c>
      <c r="AC27" s="17" t="n">
        <f aca="false">'Data Apr 2026'!AC10</f>
        <v>36000</v>
      </c>
      <c r="AD27" s="17" t="n">
        <f aca="false">'Data Apr 2026'!AD10</f>
        <v>40000</v>
      </c>
      <c r="AE27" s="17" t="str">
        <f aca="false">'Data Mei 2026'!Y10</f>
        <v/>
      </c>
      <c r="AF27" s="17" t="n">
        <f aca="false">'Data Mei 2026'!Z10</f>
        <v>40000</v>
      </c>
      <c r="AG27" s="17" t="n">
        <f aca="false">'Data Mei 2026'!AA10</f>
        <v>46666.6666666667</v>
      </c>
      <c r="AH27" s="17" t="n">
        <f aca="false">'Data Mei 2026'!AB10</f>
        <v>46800</v>
      </c>
      <c r="AI27" s="17" t="n">
        <f aca="false">'Data Mei 2026'!AC10</f>
        <v>50666.6666666667</v>
      </c>
      <c r="AJ27" s="17" t="n">
        <f aca="false">'Data Jun 2026'!Z10</f>
        <v>48500</v>
      </c>
      <c r="AK27" s="17" t="n">
        <f aca="false">'Data Jun 2026'!AA10</f>
        <v>47400</v>
      </c>
      <c r="AL27" s="17" t="n">
        <f aca="false">'Data Jun 2026'!AB10</f>
        <v>32500</v>
      </c>
      <c r="AM27" s="17" t="n">
        <f aca="false">'Data Jun 2026'!AC10</f>
        <v>28000</v>
      </c>
      <c r="AN27" s="17" t="n">
        <f aca="false">'Data Jun 2026'!AD10</f>
        <v>28000</v>
      </c>
      <c r="AO27" s="17" t="n">
        <f aca="false">'Data Jul 2026'!AA10</f>
        <v>28000</v>
      </c>
      <c r="AP27" s="17" t="n">
        <f aca="false">'Data Jul 2026'!AB10</f>
        <v>28000</v>
      </c>
      <c r="AQ27" s="17" t="n">
        <f aca="false">'Data Jul 2026'!AC10</f>
        <v>28000</v>
      </c>
      <c r="AR27" s="17" t="n">
        <f aca="false">'Data Jul 2026'!AD10</f>
        <v>28000</v>
      </c>
      <c r="AS27" s="17" t="n">
        <f aca="false">'Data Jul 2026'!AE10</f>
        <v>28000</v>
      </c>
      <c r="AT27" s="17" t="n">
        <f aca="false">'Data Agu 2026'!Y10</f>
        <v>28000</v>
      </c>
      <c r="AU27" s="17" t="n">
        <f aca="false">'Data Agu 2026'!Z10</f>
        <v>28000</v>
      </c>
      <c r="AV27" s="17" t="n">
        <f aca="false">'Data Agu 2026'!AA10</f>
        <v>26500</v>
      </c>
      <c r="AW27" s="17" t="n">
        <f aca="false">'Data Agu 2026'!AB10</f>
        <v>26000</v>
      </c>
      <c r="AX27" s="17" t="str">
        <f aca="false">'Data Agu 2026'!AC10</f>
        <v/>
      </c>
      <c r="AY27" s="17" t="n">
        <f aca="false">'Data Agu 2026'!AD10</f>
        <v>27222.2222222222</v>
      </c>
      <c r="AZ27" s="17" t="n">
        <f aca="false">'Data Sep 2026'!AA10</f>
        <v>26000</v>
      </c>
      <c r="BA27" s="17" t="str">
        <f aca="false">'Data Sep 2026'!AB10</f>
        <v/>
      </c>
      <c r="BB27" s="17" t="str">
        <f aca="false">'Data Sep 2026'!AC10</f>
        <v/>
      </c>
      <c r="BC27" s="17" t="str">
        <f aca="false">'Data Sep 2026'!AD10</f>
        <v/>
      </c>
      <c r="BD27" s="17" t="str">
        <f aca="false">'Data Sep 2026'!AE10</f>
        <v/>
      </c>
    </row>
    <row r="28" customFormat="false" ht="13.5" hidden="false" customHeight="true" outlineLevel="0" collapsed="false">
      <c r="A28" s="6" t="s">
        <v>207</v>
      </c>
      <c r="B28" s="6" t="s">
        <v>362</v>
      </c>
      <c r="C28" s="33"/>
      <c r="D28" s="17" t="n">
        <f aca="false">'Data Des 2025'!AF20</f>
        <v>110000</v>
      </c>
      <c r="E28" s="17" t="n">
        <f aca="false">'Data Jan 2026'!AE20</f>
        <v>110000</v>
      </c>
      <c r="F28" s="17" t="n">
        <f aca="false">'Data Feb 2026'!AB20</f>
        <v>110000</v>
      </c>
      <c r="G28" s="17" t="n">
        <f aca="false">'Data Mar 2026'!AE20</f>
        <v>113800</v>
      </c>
      <c r="H28" s="17" t="n">
        <f aca="false">'Data Apr 2026'!AE20</f>
        <v>114047.619047619</v>
      </c>
      <c r="I28" s="17" t="n">
        <f aca="false">'Data Mei 2026'!AD20</f>
        <v>115000</v>
      </c>
      <c r="J28" s="17" t="n">
        <f aca="false">'Data Jun 2026'!AE20</f>
        <v>117550</v>
      </c>
      <c r="K28" s="17" t="n">
        <f aca="false">'Data Jul 2026'!AF20</f>
        <v>120000</v>
      </c>
      <c r="L28" s="17" t="n">
        <f aca="false">'Data Jan 2026'!Z20</f>
        <v>110000</v>
      </c>
      <c r="M28" s="17" t="n">
        <f aca="false">'Data Jan 2026'!AA20</f>
        <v>110000</v>
      </c>
      <c r="N28" s="17" t="n">
        <f aca="false">'Data Jan 2026'!AB20</f>
        <v>110000</v>
      </c>
      <c r="O28" s="17" t="n">
        <f aca="false">'Data Jan 2026'!AC20</f>
        <v>110000</v>
      </c>
      <c r="P28" s="17" t="n">
        <f aca="false">'Data Jan 2026'!AD20</f>
        <v>110000</v>
      </c>
      <c r="Q28" s="17" t="n">
        <f aca="false">'Data Feb 2026'!X20</f>
        <v>110000</v>
      </c>
      <c r="R28" s="17" t="n">
        <f aca="false">'Data Feb 2026'!Y20</f>
        <v>110000</v>
      </c>
      <c r="S28" s="17" t="n">
        <f aca="false">'Data Feb 2026'!Z20</f>
        <v>110000</v>
      </c>
      <c r="T28" s="17" t="n">
        <f aca="false">'Data Feb 2026'!AA20</f>
        <v>110000</v>
      </c>
      <c r="U28" s="17" t="n">
        <f aca="false">'Data Mar 2026'!Z20</f>
        <v>110000</v>
      </c>
      <c r="V28" s="17" t="n">
        <f aca="false">'Data Mar 2026'!AA20</f>
        <v>113200</v>
      </c>
      <c r="W28" s="17" t="n">
        <f aca="false">'Data Mar 2026'!AB20</f>
        <v>117000</v>
      </c>
      <c r="X28" s="17" t="n">
        <f aca="false">'Data Mar 2026'!AC20</f>
        <v>115000</v>
      </c>
      <c r="Y28" s="17" t="n">
        <f aca="false">'Data Mar 2026'!AD20</f>
        <v>115000</v>
      </c>
      <c r="Z28" s="17" t="n">
        <f aca="false">'Data Apr 2026'!Z20</f>
        <v>114000</v>
      </c>
      <c r="AA28" s="17" t="n">
        <f aca="false">'Data Apr 2026'!AA20</f>
        <v>114000</v>
      </c>
      <c r="AB28" s="17" t="n">
        <f aca="false">'Data Apr 2026'!AB20</f>
        <v>114000</v>
      </c>
      <c r="AC28" s="17" t="n">
        <f aca="false">'Data Apr 2026'!AC20</f>
        <v>114000</v>
      </c>
      <c r="AD28" s="17" t="n">
        <f aca="false">'Data Apr 2026'!AD20</f>
        <v>114250</v>
      </c>
      <c r="AE28" s="17" t="str">
        <f aca="false">'Data Mei 2026'!Y20</f>
        <v/>
      </c>
      <c r="AF28" s="17" t="n">
        <f aca="false">'Data Mei 2026'!Z20</f>
        <v>115000</v>
      </c>
      <c r="AG28" s="17" t="n">
        <f aca="false">'Data Mei 2026'!AA20</f>
        <v>115000</v>
      </c>
      <c r="AH28" s="17" t="n">
        <f aca="false">'Data Mei 2026'!AB20</f>
        <v>115000</v>
      </c>
      <c r="AI28" s="17" t="n">
        <f aca="false">'Data Mei 2026'!AC20</f>
        <v>115000</v>
      </c>
      <c r="AJ28" s="17" t="n">
        <f aca="false">'Data Jun 2026'!Z20</f>
        <v>115000</v>
      </c>
      <c r="AK28" s="17" t="n">
        <f aca="false">'Data Jun 2026'!AA20</f>
        <v>115800</v>
      </c>
      <c r="AL28" s="17" t="n">
        <f aca="false">'Data Jun 2026'!AB20</f>
        <v>118000</v>
      </c>
      <c r="AM28" s="17" t="n">
        <f aca="false">'Data Jun 2026'!AC20</f>
        <v>120000</v>
      </c>
      <c r="AN28" s="17" t="n">
        <f aca="false">'Data Jun 2026'!AD20</f>
        <v>120000</v>
      </c>
      <c r="AO28" s="17" t="n">
        <f aca="false">'Data Jul 2026'!AA20</f>
        <v>120000</v>
      </c>
      <c r="AP28" s="17" t="n">
        <f aca="false">'Data Jul 2026'!AB20</f>
        <v>120000</v>
      </c>
      <c r="AQ28" s="17" t="n">
        <f aca="false">'Data Jul 2026'!AC20</f>
        <v>120000</v>
      </c>
      <c r="AR28" s="17" t="n">
        <f aca="false">'Data Jul 2026'!AD20</f>
        <v>120000</v>
      </c>
      <c r="AS28" s="17" t="n">
        <f aca="false">'Data Jul 2026'!AE20</f>
        <v>120000</v>
      </c>
      <c r="AT28" s="17" t="n">
        <f aca="false">'Data Agu 2026'!Y20</f>
        <v>120000</v>
      </c>
      <c r="AU28" s="17" t="n">
        <f aca="false">'Data Agu 2026'!Z20</f>
        <v>120000</v>
      </c>
      <c r="AV28" s="17" t="n">
        <f aca="false">'Data Agu 2026'!AA20</f>
        <v>120000</v>
      </c>
      <c r="AW28" s="17" t="n">
        <f aca="false">'Data Agu 2026'!AB20</f>
        <v>120000</v>
      </c>
      <c r="AX28" s="17" t="str">
        <f aca="false">'Data Agu 2026'!AC20</f>
        <v/>
      </c>
      <c r="AY28" s="17" t="n">
        <f aca="false">'Data Agu 2026'!AD20</f>
        <v>120000</v>
      </c>
      <c r="AZ28" s="17" t="n">
        <f aca="false">'Data Sep 2026'!AA20</f>
        <v>120000</v>
      </c>
      <c r="BA28" s="17" t="str">
        <f aca="false">'Data Sep 2026'!AB20</f>
        <v/>
      </c>
      <c r="BB28" s="17" t="str">
        <f aca="false">'Data Sep 2026'!AC20</f>
        <v/>
      </c>
      <c r="BC28" s="17" t="str">
        <f aca="false">'Data Sep 2026'!AD20</f>
        <v/>
      </c>
      <c r="BD28" s="17" t="str">
        <f aca="false">'Data Sep 2026'!AE20</f>
        <v/>
      </c>
    </row>
    <row r="29" customFormat="false" ht="13.5" hidden="false" customHeight="true" outlineLevel="0" collapsed="false">
      <c r="A29" s="6" t="s">
        <v>207</v>
      </c>
      <c r="B29" s="6" t="s">
        <v>363</v>
      </c>
      <c r="C29" s="33"/>
      <c r="D29" s="17" t="n">
        <f aca="false">'Data Des 2025'!AF21</f>
        <v>60000</v>
      </c>
      <c r="E29" s="17" t="n">
        <f aca="false">'Data Jan 2026'!AE21</f>
        <v>60000</v>
      </c>
      <c r="F29" s="17" t="n">
        <f aca="false">'Data Feb 2026'!AB21</f>
        <v>63333.3333333333</v>
      </c>
      <c r="G29" s="17" t="n">
        <f aca="false">'Data Mar 2026'!AE21</f>
        <v>70000</v>
      </c>
      <c r="H29" s="17" t="n">
        <f aca="false">'Data Apr 2026'!AE21</f>
        <v>70000</v>
      </c>
      <c r="I29" s="17" t="n">
        <f aca="false">'Data Mei 2026'!AD21</f>
        <v>70000</v>
      </c>
      <c r="J29" s="17" t="n">
        <f aca="false">'Data Jun 2026'!AE21</f>
        <v>70000</v>
      </c>
      <c r="K29" s="17" t="n">
        <f aca="false">'Data Jul 2026'!AF21</f>
        <v>70000</v>
      </c>
      <c r="L29" s="17" t="n">
        <f aca="false">'Data Jan 2026'!Z21</f>
        <v>60000</v>
      </c>
      <c r="M29" s="17" t="n">
        <f aca="false">'Data Jan 2026'!AA21</f>
        <v>60000</v>
      </c>
      <c r="N29" s="17" t="n">
        <f aca="false">'Data Jan 2026'!AB21</f>
        <v>60000</v>
      </c>
      <c r="O29" s="17" t="n">
        <f aca="false">'Data Jan 2026'!AC21</f>
        <v>60000</v>
      </c>
      <c r="P29" s="17" t="n">
        <f aca="false">'Data Jan 2026'!AD21</f>
        <v>60000</v>
      </c>
      <c r="Q29" s="17" t="n">
        <f aca="false">'Data Feb 2026'!X21</f>
        <v>62000</v>
      </c>
      <c r="R29" s="17" t="n">
        <f aca="false">'Data Feb 2026'!Y21</f>
        <v>60000</v>
      </c>
      <c r="S29" s="17" t="n">
        <f aca="false">'Data Feb 2026'!Z21</f>
        <v>66666.6666666667</v>
      </c>
      <c r="T29" s="17" t="n">
        <f aca="false">'Data Feb 2026'!AA21</f>
        <v>66000</v>
      </c>
      <c r="U29" s="17" t="n">
        <f aca="false">'Data Mar 2026'!Z21</f>
        <v>70000</v>
      </c>
      <c r="V29" s="17" t="n">
        <f aca="false">'Data Mar 2026'!AA21</f>
        <v>70000</v>
      </c>
      <c r="W29" s="17" t="n">
        <f aca="false">'Data Mar 2026'!AB21</f>
        <v>70000</v>
      </c>
      <c r="X29" s="17" t="n">
        <f aca="false">'Data Mar 2026'!AC21</f>
        <v>70000</v>
      </c>
      <c r="Y29" s="17" t="n">
        <f aca="false">'Data Mar 2026'!AD21</f>
        <v>70000</v>
      </c>
      <c r="Z29" s="17" t="n">
        <f aca="false">'Data Apr 2026'!Z21</f>
        <v>70000</v>
      </c>
      <c r="AA29" s="17" t="n">
        <f aca="false">'Data Apr 2026'!AA21</f>
        <v>70000</v>
      </c>
      <c r="AB29" s="17" t="n">
        <f aca="false">'Data Apr 2026'!AB21</f>
        <v>70000</v>
      </c>
      <c r="AC29" s="17" t="n">
        <f aca="false">'Data Apr 2026'!AC21</f>
        <v>70000</v>
      </c>
      <c r="AD29" s="17" t="n">
        <f aca="false">'Data Apr 2026'!AD21</f>
        <v>70000</v>
      </c>
      <c r="AE29" s="17" t="str">
        <f aca="false">'Data Mei 2026'!Y21</f>
        <v/>
      </c>
      <c r="AF29" s="17" t="n">
        <f aca="false">'Data Mei 2026'!Z21</f>
        <v>70000</v>
      </c>
      <c r="AG29" s="17" t="n">
        <f aca="false">'Data Mei 2026'!AA21</f>
        <v>70000</v>
      </c>
      <c r="AH29" s="17" t="n">
        <f aca="false">'Data Mei 2026'!AB21</f>
        <v>70000</v>
      </c>
      <c r="AI29" s="17" t="n">
        <f aca="false">'Data Mei 2026'!AC21</f>
        <v>70000</v>
      </c>
      <c r="AJ29" s="17" t="n">
        <f aca="false">'Data Jun 2026'!Z21</f>
        <v>70000</v>
      </c>
      <c r="AK29" s="17" t="n">
        <f aca="false">'Data Jun 2026'!AA21</f>
        <v>70000</v>
      </c>
      <c r="AL29" s="17" t="n">
        <f aca="false">'Data Jun 2026'!AB21</f>
        <v>70000</v>
      </c>
      <c r="AM29" s="17" t="n">
        <f aca="false">'Data Jun 2026'!AC21</f>
        <v>70000</v>
      </c>
      <c r="AN29" s="17" t="n">
        <f aca="false">'Data Jun 2026'!AD21</f>
        <v>70000</v>
      </c>
      <c r="AO29" s="17" t="n">
        <f aca="false">'Data Jul 2026'!AA21</f>
        <v>70000</v>
      </c>
      <c r="AP29" s="17" t="n">
        <f aca="false">'Data Jul 2026'!AB21</f>
        <v>70000</v>
      </c>
      <c r="AQ29" s="17" t="n">
        <f aca="false">'Data Jul 2026'!AC21</f>
        <v>70000</v>
      </c>
      <c r="AR29" s="17" t="n">
        <f aca="false">'Data Jul 2026'!AD21</f>
        <v>70000</v>
      </c>
      <c r="AS29" s="17" t="n">
        <f aca="false">'Data Jul 2026'!AE21</f>
        <v>70000</v>
      </c>
      <c r="AT29" s="17" t="n">
        <f aca="false">'Data Agu 2026'!Y21</f>
        <v>70000</v>
      </c>
      <c r="AU29" s="17" t="n">
        <f aca="false">'Data Agu 2026'!Z21</f>
        <v>70000</v>
      </c>
      <c r="AV29" s="17" t="n">
        <f aca="false">'Data Agu 2026'!AA21</f>
        <v>70000</v>
      </c>
      <c r="AW29" s="17" t="n">
        <f aca="false">'Data Agu 2026'!AB21</f>
        <v>70000</v>
      </c>
      <c r="AX29" s="17" t="str">
        <f aca="false">'Data Agu 2026'!AC21</f>
        <v/>
      </c>
      <c r="AY29" s="17" t="n">
        <f aca="false">'Data Agu 2026'!AD21</f>
        <v>70000</v>
      </c>
      <c r="AZ29" s="17" t="n">
        <f aca="false">'Data Sep 2026'!AA21</f>
        <v>70000</v>
      </c>
      <c r="BA29" s="17" t="str">
        <f aca="false">'Data Sep 2026'!AB21</f>
        <v/>
      </c>
      <c r="BB29" s="17" t="str">
        <f aca="false">'Data Sep 2026'!AC21</f>
        <v/>
      </c>
      <c r="BC29" s="17" t="str">
        <f aca="false">'Data Sep 2026'!AD21</f>
        <v/>
      </c>
      <c r="BD29" s="17" t="str">
        <f aca="false">'Data Sep 2026'!AE21</f>
        <v/>
      </c>
    </row>
    <row r="30" customFormat="false" ht="13.5" hidden="false" customHeight="true" outlineLevel="0" collapsed="false">
      <c r="A30" s="6" t="s">
        <v>207</v>
      </c>
      <c r="B30" s="6" t="s">
        <v>364</v>
      </c>
      <c r="C30" s="33"/>
      <c r="D30" s="17" t="n">
        <f aca="false">'Data Des 2025'!AF22</f>
        <v>55000</v>
      </c>
      <c r="E30" s="17" t="n">
        <f aca="false">'Data Jan 2026'!AE22</f>
        <v>55000</v>
      </c>
      <c r="F30" s="17" t="n">
        <f aca="false">'Data Feb 2026'!AB22</f>
        <v>60000</v>
      </c>
      <c r="G30" s="17" t="n">
        <f aca="false">'Data Mar 2026'!AE22</f>
        <v>75000</v>
      </c>
      <c r="H30" s="17" t="n">
        <f aca="false">'Data Apr 2026'!AE22</f>
        <v>80000</v>
      </c>
      <c r="I30" s="17" t="n">
        <f aca="false">'Data Mei 2026'!AD22</f>
        <v>80000</v>
      </c>
      <c r="J30" s="17" t="n">
        <f aca="false">'Data Jun 2026'!AE22</f>
        <v>80000</v>
      </c>
      <c r="K30" s="17" t="n">
        <f aca="false">'Data Jul 2026'!AF22</f>
        <v>80000</v>
      </c>
      <c r="L30" s="17" t="n">
        <f aca="false">'Data Jan 2026'!Z22</f>
        <v>55000</v>
      </c>
      <c r="M30" s="17" t="n">
        <f aca="false">'Data Jan 2026'!AA22</f>
        <v>55000</v>
      </c>
      <c r="N30" s="17" t="n">
        <f aca="false">'Data Jan 2026'!AB22</f>
        <v>55000</v>
      </c>
      <c r="O30" s="17" t="n">
        <f aca="false">'Data Jan 2026'!AC22</f>
        <v>55000</v>
      </c>
      <c r="P30" s="17" t="n">
        <f aca="false">'Data Jan 2026'!AD22</f>
        <v>55000</v>
      </c>
      <c r="Q30" s="17" t="n">
        <f aca="false">'Data Feb 2026'!X22</f>
        <v>58000</v>
      </c>
      <c r="R30" s="17" t="n">
        <f aca="false">'Data Feb 2026'!Y22</f>
        <v>55000</v>
      </c>
      <c r="S30" s="17" t="n">
        <f aca="false">'Data Feb 2026'!Z22</f>
        <v>65000</v>
      </c>
      <c r="T30" s="17" t="n">
        <f aca="false">'Data Feb 2026'!AA22</f>
        <v>64000</v>
      </c>
      <c r="U30" s="17" t="n">
        <f aca="false">'Data Mar 2026'!Z22</f>
        <v>70000</v>
      </c>
      <c r="V30" s="17" t="n">
        <f aca="false">'Data Mar 2026'!AA22</f>
        <v>70000</v>
      </c>
      <c r="W30" s="17" t="n">
        <f aca="false">'Data Mar 2026'!AB22</f>
        <v>80000</v>
      </c>
      <c r="X30" s="17" t="n">
        <f aca="false">'Data Mar 2026'!AC22</f>
        <v>80000</v>
      </c>
      <c r="Y30" s="17" t="n">
        <f aca="false">'Data Mar 2026'!AD22</f>
        <v>80000</v>
      </c>
      <c r="Z30" s="17" t="n">
        <f aca="false">'Data Apr 2026'!Z22</f>
        <v>80000</v>
      </c>
      <c r="AA30" s="17" t="n">
        <f aca="false">'Data Apr 2026'!AA22</f>
        <v>80000</v>
      </c>
      <c r="AB30" s="17" t="n">
        <f aca="false">'Data Apr 2026'!AB22</f>
        <v>80000</v>
      </c>
      <c r="AC30" s="17" t="n">
        <f aca="false">'Data Apr 2026'!AC22</f>
        <v>80000</v>
      </c>
      <c r="AD30" s="17" t="n">
        <f aca="false">'Data Apr 2026'!AD22</f>
        <v>80000</v>
      </c>
      <c r="AE30" s="17" t="str">
        <f aca="false">'Data Mei 2026'!Y22</f>
        <v/>
      </c>
      <c r="AF30" s="17" t="n">
        <f aca="false">'Data Mei 2026'!Z22</f>
        <v>80000</v>
      </c>
      <c r="AG30" s="17" t="n">
        <f aca="false">'Data Mei 2026'!AA22</f>
        <v>80000</v>
      </c>
      <c r="AH30" s="17" t="n">
        <f aca="false">'Data Mei 2026'!AB22</f>
        <v>80000</v>
      </c>
      <c r="AI30" s="17" t="n">
        <f aca="false">'Data Mei 2026'!AC22</f>
        <v>80000</v>
      </c>
      <c r="AJ30" s="17" t="n">
        <f aca="false">'Data Jun 2026'!Z22</f>
        <v>80000</v>
      </c>
      <c r="AK30" s="17" t="n">
        <f aca="false">'Data Jun 2026'!AA22</f>
        <v>80000</v>
      </c>
      <c r="AL30" s="17" t="n">
        <f aca="false">'Data Jun 2026'!AB22</f>
        <v>80000</v>
      </c>
      <c r="AM30" s="17" t="n">
        <f aca="false">'Data Jun 2026'!AC22</f>
        <v>80000</v>
      </c>
      <c r="AN30" s="17" t="n">
        <f aca="false">'Data Jun 2026'!AD22</f>
        <v>80000</v>
      </c>
      <c r="AO30" s="17" t="n">
        <f aca="false">'Data Jul 2026'!AA22</f>
        <v>80000</v>
      </c>
      <c r="AP30" s="17" t="n">
        <f aca="false">'Data Jul 2026'!AB22</f>
        <v>80000</v>
      </c>
      <c r="AQ30" s="17" t="n">
        <f aca="false">'Data Jul 2026'!AC22</f>
        <v>80000</v>
      </c>
      <c r="AR30" s="17" t="n">
        <f aca="false">'Data Jul 2026'!AD22</f>
        <v>80000</v>
      </c>
      <c r="AS30" s="17" t="n">
        <f aca="false">'Data Jul 2026'!AE22</f>
        <v>80000</v>
      </c>
      <c r="AT30" s="17" t="n">
        <f aca="false">'Data Agu 2026'!Y22</f>
        <v>80000</v>
      </c>
      <c r="AU30" s="17" t="n">
        <f aca="false">'Data Agu 2026'!Z22</f>
        <v>80000</v>
      </c>
      <c r="AV30" s="17" t="n">
        <f aca="false">'Data Agu 2026'!AA22</f>
        <v>80000</v>
      </c>
      <c r="AW30" s="17" t="n">
        <f aca="false">'Data Agu 2026'!AB22</f>
        <v>80000</v>
      </c>
      <c r="AX30" s="17" t="str">
        <f aca="false">'Data Agu 2026'!AC22</f>
        <v/>
      </c>
      <c r="AY30" s="17" t="n">
        <f aca="false">'Data Agu 2026'!AD22</f>
        <v>80000</v>
      </c>
      <c r="AZ30" s="17" t="n">
        <f aca="false">'Data Sep 2026'!AA22</f>
        <v>80000</v>
      </c>
      <c r="BA30" s="17" t="str">
        <f aca="false">'Data Sep 2026'!AB22</f>
        <v/>
      </c>
      <c r="BB30" s="17" t="str">
        <f aca="false">'Data Sep 2026'!AC22</f>
        <v/>
      </c>
      <c r="BC30" s="17" t="str">
        <f aca="false">'Data Sep 2026'!AD22</f>
        <v/>
      </c>
      <c r="BD30" s="17" t="str">
        <f aca="false">'Data Sep 2026'!AE22</f>
        <v/>
      </c>
    </row>
    <row r="31" customFormat="false" ht="13.5" hidden="false" customHeight="true" outlineLevel="0" collapsed="false">
      <c r="A31" s="6" t="s">
        <v>208</v>
      </c>
      <c r="B31" s="6" t="s">
        <v>365</v>
      </c>
      <c r="C31" s="33"/>
      <c r="D31" s="17" t="n">
        <f aca="false">'Data Des 2025'!AF33</f>
        <v>8000</v>
      </c>
      <c r="E31" s="17" t="n">
        <f aca="false">'Data Jan 2026'!AE33</f>
        <v>8000</v>
      </c>
      <c r="F31" s="17" t="n">
        <f aca="false">'Data Feb 2026'!AB33</f>
        <v>8666.66666666667</v>
      </c>
      <c r="G31" s="17" t="n">
        <f aca="false">'Data Mar 2026'!AE33</f>
        <v>10750</v>
      </c>
      <c r="H31" s="17" t="n">
        <f aca="false">'Data Apr 2026'!AE33</f>
        <v>11000</v>
      </c>
      <c r="I31" s="17" t="n">
        <f aca="false">'Data Mei 2026'!AD33</f>
        <v>11000</v>
      </c>
      <c r="J31" s="17" t="n">
        <f aca="false">'Data Jun 2026'!AE33</f>
        <v>11000</v>
      </c>
      <c r="K31" s="17" t="n">
        <f aca="false">'Data Jul 2026'!AF33</f>
        <v>11000</v>
      </c>
      <c r="L31" s="17" t="n">
        <f aca="false">'Data Jan 2026'!Z33</f>
        <v>8000</v>
      </c>
      <c r="M31" s="17" t="n">
        <f aca="false">'Data Jan 2026'!AA33</f>
        <v>8000</v>
      </c>
      <c r="N31" s="17" t="n">
        <f aca="false">'Data Jan 2026'!AB33</f>
        <v>8000</v>
      </c>
      <c r="O31" s="17" t="n">
        <f aca="false">'Data Jan 2026'!AC33</f>
        <v>8000</v>
      </c>
      <c r="P31" s="17" t="n">
        <f aca="false">'Data Jan 2026'!AD33</f>
        <v>8000</v>
      </c>
      <c r="Q31" s="17" t="n">
        <f aca="false">'Data Feb 2026'!X33</f>
        <v>8400</v>
      </c>
      <c r="R31" s="17" t="n">
        <f aca="false">'Data Feb 2026'!Y33</f>
        <v>8000</v>
      </c>
      <c r="S31" s="17" t="n">
        <f aca="false">'Data Feb 2026'!Z33</f>
        <v>9333.33333333333</v>
      </c>
      <c r="T31" s="17" t="n">
        <f aca="false">'Data Feb 2026'!AA33</f>
        <v>9200</v>
      </c>
      <c r="U31" s="17" t="n">
        <f aca="false">'Data Mar 2026'!Z33</f>
        <v>10000</v>
      </c>
      <c r="V31" s="17" t="n">
        <f aca="false">'Data Mar 2026'!AA33</f>
        <v>11000</v>
      </c>
      <c r="W31" s="17" t="n">
        <f aca="false">'Data Mar 2026'!AB33</f>
        <v>11000</v>
      </c>
      <c r="X31" s="17" t="n">
        <f aca="false">'Data Mar 2026'!AC33</f>
        <v>11000</v>
      </c>
      <c r="Y31" s="17" t="n">
        <f aca="false">'Data Mar 2026'!AD33</f>
        <v>11000</v>
      </c>
      <c r="Z31" s="17" t="n">
        <f aca="false">'Data Apr 2026'!Z33</f>
        <v>11000</v>
      </c>
      <c r="AA31" s="17" t="n">
        <f aca="false">'Data Apr 2026'!AA33</f>
        <v>11000</v>
      </c>
      <c r="AB31" s="17" t="n">
        <f aca="false">'Data Apr 2026'!AB33</f>
        <v>11000</v>
      </c>
      <c r="AC31" s="17" t="n">
        <f aca="false">'Data Apr 2026'!AC33</f>
        <v>11000</v>
      </c>
      <c r="AD31" s="17" t="n">
        <f aca="false">'Data Apr 2026'!AD33</f>
        <v>11000</v>
      </c>
      <c r="AE31" s="17" t="str">
        <f aca="false">'Data Mei 2026'!Y33</f>
        <v/>
      </c>
      <c r="AF31" s="17" t="n">
        <f aca="false">'Data Mei 2026'!Z33</f>
        <v>11000</v>
      </c>
      <c r="AG31" s="17" t="n">
        <f aca="false">'Data Mei 2026'!AA33</f>
        <v>11000</v>
      </c>
      <c r="AH31" s="17" t="n">
        <f aca="false">'Data Mei 2026'!AB33</f>
        <v>11000</v>
      </c>
      <c r="AI31" s="17" t="n">
        <f aca="false">'Data Mei 2026'!AC33</f>
        <v>11000</v>
      </c>
      <c r="AJ31" s="17" t="n">
        <f aca="false">'Data Jun 2026'!Z33</f>
        <v>11000</v>
      </c>
      <c r="AK31" s="17" t="n">
        <f aca="false">'Data Jun 2026'!AA33</f>
        <v>11000</v>
      </c>
      <c r="AL31" s="17" t="n">
        <f aca="false">'Data Jun 2026'!AB33</f>
        <v>11000</v>
      </c>
      <c r="AM31" s="17" t="n">
        <f aca="false">'Data Jun 2026'!AC33</f>
        <v>11000</v>
      </c>
      <c r="AN31" s="17" t="n">
        <f aca="false">'Data Jun 2026'!AD33</f>
        <v>11000</v>
      </c>
      <c r="AO31" s="17" t="n">
        <f aca="false">'Data Jul 2026'!AA33</f>
        <v>11000</v>
      </c>
      <c r="AP31" s="17" t="n">
        <f aca="false">'Data Jul 2026'!AB33</f>
        <v>11000</v>
      </c>
      <c r="AQ31" s="17" t="n">
        <f aca="false">'Data Jul 2026'!AC33</f>
        <v>11000</v>
      </c>
      <c r="AR31" s="17" t="n">
        <f aca="false">'Data Jul 2026'!AD33</f>
        <v>11000</v>
      </c>
      <c r="AS31" s="17" t="n">
        <f aca="false">'Data Jul 2026'!AE33</f>
        <v>11000</v>
      </c>
      <c r="AT31" s="17" t="n">
        <f aca="false">'Data Agu 2026'!Y33</f>
        <v>11000</v>
      </c>
      <c r="AU31" s="17" t="n">
        <f aca="false">'Data Agu 2026'!Z33</f>
        <v>11000</v>
      </c>
      <c r="AV31" s="17" t="n">
        <f aca="false">'Data Agu 2026'!AA33</f>
        <v>11000</v>
      </c>
      <c r="AW31" s="17" t="n">
        <f aca="false">'Data Agu 2026'!AB33</f>
        <v>11000</v>
      </c>
      <c r="AX31" s="17" t="str">
        <f aca="false">'Data Agu 2026'!AC33</f>
        <v/>
      </c>
      <c r="AY31" s="17" t="n">
        <f aca="false">'Data Agu 2026'!AD33</f>
        <v>11000</v>
      </c>
      <c r="AZ31" s="17" t="n">
        <f aca="false">'Data Sep 2026'!AA33</f>
        <v>11000</v>
      </c>
      <c r="BA31" s="17" t="str">
        <f aca="false">'Data Sep 2026'!AB33</f>
        <v/>
      </c>
      <c r="BB31" s="17" t="str">
        <f aca="false">'Data Sep 2026'!AC33</f>
        <v/>
      </c>
      <c r="BC31" s="17" t="str">
        <f aca="false">'Data Sep 2026'!AD33</f>
        <v/>
      </c>
      <c r="BD31" s="17" t="str">
        <f aca="false">'Data Sep 2026'!AE33</f>
        <v/>
      </c>
    </row>
    <row r="32" customFormat="false" ht="13.5" hidden="false" customHeight="true" outlineLevel="0" collapsed="false">
      <c r="A32" s="6" t="s">
        <v>209</v>
      </c>
      <c r="B32" s="6" t="s">
        <v>366</v>
      </c>
      <c r="C32" s="33"/>
      <c r="D32" s="17" t="n">
        <f aca="false">'Data Des 2025'!AF37</f>
        <v>7428.57142857143</v>
      </c>
      <c r="E32" s="17" t="n">
        <f aca="false">'Data Jan 2026'!AE37</f>
        <v>7000</v>
      </c>
      <c r="F32" s="17" t="n">
        <f aca="false">'Data Feb 2026'!AB37</f>
        <v>7333.33333333333</v>
      </c>
      <c r="G32" s="17" t="n">
        <f aca="false">'Data Mar 2026'!AE37</f>
        <v>8000</v>
      </c>
      <c r="H32" s="17" t="n">
        <f aca="false">'Data Apr 2026'!AE37</f>
        <v>8000</v>
      </c>
      <c r="I32" s="17" t="n">
        <f aca="false">'Data Mei 2026'!AD37</f>
        <v>8000</v>
      </c>
      <c r="J32" s="17" t="n">
        <f aca="false">'Data Jun 2026'!AE37</f>
        <v>8000</v>
      </c>
      <c r="K32" s="17" t="n">
        <f aca="false">'Data Jul 2026'!AF37</f>
        <v>8000</v>
      </c>
      <c r="L32" s="17" t="n">
        <f aca="false">'Data Jan 2026'!Z37</f>
        <v>7000</v>
      </c>
      <c r="M32" s="17" t="n">
        <f aca="false">'Data Jan 2026'!AA37</f>
        <v>7000</v>
      </c>
      <c r="N32" s="17" t="n">
        <f aca="false">'Data Jan 2026'!AB37</f>
        <v>7000</v>
      </c>
      <c r="O32" s="17" t="n">
        <f aca="false">'Data Jan 2026'!AC37</f>
        <v>7000</v>
      </c>
      <c r="P32" s="17" t="n">
        <f aca="false">'Data Jan 2026'!AD37</f>
        <v>7000</v>
      </c>
      <c r="Q32" s="17" t="n">
        <f aca="false">'Data Feb 2026'!X37</f>
        <v>7200</v>
      </c>
      <c r="R32" s="17" t="n">
        <f aca="false">'Data Feb 2026'!Y37</f>
        <v>7000</v>
      </c>
      <c r="S32" s="17" t="n">
        <f aca="false">'Data Feb 2026'!Z37</f>
        <v>7666.66666666667</v>
      </c>
      <c r="T32" s="17" t="n">
        <f aca="false">'Data Feb 2026'!AA37</f>
        <v>7600</v>
      </c>
      <c r="U32" s="17" t="n">
        <f aca="false">'Data Mar 2026'!Z37</f>
        <v>8000</v>
      </c>
      <c r="V32" s="17" t="n">
        <f aca="false">'Data Mar 2026'!AA37</f>
        <v>8000</v>
      </c>
      <c r="W32" s="17" t="n">
        <f aca="false">'Data Mar 2026'!AB37</f>
        <v>8000</v>
      </c>
      <c r="X32" s="17" t="n">
        <f aca="false">'Data Mar 2026'!AC37</f>
        <v>8000</v>
      </c>
      <c r="Y32" s="17" t="n">
        <f aca="false">'Data Mar 2026'!AD37</f>
        <v>8000</v>
      </c>
      <c r="Z32" s="17" t="n">
        <f aca="false">'Data Apr 2026'!Z37</f>
        <v>8000</v>
      </c>
      <c r="AA32" s="17" t="n">
        <f aca="false">'Data Apr 2026'!AA37</f>
        <v>8000</v>
      </c>
      <c r="AB32" s="17" t="n">
        <f aca="false">'Data Apr 2026'!AB37</f>
        <v>8000</v>
      </c>
      <c r="AC32" s="17" t="n">
        <f aca="false">'Data Apr 2026'!AC37</f>
        <v>8000</v>
      </c>
      <c r="AD32" s="17" t="n">
        <f aca="false">'Data Apr 2026'!AD37</f>
        <v>8000</v>
      </c>
      <c r="AE32" s="17" t="str">
        <f aca="false">'Data Mei 2026'!Y37</f>
        <v/>
      </c>
      <c r="AF32" s="17" t="n">
        <f aca="false">'Data Mei 2026'!Z37</f>
        <v>8000</v>
      </c>
      <c r="AG32" s="17" t="n">
        <f aca="false">'Data Mei 2026'!AA37</f>
        <v>8000</v>
      </c>
      <c r="AH32" s="17" t="n">
        <f aca="false">'Data Mei 2026'!AB37</f>
        <v>8000</v>
      </c>
      <c r="AI32" s="17" t="n">
        <f aca="false">'Data Mei 2026'!AC37</f>
        <v>8000</v>
      </c>
      <c r="AJ32" s="17" t="n">
        <f aca="false">'Data Jun 2026'!Z37</f>
        <v>8000</v>
      </c>
      <c r="AK32" s="17" t="n">
        <f aca="false">'Data Jun 2026'!AA37</f>
        <v>8000</v>
      </c>
      <c r="AL32" s="17" t="n">
        <f aca="false">'Data Jun 2026'!AB37</f>
        <v>8000</v>
      </c>
      <c r="AM32" s="17" t="n">
        <f aca="false">'Data Jun 2026'!AC37</f>
        <v>8000</v>
      </c>
      <c r="AN32" s="17" t="n">
        <f aca="false">'Data Jun 2026'!AD37</f>
        <v>8000</v>
      </c>
      <c r="AO32" s="17" t="n">
        <f aca="false">'Data Jul 2026'!AA37</f>
        <v>8000</v>
      </c>
      <c r="AP32" s="17" t="n">
        <f aca="false">'Data Jul 2026'!AB37</f>
        <v>8000</v>
      </c>
      <c r="AQ32" s="17" t="n">
        <f aca="false">'Data Jul 2026'!AC37</f>
        <v>8000</v>
      </c>
      <c r="AR32" s="17" t="n">
        <f aca="false">'Data Jul 2026'!AD37</f>
        <v>8000</v>
      </c>
      <c r="AS32" s="17" t="n">
        <f aca="false">'Data Jul 2026'!AE37</f>
        <v>8000</v>
      </c>
      <c r="AT32" s="17" t="n">
        <f aca="false">'Data Agu 2026'!Y37</f>
        <v>8000</v>
      </c>
      <c r="AU32" s="17" t="n">
        <f aca="false">'Data Agu 2026'!Z37</f>
        <v>8000</v>
      </c>
      <c r="AV32" s="17" t="n">
        <f aca="false">'Data Agu 2026'!AA37</f>
        <v>8000</v>
      </c>
      <c r="AW32" s="17" t="n">
        <f aca="false">'Data Agu 2026'!AB37</f>
        <v>8000</v>
      </c>
      <c r="AX32" s="17" t="str">
        <f aca="false">'Data Agu 2026'!AC37</f>
        <v/>
      </c>
      <c r="AY32" s="17" t="n">
        <f aca="false">'Data Agu 2026'!AD37</f>
        <v>8000</v>
      </c>
      <c r="AZ32" s="17" t="n">
        <f aca="false">'Data Sep 2026'!AA37</f>
        <v>8000</v>
      </c>
      <c r="BA32" s="17" t="str">
        <f aca="false">'Data Sep 2026'!AB37</f>
        <v/>
      </c>
      <c r="BB32" s="17" t="str">
        <f aca="false">'Data Sep 2026'!AC37</f>
        <v/>
      </c>
      <c r="BC32" s="17" t="str">
        <f aca="false">'Data Sep 2026'!AD37</f>
        <v/>
      </c>
      <c r="BD32" s="17" t="str">
        <f aca="false">'Data Sep 2026'!AE37</f>
        <v/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6" min="6" style="1" width="16"/>
  </cols>
  <sheetData>
    <row r="1" customFormat="false" ht="15" hidden="false" customHeight="true" outlineLevel="0" collapsed="false">
      <c r="A1" s="1" t="s">
        <v>367</v>
      </c>
    </row>
    <row r="2" customFormat="false" ht="15" hidden="false" customHeight="true" outlineLevel="0" collapsed="false">
      <c r="A2" s="1" t="s">
        <v>368</v>
      </c>
    </row>
    <row r="4" customFormat="false" ht="15" hidden="false" customHeight="true" outlineLevel="0" collapsed="false">
      <c r="A4" s="1" t="s">
        <v>1</v>
      </c>
      <c r="B4" s="1" t="s">
        <v>141</v>
      </c>
      <c r="C4" s="1" t="s">
        <v>369</v>
      </c>
      <c r="D4" s="1" t="s">
        <v>370</v>
      </c>
      <c r="E4" s="1" t="s">
        <v>371</v>
      </c>
      <c r="F4" s="1" t="s">
        <v>372</v>
      </c>
    </row>
    <row r="5" customFormat="false" ht="15" hidden="false" customHeight="true" outlineLevel="0" collapsed="false">
      <c r="A5" s="1" t="n">
        <v>1</v>
      </c>
      <c r="B5" s="1" t="s">
        <v>190</v>
      </c>
      <c r="C5" s="1" t="n">
        <v>4.68551918735891</v>
      </c>
      <c r="D5" s="1" t="n">
        <v>45768.2381489842</v>
      </c>
      <c r="E5" s="1" t="n">
        <f aca="false">C5*D5</f>
        <v>214447.958018678</v>
      </c>
      <c r="F5" s="1" t="n">
        <v>0.125089056759346</v>
      </c>
    </row>
    <row r="6" customFormat="false" ht="15" hidden="false" customHeight="true" outlineLevel="0" collapsed="false">
      <c r="A6" s="1" t="n">
        <v>2</v>
      </c>
      <c r="B6" s="1" t="s">
        <v>191</v>
      </c>
      <c r="C6" s="1" t="n">
        <v>0.326985645933014</v>
      </c>
      <c r="D6" s="1" t="n">
        <v>2903.8995215311</v>
      </c>
      <c r="E6" s="1" t="n">
        <f aca="false">C6*D6</f>
        <v>949.533460772417</v>
      </c>
      <c r="F6" s="1" t="n">
        <v>0.00793664049050366</v>
      </c>
    </row>
    <row r="7" customFormat="false" ht="15" hidden="false" customHeight="true" outlineLevel="0" collapsed="false">
      <c r="A7" s="1" t="n">
        <v>3</v>
      </c>
      <c r="B7" s="1" t="s">
        <v>192</v>
      </c>
      <c r="C7" s="1" t="n">
        <v>1.12188439306358</v>
      </c>
      <c r="D7" s="1" t="n">
        <v>7805.12138728324</v>
      </c>
      <c r="E7" s="1" t="n">
        <f aca="false">C7*D7</f>
        <v>8756.44387035983</v>
      </c>
      <c r="F7" s="1" t="n">
        <v>0.0213321576646518</v>
      </c>
    </row>
    <row r="8" customFormat="false" ht="15" hidden="false" customHeight="true" outlineLevel="0" collapsed="false">
      <c r="A8" s="1" t="n">
        <v>4</v>
      </c>
      <c r="B8" s="1" t="s">
        <v>193</v>
      </c>
      <c r="C8" s="1" t="n">
        <v>0.595719178082193</v>
      </c>
      <c r="D8" s="1" t="n">
        <v>17529.845890411</v>
      </c>
      <c r="E8" s="1" t="n">
        <f aca="false">C8*D8</f>
        <v>10442.8653857432</v>
      </c>
      <c r="F8" s="1" t="n">
        <v>0.0479107777850277</v>
      </c>
    </row>
    <row r="9" customFormat="false" ht="15" hidden="false" customHeight="true" outlineLevel="0" collapsed="false">
      <c r="A9" s="1" t="n">
        <v>5</v>
      </c>
      <c r="B9" s="1" t="s">
        <v>194</v>
      </c>
      <c r="C9" s="1" t="n">
        <v>1.13251807228916</v>
      </c>
      <c r="D9" s="1" t="n">
        <v>16529.4590361446</v>
      </c>
      <c r="E9" s="1" t="n">
        <f aca="false">C9*D9</f>
        <v>18719.9110835971</v>
      </c>
      <c r="F9" s="1" t="n">
        <v>0.0451766229856385</v>
      </c>
    </row>
    <row r="10" customFormat="false" ht="15" hidden="false" customHeight="true" outlineLevel="0" collapsed="false">
      <c r="A10" s="1" t="n">
        <v>6</v>
      </c>
      <c r="B10" s="1" t="s">
        <v>195</v>
      </c>
      <c r="C10" s="1" t="n">
        <v>0.237662337662338</v>
      </c>
      <c r="D10" s="1" t="n">
        <v>13541.6883116883</v>
      </c>
      <c r="E10" s="1" t="n">
        <f aca="false">C10*D10</f>
        <v>3218.3493000506</v>
      </c>
      <c r="F10" s="1" t="n">
        <v>0.0370107543210236</v>
      </c>
    </row>
    <row r="11" customFormat="false" ht="15" hidden="false" customHeight="true" outlineLevel="0" collapsed="false">
      <c r="A11" s="1" t="n">
        <v>7</v>
      </c>
      <c r="B11" s="1" t="s">
        <v>196</v>
      </c>
      <c r="C11" s="1" t="n">
        <v>1.20151785714286</v>
      </c>
      <c r="D11" s="1" t="n">
        <v>14868.3217565775</v>
      </c>
      <c r="E11" s="1" t="n">
        <f aca="false">C11*D11</f>
        <v>17864.5540962736</v>
      </c>
      <c r="F11" s="1" t="n">
        <v>0.0406365728580274</v>
      </c>
    </row>
    <row r="12" customFormat="false" ht="15" hidden="false" customHeight="true" outlineLevel="0" collapsed="false">
      <c r="A12" s="1" t="n">
        <v>8</v>
      </c>
      <c r="B12" s="1" t="s">
        <v>197</v>
      </c>
      <c r="C12" s="1" t="n">
        <v>0.164706586826347</v>
      </c>
      <c r="D12" s="1" t="n">
        <v>6476.80239520958</v>
      </c>
      <c r="E12" s="1" t="n">
        <f aca="false">C12*D12</f>
        <v>1066.77201606368</v>
      </c>
      <c r="F12" s="1" t="n">
        <v>0.0177017323628706</v>
      </c>
    </row>
    <row r="13" customFormat="false" ht="15" hidden="false" customHeight="true" outlineLevel="0" collapsed="false">
      <c r="A13" s="1" t="n">
        <v>9</v>
      </c>
      <c r="B13" s="1" t="s">
        <v>198</v>
      </c>
      <c r="C13" s="1" t="n">
        <v>7.80121212121212</v>
      </c>
      <c r="D13" s="1" t="n">
        <v>10931.8424242424</v>
      </c>
      <c r="E13" s="1" t="n">
        <f aca="false">C13*D13</f>
        <v>85281.6216271807</v>
      </c>
      <c r="F13" s="1" t="n">
        <v>0.0298777910794593</v>
      </c>
    </row>
    <row r="14" customFormat="false" ht="15" hidden="false" customHeight="true" outlineLevel="0" collapsed="false">
      <c r="A14" s="1" t="n">
        <v>10</v>
      </c>
      <c r="B14" s="1" t="s">
        <v>199</v>
      </c>
      <c r="C14" s="1" t="n">
        <v>5.39128378378378</v>
      </c>
      <c r="D14" s="1" t="n">
        <v>7085.4481981982</v>
      </c>
      <c r="E14" s="1" t="n">
        <f aca="false">C14*D14</f>
        <v>38199.661971786</v>
      </c>
      <c r="F14" s="1" t="n">
        <v>0.0193652206786879</v>
      </c>
    </row>
    <row r="15" customFormat="false" ht="15" hidden="false" customHeight="true" outlineLevel="0" collapsed="false">
      <c r="A15" s="1" t="n">
        <v>11</v>
      </c>
      <c r="B15" s="1" t="s">
        <v>200</v>
      </c>
      <c r="C15" s="1" t="n">
        <v>0.25</v>
      </c>
      <c r="D15" s="1" t="n">
        <v>7600</v>
      </c>
      <c r="E15" s="1" t="n">
        <f aca="false">C15*D15</f>
        <v>1900</v>
      </c>
      <c r="F15" s="1" t="n">
        <v>0.0207715409161349</v>
      </c>
    </row>
    <row r="16" customFormat="false" ht="15" hidden="false" customHeight="true" outlineLevel="0" collapsed="false">
      <c r="A16" s="1" t="n">
        <v>12</v>
      </c>
      <c r="B16" s="1" t="s">
        <v>201</v>
      </c>
      <c r="C16" s="1" t="n">
        <v>0.816774193548387</v>
      </c>
      <c r="D16" s="1" t="n">
        <v>80298.7096774194</v>
      </c>
      <c r="E16" s="1" t="n">
        <f aca="false">C16*D16</f>
        <v>65585.9138397503</v>
      </c>
      <c r="F16" s="1" t="n">
        <v>0.219464201786494</v>
      </c>
    </row>
    <row r="17" customFormat="false" ht="15" hidden="false" customHeight="true" outlineLevel="0" collapsed="false">
      <c r="A17" s="1" t="n">
        <v>13</v>
      </c>
      <c r="B17" s="1" t="s">
        <v>202</v>
      </c>
      <c r="C17" s="1" t="n">
        <v>2.74220673635308</v>
      </c>
      <c r="D17" s="1" t="n">
        <v>7114.07665505227</v>
      </c>
      <c r="E17" s="1" t="n">
        <f aca="false">C17*D17</f>
        <v>19508.2689264165</v>
      </c>
      <c r="F17" s="1" t="n">
        <v>0.0194434650422287</v>
      </c>
    </row>
    <row r="18" customFormat="false" ht="15" hidden="false" customHeight="true" outlineLevel="0" collapsed="false">
      <c r="A18" s="1" t="n">
        <v>14</v>
      </c>
      <c r="B18" s="1" t="s">
        <v>203</v>
      </c>
      <c r="C18" s="1" t="n">
        <v>1.83787134502924</v>
      </c>
      <c r="D18" s="1" t="n">
        <v>4683.55555555556</v>
      </c>
      <c r="E18" s="1" t="n">
        <f aca="false">C18*D18</f>
        <v>8607.77254840807</v>
      </c>
      <c r="F18" s="1" t="n">
        <v>0.0128006139283175</v>
      </c>
    </row>
    <row r="19" customFormat="false" ht="15" hidden="false" customHeight="true" outlineLevel="0" collapsed="false">
      <c r="A19" s="1" t="n">
        <v>15</v>
      </c>
      <c r="B19" s="1" t="s">
        <v>204</v>
      </c>
      <c r="C19" s="1" t="n">
        <v>3.30105900151286</v>
      </c>
      <c r="D19" s="1" t="n">
        <v>9336.61119515885</v>
      </c>
      <c r="E19" s="1" t="n">
        <f aca="false">C19*D19</f>
        <v>30820.7044294049</v>
      </c>
      <c r="F19" s="1" t="n">
        <v>0.0255178686129323</v>
      </c>
    </row>
    <row r="20" customFormat="false" ht="15" hidden="false" customHeight="true" outlineLevel="0" collapsed="false">
      <c r="A20" s="1" t="n">
        <v>16</v>
      </c>
      <c r="B20" s="1" t="s">
        <v>205</v>
      </c>
      <c r="C20" s="1" t="n">
        <v>0.622872340425532</v>
      </c>
      <c r="D20" s="1" t="n">
        <v>67547.3404255319</v>
      </c>
      <c r="E20" s="1" t="n">
        <f aca="false">C20*D20</f>
        <v>42073.3700203712</v>
      </c>
      <c r="F20" s="1" t="n">
        <v>0.184613466503293</v>
      </c>
    </row>
    <row r="21" customFormat="false" ht="15" hidden="false" customHeight="true" outlineLevel="0" collapsed="false">
      <c r="A21" s="1" t="n">
        <v>17</v>
      </c>
      <c r="B21" s="1" t="s">
        <v>206</v>
      </c>
      <c r="C21" s="1" t="n">
        <v>0.184101941747573</v>
      </c>
      <c r="D21" s="1" t="n">
        <v>4032.3786407767</v>
      </c>
      <c r="E21" s="1" t="n">
        <f aca="false">C21*D21</f>
        <v>742.36873762843</v>
      </c>
      <c r="F21" s="1" t="n">
        <v>0.0110208839376634</v>
      </c>
    </row>
    <row r="22" customFormat="false" ht="15" hidden="false" customHeight="true" outlineLevel="0" collapsed="false">
      <c r="A22" s="1" t="n">
        <v>18</v>
      </c>
      <c r="B22" s="1" t="s">
        <v>207</v>
      </c>
      <c r="C22" s="1" t="n">
        <v>0.202570281124498</v>
      </c>
      <c r="D22" s="1" t="n">
        <v>21905.702811245</v>
      </c>
      <c r="E22" s="1" t="n">
        <f aca="false">C22*D22</f>
        <v>4437.44437670361</v>
      </c>
      <c r="F22" s="1" t="n">
        <v>0.0598704213474298</v>
      </c>
    </row>
    <row r="23" customFormat="false" ht="15" hidden="false" customHeight="true" outlineLevel="0" collapsed="false">
      <c r="A23" s="1" t="n">
        <v>19</v>
      </c>
      <c r="B23" s="1" t="s">
        <v>208</v>
      </c>
      <c r="C23" s="1" t="n">
        <v>0.702075029308325</v>
      </c>
      <c r="D23" s="1" t="n">
        <v>7421.101992966</v>
      </c>
      <c r="E23" s="1" t="n">
        <f aca="false">C23*D23</f>
        <v>5210.17039921167</v>
      </c>
      <c r="F23" s="1" t="n">
        <v>0.0202825952223294</v>
      </c>
    </row>
    <row r="24" customFormat="false" ht="15" hidden="false" customHeight="true" outlineLevel="0" collapsed="false">
      <c r="A24" s="1" t="n">
        <v>20</v>
      </c>
      <c r="B24" s="1" t="s">
        <v>209</v>
      </c>
      <c r="C24" s="1" t="n">
        <v>0.866652542372881</v>
      </c>
      <c r="D24" s="1" t="n">
        <v>12505.0847457627</v>
      </c>
      <c r="E24" s="1" t="n">
        <f aca="false">C24*D24</f>
        <v>10837.5634875036</v>
      </c>
      <c r="F24" s="1" t="n">
        <v>0.0341776157179401</v>
      </c>
    </row>
    <row r="25" customFormat="false" ht="15" hidden="false" customHeight="true" outlineLevel="0" collapsed="false">
      <c r="B25" s="1" t="s">
        <v>373</v>
      </c>
      <c r="F25" s="1" t="n">
        <f aca="false">SUM(F5:F24)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"/>
    <col collapsed="false" customWidth="true" hidden="false" outlineLevel="0" max="4" min="4" style="1" width="9"/>
    <col collapsed="false" customWidth="true" hidden="false" outlineLevel="0" max="27" min="27" style="1" width="14"/>
  </cols>
  <sheetData>
    <row r="1" customFormat="false" ht="15" hidden="false" customHeight="true" outlineLevel="0" collapsed="false">
      <c r="A1" s="1" t="s">
        <v>374</v>
      </c>
    </row>
    <row r="2" customFormat="false" ht="15" hidden="false" customHeight="true" outlineLevel="0" collapsed="false">
      <c r="A2" s="1" t="s">
        <v>375</v>
      </c>
    </row>
    <row r="4" customFormat="false" ht="15" hidden="false" customHeight="true" outlineLevel="0" collapsed="false">
      <c r="A4" s="1" t="s">
        <v>1</v>
      </c>
      <c r="B4" s="1" t="s">
        <v>376</v>
      </c>
      <c r="C4" s="1" t="s">
        <v>377</v>
      </c>
      <c r="D4" s="1" t="s">
        <v>378</v>
      </c>
      <c r="E4" s="1" t="s">
        <v>379</v>
      </c>
      <c r="F4" s="1" t="s">
        <v>380</v>
      </c>
      <c r="G4" s="1" t="s">
        <v>381</v>
      </c>
      <c r="H4" s="1" t="s">
        <v>382</v>
      </c>
      <c r="I4" s="1" t="s">
        <v>383</v>
      </c>
      <c r="J4" s="1" t="s">
        <v>384</v>
      </c>
      <c r="K4" s="1" t="s">
        <v>385</v>
      </c>
      <c r="L4" s="1" t="s">
        <v>386</v>
      </c>
      <c r="M4" s="1" t="s">
        <v>387</v>
      </c>
      <c r="N4" s="1" t="s">
        <v>388</v>
      </c>
      <c r="O4" s="1" t="s">
        <v>389</v>
      </c>
      <c r="P4" s="1" t="s">
        <v>390</v>
      </c>
      <c r="Q4" s="1" t="s">
        <v>391</v>
      </c>
      <c r="R4" s="1" t="s">
        <v>392</v>
      </c>
      <c r="S4" s="1" t="s">
        <v>393</v>
      </c>
      <c r="T4" s="1" t="s">
        <v>394</v>
      </c>
      <c r="U4" s="1" t="s">
        <v>395</v>
      </c>
      <c r="V4" s="1" t="s">
        <v>396</v>
      </c>
      <c r="W4" s="1" t="s">
        <v>397</v>
      </c>
      <c r="X4" s="1" t="s">
        <v>398</v>
      </c>
      <c r="Y4" s="1" t="s">
        <v>399</v>
      </c>
      <c r="Z4" s="1" t="s">
        <v>400</v>
      </c>
      <c r="AA4" s="1" t="s">
        <v>401</v>
      </c>
      <c r="AB4" s="1" t="s">
        <v>402</v>
      </c>
      <c r="AC4" s="1" t="s">
        <v>403</v>
      </c>
      <c r="AD4" s="1" t="s">
        <v>404</v>
      </c>
      <c r="AE4" s="1" t="s">
        <v>405</v>
      </c>
      <c r="AF4" s="1" t="s">
        <v>406</v>
      </c>
    </row>
    <row r="5" customFormat="false" ht="15" hidden="false" customHeight="true" outlineLevel="0" collapsed="false">
      <c r="A5" s="1" t="n">
        <v>1</v>
      </c>
      <c r="B5" s="1" t="s">
        <v>334</v>
      </c>
      <c r="C5" s="1" t="s">
        <v>407</v>
      </c>
      <c r="D5" s="1" t="n">
        <v>12500</v>
      </c>
      <c r="E5" s="1" t="n">
        <v>12500</v>
      </c>
      <c r="F5" s="1" t="n">
        <v>12500</v>
      </c>
      <c r="G5" s="1" t="n">
        <v>12500</v>
      </c>
      <c r="H5" s="1" t="n">
        <v>12500</v>
      </c>
      <c r="I5" s="1" t="n">
        <v>12500</v>
      </c>
      <c r="J5" s="1" t="n">
        <v>12500</v>
      </c>
      <c r="K5" s="1" t="n">
        <v>12500</v>
      </c>
      <c r="L5" s="1" t="n">
        <v>12500</v>
      </c>
      <c r="M5" s="1" t="n">
        <v>12500</v>
      </c>
      <c r="N5" s="1" t="n">
        <v>12500</v>
      </c>
      <c r="O5" s="1" t="n">
        <v>12500</v>
      </c>
      <c r="P5" s="1" t="n">
        <v>12500</v>
      </c>
      <c r="Q5" s="1" t="n">
        <v>12500</v>
      </c>
      <c r="R5" s="1" t="n">
        <v>12500</v>
      </c>
      <c r="S5" s="1" t="n">
        <v>12500</v>
      </c>
      <c r="T5" s="1" t="n">
        <v>12500</v>
      </c>
      <c r="U5" s="1" t="n">
        <v>12500</v>
      </c>
      <c r="V5" s="1" t="n">
        <v>0</v>
      </c>
      <c r="W5" s="1" t="n">
        <v>0</v>
      </c>
      <c r="X5" s="1" t="n">
        <v>12500</v>
      </c>
      <c r="Y5" s="1" t="n">
        <v>12500</v>
      </c>
      <c r="Z5" s="1" t="n">
        <v>12500</v>
      </c>
      <c r="AA5" s="1" t="n">
        <f aca="false">IFERROR(AVERAGEIF(D5:H5,"&lt;&gt;0"),"")</f>
        <v>12500</v>
      </c>
      <c r="AB5" s="1" t="n">
        <f aca="false">IFERROR(AVERAGEIF(I5:M5,"&lt;&gt;0"),"")</f>
        <v>12500</v>
      </c>
      <c r="AC5" s="1" t="n">
        <f aca="false">IFERROR(AVERAGEIF(N5:R5,"&lt;&gt;0"),"")</f>
        <v>12500</v>
      </c>
      <c r="AD5" s="1" t="n">
        <f aca="false">IFERROR(AVERAGEIF(S5:W5,"&lt;&gt;0"),"")</f>
        <v>12500</v>
      </c>
      <c r="AE5" s="1" t="n">
        <f aca="false">IFERROR(AVERAGEIF(X5:Z5,"&lt;&gt;0"),"")</f>
        <v>12500</v>
      </c>
      <c r="AF5" s="1" t="n">
        <f aca="false">IFERROR(AVERAGEIF(D5:Z5,"&lt;&gt;0"),"")</f>
        <v>12500</v>
      </c>
    </row>
    <row r="6" customFormat="false" ht="15" hidden="false" customHeight="true" outlineLevel="0" collapsed="false">
      <c r="A6" s="1" t="n">
        <v>2</v>
      </c>
      <c r="B6" s="1" t="s">
        <v>335</v>
      </c>
      <c r="C6" s="1" t="s">
        <v>407</v>
      </c>
      <c r="D6" s="1" t="n">
        <v>14000</v>
      </c>
      <c r="E6" s="1" t="n">
        <v>14000</v>
      </c>
      <c r="F6" s="1" t="n">
        <v>14000</v>
      </c>
      <c r="G6" s="1" t="n">
        <v>14000</v>
      </c>
      <c r="H6" s="1" t="n">
        <v>14000</v>
      </c>
      <c r="I6" s="1" t="n">
        <v>14000</v>
      </c>
      <c r="J6" s="1" t="n">
        <v>14000</v>
      </c>
      <c r="K6" s="1" t="n">
        <v>14000</v>
      </c>
      <c r="L6" s="1" t="n">
        <v>14000</v>
      </c>
      <c r="M6" s="1" t="n">
        <v>14000</v>
      </c>
      <c r="N6" s="1" t="n">
        <v>14000</v>
      </c>
      <c r="O6" s="1" t="n">
        <v>14000</v>
      </c>
      <c r="P6" s="1" t="n">
        <v>14000</v>
      </c>
      <c r="Q6" s="1" t="n">
        <v>14000</v>
      </c>
      <c r="R6" s="1" t="n">
        <v>14000</v>
      </c>
      <c r="S6" s="1" t="n">
        <v>14000</v>
      </c>
      <c r="T6" s="1" t="n">
        <v>14000</v>
      </c>
      <c r="U6" s="1" t="n">
        <v>14000</v>
      </c>
      <c r="V6" s="1" t="n">
        <v>0</v>
      </c>
      <c r="W6" s="1" t="n">
        <v>0</v>
      </c>
      <c r="X6" s="1" t="n">
        <v>14000</v>
      </c>
      <c r="Y6" s="1" t="n">
        <v>14000</v>
      </c>
      <c r="Z6" s="1" t="n">
        <v>14000</v>
      </c>
      <c r="AA6" s="1" t="n">
        <f aca="false">IFERROR(AVERAGEIF(D6:H6,"&lt;&gt;0"),"")</f>
        <v>14000</v>
      </c>
      <c r="AB6" s="1" t="n">
        <f aca="false">IFERROR(AVERAGEIF(I6:M6,"&lt;&gt;0"),"")</f>
        <v>14000</v>
      </c>
      <c r="AC6" s="1" t="n">
        <f aca="false">IFERROR(AVERAGEIF(N6:R6,"&lt;&gt;0"),"")</f>
        <v>14000</v>
      </c>
      <c r="AD6" s="1" t="n">
        <f aca="false">IFERROR(AVERAGEIF(S6:W6,"&lt;&gt;0"),"")</f>
        <v>14000</v>
      </c>
      <c r="AE6" s="1" t="n">
        <f aca="false">IFERROR(AVERAGEIF(X6:Z6,"&lt;&gt;0"),"")</f>
        <v>14000</v>
      </c>
      <c r="AF6" s="1" t="n">
        <f aca="false">IFERROR(AVERAGEIF(D6:Z6,"&lt;&gt;0"),"")</f>
        <v>14000</v>
      </c>
    </row>
    <row r="7" customFormat="false" ht="15" hidden="false" customHeight="true" outlineLevel="0" collapsed="false">
      <c r="A7" s="1" t="n">
        <v>3</v>
      </c>
      <c r="B7" s="1" t="s">
        <v>336</v>
      </c>
      <c r="C7" s="1" t="s">
        <v>407</v>
      </c>
      <c r="D7" s="1" t="n">
        <v>12500</v>
      </c>
      <c r="E7" s="1" t="n">
        <v>12500</v>
      </c>
      <c r="F7" s="1" t="n">
        <v>12500</v>
      </c>
      <c r="G7" s="1" t="n">
        <v>12500</v>
      </c>
      <c r="H7" s="1" t="n">
        <v>12500</v>
      </c>
      <c r="I7" s="1" t="n">
        <v>12500</v>
      </c>
      <c r="J7" s="1" t="n">
        <v>12500</v>
      </c>
      <c r="K7" s="1" t="n">
        <v>12500</v>
      </c>
      <c r="L7" s="1" t="n">
        <v>12500</v>
      </c>
      <c r="M7" s="1" t="n">
        <v>12500</v>
      </c>
      <c r="N7" s="1" t="n">
        <v>12500</v>
      </c>
      <c r="O7" s="1" t="n">
        <v>12500</v>
      </c>
      <c r="P7" s="1" t="n">
        <v>12500</v>
      </c>
      <c r="Q7" s="1" t="n">
        <v>12500</v>
      </c>
      <c r="R7" s="1" t="n">
        <v>12500</v>
      </c>
      <c r="S7" s="1" t="n">
        <v>12500</v>
      </c>
      <c r="T7" s="1" t="n">
        <v>12500</v>
      </c>
      <c r="U7" s="1" t="n">
        <v>12500</v>
      </c>
      <c r="V7" s="1" t="n">
        <v>0</v>
      </c>
      <c r="W7" s="1" t="n">
        <v>0</v>
      </c>
      <c r="X7" s="1" t="n">
        <v>12500</v>
      </c>
      <c r="Y7" s="1" t="n">
        <v>12500</v>
      </c>
      <c r="Z7" s="1" t="n">
        <v>12500</v>
      </c>
      <c r="AA7" s="1" t="n">
        <f aca="false">IFERROR(AVERAGEIF(D7:H7,"&lt;&gt;0"),"")</f>
        <v>12500</v>
      </c>
      <c r="AB7" s="1" t="n">
        <f aca="false">IFERROR(AVERAGEIF(I7:M7,"&lt;&gt;0"),"")</f>
        <v>12500</v>
      </c>
      <c r="AC7" s="1" t="n">
        <f aca="false">IFERROR(AVERAGEIF(N7:R7,"&lt;&gt;0"),"")</f>
        <v>12500</v>
      </c>
      <c r="AD7" s="1" t="n">
        <f aca="false">IFERROR(AVERAGEIF(S7:W7,"&lt;&gt;0"),"")</f>
        <v>12500</v>
      </c>
      <c r="AE7" s="1" t="n">
        <f aca="false">IFERROR(AVERAGEIF(X7:Z7,"&lt;&gt;0"),"")</f>
        <v>12500</v>
      </c>
      <c r="AF7" s="1" t="n">
        <f aca="false">IFERROR(AVERAGEIF(D7:Z7,"&lt;&gt;0"),"")</f>
        <v>12500</v>
      </c>
    </row>
    <row r="8" customFormat="false" ht="15" hidden="false" customHeight="true" outlineLevel="0" collapsed="false">
      <c r="A8" s="1" t="n">
        <v>4</v>
      </c>
      <c r="B8" s="1" t="s">
        <v>408</v>
      </c>
      <c r="C8" s="1" t="s">
        <v>407</v>
      </c>
      <c r="D8" s="1" t="n">
        <v>11000</v>
      </c>
      <c r="E8" s="1" t="n">
        <v>11000</v>
      </c>
      <c r="F8" s="1" t="n">
        <v>11000</v>
      </c>
      <c r="G8" s="1" t="n">
        <v>11000</v>
      </c>
      <c r="H8" s="1" t="n">
        <v>11000</v>
      </c>
      <c r="I8" s="1" t="n">
        <v>11000</v>
      </c>
      <c r="J8" s="1" t="n">
        <v>11000</v>
      </c>
      <c r="K8" s="1" t="n">
        <v>11000</v>
      </c>
      <c r="L8" s="1" t="n">
        <v>11000</v>
      </c>
      <c r="M8" s="1" t="n">
        <v>11000</v>
      </c>
      <c r="N8" s="1" t="n">
        <v>11000</v>
      </c>
      <c r="O8" s="1" t="n">
        <v>11000</v>
      </c>
      <c r="P8" s="1" t="n">
        <v>11000</v>
      </c>
      <c r="Q8" s="1" t="n">
        <v>11000</v>
      </c>
      <c r="R8" s="1" t="n">
        <v>11000</v>
      </c>
      <c r="S8" s="1" t="n">
        <v>11000</v>
      </c>
      <c r="T8" s="1" t="n">
        <v>11000</v>
      </c>
      <c r="U8" s="1" t="n">
        <v>11000</v>
      </c>
      <c r="V8" s="1" t="n">
        <v>0</v>
      </c>
      <c r="W8" s="1" t="n">
        <v>0</v>
      </c>
      <c r="X8" s="1" t="n">
        <v>11000</v>
      </c>
      <c r="Y8" s="1" t="n">
        <v>11000</v>
      </c>
      <c r="Z8" s="1" t="n">
        <v>11000</v>
      </c>
      <c r="AA8" s="1" t="n">
        <f aca="false">IFERROR(AVERAGEIF(D8:H8,"&lt;&gt;0"),"")</f>
        <v>11000</v>
      </c>
      <c r="AB8" s="1" t="n">
        <f aca="false">IFERROR(AVERAGEIF(I8:M8,"&lt;&gt;0"),"")</f>
        <v>11000</v>
      </c>
      <c r="AC8" s="1" t="n">
        <f aca="false">IFERROR(AVERAGEIF(N8:R8,"&lt;&gt;0"),"")</f>
        <v>11000</v>
      </c>
      <c r="AD8" s="1" t="n">
        <f aca="false">IFERROR(AVERAGEIF(S8:W8,"&lt;&gt;0"),"")</f>
        <v>11000</v>
      </c>
      <c r="AE8" s="1" t="n">
        <f aca="false">IFERROR(AVERAGEIF(X8:Z8,"&lt;&gt;0"),"")</f>
        <v>11000</v>
      </c>
      <c r="AF8" s="1" t="n">
        <f aca="false">IFERROR(AVERAGEIF(D8:Z8,"&lt;&gt;0"),"")</f>
        <v>11000</v>
      </c>
    </row>
    <row r="9" customFormat="false" ht="15" hidden="false" customHeight="true" outlineLevel="0" collapsed="false">
      <c r="A9" s="1" t="n">
        <v>5</v>
      </c>
      <c r="B9" s="1" t="s">
        <v>360</v>
      </c>
      <c r="C9" s="1" t="s">
        <v>407</v>
      </c>
      <c r="D9" s="1" t="n">
        <v>25000</v>
      </c>
      <c r="E9" s="1" t="n">
        <v>25000</v>
      </c>
      <c r="F9" s="1" t="n">
        <v>25000</v>
      </c>
      <c r="G9" s="1" t="n">
        <v>25000</v>
      </c>
      <c r="H9" s="1" t="n">
        <v>25000</v>
      </c>
      <c r="I9" s="1" t="n">
        <v>25000</v>
      </c>
      <c r="J9" s="1" t="n">
        <v>25000</v>
      </c>
      <c r="K9" s="1" t="n">
        <v>25000</v>
      </c>
      <c r="L9" s="1" t="n">
        <v>25000</v>
      </c>
      <c r="M9" s="1" t="n">
        <v>25000</v>
      </c>
      <c r="N9" s="1" t="n">
        <v>25000</v>
      </c>
      <c r="O9" s="1" t="n">
        <v>25000</v>
      </c>
      <c r="P9" s="1" t="n">
        <v>25000</v>
      </c>
      <c r="Q9" s="1" t="n">
        <v>25000</v>
      </c>
      <c r="R9" s="1" t="n">
        <v>25000</v>
      </c>
      <c r="S9" s="1" t="n">
        <v>25000</v>
      </c>
      <c r="T9" s="1" t="n">
        <v>25000</v>
      </c>
      <c r="U9" s="1" t="n">
        <v>25000</v>
      </c>
      <c r="V9" s="1" t="n">
        <v>0</v>
      </c>
      <c r="W9" s="1" t="n">
        <v>0</v>
      </c>
      <c r="X9" s="1" t="n">
        <v>25000</v>
      </c>
      <c r="Y9" s="1" t="n">
        <v>25000</v>
      </c>
      <c r="Z9" s="1" t="n">
        <v>25000</v>
      </c>
      <c r="AA9" s="1" t="n">
        <f aca="false">IFERROR(AVERAGEIF(D9:H9,"&lt;&gt;0"),"")</f>
        <v>25000</v>
      </c>
      <c r="AB9" s="1" t="n">
        <f aca="false">IFERROR(AVERAGEIF(I9:M9,"&lt;&gt;0"),"")</f>
        <v>25000</v>
      </c>
      <c r="AC9" s="1" t="n">
        <f aca="false">IFERROR(AVERAGEIF(N9:R9,"&lt;&gt;0"),"")</f>
        <v>25000</v>
      </c>
      <c r="AD9" s="1" t="n">
        <f aca="false">IFERROR(AVERAGEIF(S9:W9,"&lt;&gt;0"),"")</f>
        <v>25000</v>
      </c>
      <c r="AE9" s="1" t="n">
        <f aca="false">IFERROR(AVERAGEIF(X9:Z9,"&lt;&gt;0"),"")</f>
        <v>25000</v>
      </c>
      <c r="AF9" s="1" t="n">
        <f aca="false">IFERROR(AVERAGEIF(D9:Z9,"&lt;&gt;0"),"")</f>
        <v>25000</v>
      </c>
    </row>
    <row r="10" customFormat="false" ht="15" hidden="false" customHeight="true" outlineLevel="0" collapsed="false">
      <c r="A10" s="1" t="n">
        <v>6</v>
      </c>
      <c r="B10" s="1" t="s">
        <v>361</v>
      </c>
      <c r="C10" s="1" t="s">
        <v>407</v>
      </c>
      <c r="D10" s="1" t="n">
        <v>26000</v>
      </c>
      <c r="E10" s="1" t="n">
        <v>26000</v>
      </c>
      <c r="F10" s="1" t="n">
        <v>27000</v>
      </c>
      <c r="G10" s="1" t="n">
        <v>27000</v>
      </c>
      <c r="H10" s="1" t="n">
        <v>27000</v>
      </c>
      <c r="I10" s="1" t="n">
        <v>27000</v>
      </c>
      <c r="J10" s="1" t="n">
        <v>27000</v>
      </c>
      <c r="K10" s="1" t="n">
        <v>27000</v>
      </c>
      <c r="L10" s="1" t="n">
        <v>25000</v>
      </c>
      <c r="M10" s="1" t="n">
        <v>25000</v>
      </c>
      <c r="N10" s="1" t="n">
        <v>25000</v>
      </c>
      <c r="O10" s="1" t="n">
        <v>25000</v>
      </c>
      <c r="P10" s="1" t="n">
        <v>25000</v>
      </c>
      <c r="Q10" s="1" t="n">
        <v>25000</v>
      </c>
      <c r="R10" s="1" t="n">
        <v>25000</v>
      </c>
      <c r="S10" s="1" t="n">
        <v>25000</v>
      </c>
      <c r="T10" s="1" t="n">
        <v>25000</v>
      </c>
      <c r="U10" s="1" t="n">
        <v>25000</v>
      </c>
      <c r="V10" s="1" t="n">
        <v>0</v>
      </c>
      <c r="W10" s="1" t="n">
        <v>0</v>
      </c>
      <c r="X10" s="1" t="n">
        <v>25000</v>
      </c>
      <c r="Y10" s="1" t="n">
        <v>25000</v>
      </c>
      <c r="Z10" s="1" t="n">
        <v>25000</v>
      </c>
      <c r="AA10" s="1" t="n">
        <f aca="false">IFERROR(AVERAGEIF(D10:H10,"&lt;&gt;0"),"")</f>
        <v>26600</v>
      </c>
      <c r="AB10" s="1" t="n">
        <f aca="false">IFERROR(AVERAGEIF(I10:M10,"&lt;&gt;0"),"")</f>
        <v>26200</v>
      </c>
      <c r="AC10" s="1" t="n">
        <f aca="false">IFERROR(AVERAGEIF(N10:R10,"&lt;&gt;0"),"")</f>
        <v>25000</v>
      </c>
      <c r="AD10" s="1" t="n">
        <f aca="false">IFERROR(AVERAGEIF(S10:W10,"&lt;&gt;0"),"")</f>
        <v>25000</v>
      </c>
      <c r="AE10" s="1" t="n">
        <f aca="false">IFERROR(AVERAGEIF(X10:Z10,"&lt;&gt;0"),"")</f>
        <v>25000</v>
      </c>
      <c r="AF10" s="1" t="n">
        <f aca="false">IFERROR(AVERAGEIF(D10:Z10,"&lt;&gt;0"),"")</f>
        <v>25666.6666666667</v>
      </c>
    </row>
    <row r="11" customFormat="false" ht="15" hidden="false" customHeight="true" outlineLevel="0" collapsed="false">
      <c r="A11" s="1" t="n">
        <v>7</v>
      </c>
      <c r="B11" s="1" t="s">
        <v>347</v>
      </c>
      <c r="C11" s="1" t="s">
        <v>407</v>
      </c>
      <c r="D11" s="1" t="n">
        <v>24000</v>
      </c>
      <c r="E11" s="1" t="n">
        <v>24000</v>
      </c>
      <c r="F11" s="1" t="n">
        <v>25000</v>
      </c>
      <c r="G11" s="1" t="n">
        <v>26000</v>
      </c>
      <c r="H11" s="1" t="n">
        <v>29000</v>
      </c>
      <c r="I11" s="1" t="n">
        <v>29000</v>
      </c>
      <c r="J11" s="1" t="n">
        <v>29000</v>
      </c>
      <c r="K11" s="1" t="n">
        <v>29000</v>
      </c>
      <c r="L11" s="1" t="n">
        <v>28000</v>
      </c>
      <c r="M11" s="1" t="n">
        <v>27000</v>
      </c>
      <c r="N11" s="1" t="n">
        <v>27000</v>
      </c>
      <c r="O11" s="1" t="n">
        <v>26000</v>
      </c>
      <c r="P11" s="1" t="n">
        <v>26000</v>
      </c>
      <c r="Q11" s="1" t="n">
        <v>26000</v>
      </c>
      <c r="R11" s="1" t="n">
        <v>28000</v>
      </c>
      <c r="S11" s="1" t="n">
        <v>28000</v>
      </c>
      <c r="T11" s="1" t="n">
        <v>30000</v>
      </c>
      <c r="U11" s="1" t="n">
        <v>30000</v>
      </c>
      <c r="V11" s="1" t="n">
        <v>0</v>
      </c>
      <c r="W11" s="1" t="n">
        <v>0</v>
      </c>
      <c r="X11" s="1" t="n">
        <v>30000</v>
      </c>
      <c r="Y11" s="1" t="n">
        <v>30000</v>
      </c>
      <c r="Z11" s="1" t="n">
        <v>30000</v>
      </c>
      <c r="AA11" s="1" t="n">
        <f aca="false">IFERROR(AVERAGEIF(D11:H11,"&lt;&gt;0"),"")</f>
        <v>25600</v>
      </c>
      <c r="AB11" s="1" t="n">
        <f aca="false">IFERROR(AVERAGEIF(I11:M11,"&lt;&gt;0"),"")</f>
        <v>28400</v>
      </c>
      <c r="AC11" s="1" t="n">
        <f aca="false">IFERROR(AVERAGEIF(N11:R11,"&lt;&gt;0"),"")</f>
        <v>26600</v>
      </c>
      <c r="AD11" s="1" t="n">
        <f aca="false">IFERROR(AVERAGEIF(S11:W11,"&lt;&gt;0"),"")</f>
        <v>29333.3333333333</v>
      </c>
      <c r="AE11" s="1" t="n">
        <f aca="false">IFERROR(AVERAGEIF(X11:Z11,"&lt;&gt;0"),"")</f>
        <v>30000</v>
      </c>
      <c r="AF11" s="1" t="n">
        <f aca="false">IFERROR(AVERAGEIF(D11:Z11,"&lt;&gt;0"),"")</f>
        <v>27666.6666666667</v>
      </c>
    </row>
    <row r="12" customFormat="false" ht="15" hidden="false" customHeight="true" outlineLevel="0" collapsed="false">
      <c r="A12" s="1" t="n">
        <v>8</v>
      </c>
      <c r="B12" s="1" t="s">
        <v>354</v>
      </c>
      <c r="C12" s="1" t="s">
        <v>407</v>
      </c>
      <c r="D12" s="1" t="n">
        <v>26000</v>
      </c>
      <c r="E12" s="1" t="n">
        <v>26000</v>
      </c>
      <c r="F12" s="1" t="n">
        <v>26000</v>
      </c>
      <c r="G12" s="1" t="n">
        <v>27000</v>
      </c>
      <c r="H12" s="1" t="n">
        <v>27000</v>
      </c>
      <c r="I12" s="1" t="n">
        <v>27000</v>
      </c>
      <c r="J12" s="1" t="n">
        <v>27000</v>
      </c>
      <c r="K12" s="1" t="n">
        <v>27000</v>
      </c>
      <c r="L12" s="1" t="n">
        <v>26000</v>
      </c>
      <c r="M12" s="1" t="n">
        <v>26000</v>
      </c>
      <c r="N12" s="1" t="n">
        <v>26000</v>
      </c>
      <c r="O12" s="1" t="n">
        <v>26000</v>
      </c>
      <c r="P12" s="1" t="n">
        <v>26000</v>
      </c>
      <c r="Q12" s="1" t="n">
        <v>26000</v>
      </c>
      <c r="R12" s="1" t="n">
        <v>26000</v>
      </c>
      <c r="S12" s="1" t="n">
        <v>26000</v>
      </c>
      <c r="T12" s="1" t="n">
        <v>28000</v>
      </c>
      <c r="U12" s="1" t="n">
        <v>28000</v>
      </c>
      <c r="V12" s="1" t="n">
        <v>0</v>
      </c>
      <c r="W12" s="1" t="n">
        <v>0</v>
      </c>
      <c r="X12" s="1" t="n">
        <v>28000</v>
      </c>
      <c r="Y12" s="1" t="n">
        <v>28000</v>
      </c>
      <c r="Z12" s="1" t="n">
        <v>28000</v>
      </c>
      <c r="AA12" s="1" t="n">
        <f aca="false">IFERROR(AVERAGEIF(D12:H12,"&lt;&gt;0"),"")</f>
        <v>26400</v>
      </c>
      <c r="AB12" s="1" t="n">
        <f aca="false">IFERROR(AVERAGEIF(I12:M12,"&lt;&gt;0"),"")</f>
        <v>26600</v>
      </c>
      <c r="AC12" s="1" t="n">
        <f aca="false">IFERROR(AVERAGEIF(N12:R12,"&lt;&gt;0"),"")</f>
        <v>26000</v>
      </c>
      <c r="AD12" s="1" t="n">
        <f aca="false">IFERROR(AVERAGEIF(S12:W12,"&lt;&gt;0"),"")</f>
        <v>27333.3333333333</v>
      </c>
      <c r="AE12" s="1" t="n">
        <f aca="false">IFERROR(AVERAGEIF(X12:Z12,"&lt;&gt;0"),"")</f>
        <v>28000</v>
      </c>
      <c r="AF12" s="1" t="n">
        <f aca="false">IFERROR(AVERAGEIF(D12:Z12,"&lt;&gt;0"),"")</f>
        <v>26714.2857142857</v>
      </c>
    </row>
    <row r="13" customFormat="false" ht="15" hidden="false" customHeight="true" outlineLevel="0" collapsed="false">
      <c r="A13" s="1" t="n">
        <v>9</v>
      </c>
      <c r="B13" s="1" t="s">
        <v>349</v>
      </c>
      <c r="C13" s="1" t="s">
        <v>407</v>
      </c>
      <c r="D13" s="1" t="n">
        <v>15000</v>
      </c>
      <c r="E13" s="1" t="n">
        <v>15000</v>
      </c>
      <c r="F13" s="1" t="n">
        <v>15000</v>
      </c>
      <c r="G13" s="1" t="n">
        <v>15000</v>
      </c>
      <c r="H13" s="1" t="n">
        <v>15000</v>
      </c>
      <c r="I13" s="1" t="n">
        <v>15000</v>
      </c>
      <c r="J13" s="1" t="n">
        <v>15000</v>
      </c>
      <c r="K13" s="1" t="n">
        <v>15000</v>
      </c>
      <c r="L13" s="1" t="n">
        <v>15000</v>
      </c>
      <c r="M13" s="1" t="n">
        <v>15000</v>
      </c>
      <c r="N13" s="1" t="n">
        <v>15000</v>
      </c>
      <c r="O13" s="1" t="n">
        <v>15000</v>
      </c>
      <c r="P13" s="1" t="n">
        <v>15000</v>
      </c>
      <c r="Q13" s="1" t="n">
        <v>15000</v>
      </c>
      <c r="R13" s="1" t="n">
        <v>15000</v>
      </c>
      <c r="S13" s="1" t="n">
        <v>15000</v>
      </c>
      <c r="T13" s="1" t="n">
        <v>15000</v>
      </c>
      <c r="U13" s="1" t="n">
        <v>15000</v>
      </c>
      <c r="V13" s="1" t="n">
        <v>0</v>
      </c>
      <c r="W13" s="1" t="n">
        <v>0</v>
      </c>
      <c r="X13" s="1" t="n">
        <v>15000</v>
      </c>
      <c r="Y13" s="1" t="n">
        <v>15000</v>
      </c>
      <c r="Z13" s="1" t="n">
        <v>15000</v>
      </c>
      <c r="AA13" s="1" t="n">
        <f aca="false">IFERROR(AVERAGEIF(D13:H13,"&lt;&gt;0"),"")</f>
        <v>15000</v>
      </c>
      <c r="AB13" s="1" t="n">
        <f aca="false">IFERROR(AVERAGEIF(I13:M13,"&lt;&gt;0"),"")</f>
        <v>15000</v>
      </c>
      <c r="AC13" s="1" t="n">
        <f aca="false">IFERROR(AVERAGEIF(N13:R13,"&lt;&gt;0"),"")</f>
        <v>15000</v>
      </c>
      <c r="AD13" s="1" t="n">
        <f aca="false">IFERROR(AVERAGEIF(S13:W13,"&lt;&gt;0"),"")</f>
        <v>15000</v>
      </c>
      <c r="AE13" s="1" t="n">
        <f aca="false">IFERROR(AVERAGEIF(X13:Z13,"&lt;&gt;0"),"")</f>
        <v>15000</v>
      </c>
      <c r="AF13" s="1" t="n">
        <f aca="false">IFERROR(AVERAGEIF(D13:Z13,"&lt;&gt;0"),"")</f>
        <v>15000</v>
      </c>
    </row>
    <row r="14" customFormat="false" ht="15" hidden="false" customHeight="true" outlineLevel="0" collapsed="false">
      <c r="A14" s="1" t="n">
        <v>10</v>
      </c>
      <c r="B14" s="1" t="s">
        <v>340</v>
      </c>
      <c r="C14" s="1" t="s">
        <v>407</v>
      </c>
      <c r="D14" s="1" t="n">
        <v>15000</v>
      </c>
      <c r="E14" s="1" t="n">
        <v>15000</v>
      </c>
      <c r="F14" s="1" t="n">
        <v>15000</v>
      </c>
      <c r="G14" s="1" t="n">
        <v>15000</v>
      </c>
      <c r="H14" s="1" t="n">
        <v>15000</v>
      </c>
      <c r="I14" s="1" t="n">
        <v>15000</v>
      </c>
      <c r="J14" s="1" t="n">
        <v>15000</v>
      </c>
      <c r="K14" s="1" t="n">
        <v>15000</v>
      </c>
      <c r="L14" s="1" t="n">
        <v>15000</v>
      </c>
      <c r="M14" s="1" t="n">
        <v>15000</v>
      </c>
      <c r="N14" s="1" t="n">
        <v>15000</v>
      </c>
      <c r="O14" s="1" t="n">
        <v>15000</v>
      </c>
      <c r="P14" s="1" t="n">
        <v>15000</v>
      </c>
      <c r="Q14" s="1" t="n">
        <v>15000</v>
      </c>
      <c r="R14" s="1" t="n">
        <v>15000</v>
      </c>
      <c r="S14" s="1" t="n">
        <v>15000</v>
      </c>
      <c r="T14" s="1" t="n">
        <v>15000</v>
      </c>
      <c r="U14" s="1" t="n">
        <v>15000</v>
      </c>
      <c r="V14" s="1" t="n">
        <v>0</v>
      </c>
      <c r="W14" s="1" t="n">
        <v>0</v>
      </c>
      <c r="X14" s="1" t="n">
        <v>15000</v>
      </c>
      <c r="Y14" s="1" t="n">
        <v>15000</v>
      </c>
      <c r="Z14" s="1" t="n">
        <v>15000</v>
      </c>
      <c r="AA14" s="1" t="n">
        <f aca="false">IFERROR(AVERAGEIF(D14:H14,"&lt;&gt;0"),"")</f>
        <v>15000</v>
      </c>
      <c r="AB14" s="1" t="n">
        <f aca="false">IFERROR(AVERAGEIF(I14:M14,"&lt;&gt;0"),"")</f>
        <v>15000</v>
      </c>
      <c r="AC14" s="1" t="n">
        <f aca="false">IFERROR(AVERAGEIF(N14:R14,"&lt;&gt;0"),"")</f>
        <v>15000</v>
      </c>
      <c r="AD14" s="1" t="n">
        <f aca="false">IFERROR(AVERAGEIF(S14:W14,"&lt;&gt;0"),"")</f>
        <v>15000</v>
      </c>
      <c r="AE14" s="1" t="n">
        <f aca="false">IFERROR(AVERAGEIF(X14:Z14,"&lt;&gt;0"),"")</f>
        <v>15000</v>
      </c>
      <c r="AF14" s="1" t="n">
        <f aca="false">IFERROR(AVERAGEIF(D14:Z14,"&lt;&gt;0"),"")</f>
        <v>15000</v>
      </c>
    </row>
    <row r="15" customFormat="false" ht="15" hidden="false" customHeight="true" outlineLevel="0" collapsed="false">
      <c r="A15" s="1" t="n">
        <v>11</v>
      </c>
      <c r="B15" s="1" t="s">
        <v>341</v>
      </c>
      <c r="C15" s="1" t="s">
        <v>407</v>
      </c>
      <c r="D15" s="1" t="n">
        <v>18000</v>
      </c>
      <c r="E15" s="1" t="n">
        <v>18000</v>
      </c>
      <c r="F15" s="1" t="n">
        <v>18000</v>
      </c>
      <c r="G15" s="1" t="n">
        <v>18000</v>
      </c>
      <c r="H15" s="1" t="n">
        <v>18000</v>
      </c>
      <c r="I15" s="1" t="n">
        <v>18000</v>
      </c>
      <c r="J15" s="1" t="n">
        <v>18000</v>
      </c>
      <c r="K15" s="1" t="n">
        <v>18000</v>
      </c>
      <c r="L15" s="1" t="n">
        <v>18000</v>
      </c>
      <c r="M15" s="1" t="n">
        <v>18000</v>
      </c>
      <c r="N15" s="1" t="n">
        <v>18000</v>
      </c>
      <c r="O15" s="1" t="n">
        <v>18000</v>
      </c>
      <c r="P15" s="1" t="n">
        <v>18000</v>
      </c>
      <c r="Q15" s="1" t="n">
        <v>18000</v>
      </c>
      <c r="R15" s="1" t="n">
        <v>18000</v>
      </c>
      <c r="S15" s="1" t="n">
        <v>18000</v>
      </c>
      <c r="T15" s="1" t="n">
        <v>18000</v>
      </c>
      <c r="U15" s="1" t="n">
        <v>18000</v>
      </c>
      <c r="V15" s="1" t="n">
        <v>0</v>
      </c>
      <c r="W15" s="1" t="n">
        <v>0</v>
      </c>
      <c r="X15" s="1" t="n">
        <v>18000</v>
      </c>
      <c r="Y15" s="1" t="n">
        <v>18000</v>
      </c>
      <c r="Z15" s="1" t="n">
        <v>18000</v>
      </c>
      <c r="AA15" s="1" t="n">
        <f aca="false">IFERROR(AVERAGEIF(D15:H15,"&lt;&gt;0"),"")</f>
        <v>18000</v>
      </c>
      <c r="AB15" s="1" t="n">
        <f aca="false">IFERROR(AVERAGEIF(I15:M15,"&lt;&gt;0"),"")</f>
        <v>18000</v>
      </c>
      <c r="AC15" s="1" t="n">
        <f aca="false">IFERROR(AVERAGEIF(N15:R15,"&lt;&gt;0"),"")</f>
        <v>18000</v>
      </c>
      <c r="AD15" s="1" t="n">
        <f aca="false">IFERROR(AVERAGEIF(S15:W15,"&lt;&gt;0"),"")</f>
        <v>18000</v>
      </c>
      <c r="AE15" s="1" t="n">
        <f aca="false">IFERROR(AVERAGEIF(X15:Z15,"&lt;&gt;0"),"")</f>
        <v>18000</v>
      </c>
      <c r="AF15" s="1" t="n">
        <f aca="false">IFERROR(AVERAGEIF(D15:Z15,"&lt;&gt;0"),"")</f>
        <v>18000</v>
      </c>
    </row>
    <row r="16" customFormat="false" ht="15" hidden="false" customHeight="true" outlineLevel="0" collapsed="false">
      <c r="A16" s="1" t="n">
        <v>12</v>
      </c>
      <c r="B16" s="1" t="s">
        <v>342</v>
      </c>
      <c r="C16" s="1" t="s">
        <v>407</v>
      </c>
      <c r="D16" s="1" t="n">
        <v>15700</v>
      </c>
      <c r="E16" s="1" t="n">
        <v>15700</v>
      </c>
      <c r="F16" s="1" t="n">
        <v>15700</v>
      </c>
      <c r="G16" s="1" t="n">
        <v>15700</v>
      </c>
      <c r="H16" s="1" t="n">
        <v>15700</v>
      </c>
      <c r="I16" s="1" t="n">
        <v>15700</v>
      </c>
      <c r="J16" s="1" t="n">
        <v>15700</v>
      </c>
      <c r="K16" s="1" t="n">
        <v>15700</v>
      </c>
      <c r="L16" s="1" t="n">
        <v>15700</v>
      </c>
      <c r="M16" s="1" t="n">
        <v>15700</v>
      </c>
      <c r="N16" s="1" t="n">
        <v>15700</v>
      </c>
      <c r="O16" s="1" t="n">
        <v>15700</v>
      </c>
      <c r="P16" s="1" t="n">
        <v>15700</v>
      </c>
      <c r="Q16" s="1" t="n">
        <v>15700</v>
      </c>
      <c r="R16" s="1" t="n">
        <v>15700</v>
      </c>
      <c r="S16" s="1" t="n">
        <v>15700</v>
      </c>
      <c r="T16" s="1" t="n">
        <v>15700</v>
      </c>
      <c r="U16" s="1" t="n">
        <v>15700</v>
      </c>
      <c r="V16" s="1" t="n">
        <v>0</v>
      </c>
      <c r="W16" s="1" t="n">
        <v>0</v>
      </c>
      <c r="X16" s="1" t="n">
        <v>15700</v>
      </c>
      <c r="Y16" s="1" t="n">
        <v>15700</v>
      </c>
      <c r="Z16" s="1" t="n">
        <v>15700</v>
      </c>
      <c r="AA16" s="1" t="n">
        <f aca="false">IFERROR(AVERAGEIF(D16:H16,"&lt;&gt;0"),"")</f>
        <v>15700</v>
      </c>
      <c r="AB16" s="1" t="n">
        <f aca="false">IFERROR(AVERAGEIF(I16:M16,"&lt;&gt;0"),"")</f>
        <v>15700</v>
      </c>
      <c r="AC16" s="1" t="n">
        <f aca="false">IFERROR(AVERAGEIF(N16:R16,"&lt;&gt;0"),"")</f>
        <v>15700</v>
      </c>
      <c r="AD16" s="1" t="n">
        <f aca="false">IFERROR(AVERAGEIF(S16:W16,"&lt;&gt;0"),"")</f>
        <v>15700</v>
      </c>
      <c r="AE16" s="1" t="n">
        <f aca="false">IFERROR(AVERAGEIF(X16:Z16,"&lt;&gt;0"),"")</f>
        <v>15700</v>
      </c>
      <c r="AF16" s="1" t="n">
        <f aca="false">IFERROR(AVERAGEIF(D16:Z16,"&lt;&gt;0"),"")</f>
        <v>15700</v>
      </c>
    </row>
    <row r="17" customFormat="false" ht="15" hidden="false" customHeight="true" outlineLevel="0" collapsed="false">
      <c r="A17" s="1" t="n">
        <v>13</v>
      </c>
      <c r="B17" s="1" t="s">
        <v>337</v>
      </c>
      <c r="C17" s="1" t="s">
        <v>407</v>
      </c>
      <c r="D17" s="1" t="n">
        <v>11000</v>
      </c>
      <c r="E17" s="1" t="n">
        <v>11000</v>
      </c>
      <c r="F17" s="1" t="n">
        <v>11000</v>
      </c>
      <c r="G17" s="1" t="n">
        <v>11000</v>
      </c>
      <c r="H17" s="1" t="n">
        <v>11000</v>
      </c>
      <c r="I17" s="1" t="n">
        <v>11000</v>
      </c>
      <c r="J17" s="1" t="n">
        <v>11000</v>
      </c>
      <c r="K17" s="1" t="n">
        <v>11000</v>
      </c>
      <c r="L17" s="1" t="n">
        <v>11000</v>
      </c>
      <c r="M17" s="1" t="n">
        <v>11000</v>
      </c>
      <c r="N17" s="1" t="n">
        <v>11000</v>
      </c>
      <c r="O17" s="1" t="n">
        <v>11000</v>
      </c>
      <c r="P17" s="1" t="n">
        <v>11000</v>
      </c>
      <c r="Q17" s="1" t="n">
        <v>11000</v>
      </c>
      <c r="R17" s="1" t="n">
        <v>11000</v>
      </c>
      <c r="S17" s="1" t="n">
        <v>11000</v>
      </c>
      <c r="T17" s="1" t="n">
        <v>11000</v>
      </c>
      <c r="U17" s="1" t="n">
        <v>11000</v>
      </c>
      <c r="V17" s="1" t="n">
        <v>0</v>
      </c>
      <c r="W17" s="1" t="n">
        <v>0</v>
      </c>
      <c r="X17" s="1" t="n">
        <v>11000</v>
      </c>
      <c r="Y17" s="1" t="n">
        <v>11000</v>
      </c>
      <c r="Z17" s="1" t="n">
        <v>11000</v>
      </c>
      <c r="AA17" s="1" t="n">
        <f aca="false">IFERROR(AVERAGEIF(D17:H17,"&lt;&gt;0"),"")</f>
        <v>11000</v>
      </c>
      <c r="AB17" s="1" t="n">
        <f aca="false">IFERROR(AVERAGEIF(I17:M17,"&lt;&gt;0"),"")</f>
        <v>11000</v>
      </c>
      <c r="AC17" s="1" t="n">
        <f aca="false">IFERROR(AVERAGEIF(N17:R17,"&lt;&gt;0"),"")</f>
        <v>11000</v>
      </c>
      <c r="AD17" s="1" t="n">
        <f aca="false">IFERROR(AVERAGEIF(S17:W17,"&lt;&gt;0"),"")</f>
        <v>11000</v>
      </c>
      <c r="AE17" s="1" t="n">
        <f aca="false">IFERROR(AVERAGEIF(X17:Z17,"&lt;&gt;0"),"")</f>
        <v>11000</v>
      </c>
      <c r="AF17" s="1" t="n">
        <f aca="false">IFERROR(AVERAGEIF(D17:Z17,"&lt;&gt;0"),"")</f>
        <v>11000</v>
      </c>
    </row>
    <row r="18" customFormat="false" ht="15" hidden="false" customHeight="true" outlineLevel="0" collapsed="false">
      <c r="A18" s="1" t="n">
        <v>14</v>
      </c>
      <c r="B18" s="1" t="s">
        <v>339</v>
      </c>
      <c r="C18" s="1" t="s">
        <v>407</v>
      </c>
      <c r="D18" s="1" t="n">
        <v>26000</v>
      </c>
      <c r="E18" s="1" t="n">
        <v>26000</v>
      </c>
      <c r="F18" s="1" t="n">
        <v>26000</v>
      </c>
      <c r="G18" s="1" t="n">
        <v>26000</v>
      </c>
      <c r="H18" s="1" t="n">
        <v>26000</v>
      </c>
      <c r="I18" s="1" t="n">
        <v>26000</v>
      </c>
      <c r="J18" s="1" t="n">
        <v>26000</v>
      </c>
      <c r="K18" s="1" t="n">
        <v>26000</v>
      </c>
      <c r="L18" s="1" t="n">
        <v>25000</v>
      </c>
      <c r="M18" s="1" t="n">
        <v>25000</v>
      </c>
      <c r="N18" s="1" t="n">
        <v>25000</v>
      </c>
      <c r="O18" s="1" t="n">
        <v>24000</v>
      </c>
      <c r="P18" s="1" t="n">
        <v>24000</v>
      </c>
      <c r="Q18" s="1" t="n">
        <v>24000</v>
      </c>
      <c r="R18" s="1" t="n">
        <v>25000</v>
      </c>
      <c r="S18" s="1" t="n">
        <v>25000</v>
      </c>
      <c r="T18" s="1" t="n">
        <v>25500</v>
      </c>
      <c r="U18" s="1" t="n">
        <v>26000</v>
      </c>
      <c r="V18" s="1" t="n">
        <v>0</v>
      </c>
      <c r="W18" s="1" t="n">
        <v>0</v>
      </c>
      <c r="X18" s="1" t="n">
        <v>26000</v>
      </c>
      <c r="Y18" s="1" t="n">
        <v>26000</v>
      </c>
      <c r="Z18" s="1" t="n">
        <v>26000</v>
      </c>
      <c r="AA18" s="1" t="n">
        <f aca="false">IFERROR(AVERAGEIF(D18:H18,"&lt;&gt;0"),"")</f>
        <v>26000</v>
      </c>
      <c r="AB18" s="1" t="n">
        <f aca="false">IFERROR(AVERAGEIF(I18:M18,"&lt;&gt;0"),"")</f>
        <v>25600</v>
      </c>
      <c r="AC18" s="1" t="n">
        <f aca="false">IFERROR(AVERAGEIF(N18:R18,"&lt;&gt;0"),"")</f>
        <v>24400</v>
      </c>
      <c r="AD18" s="1" t="n">
        <f aca="false">IFERROR(AVERAGEIF(S18:W18,"&lt;&gt;0"),"")</f>
        <v>25500</v>
      </c>
      <c r="AE18" s="1" t="n">
        <f aca="false">IFERROR(AVERAGEIF(X18:Z18,"&lt;&gt;0"),"")</f>
        <v>26000</v>
      </c>
      <c r="AF18" s="1" t="n">
        <f aca="false">IFERROR(AVERAGEIF(D18:Z18,"&lt;&gt;0"),"")</f>
        <v>25452.380952381</v>
      </c>
    </row>
    <row r="19" customFormat="false" ht="15" hidden="false" customHeight="true" outlineLevel="0" collapsed="false">
      <c r="A19" s="1" t="n">
        <v>15</v>
      </c>
      <c r="B19" s="1" t="s">
        <v>348</v>
      </c>
      <c r="C19" s="1" t="s">
        <v>407</v>
      </c>
      <c r="D19" s="1" t="n">
        <v>26000</v>
      </c>
      <c r="E19" s="1" t="n">
        <v>26000</v>
      </c>
      <c r="F19" s="1" t="n">
        <v>26000</v>
      </c>
      <c r="G19" s="1" t="n">
        <v>26000</v>
      </c>
      <c r="H19" s="1" t="n">
        <v>26000</v>
      </c>
      <c r="I19" s="1" t="n">
        <v>26000</v>
      </c>
      <c r="J19" s="1" t="n">
        <v>26000</v>
      </c>
      <c r="K19" s="1" t="n">
        <v>26000</v>
      </c>
      <c r="L19" s="1" t="n">
        <v>25000</v>
      </c>
      <c r="M19" s="1" t="n">
        <v>24000</v>
      </c>
      <c r="N19" s="1" t="n">
        <v>24000</v>
      </c>
      <c r="O19" s="1" t="n">
        <v>24000</v>
      </c>
      <c r="P19" s="1" t="n">
        <v>24000</v>
      </c>
      <c r="Q19" s="1" t="n">
        <v>24000</v>
      </c>
      <c r="R19" s="1" t="n">
        <v>24000</v>
      </c>
      <c r="S19" s="1" t="n">
        <v>24000</v>
      </c>
      <c r="T19" s="1" t="n">
        <v>25000</v>
      </c>
      <c r="U19" s="1" t="n">
        <v>25000</v>
      </c>
      <c r="V19" s="1" t="n">
        <v>0</v>
      </c>
      <c r="W19" s="1" t="n">
        <v>0</v>
      </c>
      <c r="X19" s="1" t="n">
        <v>25000</v>
      </c>
      <c r="Y19" s="1" t="n">
        <v>25000</v>
      </c>
      <c r="Z19" s="1" t="n">
        <v>25000</v>
      </c>
      <c r="AA19" s="1" t="n">
        <f aca="false">IFERROR(AVERAGEIF(D19:H19,"&lt;&gt;0"),"")</f>
        <v>26000</v>
      </c>
      <c r="AB19" s="1" t="n">
        <f aca="false">IFERROR(AVERAGEIF(I19:M19,"&lt;&gt;0"),"")</f>
        <v>25400</v>
      </c>
      <c r="AC19" s="1" t="n">
        <f aca="false">IFERROR(AVERAGEIF(N19:R19,"&lt;&gt;0"),"")</f>
        <v>24000</v>
      </c>
      <c r="AD19" s="1" t="n">
        <f aca="false">IFERROR(AVERAGEIF(S19:W19,"&lt;&gt;0"),"")</f>
        <v>24666.6666666667</v>
      </c>
      <c r="AE19" s="1" t="n">
        <f aca="false">IFERROR(AVERAGEIF(X19:Z19,"&lt;&gt;0"),"")</f>
        <v>25000</v>
      </c>
      <c r="AF19" s="1" t="n">
        <f aca="false">IFERROR(AVERAGEIF(D19:Z19,"&lt;&gt;0"),"")</f>
        <v>25047.619047619</v>
      </c>
    </row>
    <row r="20" customFormat="false" ht="15" hidden="false" customHeight="true" outlineLevel="0" collapsed="false">
      <c r="A20" s="1" t="n">
        <v>16</v>
      </c>
      <c r="B20" s="1" t="s">
        <v>362</v>
      </c>
      <c r="C20" s="1" t="s">
        <v>407</v>
      </c>
      <c r="D20" s="1" t="n">
        <v>110000</v>
      </c>
      <c r="E20" s="1" t="n">
        <v>110000</v>
      </c>
      <c r="F20" s="1" t="n">
        <v>110000</v>
      </c>
      <c r="G20" s="1" t="n">
        <v>110000</v>
      </c>
      <c r="H20" s="1" t="n">
        <v>110000</v>
      </c>
      <c r="I20" s="1" t="n">
        <v>110000</v>
      </c>
      <c r="J20" s="1" t="n">
        <v>110000</v>
      </c>
      <c r="K20" s="1" t="n">
        <v>110000</v>
      </c>
      <c r="L20" s="1" t="n">
        <v>110000</v>
      </c>
      <c r="M20" s="1" t="n">
        <v>110000</v>
      </c>
      <c r="N20" s="1" t="n">
        <v>110000</v>
      </c>
      <c r="O20" s="1" t="n">
        <v>110000</v>
      </c>
      <c r="P20" s="1" t="n">
        <v>110000</v>
      </c>
      <c r="Q20" s="1" t="n">
        <v>110000</v>
      </c>
      <c r="R20" s="1" t="n">
        <v>110000</v>
      </c>
      <c r="S20" s="1" t="n">
        <v>110000</v>
      </c>
      <c r="T20" s="1" t="n">
        <v>110000</v>
      </c>
      <c r="U20" s="1" t="n">
        <v>110000</v>
      </c>
      <c r="V20" s="1" t="n">
        <v>0</v>
      </c>
      <c r="W20" s="1" t="n">
        <v>0</v>
      </c>
      <c r="X20" s="1" t="n">
        <v>110000</v>
      </c>
      <c r="Y20" s="1" t="n">
        <v>110000</v>
      </c>
      <c r="Z20" s="1" t="n">
        <v>110000</v>
      </c>
      <c r="AA20" s="1" t="n">
        <f aca="false">IFERROR(AVERAGEIF(D20:H20,"&lt;&gt;0"),"")</f>
        <v>110000</v>
      </c>
      <c r="AB20" s="1" t="n">
        <f aca="false">IFERROR(AVERAGEIF(I20:M20,"&lt;&gt;0"),"")</f>
        <v>110000</v>
      </c>
      <c r="AC20" s="1" t="n">
        <f aca="false">IFERROR(AVERAGEIF(N20:R20,"&lt;&gt;0"),"")</f>
        <v>110000</v>
      </c>
      <c r="AD20" s="1" t="n">
        <f aca="false">IFERROR(AVERAGEIF(S20:W20,"&lt;&gt;0"),"")</f>
        <v>110000</v>
      </c>
      <c r="AE20" s="1" t="n">
        <f aca="false">IFERROR(AVERAGEIF(X20:Z20,"&lt;&gt;0"),"")</f>
        <v>110000</v>
      </c>
      <c r="AF20" s="1" t="n">
        <f aca="false">IFERROR(AVERAGEIF(D20:Z20,"&lt;&gt;0"),"")</f>
        <v>110000</v>
      </c>
    </row>
    <row r="21" customFormat="false" ht="15" hidden="false" customHeight="true" outlineLevel="0" collapsed="false">
      <c r="A21" s="1" t="n">
        <v>17</v>
      </c>
      <c r="B21" s="1" t="s">
        <v>363</v>
      </c>
      <c r="C21" s="1" t="s">
        <v>407</v>
      </c>
      <c r="D21" s="1" t="n">
        <v>60000</v>
      </c>
      <c r="E21" s="1" t="n">
        <v>60000</v>
      </c>
      <c r="F21" s="1" t="n">
        <v>60000</v>
      </c>
      <c r="G21" s="1" t="n">
        <v>60000</v>
      </c>
      <c r="H21" s="1" t="n">
        <v>60000</v>
      </c>
      <c r="I21" s="1" t="n">
        <v>60000</v>
      </c>
      <c r="J21" s="1" t="n">
        <v>60000</v>
      </c>
      <c r="K21" s="1" t="n">
        <v>60000</v>
      </c>
      <c r="L21" s="1" t="n">
        <v>60000</v>
      </c>
      <c r="M21" s="1" t="n">
        <v>60000</v>
      </c>
      <c r="N21" s="1" t="n">
        <v>60000</v>
      </c>
      <c r="O21" s="1" t="n">
        <v>60000</v>
      </c>
      <c r="P21" s="1" t="n">
        <v>60000</v>
      </c>
      <c r="Q21" s="1" t="n">
        <v>60000</v>
      </c>
      <c r="R21" s="1" t="n">
        <v>60000</v>
      </c>
      <c r="S21" s="1" t="n">
        <v>60000</v>
      </c>
      <c r="T21" s="1" t="n">
        <v>60000</v>
      </c>
      <c r="U21" s="1" t="n">
        <v>60000</v>
      </c>
      <c r="V21" s="1" t="n">
        <v>0</v>
      </c>
      <c r="W21" s="1" t="n">
        <v>0</v>
      </c>
      <c r="X21" s="1" t="n">
        <v>60000</v>
      </c>
      <c r="Y21" s="1" t="n">
        <v>60000</v>
      </c>
      <c r="Z21" s="1" t="n">
        <v>60000</v>
      </c>
      <c r="AA21" s="1" t="n">
        <f aca="false">IFERROR(AVERAGEIF(D21:H21,"&lt;&gt;0"),"")</f>
        <v>60000</v>
      </c>
      <c r="AB21" s="1" t="n">
        <f aca="false">IFERROR(AVERAGEIF(I21:M21,"&lt;&gt;0"),"")</f>
        <v>60000</v>
      </c>
      <c r="AC21" s="1" t="n">
        <f aca="false">IFERROR(AVERAGEIF(N21:R21,"&lt;&gt;0"),"")</f>
        <v>60000</v>
      </c>
      <c r="AD21" s="1" t="n">
        <f aca="false">IFERROR(AVERAGEIF(S21:W21,"&lt;&gt;0"),"")</f>
        <v>60000</v>
      </c>
      <c r="AE21" s="1" t="n">
        <f aca="false">IFERROR(AVERAGEIF(X21:Z21,"&lt;&gt;0"),"")</f>
        <v>60000</v>
      </c>
      <c r="AF21" s="1" t="n">
        <f aca="false">IFERROR(AVERAGEIF(D21:Z21,"&lt;&gt;0"),"")</f>
        <v>60000</v>
      </c>
    </row>
    <row r="22" customFormat="false" ht="15" hidden="false" customHeight="true" outlineLevel="0" collapsed="false">
      <c r="A22" s="1" t="n">
        <v>18</v>
      </c>
      <c r="B22" s="1" t="s">
        <v>364</v>
      </c>
      <c r="C22" s="1" t="s">
        <v>407</v>
      </c>
      <c r="D22" s="1" t="n">
        <v>55000</v>
      </c>
      <c r="E22" s="1" t="n">
        <v>55000</v>
      </c>
      <c r="F22" s="1" t="n">
        <v>55000</v>
      </c>
      <c r="G22" s="1" t="n">
        <v>55000</v>
      </c>
      <c r="H22" s="1" t="n">
        <v>55000</v>
      </c>
      <c r="I22" s="1" t="n">
        <v>55000</v>
      </c>
      <c r="J22" s="1" t="n">
        <v>55000</v>
      </c>
      <c r="K22" s="1" t="n">
        <v>55000</v>
      </c>
      <c r="L22" s="1" t="n">
        <v>55000</v>
      </c>
      <c r="M22" s="1" t="n">
        <v>55000</v>
      </c>
      <c r="N22" s="1" t="n">
        <v>55000</v>
      </c>
      <c r="O22" s="1" t="n">
        <v>55000</v>
      </c>
      <c r="P22" s="1" t="n">
        <v>55000</v>
      </c>
      <c r="Q22" s="1" t="n">
        <v>55000</v>
      </c>
      <c r="R22" s="1" t="n">
        <v>55000</v>
      </c>
      <c r="S22" s="1" t="n">
        <v>55000</v>
      </c>
      <c r="T22" s="1" t="n">
        <v>55000</v>
      </c>
      <c r="U22" s="1" t="n">
        <v>55000</v>
      </c>
      <c r="V22" s="1" t="n">
        <v>0</v>
      </c>
      <c r="W22" s="1" t="n">
        <v>0</v>
      </c>
      <c r="X22" s="1" t="n">
        <v>55000</v>
      </c>
      <c r="Y22" s="1" t="n">
        <v>55000</v>
      </c>
      <c r="Z22" s="1" t="n">
        <v>55000</v>
      </c>
      <c r="AA22" s="1" t="n">
        <f aca="false">IFERROR(AVERAGEIF(D22:H22,"&lt;&gt;0"),"")</f>
        <v>55000</v>
      </c>
      <c r="AB22" s="1" t="n">
        <f aca="false">IFERROR(AVERAGEIF(I22:M22,"&lt;&gt;0"),"")</f>
        <v>55000</v>
      </c>
      <c r="AC22" s="1" t="n">
        <f aca="false">IFERROR(AVERAGEIF(N22:R22,"&lt;&gt;0"),"")</f>
        <v>55000</v>
      </c>
      <c r="AD22" s="1" t="n">
        <f aca="false">IFERROR(AVERAGEIF(S22:W22,"&lt;&gt;0"),"")</f>
        <v>55000</v>
      </c>
      <c r="AE22" s="1" t="n">
        <f aca="false">IFERROR(AVERAGEIF(X22:Z22,"&lt;&gt;0"),"")</f>
        <v>55000</v>
      </c>
      <c r="AF22" s="1" t="n">
        <f aca="false">IFERROR(AVERAGEIF(D22:Z22,"&lt;&gt;0"),"")</f>
        <v>55000</v>
      </c>
    </row>
    <row r="23" customFormat="false" ht="15" hidden="false" customHeight="true" outlineLevel="0" collapsed="false">
      <c r="A23" s="1" t="n">
        <v>19</v>
      </c>
      <c r="B23" s="1" t="s">
        <v>409</v>
      </c>
      <c r="C23" s="1" t="s">
        <v>407</v>
      </c>
      <c r="D23" s="1" t="n">
        <v>28000</v>
      </c>
      <c r="E23" s="1" t="n">
        <v>28000</v>
      </c>
      <c r="F23" s="1" t="n">
        <v>28000</v>
      </c>
      <c r="G23" s="1" t="n">
        <v>28000</v>
      </c>
      <c r="H23" s="1" t="n">
        <v>28000</v>
      </c>
      <c r="I23" s="1" t="n">
        <v>28000</v>
      </c>
      <c r="J23" s="1" t="n">
        <v>28000</v>
      </c>
      <c r="K23" s="1" t="n">
        <v>28000</v>
      </c>
      <c r="L23" s="1" t="n">
        <v>28000</v>
      </c>
      <c r="M23" s="1" t="n">
        <v>28000</v>
      </c>
      <c r="N23" s="1" t="n">
        <v>28000</v>
      </c>
      <c r="O23" s="1" t="n">
        <v>28000</v>
      </c>
      <c r="P23" s="1" t="n">
        <v>28000</v>
      </c>
      <c r="Q23" s="1" t="n">
        <v>28000</v>
      </c>
      <c r="R23" s="1" t="n">
        <v>28000</v>
      </c>
      <c r="S23" s="1" t="n">
        <v>28000</v>
      </c>
      <c r="T23" s="1" t="n">
        <v>28000</v>
      </c>
      <c r="U23" s="1" t="n">
        <v>28000</v>
      </c>
      <c r="V23" s="1" t="n">
        <v>0</v>
      </c>
      <c r="W23" s="1" t="n">
        <v>0</v>
      </c>
      <c r="X23" s="1" t="n">
        <v>28000</v>
      </c>
      <c r="Y23" s="1" t="n">
        <v>28000</v>
      </c>
      <c r="Z23" s="1" t="n">
        <v>28000</v>
      </c>
      <c r="AA23" s="1" t="n">
        <f aca="false">IFERROR(AVERAGEIF(D23:H23,"&lt;&gt;0"),"")</f>
        <v>28000</v>
      </c>
      <c r="AB23" s="1" t="n">
        <f aca="false">IFERROR(AVERAGEIF(I23:M23,"&lt;&gt;0"),"")</f>
        <v>28000</v>
      </c>
      <c r="AC23" s="1" t="n">
        <f aca="false">IFERROR(AVERAGEIF(N23:R23,"&lt;&gt;0"),"")</f>
        <v>28000</v>
      </c>
      <c r="AD23" s="1" t="n">
        <f aca="false">IFERROR(AVERAGEIF(S23:W23,"&lt;&gt;0"),"")</f>
        <v>28000</v>
      </c>
      <c r="AE23" s="1" t="n">
        <f aca="false">IFERROR(AVERAGEIF(X23:Z23,"&lt;&gt;0"),"")</f>
        <v>28000</v>
      </c>
      <c r="AF23" s="1" t="n">
        <f aca="false">IFERROR(AVERAGEIF(D23:Z23,"&lt;&gt;0"),"")</f>
        <v>28000</v>
      </c>
    </row>
    <row r="24" customFormat="false" ht="15" hidden="false" customHeight="true" outlineLevel="0" collapsed="false">
      <c r="A24" s="1" t="n">
        <v>20</v>
      </c>
      <c r="B24" s="1" t="s">
        <v>350</v>
      </c>
      <c r="C24" s="1" t="s">
        <v>407</v>
      </c>
      <c r="D24" s="1" t="n">
        <v>28000</v>
      </c>
      <c r="E24" s="1" t="n">
        <v>28000</v>
      </c>
      <c r="F24" s="1" t="n">
        <v>28000</v>
      </c>
      <c r="G24" s="1" t="n">
        <v>28000</v>
      </c>
      <c r="H24" s="1" t="n">
        <v>28000</v>
      </c>
      <c r="I24" s="1" t="n">
        <v>28000</v>
      </c>
      <c r="J24" s="1" t="n">
        <v>28000</v>
      </c>
      <c r="K24" s="1" t="n">
        <v>28000</v>
      </c>
      <c r="L24" s="1" t="n">
        <v>28000</v>
      </c>
      <c r="M24" s="1" t="n">
        <v>28000</v>
      </c>
      <c r="N24" s="1" t="n">
        <v>28000</v>
      </c>
      <c r="O24" s="1" t="n">
        <v>28000</v>
      </c>
      <c r="P24" s="1" t="n">
        <v>28000</v>
      </c>
      <c r="Q24" s="1" t="n">
        <v>28000</v>
      </c>
      <c r="R24" s="1" t="n">
        <v>28000</v>
      </c>
      <c r="S24" s="1" t="n">
        <v>28000</v>
      </c>
      <c r="T24" s="1" t="n">
        <v>28000</v>
      </c>
      <c r="U24" s="1" t="n">
        <v>28000</v>
      </c>
      <c r="V24" s="1" t="n">
        <v>0</v>
      </c>
      <c r="W24" s="1" t="n">
        <v>0</v>
      </c>
      <c r="X24" s="1" t="n">
        <v>28000</v>
      </c>
      <c r="Y24" s="1" t="n">
        <v>28000</v>
      </c>
      <c r="Z24" s="1" t="n">
        <v>28000</v>
      </c>
      <c r="AA24" s="1" t="n">
        <f aca="false">IFERROR(AVERAGEIF(D24:H24,"&lt;&gt;0"),"")</f>
        <v>28000</v>
      </c>
      <c r="AB24" s="1" t="n">
        <f aca="false">IFERROR(AVERAGEIF(I24:M24,"&lt;&gt;0"),"")</f>
        <v>28000</v>
      </c>
      <c r="AC24" s="1" t="n">
        <f aca="false">IFERROR(AVERAGEIF(N24:R24,"&lt;&gt;0"),"")</f>
        <v>28000</v>
      </c>
      <c r="AD24" s="1" t="n">
        <f aca="false">IFERROR(AVERAGEIF(S24:W24,"&lt;&gt;0"),"")</f>
        <v>28000</v>
      </c>
      <c r="AE24" s="1" t="n">
        <f aca="false">IFERROR(AVERAGEIF(X24:Z24,"&lt;&gt;0"),"")</f>
        <v>28000</v>
      </c>
      <c r="AF24" s="1" t="n">
        <f aca="false">IFERROR(AVERAGEIF(D24:Z24,"&lt;&gt;0"),"")</f>
        <v>28000</v>
      </c>
    </row>
    <row r="25" customFormat="false" ht="15" hidden="false" customHeight="true" outlineLevel="0" collapsed="false">
      <c r="A25" s="1" t="n">
        <v>21</v>
      </c>
      <c r="B25" s="1" t="s">
        <v>410</v>
      </c>
      <c r="C25" s="1" t="s">
        <v>407</v>
      </c>
      <c r="D25" s="1" t="n">
        <v>60000</v>
      </c>
      <c r="E25" s="1" t="n">
        <v>60000</v>
      </c>
      <c r="F25" s="1" t="n">
        <v>60000</v>
      </c>
      <c r="G25" s="1" t="n">
        <v>60000</v>
      </c>
      <c r="H25" s="1" t="n">
        <v>60000</v>
      </c>
      <c r="I25" s="1" t="n">
        <v>60000</v>
      </c>
      <c r="J25" s="1" t="n">
        <v>60000</v>
      </c>
      <c r="K25" s="1" t="n">
        <v>60000</v>
      </c>
      <c r="L25" s="1" t="n">
        <v>60000</v>
      </c>
      <c r="M25" s="1" t="n">
        <v>60000</v>
      </c>
      <c r="N25" s="1" t="n">
        <v>60000</v>
      </c>
      <c r="O25" s="1" t="n">
        <v>60000</v>
      </c>
      <c r="P25" s="1" t="n">
        <v>60000</v>
      </c>
      <c r="Q25" s="1" t="n">
        <v>60000</v>
      </c>
      <c r="R25" s="1" t="n">
        <v>60000</v>
      </c>
      <c r="S25" s="1" t="n">
        <v>60000</v>
      </c>
      <c r="T25" s="1" t="n">
        <v>60000</v>
      </c>
      <c r="U25" s="1" t="n">
        <v>60000</v>
      </c>
      <c r="V25" s="1" t="n">
        <v>0</v>
      </c>
      <c r="W25" s="1" t="n">
        <v>0</v>
      </c>
      <c r="X25" s="1" t="n">
        <v>60000</v>
      </c>
      <c r="Y25" s="1" t="n">
        <v>60000</v>
      </c>
      <c r="Z25" s="1" t="n">
        <v>60000</v>
      </c>
      <c r="AA25" s="1" t="n">
        <f aca="false">IFERROR(AVERAGEIF(D25:H25,"&lt;&gt;0"),"")</f>
        <v>60000</v>
      </c>
      <c r="AB25" s="1" t="n">
        <f aca="false">IFERROR(AVERAGEIF(I25:M25,"&lt;&gt;0"),"")</f>
        <v>60000</v>
      </c>
      <c r="AC25" s="1" t="n">
        <f aca="false">IFERROR(AVERAGEIF(N25:R25,"&lt;&gt;0"),"")</f>
        <v>60000</v>
      </c>
      <c r="AD25" s="1" t="n">
        <f aca="false">IFERROR(AVERAGEIF(S25:W25,"&lt;&gt;0"),"")</f>
        <v>60000</v>
      </c>
      <c r="AE25" s="1" t="n">
        <f aca="false">IFERROR(AVERAGEIF(X25:Z25,"&lt;&gt;0"),"")</f>
        <v>60000</v>
      </c>
      <c r="AF25" s="1" t="n">
        <f aca="false">IFERROR(AVERAGEIF(D25:Z25,"&lt;&gt;0"),"")</f>
        <v>60000</v>
      </c>
    </row>
    <row r="26" customFormat="false" ht="15" hidden="false" customHeight="true" outlineLevel="0" collapsed="false">
      <c r="A26" s="1" t="n">
        <v>22</v>
      </c>
      <c r="B26" s="1" t="s">
        <v>357</v>
      </c>
      <c r="C26" s="1" t="s">
        <v>407</v>
      </c>
      <c r="D26" s="1" t="n">
        <v>2800</v>
      </c>
      <c r="E26" s="1" t="n">
        <v>2800</v>
      </c>
      <c r="F26" s="1" t="n">
        <v>2800</v>
      </c>
      <c r="G26" s="1" t="n">
        <v>2800</v>
      </c>
      <c r="H26" s="1" t="n">
        <v>2800</v>
      </c>
      <c r="I26" s="1" t="n">
        <v>2800</v>
      </c>
      <c r="J26" s="1" t="n">
        <v>2800</v>
      </c>
      <c r="K26" s="1" t="n">
        <v>2800</v>
      </c>
      <c r="L26" s="1" t="n">
        <v>2800</v>
      </c>
      <c r="M26" s="1" t="n">
        <v>2800</v>
      </c>
      <c r="N26" s="1" t="n">
        <v>2800</v>
      </c>
      <c r="O26" s="1" t="n">
        <v>2800</v>
      </c>
      <c r="P26" s="1" t="n">
        <v>2800</v>
      </c>
      <c r="Q26" s="1" t="n">
        <v>2800</v>
      </c>
      <c r="R26" s="1" t="n">
        <v>2800</v>
      </c>
      <c r="S26" s="1" t="n">
        <v>2800</v>
      </c>
      <c r="T26" s="1" t="n">
        <v>2800</v>
      </c>
      <c r="U26" s="1" t="n">
        <v>2800</v>
      </c>
      <c r="V26" s="1" t="n">
        <v>0</v>
      </c>
      <c r="W26" s="1" t="n">
        <v>0</v>
      </c>
      <c r="X26" s="1" t="n">
        <v>2800</v>
      </c>
      <c r="Y26" s="1" t="n">
        <v>2800</v>
      </c>
      <c r="Z26" s="1" t="n">
        <v>2800</v>
      </c>
      <c r="AA26" s="1" t="n">
        <f aca="false">IFERROR(AVERAGEIF(D26:H26,"&lt;&gt;0"),"")</f>
        <v>2800</v>
      </c>
      <c r="AB26" s="1" t="n">
        <f aca="false">IFERROR(AVERAGEIF(I26:M26,"&lt;&gt;0"),"")</f>
        <v>2800</v>
      </c>
      <c r="AC26" s="1" t="n">
        <f aca="false">IFERROR(AVERAGEIF(N26:R26,"&lt;&gt;0"),"")</f>
        <v>2800</v>
      </c>
      <c r="AD26" s="1" t="n">
        <f aca="false">IFERROR(AVERAGEIF(S26:W26,"&lt;&gt;0"),"")</f>
        <v>2800</v>
      </c>
      <c r="AE26" s="1" t="n">
        <f aca="false">IFERROR(AVERAGEIF(X26:Z26,"&lt;&gt;0"),"")</f>
        <v>2800</v>
      </c>
      <c r="AF26" s="1" t="n">
        <f aca="false">IFERROR(AVERAGEIF(D26:Z26,"&lt;&gt;0"),"")</f>
        <v>2800</v>
      </c>
    </row>
    <row r="27" customFormat="false" ht="15" hidden="false" customHeight="true" outlineLevel="0" collapsed="false">
      <c r="A27" s="1" t="n">
        <v>23</v>
      </c>
      <c r="B27" s="1" t="s">
        <v>355</v>
      </c>
      <c r="C27" s="1" t="s">
        <v>407</v>
      </c>
      <c r="D27" s="1" t="n">
        <v>24000</v>
      </c>
      <c r="E27" s="1" t="n">
        <v>24000</v>
      </c>
      <c r="F27" s="1" t="n">
        <v>24000</v>
      </c>
      <c r="G27" s="1" t="n">
        <v>24000</v>
      </c>
      <c r="H27" s="1" t="n">
        <v>24000</v>
      </c>
      <c r="I27" s="1" t="n">
        <v>24000</v>
      </c>
      <c r="J27" s="1" t="n">
        <v>24000</v>
      </c>
      <c r="K27" s="1" t="n">
        <v>24000</v>
      </c>
      <c r="L27" s="1" t="n">
        <v>23000</v>
      </c>
      <c r="M27" s="1" t="n">
        <v>22000</v>
      </c>
      <c r="N27" s="1" t="n">
        <v>22000</v>
      </c>
      <c r="O27" s="1" t="n">
        <v>22000</v>
      </c>
      <c r="P27" s="1" t="n">
        <v>22000</v>
      </c>
      <c r="Q27" s="1" t="n">
        <v>22000</v>
      </c>
      <c r="R27" s="1" t="n">
        <v>23000</v>
      </c>
      <c r="S27" s="1" t="n">
        <v>23000</v>
      </c>
      <c r="T27" s="1" t="n">
        <v>24000</v>
      </c>
      <c r="U27" s="1" t="n">
        <v>24000</v>
      </c>
      <c r="V27" s="1" t="n">
        <v>0</v>
      </c>
      <c r="W27" s="1" t="n">
        <v>0</v>
      </c>
      <c r="X27" s="1" t="n">
        <v>24000</v>
      </c>
      <c r="Y27" s="1" t="n">
        <v>24000</v>
      </c>
      <c r="Z27" s="1" t="n">
        <v>24000</v>
      </c>
      <c r="AA27" s="1" t="n">
        <f aca="false">IFERROR(AVERAGEIF(D27:H27,"&lt;&gt;0"),"")</f>
        <v>24000</v>
      </c>
      <c r="AB27" s="1" t="n">
        <f aca="false">IFERROR(AVERAGEIF(I27:M27,"&lt;&gt;0"),"")</f>
        <v>23400</v>
      </c>
      <c r="AC27" s="1" t="n">
        <f aca="false">IFERROR(AVERAGEIF(N27:R27,"&lt;&gt;0"),"")</f>
        <v>22200</v>
      </c>
      <c r="AD27" s="1" t="n">
        <f aca="false">IFERROR(AVERAGEIF(S27:W27,"&lt;&gt;0"),"")</f>
        <v>23666.6666666667</v>
      </c>
      <c r="AE27" s="1" t="n">
        <f aca="false">IFERROR(AVERAGEIF(X27:Z27,"&lt;&gt;0"),"")</f>
        <v>24000</v>
      </c>
      <c r="AF27" s="1" t="n">
        <f aca="false">IFERROR(AVERAGEIF(D27:Z27,"&lt;&gt;0"),"")</f>
        <v>23380.9523809524</v>
      </c>
    </row>
    <row r="28" customFormat="false" ht="15" hidden="false" customHeight="true" outlineLevel="0" collapsed="false">
      <c r="A28" s="1" t="n">
        <v>24</v>
      </c>
      <c r="B28" s="1" t="s">
        <v>356</v>
      </c>
      <c r="C28" s="1" t="s">
        <v>407</v>
      </c>
      <c r="D28" s="1" t="n">
        <v>30000</v>
      </c>
      <c r="E28" s="1" t="n">
        <v>30000</v>
      </c>
      <c r="F28" s="1" t="n">
        <v>30000</v>
      </c>
      <c r="G28" s="1" t="n">
        <v>30000</v>
      </c>
      <c r="H28" s="1" t="n">
        <v>30000</v>
      </c>
      <c r="I28" s="1" t="n">
        <v>30000</v>
      </c>
      <c r="J28" s="1" t="n">
        <v>30000</v>
      </c>
      <c r="K28" s="1" t="n">
        <v>30000</v>
      </c>
      <c r="L28" s="1" t="n">
        <v>30000</v>
      </c>
      <c r="M28" s="1" t="n">
        <v>30000</v>
      </c>
      <c r="N28" s="1" t="n">
        <v>30000</v>
      </c>
      <c r="O28" s="1" t="n">
        <v>30000</v>
      </c>
      <c r="P28" s="1" t="n">
        <v>30000</v>
      </c>
      <c r="Q28" s="1" t="n">
        <v>30000</v>
      </c>
      <c r="R28" s="1" t="n">
        <v>30000</v>
      </c>
      <c r="S28" s="1" t="n">
        <v>30000</v>
      </c>
      <c r="T28" s="1" t="n">
        <v>30000</v>
      </c>
      <c r="U28" s="1" t="n">
        <v>30000</v>
      </c>
      <c r="V28" s="1" t="n">
        <v>0</v>
      </c>
      <c r="W28" s="1" t="n">
        <v>0</v>
      </c>
      <c r="X28" s="1" t="n">
        <v>30000</v>
      </c>
      <c r="Y28" s="1" t="n">
        <v>30000</v>
      </c>
      <c r="Z28" s="1" t="n">
        <v>30000</v>
      </c>
      <c r="AA28" s="1" t="n">
        <f aca="false">IFERROR(AVERAGEIF(D28:H28,"&lt;&gt;0"),"")</f>
        <v>30000</v>
      </c>
      <c r="AB28" s="1" t="n">
        <f aca="false">IFERROR(AVERAGEIF(I28:M28,"&lt;&gt;0"),"")</f>
        <v>30000</v>
      </c>
      <c r="AC28" s="1" t="n">
        <f aca="false">IFERROR(AVERAGEIF(N28:R28,"&lt;&gt;0"),"")</f>
        <v>30000</v>
      </c>
      <c r="AD28" s="1" t="n">
        <f aca="false">IFERROR(AVERAGEIF(S28:W28,"&lt;&gt;0"),"")</f>
        <v>30000</v>
      </c>
      <c r="AE28" s="1" t="n">
        <f aca="false">IFERROR(AVERAGEIF(X28:Z28,"&lt;&gt;0"),"")</f>
        <v>30000</v>
      </c>
      <c r="AF28" s="1" t="n">
        <f aca="false">IFERROR(AVERAGEIF(D28:Z28,"&lt;&gt;0"),"")</f>
        <v>30000</v>
      </c>
    </row>
    <row r="29" customFormat="false" ht="15" hidden="false" customHeight="true" outlineLevel="0" collapsed="false">
      <c r="A29" s="1" t="n">
        <v>25</v>
      </c>
      <c r="B29" s="1" t="s">
        <v>411</v>
      </c>
      <c r="C29" s="1" t="s">
        <v>407</v>
      </c>
      <c r="D29" s="1" t="n">
        <v>27000</v>
      </c>
      <c r="E29" s="1" t="n">
        <v>27000</v>
      </c>
      <c r="F29" s="1" t="n">
        <v>27000</v>
      </c>
      <c r="G29" s="1" t="n">
        <v>27000</v>
      </c>
      <c r="H29" s="1" t="n">
        <v>27000</v>
      </c>
      <c r="I29" s="1" t="n">
        <v>27000</v>
      </c>
      <c r="J29" s="1" t="n">
        <v>27000</v>
      </c>
      <c r="K29" s="1" t="n">
        <v>27000</v>
      </c>
      <c r="L29" s="1" t="n">
        <v>27000</v>
      </c>
      <c r="M29" s="1" t="n">
        <v>27000</v>
      </c>
      <c r="N29" s="1" t="n">
        <v>27000</v>
      </c>
      <c r="O29" s="1" t="n">
        <v>27000</v>
      </c>
      <c r="P29" s="1" t="n">
        <v>27000</v>
      </c>
      <c r="Q29" s="1" t="n">
        <v>27000</v>
      </c>
      <c r="R29" s="1" t="n">
        <v>27000</v>
      </c>
      <c r="S29" s="1" t="n">
        <v>27000</v>
      </c>
      <c r="T29" s="1" t="n">
        <v>27000</v>
      </c>
      <c r="U29" s="1" t="n">
        <v>27000</v>
      </c>
      <c r="V29" s="1" t="n">
        <v>0</v>
      </c>
      <c r="W29" s="1" t="n">
        <v>0</v>
      </c>
      <c r="X29" s="1" t="n">
        <v>27000</v>
      </c>
      <c r="Y29" s="1" t="n">
        <v>27000</v>
      </c>
      <c r="Z29" s="1" t="n">
        <v>27000</v>
      </c>
      <c r="AA29" s="1" t="n">
        <f aca="false">IFERROR(AVERAGEIF(D29:H29,"&lt;&gt;0"),"")</f>
        <v>27000</v>
      </c>
      <c r="AB29" s="1" t="n">
        <f aca="false">IFERROR(AVERAGEIF(I29:M29,"&lt;&gt;0"),"")</f>
        <v>27000</v>
      </c>
      <c r="AC29" s="1" t="n">
        <f aca="false">IFERROR(AVERAGEIF(N29:R29,"&lt;&gt;0"),"")</f>
        <v>27000</v>
      </c>
      <c r="AD29" s="1" t="n">
        <f aca="false">IFERROR(AVERAGEIF(S29:W29,"&lt;&gt;0"),"")</f>
        <v>27000</v>
      </c>
      <c r="AE29" s="1" t="n">
        <f aca="false">IFERROR(AVERAGEIF(X29:Z29,"&lt;&gt;0"),"")</f>
        <v>27000</v>
      </c>
      <c r="AF29" s="1" t="n">
        <f aca="false">IFERROR(AVERAGEIF(D29:Z29,"&lt;&gt;0"),"")</f>
        <v>27000</v>
      </c>
    </row>
    <row r="30" customFormat="false" ht="15" hidden="false" customHeight="true" outlineLevel="0" collapsed="false">
      <c r="A30" s="1" t="n">
        <v>26</v>
      </c>
      <c r="B30" s="1" t="s">
        <v>412</v>
      </c>
      <c r="C30" s="1" t="s">
        <v>407</v>
      </c>
      <c r="D30" s="1" t="n">
        <v>8000</v>
      </c>
      <c r="E30" s="1" t="n">
        <v>8000</v>
      </c>
      <c r="F30" s="1" t="n">
        <v>8000</v>
      </c>
      <c r="G30" s="1" t="n">
        <v>8000</v>
      </c>
      <c r="H30" s="1" t="n">
        <v>8000</v>
      </c>
      <c r="I30" s="1" t="n">
        <v>8000</v>
      </c>
      <c r="J30" s="1" t="n">
        <v>8000</v>
      </c>
      <c r="K30" s="1" t="n">
        <v>8000</v>
      </c>
      <c r="L30" s="1" t="n">
        <v>8000</v>
      </c>
      <c r="M30" s="1" t="n">
        <v>8000</v>
      </c>
      <c r="N30" s="1" t="n">
        <v>8000</v>
      </c>
      <c r="O30" s="1" t="n">
        <v>8000</v>
      </c>
      <c r="P30" s="1" t="n">
        <v>8000</v>
      </c>
      <c r="Q30" s="1" t="n">
        <v>8000</v>
      </c>
      <c r="R30" s="1" t="n">
        <v>8000</v>
      </c>
      <c r="S30" s="1" t="n">
        <v>8000</v>
      </c>
      <c r="T30" s="1" t="n">
        <v>8000</v>
      </c>
      <c r="U30" s="1" t="n">
        <v>8000</v>
      </c>
      <c r="V30" s="1" t="n">
        <v>0</v>
      </c>
      <c r="W30" s="1" t="n">
        <v>0</v>
      </c>
      <c r="X30" s="1" t="n">
        <v>8000</v>
      </c>
      <c r="Y30" s="1" t="n">
        <v>8000</v>
      </c>
      <c r="Z30" s="1" t="n">
        <v>8000</v>
      </c>
      <c r="AA30" s="1" t="n">
        <f aca="false">IFERROR(AVERAGEIF(D30:H30,"&lt;&gt;0"),"")</f>
        <v>8000</v>
      </c>
      <c r="AB30" s="1" t="n">
        <f aca="false">IFERROR(AVERAGEIF(I30:M30,"&lt;&gt;0"),"")</f>
        <v>8000</v>
      </c>
      <c r="AC30" s="1" t="n">
        <f aca="false">IFERROR(AVERAGEIF(N30:R30,"&lt;&gt;0"),"")</f>
        <v>8000</v>
      </c>
      <c r="AD30" s="1" t="n">
        <f aca="false">IFERROR(AVERAGEIF(S30:W30,"&lt;&gt;0"),"")</f>
        <v>8000</v>
      </c>
      <c r="AE30" s="1" t="n">
        <f aca="false">IFERROR(AVERAGEIF(X30:Z30,"&lt;&gt;0"),"")</f>
        <v>8000</v>
      </c>
      <c r="AF30" s="1" t="n">
        <f aca="false">IFERROR(AVERAGEIF(D30:Z30,"&lt;&gt;0"),"")</f>
        <v>8000</v>
      </c>
    </row>
    <row r="31" customFormat="false" ht="15" hidden="false" customHeight="true" outlineLevel="0" collapsed="false">
      <c r="A31" s="1" t="n">
        <v>27</v>
      </c>
      <c r="B31" s="1" t="s">
        <v>358</v>
      </c>
      <c r="C31" s="1" t="s">
        <v>407</v>
      </c>
      <c r="D31" s="1" t="n">
        <v>10500</v>
      </c>
      <c r="E31" s="1" t="n">
        <v>10500</v>
      </c>
      <c r="F31" s="1" t="n">
        <v>10500</v>
      </c>
      <c r="G31" s="1" t="n">
        <v>10500</v>
      </c>
      <c r="H31" s="1" t="n">
        <v>10500</v>
      </c>
      <c r="I31" s="1" t="n">
        <v>10500</v>
      </c>
      <c r="J31" s="1" t="n">
        <v>10500</v>
      </c>
      <c r="K31" s="1" t="n">
        <v>10500</v>
      </c>
      <c r="L31" s="1" t="n">
        <v>10500</v>
      </c>
      <c r="M31" s="1" t="n">
        <v>10500</v>
      </c>
      <c r="N31" s="1" t="n">
        <v>10500</v>
      </c>
      <c r="O31" s="1" t="n">
        <v>10500</v>
      </c>
      <c r="P31" s="1" t="n">
        <v>10500</v>
      </c>
      <c r="Q31" s="1" t="n">
        <v>10500</v>
      </c>
      <c r="R31" s="1" t="n">
        <v>10500</v>
      </c>
      <c r="S31" s="1" t="n">
        <v>10500</v>
      </c>
      <c r="T31" s="1" t="n">
        <v>10500</v>
      </c>
      <c r="U31" s="1" t="n">
        <v>10500</v>
      </c>
      <c r="V31" s="1" t="n">
        <v>0</v>
      </c>
      <c r="W31" s="1" t="n">
        <v>0</v>
      </c>
      <c r="X31" s="1" t="n">
        <v>10500</v>
      </c>
      <c r="Y31" s="1" t="n">
        <v>10500</v>
      </c>
      <c r="Z31" s="1" t="n">
        <v>10500</v>
      </c>
      <c r="AA31" s="1" t="n">
        <f aca="false">IFERROR(AVERAGEIF(D31:H31,"&lt;&gt;0"),"")</f>
        <v>10500</v>
      </c>
      <c r="AB31" s="1" t="n">
        <f aca="false">IFERROR(AVERAGEIF(I31:M31,"&lt;&gt;0"),"")</f>
        <v>10500</v>
      </c>
      <c r="AC31" s="1" t="n">
        <f aca="false">IFERROR(AVERAGEIF(N31:R31,"&lt;&gt;0"),"")</f>
        <v>10500</v>
      </c>
      <c r="AD31" s="1" t="n">
        <f aca="false">IFERROR(AVERAGEIF(S31:W31,"&lt;&gt;0"),"")</f>
        <v>10500</v>
      </c>
      <c r="AE31" s="1" t="n">
        <f aca="false">IFERROR(AVERAGEIF(X31:Z31,"&lt;&gt;0"),"")</f>
        <v>10500</v>
      </c>
      <c r="AF31" s="1" t="n">
        <f aca="false">IFERROR(AVERAGEIF(D31:Z31,"&lt;&gt;0"),"")</f>
        <v>10500</v>
      </c>
    </row>
    <row r="32" customFormat="false" ht="15" hidden="false" customHeight="true" outlineLevel="0" collapsed="false">
      <c r="A32" s="1" t="n">
        <v>28</v>
      </c>
      <c r="B32" s="1" t="s">
        <v>352</v>
      </c>
      <c r="C32" s="1" t="s">
        <v>407</v>
      </c>
      <c r="D32" s="1" t="n">
        <v>42000</v>
      </c>
      <c r="E32" s="1" t="n">
        <v>42000</v>
      </c>
      <c r="F32" s="1" t="n">
        <v>42000</v>
      </c>
      <c r="G32" s="1" t="n">
        <v>42000</v>
      </c>
      <c r="H32" s="1" t="n">
        <v>42000</v>
      </c>
      <c r="I32" s="1" t="n">
        <v>42000</v>
      </c>
      <c r="J32" s="1" t="n">
        <v>42000</v>
      </c>
      <c r="K32" s="1" t="n">
        <v>42000</v>
      </c>
      <c r="L32" s="1" t="n">
        <v>42000</v>
      </c>
      <c r="M32" s="1" t="n">
        <v>42000</v>
      </c>
      <c r="N32" s="1" t="n">
        <v>42000</v>
      </c>
      <c r="O32" s="1" t="n">
        <v>42000</v>
      </c>
      <c r="P32" s="1" t="n">
        <v>42000</v>
      </c>
      <c r="Q32" s="1" t="n">
        <v>42000</v>
      </c>
      <c r="R32" s="1" t="n">
        <v>42000</v>
      </c>
      <c r="S32" s="1" t="n">
        <v>42000</v>
      </c>
      <c r="T32" s="1" t="n">
        <v>42000</v>
      </c>
      <c r="U32" s="1" t="n">
        <v>42000</v>
      </c>
      <c r="V32" s="1" t="n">
        <v>0</v>
      </c>
      <c r="W32" s="1" t="n">
        <v>0</v>
      </c>
      <c r="X32" s="1" t="n">
        <v>42000</v>
      </c>
      <c r="Y32" s="1" t="n">
        <v>42000</v>
      </c>
      <c r="Z32" s="1" t="n">
        <v>42000</v>
      </c>
      <c r="AA32" s="1" t="n">
        <f aca="false">IFERROR(AVERAGEIF(D32:H32,"&lt;&gt;0"),"")</f>
        <v>42000</v>
      </c>
      <c r="AB32" s="1" t="n">
        <f aca="false">IFERROR(AVERAGEIF(I32:M32,"&lt;&gt;0"),"")</f>
        <v>42000</v>
      </c>
      <c r="AC32" s="1" t="n">
        <f aca="false">IFERROR(AVERAGEIF(N32:R32,"&lt;&gt;0"),"")</f>
        <v>42000</v>
      </c>
      <c r="AD32" s="1" t="n">
        <f aca="false">IFERROR(AVERAGEIF(S32:W32,"&lt;&gt;0"),"")</f>
        <v>42000</v>
      </c>
      <c r="AE32" s="1" t="n">
        <f aca="false">IFERROR(AVERAGEIF(X32:Z32,"&lt;&gt;0"),"")</f>
        <v>42000</v>
      </c>
      <c r="AF32" s="1" t="n">
        <f aca="false">IFERROR(AVERAGEIF(D32:Z32,"&lt;&gt;0"),"")</f>
        <v>42000</v>
      </c>
    </row>
    <row r="33" customFormat="false" ht="15" hidden="false" customHeight="true" outlineLevel="0" collapsed="false">
      <c r="A33" s="1" t="n">
        <v>29</v>
      </c>
      <c r="B33" s="1" t="s">
        <v>365</v>
      </c>
      <c r="C33" s="1" t="s">
        <v>407</v>
      </c>
      <c r="D33" s="1" t="n">
        <v>8000</v>
      </c>
      <c r="E33" s="1" t="n">
        <v>8000</v>
      </c>
      <c r="F33" s="1" t="n">
        <v>8000</v>
      </c>
      <c r="G33" s="1" t="n">
        <v>8000</v>
      </c>
      <c r="H33" s="1" t="n">
        <v>8000</v>
      </c>
      <c r="I33" s="1" t="n">
        <v>8000</v>
      </c>
      <c r="J33" s="1" t="n">
        <v>8000</v>
      </c>
      <c r="K33" s="1" t="n">
        <v>8000</v>
      </c>
      <c r="L33" s="1" t="n">
        <v>8000</v>
      </c>
      <c r="M33" s="1" t="n">
        <v>8000</v>
      </c>
      <c r="N33" s="1" t="n">
        <v>8000</v>
      </c>
      <c r="O33" s="1" t="n">
        <v>8000</v>
      </c>
      <c r="P33" s="1" t="n">
        <v>8000</v>
      </c>
      <c r="Q33" s="1" t="n">
        <v>8000</v>
      </c>
      <c r="R33" s="1" t="n">
        <v>8000</v>
      </c>
      <c r="S33" s="1" t="n">
        <v>8000</v>
      </c>
      <c r="T33" s="1" t="n">
        <v>8000</v>
      </c>
      <c r="U33" s="1" t="n">
        <v>8000</v>
      </c>
      <c r="V33" s="1" t="n">
        <v>0</v>
      </c>
      <c r="W33" s="1" t="n">
        <v>0</v>
      </c>
      <c r="X33" s="1" t="n">
        <v>8000</v>
      </c>
      <c r="Y33" s="1" t="n">
        <v>8000</v>
      </c>
      <c r="Z33" s="1" t="n">
        <v>8000</v>
      </c>
      <c r="AA33" s="1" t="n">
        <f aca="false">IFERROR(AVERAGEIF(D33:H33,"&lt;&gt;0"),"")</f>
        <v>8000</v>
      </c>
      <c r="AB33" s="1" t="n">
        <f aca="false">IFERROR(AVERAGEIF(I33:M33,"&lt;&gt;0"),"")</f>
        <v>8000</v>
      </c>
      <c r="AC33" s="1" t="n">
        <f aca="false">IFERROR(AVERAGEIF(N33:R33,"&lt;&gt;0"),"")</f>
        <v>8000</v>
      </c>
      <c r="AD33" s="1" t="n">
        <f aca="false">IFERROR(AVERAGEIF(S33:W33,"&lt;&gt;0"),"")</f>
        <v>8000</v>
      </c>
      <c r="AE33" s="1" t="n">
        <f aca="false">IFERROR(AVERAGEIF(X33:Z33,"&lt;&gt;0"),"")</f>
        <v>8000</v>
      </c>
      <c r="AF33" s="1" t="n">
        <f aca="false">IFERROR(AVERAGEIF(D33:Z33,"&lt;&gt;0"),"")</f>
        <v>8000</v>
      </c>
    </row>
    <row r="34" customFormat="false" ht="15" hidden="false" customHeight="true" outlineLevel="0" collapsed="false">
      <c r="A34" s="1" t="n">
        <v>30</v>
      </c>
      <c r="B34" s="1" t="s">
        <v>338</v>
      </c>
      <c r="C34" s="1" t="s">
        <v>407</v>
      </c>
      <c r="D34" s="1" t="n">
        <v>6000</v>
      </c>
      <c r="E34" s="1" t="n">
        <v>6000</v>
      </c>
      <c r="F34" s="1" t="n">
        <v>6000</v>
      </c>
      <c r="G34" s="1" t="n">
        <v>6000</v>
      </c>
      <c r="H34" s="1" t="n">
        <v>6000</v>
      </c>
      <c r="I34" s="1" t="n">
        <v>6000</v>
      </c>
      <c r="J34" s="1" t="n">
        <v>6000</v>
      </c>
      <c r="K34" s="1" t="n">
        <v>6000</v>
      </c>
      <c r="L34" s="1" t="n">
        <v>6000</v>
      </c>
      <c r="M34" s="1" t="n">
        <v>6000</v>
      </c>
      <c r="N34" s="1" t="n">
        <v>6000</v>
      </c>
      <c r="O34" s="1" t="n">
        <v>6000</v>
      </c>
      <c r="P34" s="1" t="n">
        <v>6000</v>
      </c>
      <c r="Q34" s="1" t="n">
        <v>6000</v>
      </c>
      <c r="R34" s="1" t="n">
        <v>6000</v>
      </c>
      <c r="S34" s="1" t="n">
        <v>6000</v>
      </c>
      <c r="T34" s="1" t="n">
        <v>6000</v>
      </c>
      <c r="U34" s="1" t="n">
        <v>6000</v>
      </c>
      <c r="V34" s="1" t="n">
        <v>0</v>
      </c>
      <c r="W34" s="1" t="n">
        <v>0</v>
      </c>
      <c r="X34" s="1" t="n">
        <v>6000</v>
      </c>
      <c r="Y34" s="1" t="n">
        <v>6000</v>
      </c>
      <c r="Z34" s="1" t="n">
        <v>6000</v>
      </c>
      <c r="AA34" s="1" t="n">
        <f aca="false">IFERROR(AVERAGEIF(D34:H34,"&lt;&gt;0"),"")</f>
        <v>6000</v>
      </c>
      <c r="AB34" s="1" t="n">
        <f aca="false">IFERROR(AVERAGEIF(I34:M34,"&lt;&gt;0"),"")</f>
        <v>6000</v>
      </c>
      <c r="AC34" s="1" t="n">
        <f aca="false">IFERROR(AVERAGEIF(N34:R34,"&lt;&gt;0"),"")</f>
        <v>6000</v>
      </c>
      <c r="AD34" s="1" t="n">
        <f aca="false">IFERROR(AVERAGEIF(S34:W34,"&lt;&gt;0"),"")</f>
        <v>6000</v>
      </c>
      <c r="AE34" s="1" t="n">
        <f aca="false">IFERROR(AVERAGEIF(X34:Z34,"&lt;&gt;0"),"")</f>
        <v>6000</v>
      </c>
      <c r="AF34" s="1" t="n">
        <f aca="false">IFERROR(AVERAGEIF(D34:Z34,"&lt;&gt;0"),"")</f>
        <v>6000</v>
      </c>
    </row>
    <row r="35" customFormat="false" ht="15" hidden="false" customHeight="true" outlineLevel="0" collapsed="false">
      <c r="A35" s="1" t="n">
        <v>31</v>
      </c>
      <c r="B35" s="1" t="s">
        <v>343</v>
      </c>
      <c r="C35" s="1" t="s">
        <v>407</v>
      </c>
      <c r="D35" s="1" t="n">
        <v>60000</v>
      </c>
      <c r="E35" s="1" t="n">
        <v>60000</v>
      </c>
      <c r="F35" s="1" t="n">
        <v>60000</v>
      </c>
      <c r="G35" s="1" t="n">
        <v>60000</v>
      </c>
      <c r="H35" s="1" t="n">
        <v>60000</v>
      </c>
      <c r="I35" s="1" t="n">
        <v>60000</v>
      </c>
      <c r="J35" s="1" t="n">
        <v>60000</v>
      </c>
      <c r="K35" s="1" t="n">
        <v>60000</v>
      </c>
      <c r="L35" s="1" t="n">
        <v>60000</v>
      </c>
      <c r="M35" s="1" t="n">
        <v>60000</v>
      </c>
      <c r="N35" s="1" t="n">
        <v>60000</v>
      </c>
      <c r="O35" s="1" t="n">
        <v>60000</v>
      </c>
      <c r="P35" s="1" t="n">
        <v>60000</v>
      </c>
      <c r="Q35" s="1" t="n">
        <v>60000</v>
      </c>
      <c r="R35" s="1" t="n">
        <v>60000</v>
      </c>
      <c r="S35" s="1" t="n">
        <v>60000</v>
      </c>
      <c r="T35" s="1" t="n">
        <v>60000</v>
      </c>
      <c r="U35" s="1" t="n">
        <v>60000</v>
      </c>
      <c r="V35" s="1" t="n">
        <v>0</v>
      </c>
      <c r="W35" s="1" t="n">
        <v>0</v>
      </c>
      <c r="X35" s="1" t="n">
        <v>60000</v>
      </c>
      <c r="Y35" s="1" t="n">
        <v>60000</v>
      </c>
      <c r="Z35" s="1" t="n">
        <v>60000</v>
      </c>
      <c r="AA35" s="1" t="n">
        <f aca="false">IFERROR(AVERAGEIF(D35:H35,"&lt;&gt;0"),"")</f>
        <v>60000</v>
      </c>
      <c r="AB35" s="1" t="n">
        <f aca="false">IFERROR(AVERAGEIF(I35:M35,"&lt;&gt;0"),"")</f>
        <v>60000</v>
      </c>
      <c r="AC35" s="1" t="n">
        <f aca="false">IFERROR(AVERAGEIF(N35:R35,"&lt;&gt;0"),"")</f>
        <v>60000</v>
      </c>
      <c r="AD35" s="1" t="n">
        <f aca="false">IFERROR(AVERAGEIF(S35:W35,"&lt;&gt;0"),"")</f>
        <v>60000</v>
      </c>
      <c r="AE35" s="1" t="n">
        <f aca="false">IFERROR(AVERAGEIF(X35:Z35,"&lt;&gt;0"),"")</f>
        <v>60000</v>
      </c>
      <c r="AF35" s="1" t="n">
        <f aca="false">IFERROR(AVERAGEIF(D35:Z35,"&lt;&gt;0"),"")</f>
        <v>60000</v>
      </c>
    </row>
    <row r="36" customFormat="false" ht="15" hidden="false" customHeight="true" outlineLevel="0" collapsed="false">
      <c r="A36" s="1" t="n">
        <v>32</v>
      </c>
      <c r="B36" s="1" t="s">
        <v>345</v>
      </c>
      <c r="C36" s="1" t="s">
        <v>407</v>
      </c>
      <c r="D36" s="1" t="n">
        <v>12000</v>
      </c>
      <c r="E36" s="1" t="n">
        <v>12000</v>
      </c>
      <c r="F36" s="1" t="n">
        <v>12000</v>
      </c>
      <c r="G36" s="1" t="n">
        <v>12000</v>
      </c>
      <c r="H36" s="1" t="n">
        <v>12000</v>
      </c>
      <c r="I36" s="1" t="n">
        <v>12000</v>
      </c>
      <c r="J36" s="1" t="n">
        <v>12000</v>
      </c>
      <c r="K36" s="1" t="n">
        <v>12000</v>
      </c>
      <c r="L36" s="1" t="n">
        <v>11000</v>
      </c>
      <c r="M36" s="1" t="n">
        <v>11000</v>
      </c>
      <c r="N36" s="1" t="n">
        <v>11000</v>
      </c>
      <c r="O36" s="1" t="n">
        <v>11000</v>
      </c>
      <c r="P36" s="1" t="n">
        <v>11000</v>
      </c>
      <c r="Q36" s="1" t="n">
        <v>11000</v>
      </c>
      <c r="R36" s="1" t="n">
        <v>11000</v>
      </c>
      <c r="S36" s="1" t="n">
        <v>11000</v>
      </c>
      <c r="T36" s="1" t="n">
        <v>11000</v>
      </c>
      <c r="U36" s="1" t="n">
        <v>11000</v>
      </c>
      <c r="V36" s="1" t="n">
        <v>0</v>
      </c>
      <c r="W36" s="1" t="n">
        <v>0</v>
      </c>
      <c r="X36" s="1" t="n">
        <v>11000</v>
      </c>
      <c r="Y36" s="1" t="n">
        <v>11000</v>
      </c>
      <c r="Z36" s="1" t="n">
        <v>11000</v>
      </c>
      <c r="AA36" s="1" t="n">
        <f aca="false">IFERROR(AVERAGEIF(D36:H36,"&lt;&gt;0"),"")</f>
        <v>12000</v>
      </c>
      <c r="AB36" s="1" t="n">
        <f aca="false">IFERROR(AVERAGEIF(I36:M36,"&lt;&gt;0"),"")</f>
        <v>11600</v>
      </c>
      <c r="AC36" s="1" t="n">
        <f aca="false">IFERROR(AVERAGEIF(N36:R36,"&lt;&gt;0"),"")</f>
        <v>11000</v>
      </c>
      <c r="AD36" s="1" t="n">
        <f aca="false">IFERROR(AVERAGEIF(S36:W36,"&lt;&gt;0"),"")</f>
        <v>11000</v>
      </c>
      <c r="AE36" s="1" t="n">
        <f aca="false">IFERROR(AVERAGEIF(X36:Z36,"&lt;&gt;0"),"")</f>
        <v>11000</v>
      </c>
      <c r="AF36" s="1" t="n">
        <f aca="false">IFERROR(AVERAGEIF(D36:Z36,"&lt;&gt;0"),"")</f>
        <v>11380.9523809524</v>
      </c>
    </row>
    <row r="37" customFormat="false" ht="15" hidden="false" customHeight="true" outlineLevel="0" collapsed="false">
      <c r="A37" s="1" t="n">
        <v>33</v>
      </c>
      <c r="B37" s="1" t="s">
        <v>366</v>
      </c>
      <c r="C37" s="1" t="s">
        <v>407</v>
      </c>
      <c r="D37" s="1" t="n">
        <v>8000</v>
      </c>
      <c r="E37" s="1" t="n">
        <v>8000</v>
      </c>
      <c r="F37" s="1" t="n">
        <v>8000</v>
      </c>
      <c r="G37" s="1" t="n">
        <v>8000</v>
      </c>
      <c r="H37" s="1" t="n">
        <v>8000</v>
      </c>
      <c r="I37" s="1" t="n">
        <v>8000</v>
      </c>
      <c r="J37" s="1" t="n">
        <v>8000</v>
      </c>
      <c r="K37" s="1" t="n">
        <v>8000</v>
      </c>
      <c r="L37" s="1" t="n">
        <v>8000</v>
      </c>
      <c r="M37" s="1" t="n">
        <v>7000</v>
      </c>
      <c r="N37" s="1" t="n">
        <v>7000</v>
      </c>
      <c r="O37" s="1" t="n">
        <v>7000</v>
      </c>
      <c r="P37" s="1" t="n">
        <v>7000</v>
      </c>
      <c r="Q37" s="1" t="n">
        <v>7000</v>
      </c>
      <c r="R37" s="1" t="n">
        <v>7000</v>
      </c>
      <c r="S37" s="1" t="n">
        <v>7000</v>
      </c>
      <c r="T37" s="1" t="n">
        <v>7000</v>
      </c>
      <c r="U37" s="1" t="n">
        <v>7000</v>
      </c>
      <c r="V37" s="1" t="n">
        <v>0</v>
      </c>
      <c r="W37" s="1" t="n">
        <v>0</v>
      </c>
      <c r="X37" s="1" t="n">
        <v>7000</v>
      </c>
      <c r="Y37" s="1" t="n">
        <v>7000</v>
      </c>
      <c r="Z37" s="1" t="n">
        <v>7000</v>
      </c>
      <c r="AA37" s="1" t="n">
        <f aca="false">IFERROR(AVERAGEIF(D37:H37,"&lt;&gt;0"),"")</f>
        <v>8000</v>
      </c>
      <c r="AB37" s="1" t="n">
        <f aca="false">IFERROR(AVERAGEIF(I37:M37,"&lt;&gt;0"),"")</f>
        <v>7800</v>
      </c>
      <c r="AC37" s="1" t="n">
        <f aca="false">IFERROR(AVERAGEIF(N37:R37,"&lt;&gt;0"),"")</f>
        <v>7000</v>
      </c>
      <c r="AD37" s="1" t="n">
        <f aca="false">IFERROR(AVERAGEIF(S37:W37,"&lt;&gt;0"),"")</f>
        <v>7000</v>
      </c>
      <c r="AE37" s="1" t="n">
        <f aca="false">IFERROR(AVERAGEIF(X37:Z37,"&lt;&gt;0"),"")</f>
        <v>7000</v>
      </c>
      <c r="AF37" s="1" t="n">
        <f aca="false">IFERROR(AVERAGEIF(D37:Z37,"&lt;&gt;0"),"")</f>
        <v>7428.57142857143</v>
      </c>
    </row>
    <row r="38" customFormat="false" ht="15" hidden="false" customHeight="true" outlineLevel="0" collapsed="false">
      <c r="A38" s="1" t="n">
        <v>34</v>
      </c>
      <c r="B38" s="1" t="s">
        <v>413</v>
      </c>
      <c r="C38" s="1" t="s">
        <v>407</v>
      </c>
      <c r="D38" s="1" t="n">
        <v>4000</v>
      </c>
      <c r="E38" s="1" t="n">
        <v>4000</v>
      </c>
      <c r="F38" s="1" t="n">
        <v>4000</v>
      </c>
      <c r="G38" s="1" t="n">
        <v>4000</v>
      </c>
      <c r="H38" s="1" t="n">
        <v>4000</v>
      </c>
      <c r="I38" s="1" t="n">
        <v>4000</v>
      </c>
      <c r="J38" s="1" t="n">
        <v>4000</v>
      </c>
      <c r="K38" s="1" t="n">
        <v>4000</v>
      </c>
      <c r="L38" s="1" t="n">
        <v>4000</v>
      </c>
      <c r="M38" s="1" t="n">
        <v>4000</v>
      </c>
      <c r="N38" s="1" t="n">
        <v>4000</v>
      </c>
      <c r="O38" s="1" t="n">
        <v>4000</v>
      </c>
      <c r="P38" s="1" t="n">
        <v>4000</v>
      </c>
      <c r="Q38" s="1" t="n">
        <v>4000</v>
      </c>
      <c r="R38" s="1" t="n">
        <v>4000</v>
      </c>
      <c r="S38" s="1" t="n">
        <v>4000</v>
      </c>
      <c r="T38" s="1" t="n">
        <v>4000</v>
      </c>
      <c r="U38" s="1" t="n">
        <v>4000</v>
      </c>
      <c r="V38" s="1" t="n">
        <v>0</v>
      </c>
      <c r="W38" s="1" t="n">
        <v>0</v>
      </c>
      <c r="X38" s="1" t="n">
        <v>4000</v>
      </c>
      <c r="Y38" s="1" t="n">
        <v>4000</v>
      </c>
      <c r="Z38" s="1" t="n">
        <v>4000</v>
      </c>
      <c r="AA38" s="1" t="n">
        <f aca="false">IFERROR(AVERAGEIF(D38:H38,"&lt;&gt;0"),"")</f>
        <v>4000</v>
      </c>
      <c r="AB38" s="1" t="n">
        <f aca="false">IFERROR(AVERAGEIF(I38:M38,"&lt;&gt;0"),"")</f>
        <v>4000</v>
      </c>
      <c r="AC38" s="1" t="n">
        <f aca="false">IFERROR(AVERAGEIF(N38:R38,"&lt;&gt;0"),"")</f>
        <v>4000</v>
      </c>
      <c r="AD38" s="1" t="n">
        <f aca="false">IFERROR(AVERAGEIF(S38:W38,"&lt;&gt;0"),"")</f>
        <v>4000</v>
      </c>
      <c r="AE38" s="1" t="n">
        <f aca="false">IFERROR(AVERAGEIF(X38:Z38,"&lt;&gt;0"),"")</f>
        <v>4000</v>
      </c>
      <c r="AF38" s="1" t="n">
        <f aca="false">IFERROR(AVERAGEIF(D38:Z38,"&lt;&gt;0"),"")</f>
        <v>4000</v>
      </c>
    </row>
    <row r="39" customFormat="false" ht="15" hidden="false" customHeight="true" outlineLevel="0" collapsed="false">
      <c r="A39" s="1" t="n">
        <v>35</v>
      </c>
      <c r="B39" s="1" t="s">
        <v>414</v>
      </c>
      <c r="C39" s="1" t="s">
        <v>407</v>
      </c>
      <c r="D39" s="1" t="n">
        <v>12000</v>
      </c>
      <c r="E39" s="1" t="n">
        <v>12000</v>
      </c>
      <c r="F39" s="1" t="n">
        <v>12000</v>
      </c>
      <c r="G39" s="1" t="n">
        <v>12000</v>
      </c>
      <c r="H39" s="1" t="n">
        <v>12000</v>
      </c>
      <c r="I39" s="1" t="n">
        <v>12000</v>
      </c>
      <c r="J39" s="1" t="n">
        <v>12000</v>
      </c>
      <c r="K39" s="1" t="n">
        <v>12000</v>
      </c>
      <c r="L39" s="1" t="n">
        <v>12000</v>
      </c>
      <c r="M39" s="1" t="n">
        <v>12000</v>
      </c>
      <c r="N39" s="1" t="n">
        <v>12000</v>
      </c>
      <c r="O39" s="1" t="n">
        <v>12000</v>
      </c>
      <c r="P39" s="1" t="n">
        <v>12000</v>
      </c>
      <c r="Q39" s="1" t="n">
        <v>12000</v>
      </c>
      <c r="R39" s="1" t="n">
        <v>12000</v>
      </c>
      <c r="S39" s="1" t="n">
        <v>12000</v>
      </c>
      <c r="T39" s="1" t="n">
        <v>12000</v>
      </c>
      <c r="U39" s="1" t="n">
        <v>12000</v>
      </c>
      <c r="V39" s="1" t="n">
        <v>0</v>
      </c>
      <c r="W39" s="1" t="n">
        <v>0</v>
      </c>
      <c r="X39" s="1" t="n">
        <v>12000</v>
      </c>
      <c r="Y39" s="1" t="n">
        <v>12000</v>
      </c>
      <c r="Z39" s="1" t="n">
        <v>12000</v>
      </c>
      <c r="AA39" s="1" t="n">
        <f aca="false">IFERROR(AVERAGEIF(D39:H39,"&lt;&gt;0"),"")</f>
        <v>12000</v>
      </c>
      <c r="AB39" s="1" t="n">
        <f aca="false">IFERROR(AVERAGEIF(I39:M39,"&lt;&gt;0"),"")</f>
        <v>12000</v>
      </c>
      <c r="AC39" s="1" t="n">
        <f aca="false">IFERROR(AVERAGEIF(N39:R39,"&lt;&gt;0"),"")</f>
        <v>12000</v>
      </c>
      <c r="AD39" s="1" t="n">
        <f aca="false">IFERROR(AVERAGEIF(S39:W39,"&lt;&gt;0"),"")</f>
        <v>12000</v>
      </c>
      <c r="AE39" s="1" t="n">
        <f aca="false">IFERROR(AVERAGEIF(X39:Z39,"&lt;&gt;0"),"")</f>
        <v>12000</v>
      </c>
      <c r="AF39" s="1" t="n">
        <f aca="false">IFERROR(AVERAGEIF(D39:Z39,"&lt;&gt;0"),"")</f>
        <v>12000</v>
      </c>
    </row>
    <row r="40" customFormat="false" ht="15" hidden="false" customHeight="true" outlineLevel="0" collapsed="false">
      <c r="A40" s="1" t="n">
        <v>36</v>
      </c>
      <c r="B40" s="1" t="s">
        <v>415</v>
      </c>
      <c r="C40" s="1" t="s">
        <v>407</v>
      </c>
      <c r="D40" s="1" t="n">
        <v>4000</v>
      </c>
      <c r="E40" s="1" t="n">
        <v>4000</v>
      </c>
      <c r="F40" s="1" t="n">
        <v>4000</v>
      </c>
      <c r="G40" s="1" t="n">
        <v>4000</v>
      </c>
      <c r="H40" s="1" t="n">
        <v>4000</v>
      </c>
      <c r="I40" s="1" t="n">
        <v>4000</v>
      </c>
      <c r="J40" s="1" t="n">
        <v>4000</v>
      </c>
      <c r="K40" s="1" t="n">
        <v>4000</v>
      </c>
      <c r="L40" s="1" t="n">
        <v>4000</v>
      </c>
      <c r="M40" s="1" t="n">
        <v>4000</v>
      </c>
      <c r="N40" s="1" t="n">
        <v>4000</v>
      </c>
      <c r="O40" s="1" t="n">
        <v>4000</v>
      </c>
      <c r="P40" s="1" t="n">
        <v>4000</v>
      </c>
      <c r="Q40" s="1" t="n">
        <v>4000</v>
      </c>
      <c r="R40" s="1" t="n">
        <v>4000</v>
      </c>
      <c r="S40" s="1" t="n">
        <v>4000</v>
      </c>
      <c r="T40" s="1" t="n">
        <v>4000</v>
      </c>
      <c r="U40" s="1" t="n">
        <v>4000</v>
      </c>
      <c r="V40" s="1" t="n">
        <v>0</v>
      </c>
      <c r="W40" s="1" t="n">
        <v>0</v>
      </c>
      <c r="X40" s="1" t="n">
        <v>4000</v>
      </c>
      <c r="Y40" s="1" t="n">
        <v>4000</v>
      </c>
      <c r="Z40" s="1" t="n">
        <v>4000</v>
      </c>
      <c r="AA40" s="1" t="n">
        <f aca="false">IFERROR(AVERAGEIF(D40:H40,"&lt;&gt;0"),"")</f>
        <v>4000</v>
      </c>
      <c r="AB40" s="1" t="n">
        <f aca="false">IFERROR(AVERAGEIF(I40:M40,"&lt;&gt;0"),"")</f>
        <v>4000</v>
      </c>
      <c r="AC40" s="1" t="n">
        <f aca="false">IFERROR(AVERAGEIF(N40:R40,"&lt;&gt;0"),"")</f>
        <v>4000</v>
      </c>
      <c r="AD40" s="1" t="n">
        <f aca="false">IFERROR(AVERAGEIF(S40:W40,"&lt;&gt;0"),"")</f>
        <v>4000</v>
      </c>
      <c r="AE40" s="1" t="n">
        <f aca="false">IFERROR(AVERAGEIF(X40:Z40,"&lt;&gt;0"),"")</f>
        <v>4000</v>
      </c>
      <c r="AF40" s="1" t="n">
        <f aca="false">IFERROR(AVERAGEIF(D40:Z40,"&lt;&gt;0"),"")</f>
        <v>4000</v>
      </c>
    </row>
    <row r="41" customFormat="false" ht="15" hidden="false" customHeight="true" outlineLevel="0" collapsed="false">
      <c r="A41" s="1" t="n">
        <v>37</v>
      </c>
      <c r="B41" s="1" t="s">
        <v>416</v>
      </c>
      <c r="C41" s="1" t="s">
        <v>407</v>
      </c>
      <c r="D41" s="1" t="n">
        <v>2000</v>
      </c>
      <c r="E41" s="1" t="n">
        <v>2000</v>
      </c>
      <c r="F41" s="1" t="n">
        <v>2000</v>
      </c>
      <c r="G41" s="1" t="n">
        <v>2000</v>
      </c>
      <c r="H41" s="1" t="n">
        <v>2000</v>
      </c>
      <c r="I41" s="1" t="n">
        <v>2000</v>
      </c>
      <c r="J41" s="1" t="n">
        <v>2000</v>
      </c>
      <c r="K41" s="1" t="n">
        <v>2000</v>
      </c>
      <c r="L41" s="1" t="n">
        <v>2000</v>
      </c>
      <c r="M41" s="1" t="n">
        <v>2000</v>
      </c>
      <c r="N41" s="1" t="n">
        <v>2000</v>
      </c>
      <c r="O41" s="1" t="n">
        <v>2000</v>
      </c>
      <c r="P41" s="1" t="n">
        <v>2000</v>
      </c>
      <c r="Q41" s="1" t="n">
        <v>2000</v>
      </c>
      <c r="R41" s="1" t="n">
        <v>2000</v>
      </c>
      <c r="S41" s="1" t="n">
        <v>2000</v>
      </c>
      <c r="T41" s="1" t="n">
        <v>2000</v>
      </c>
      <c r="U41" s="1" t="n">
        <v>2000</v>
      </c>
      <c r="V41" s="1" t="n">
        <v>0</v>
      </c>
      <c r="W41" s="1" t="n">
        <v>0</v>
      </c>
      <c r="X41" s="1" t="n">
        <v>2000</v>
      </c>
      <c r="Y41" s="1" t="n">
        <v>2000</v>
      </c>
      <c r="Z41" s="1" t="n">
        <v>2000</v>
      </c>
      <c r="AA41" s="1" t="n">
        <f aca="false">IFERROR(AVERAGEIF(D41:H41,"&lt;&gt;0"),"")</f>
        <v>2000</v>
      </c>
      <c r="AB41" s="1" t="n">
        <f aca="false">IFERROR(AVERAGEIF(I41:M41,"&lt;&gt;0"),"")</f>
        <v>2000</v>
      </c>
      <c r="AC41" s="1" t="n">
        <f aca="false">IFERROR(AVERAGEIF(N41:R41,"&lt;&gt;0"),"")</f>
        <v>2000</v>
      </c>
      <c r="AD41" s="1" t="n">
        <f aca="false">IFERROR(AVERAGEIF(S41:W41,"&lt;&gt;0"),"")</f>
        <v>2000</v>
      </c>
      <c r="AE41" s="1" t="n">
        <f aca="false">IFERROR(AVERAGEIF(X41:Z41,"&lt;&gt;0"),"")</f>
        <v>2000</v>
      </c>
      <c r="AF41" s="1" t="n">
        <f aca="false">IFERROR(AVERAGEIF(D41:Z41,"&lt;&gt;0"),"")</f>
        <v>2000</v>
      </c>
    </row>
    <row r="42" customFormat="false" ht="15" hidden="false" customHeight="true" outlineLevel="0" collapsed="false">
      <c r="A42" s="1" t="n">
        <v>38</v>
      </c>
      <c r="B42" s="1" t="s">
        <v>417</v>
      </c>
      <c r="C42" s="1" t="s">
        <v>407</v>
      </c>
      <c r="D42" s="1" t="n">
        <v>5000</v>
      </c>
      <c r="E42" s="1" t="n">
        <v>5000</v>
      </c>
      <c r="F42" s="1" t="n">
        <v>5000</v>
      </c>
      <c r="G42" s="1" t="n">
        <v>5000</v>
      </c>
      <c r="H42" s="1" t="n">
        <v>5000</v>
      </c>
      <c r="I42" s="1" t="n">
        <v>5000</v>
      </c>
      <c r="J42" s="1" t="n">
        <v>5000</v>
      </c>
      <c r="K42" s="1" t="n">
        <v>5000</v>
      </c>
      <c r="L42" s="1" t="n">
        <v>5000</v>
      </c>
      <c r="M42" s="1" t="n">
        <v>5000</v>
      </c>
      <c r="N42" s="1" t="n">
        <v>5000</v>
      </c>
      <c r="O42" s="1" t="n">
        <v>5000</v>
      </c>
      <c r="P42" s="1" t="n">
        <v>5000</v>
      </c>
      <c r="Q42" s="1" t="n">
        <v>5000</v>
      </c>
      <c r="R42" s="1" t="n">
        <v>5000</v>
      </c>
      <c r="S42" s="1" t="n">
        <v>5000</v>
      </c>
      <c r="T42" s="1" t="n">
        <v>5000</v>
      </c>
      <c r="U42" s="1" t="n">
        <v>5000</v>
      </c>
      <c r="V42" s="1" t="n">
        <v>0</v>
      </c>
      <c r="W42" s="1" t="n">
        <v>0</v>
      </c>
      <c r="X42" s="1" t="n">
        <v>5000</v>
      </c>
      <c r="Y42" s="1" t="n">
        <v>5000</v>
      </c>
      <c r="Z42" s="1" t="n">
        <v>5000</v>
      </c>
      <c r="AA42" s="1" t="n">
        <f aca="false">IFERROR(AVERAGEIF(D42:H42,"&lt;&gt;0"),"")</f>
        <v>5000</v>
      </c>
      <c r="AB42" s="1" t="n">
        <f aca="false">IFERROR(AVERAGEIF(I42:M42,"&lt;&gt;0"),"")</f>
        <v>5000</v>
      </c>
      <c r="AC42" s="1" t="n">
        <f aca="false">IFERROR(AVERAGEIF(N42:R42,"&lt;&gt;0"),"")</f>
        <v>5000</v>
      </c>
      <c r="AD42" s="1" t="n">
        <f aca="false">IFERROR(AVERAGEIF(S42:W42,"&lt;&gt;0"),"")</f>
        <v>5000</v>
      </c>
      <c r="AE42" s="1" t="n">
        <f aca="false">IFERROR(AVERAGEIF(X42:Z42,"&lt;&gt;0"),"")</f>
        <v>5000</v>
      </c>
      <c r="AF42" s="1" t="n">
        <f aca="false">IFERROR(AVERAGEIF(D42:Z42,"&lt;&gt;0"),"")</f>
        <v>5000</v>
      </c>
    </row>
    <row r="43" customFormat="false" ht="15" hidden="false" customHeight="true" outlineLevel="0" collapsed="false">
      <c r="A43" s="1" t="n">
        <v>39</v>
      </c>
      <c r="B43" s="1" t="s">
        <v>418</v>
      </c>
      <c r="C43" s="1" t="s">
        <v>407</v>
      </c>
      <c r="D43" s="1" t="n">
        <v>5000</v>
      </c>
      <c r="E43" s="1" t="n">
        <v>5000</v>
      </c>
      <c r="F43" s="1" t="n">
        <v>5000</v>
      </c>
      <c r="G43" s="1" t="n">
        <v>5000</v>
      </c>
      <c r="H43" s="1" t="n">
        <v>5000</v>
      </c>
      <c r="I43" s="1" t="n">
        <v>5000</v>
      </c>
      <c r="J43" s="1" t="n">
        <v>5000</v>
      </c>
      <c r="K43" s="1" t="n">
        <v>5000</v>
      </c>
      <c r="L43" s="1" t="n">
        <v>5000</v>
      </c>
      <c r="M43" s="1" t="n">
        <v>5000</v>
      </c>
      <c r="N43" s="1" t="n">
        <v>5000</v>
      </c>
      <c r="O43" s="1" t="n">
        <v>5000</v>
      </c>
      <c r="P43" s="1" t="n">
        <v>5000</v>
      </c>
      <c r="Q43" s="1" t="n">
        <v>5000</v>
      </c>
      <c r="R43" s="1" t="n">
        <v>5000</v>
      </c>
      <c r="S43" s="1" t="n">
        <v>5000</v>
      </c>
      <c r="T43" s="1" t="n">
        <v>5000</v>
      </c>
      <c r="U43" s="1" t="n">
        <v>5000</v>
      </c>
      <c r="V43" s="1" t="n">
        <v>0</v>
      </c>
      <c r="W43" s="1" t="n">
        <v>0</v>
      </c>
      <c r="X43" s="1" t="n">
        <v>5000</v>
      </c>
      <c r="Y43" s="1" t="n">
        <v>5000</v>
      </c>
      <c r="Z43" s="1" t="n">
        <v>5000</v>
      </c>
      <c r="AA43" s="1" t="n">
        <f aca="false">IFERROR(AVERAGEIF(D43:H43,"&lt;&gt;0"),"")</f>
        <v>5000</v>
      </c>
      <c r="AB43" s="1" t="n">
        <f aca="false">IFERROR(AVERAGEIF(I43:M43,"&lt;&gt;0"),"")</f>
        <v>5000</v>
      </c>
      <c r="AC43" s="1" t="n">
        <f aca="false">IFERROR(AVERAGEIF(N43:R43,"&lt;&gt;0"),"")</f>
        <v>5000</v>
      </c>
      <c r="AD43" s="1" t="n">
        <f aca="false">IFERROR(AVERAGEIF(S43:W43,"&lt;&gt;0"),"")</f>
        <v>5000</v>
      </c>
      <c r="AE43" s="1" t="n">
        <f aca="false">IFERROR(AVERAGEIF(X43:Z43,"&lt;&gt;0"),"")</f>
        <v>5000</v>
      </c>
      <c r="AF43" s="1" t="n">
        <f aca="false">IFERROR(AVERAGEIF(D43:Z43,"&lt;&gt;0"),"")</f>
        <v>5000</v>
      </c>
    </row>
    <row r="44" customFormat="false" ht="15" hidden="false" customHeight="true" outlineLevel="0" collapsed="false">
      <c r="A44" s="1" t="n">
        <v>40</v>
      </c>
      <c r="B44" s="1" t="s">
        <v>419</v>
      </c>
      <c r="C44" s="1" t="s">
        <v>407</v>
      </c>
      <c r="D44" s="1" t="n">
        <v>4000</v>
      </c>
      <c r="E44" s="1" t="n">
        <v>4000</v>
      </c>
      <c r="F44" s="1" t="n">
        <v>4000</v>
      </c>
      <c r="G44" s="1" t="n">
        <v>4000</v>
      </c>
      <c r="H44" s="1" t="n">
        <v>4000</v>
      </c>
      <c r="I44" s="1" t="n">
        <v>4000</v>
      </c>
      <c r="J44" s="1" t="n">
        <v>4000</v>
      </c>
      <c r="K44" s="1" t="n">
        <v>4000</v>
      </c>
      <c r="L44" s="1" t="n">
        <v>4000</v>
      </c>
      <c r="M44" s="1" t="n">
        <v>4000</v>
      </c>
      <c r="N44" s="1" t="n">
        <v>4000</v>
      </c>
      <c r="O44" s="1" t="n">
        <v>4000</v>
      </c>
      <c r="P44" s="1" t="n">
        <v>4000</v>
      </c>
      <c r="Q44" s="1" t="n">
        <v>4000</v>
      </c>
      <c r="R44" s="1" t="n">
        <v>4000</v>
      </c>
      <c r="S44" s="1" t="n">
        <v>4000</v>
      </c>
      <c r="T44" s="1" t="n">
        <v>4000</v>
      </c>
      <c r="U44" s="1" t="n">
        <v>4000</v>
      </c>
      <c r="V44" s="1" t="n">
        <v>0</v>
      </c>
      <c r="W44" s="1" t="n">
        <v>0</v>
      </c>
      <c r="X44" s="1" t="n">
        <v>4000</v>
      </c>
      <c r="Y44" s="1" t="n">
        <v>4000</v>
      </c>
      <c r="Z44" s="1" t="n">
        <v>4000</v>
      </c>
      <c r="AA44" s="1" t="n">
        <f aca="false">IFERROR(AVERAGEIF(D44:H44,"&lt;&gt;0"),"")</f>
        <v>4000</v>
      </c>
      <c r="AB44" s="1" t="n">
        <f aca="false">IFERROR(AVERAGEIF(I44:M44,"&lt;&gt;0"),"")</f>
        <v>4000</v>
      </c>
      <c r="AC44" s="1" t="n">
        <f aca="false">IFERROR(AVERAGEIF(N44:R44,"&lt;&gt;0"),"")</f>
        <v>4000</v>
      </c>
      <c r="AD44" s="1" t="n">
        <f aca="false">IFERROR(AVERAGEIF(S44:W44,"&lt;&gt;0"),"")</f>
        <v>4000</v>
      </c>
      <c r="AE44" s="1" t="n">
        <f aca="false">IFERROR(AVERAGEIF(X44:Z44,"&lt;&gt;0"),"")</f>
        <v>4000</v>
      </c>
      <c r="AF44" s="1" t="n">
        <f aca="false">IFERROR(AVERAGEIF(D44:Z44,"&lt;&gt;0"),"")</f>
        <v>4000</v>
      </c>
    </row>
    <row r="45" customFormat="false" ht="15" hidden="false" customHeight="true" outlineLevel="0" collapsed="false">
      <c r="A45" s="1" t="n">
        <v>41</v>
      </c>
      <c r="B45" s="1" t="s">
        <v>420</v>
      </c>
      <c r="C45" s="1" t="s">
        <v>407</v>
      </c>
      <c r="D45" s="1" t="n">
        <v>60000</v>
      </c>
      <c r="E45" s="1" t="n">
        <v>60000</v>
      </c>
      <c r="F45" s="1" t="n">
        <v>60000</v>
      </c>
      <c r="G45" s="1" t="n">
        <v>60000</v>
      </c>
      <c r="H45" s="1" t="n">
        <v>60000</v>
      </c>
      <c r="I45" s="1" t="n">
        <v>60000</v>
      </c>
      <c r="J45" s="1" t="n">
        <v>60000</v>
      </c>
      <c r="K45" s="1" t="n">
        <v>60000</v>
      </c>
      <c r="L45" s="1" t="n">
        <v>60000</v>
      </c>
      <c r="M45" s="1" t="n">
        <v>60000</v>
      </c>
      <c r="N45" s="1" t="n">
        <v>60000</v>
      </c>
      <c r="O45" s="1" t="n">
        <v>60000</v>
      </c>
      <c r="P45" s="1" t="n">
        <v>60000</v>
      </c>
      <c r="Q45" s="1" t="n">
        <v>60000</v>
      </c>
      <c r="R45" s="1" t="n">
        <v>60000</v>
      </c>
      <c r="S45" s="1" t="n">
        <v>60000</v>
      </c>
      <c r="T45" s="1" t="n">
        <v>60000</v>
      </c>
      <c r="U45" s="1" t="n">
        <v>60000</v>
      </c>
      <c r="V45" s="1" t="n">
        <v>0</v>
      </c>
      <c r="W45" s="1" t="n">
        <v>0</v>
      </c>
      <c r="X45" s="1" t="n">
        <v>60000</v>
      </c>
      <c r="Y45" s="1" t="n">
        <v>60000</v>
      </c>
      <c r="Z45" s="1" t="n">
        <v>60000</v>
      </c>
      <c r="AA45" s="1" t="n">
        <f aca="false">IFERROR(AVERAGEIF(D45:H45,"&lt;&gt;0"),"")</f>
        <v>60000</v>
      </c>
      <c r="AB45" s="1" t="n">
        <f aca="false">IFERROR(AVERAGEIF(I45:M45,"&lt;&gt;0"),"")</f>
        <v>60000</v>
      </c>
      <c r="AC45" s="1" t="n">
        <f aca="false">IFERROR(AVERAGEIF(N45:R45,"&lt;&gt;0"),"")</f>
        <v>60000</v>
      </c>
      <c r="AD45" s="1" t="n">
        <f aca="false">IFERROR(AVERAGEIF(S45:W45,"&lt;&gt;0"),"")</f>
        <v>60000</v>
      </c>
      <c r="AE45" s="1" t="n">
        <f aca="false">IFERROR(AVERAGEIF(X45:Z45,"&lt;&gt;0"),"")</f>
        <v>60000</v>
      </c>
      <c r="AF45" s="1" t="n">
        <f aca="false">IFERROR(AVERAGEIF(D45:Z45,"&lt;&gt;0"),"")</f>
        <v>60000</v>
      </c>
    </row>
    <row r="46" customFormat="false" ht="15" hidden="false" customHeight="true" outlineLevel="0" collapsed="false">
      <c r="A46" s="1" t="n">
        <v>42</v>
      </c>
      <c r="B46" s="1" t="s">
        <v>421</v>
      </c>
      <c r="C46" s="1" t="s">
        <v>407</v>
      </c>
      <c r="D46" s="1" t="n">
        <v>35000</v>
      </c>
      <c r="E46" s="1" t="n">
        <v>35000</v>
      </c>
      <c r="F46" s="1" t="n">
        <v>35000</v>
      </c>
      <c r="G46" s="1" t="n">
        <v>35000</v>
      </c>
      <c r="H46" s="1" t="n">
        <v>35000</v>
      </c>
      <c r="I46" s="1" t="n">
        <v>35000</v>
      </c>
      <c r="J46" s="1" t="n">
        <v>35000</v>
      </c>
      <c r="K46" s="1" t="n">
        <v>35000</v>
      </c>
      <c r="L46" s="1" t="n">
        <v>35000</v>
      </c>
      <c r="M46" s="1" t="n">
        <v>35000</v>
      </c>
      <c r="N46" s="1" t="n">
        <v>35000</v>
      </c>
      <c r="O46" s="1" t="n">
        <v>35000</v>
      </c>
      <c r="P46" s="1" t="n">
        <v>35000</v>
      </c>
      <c r="Q46" s="1" t="n">
        <v>35000</v>
      </c>
      <c r="R46" s="1" t="n">
        <v>35000</v>
      </c>
      <c r="S46" s="1" t="n">
        <v>35000</v>
      </c>
      <c r="T46" s="1" t="n">
        <v>35000</v>
      </c>
      <c r="U46" s="1" t="n">
        <v>35000</v>
      </c>
      <c r="V46" s="1" t="n">
        <v>0</v>
      </c>
      <c r="W46" s="1" t="n">
        <v>0</v>
      </c>
      <c r="X46" s="1" t="n">
        <v>35000</v>
      </c>
      <c r="Y46" s="1" t="n">
        <v>35000</v>
      </c>
      <c r="Z46" s="1" t="n">
        <v>35000</v>
      </c>
      <c r="AA46" s="1" t="n">
        <f aca="false">IFERROR(AVERAGEIF(D46:H46,"&lt;&gt;0"),"")</f>
        <v>35000</v>
      </c>
      <c r="AB46" s="1" t="n">
        <f aca="false">IFERROR(AVERAGEIF(I46:M46,"&lt;&gt;0"),"")</f>
        <v>35000</v>
      </c>
      <c r="AC46" s="1" t="n">
        <f aca="false">IFERROR(AVERAGEIF(N46:R46,"&lt;&gt;0"),"")</f>
        <v>35000</v>
      </c>
      <c r="AD46" s="1" t="n">
        <f aca="false">IFERROR(AVERAGEIF(S46:W46,"&lt;&gt;0"),"")</f>
        <v>35000</v>
      </c>
      <c r="AE46" s="1" t="n">
        <f aca="false">IFERROR(AVERAGEIF(X46:Z46,"&lt;&gt;0"),"")</f>
        <v>35000</v>
      </c>
      <c r="AF46" s="1" t="n">
        <f aca="false">IFERROR(AVERAGEIF(D46:Z46,"&lt;&gt;0"),"")</f>
        <v>35000</v>
      </c>
    </row>
    <row r="47" customFormat="false" ht="15" hidden="false" customHeight="true" outlineLevel="0" collapsed="false">
      <c r="A47" s="1" t="n">
        <v>43</v>
      </c>
      <c r="B47" s="1" t="s">
        <v>422</v>
      </c>
      <c r="C47" s="1" t="s">
        <v>407</v>
      </c>
      <c r="D47" s="1" t="n">
        <v>27000</v>
      </c>
      <c r="E47" s="1" t="n">
        <v>27000</v>
      </c>
      <c r="F47" s="1" t="n">
        <v>27000</v>
      </c>
      <c r="G47" s="1" t="n">
        <v>27000</v>
      </c>
      <c r="H47" s="1" t="n">
        <v>27000</v>
      </c>
      <c r="I47" s="1" t="n">
        <v>27000</v>
      </c>
      <c r="J47" s="1" t="n">
        <v>27000</v>
      </c>
      <c r="K47" s="1" t="n">
        <v>27000</v>
      </c>
      <c r="L47" s="1" t="n">
        <v>27000</v>
      </c>
      <c r="M47" s="1" t="n">
        <v>27000</v>
      </c>
      <c r="N47" s="1" t="n">
        <v>27000</v>
      </c>
      <c r="O47" s="1" t="n">
        <v>27000</v>
      </c>
      <c r="P47" s="1" t="n">
        <v>27000</v>
      </c>
      <c r="Q47" s="1" t="n">
        <v>27000</v>
      </c>
      <c r="R47" s="1" t="n">
        <v>27000</v>
      </c>
      <c r="S47" s="1" t="n">
        <v>27000</v>
      </c>
      <c r="T47" s="1" t="n">
        <v>27000</v>
      </c>
      <c r="U47" s="1" t="n">
        <v>27000</v>
      </c>
      <c r="V47" s="1" t="n">
        <v>0</v>
      </c>
      <c r="W47" s="1" t="n">
        <v>0</v>
      </c>
      <c r="X47" s="1" t="n">
        <v>27000</v>
      </c>
      <c r="Y47" s="1" t="n">
        <v>27000</v>
      </c>
      <c r="Z47" s="1" t="n">
        <v>27000</v>
      </c>
      <c r="AA47" s="1" t="n">
        <f aca="false">IFERROR(AVERAGEIF(D47:H47,"&lt;&gt;0"),"")</f>
        <v>27000</v>
      </c>
      <c r="AB47" s="1" t="n">
        <f aca="false">IFERROR(AVERAGEIF(I47:M47,"&lt;&gt;0"),"")</f>
        <v>27000</v>
      </c>
      <c r="AC47" s="1" t="n">
        <f aca="false">IFERROR(AVERAGEIF(N47:R47,"&lt;&gt;0"),"")</f>
        <v>27000</v>
      </c>
      <c r="AD47" s="1" t="n">
        <f aca="false">IFERROR(AVERAGEIF(S47:W47,"&lt;&gt;0"),"")</f>
        <v>27000</v>
      </c>
      <c r="AE47" s="1" t="n">
        <f aca="false">IFERROR(AVERAGEIF(X47:Z47,"&lt;&gt;0"),"")</f>
        <v>27000</v>
      </c>
      <c r="AF47" s="1" t="n">
        <f aca="false">IFERROR(AVERAGEIF(D47:Z47,"&lt;&gt;0"),"")</f>
        <v>27000</v>
      </c>
    </row>
    <row r="48" customFormat="false" ht="15" hidden="false" customHeight="true" outlineLevel="0" collapsed="false">
      <c r="A48" s="1" t="n">
        <v>44</v>
      </c>
      <c r="B48" s="1" t="s">
        <v>423</v>
      </c>
      <c r="C48" s="1" t="s">
        <v>407</v>
      </c>
      <c r="D48" s="1" t="n">
        <v>14000</v>
      </c>
      <c r="E48" s="1" t="n">
        <v>14000</v>
      </c>
      <c r="F48" s="1" t="n">
        <v>14000</v>
      </c>
      <c r="G48" s="1" t="n">
        <v>14000</v>
      </c>
      <c r="H48" s="1" t="n">
        <v>14000</v>
      </c>
      <c r="I48" s="1" t="n">
        <v>14000</v>
      </c>
      <c r="J48" s="1" t="n">
        <v>14000</v>
      </c>
      <c r="K48" s="1" t="n">
        <v>14000</v>
      </c>
      <c r="L48" s="1" t="n">
        <v>14000</v>
      </c>
      <c r="M48" s="1" t="n">
        <v>14000</v>
      </c>
      <c r="N48" s="1" t="n">
        <v>14000</v>
      </c>
      <c r="O48" s="1" t="n">
        <v>14000</v>
      </c>
      <c r="P48" s="1" t="n">
        <v>14000</v>
      </c>
      <c r="Q48" s="1" t="n">
        <v>14000</v>
      </c>
      <c r="R48" s="1" t="n">
        <v>14000</v>
      </c>
      <c r="S48" s="1" t="n">
        <v>14000</v>
      </c>
      <c r="T48" s="1" t="n">
        <v>14000</v>
      </c>
      <c r="U48" s="1" t="n">
        <v>14000</v>
      </c>
      <c r="V48" s="1" t="n">
        <v>0</v>
      </c>
      <c r="W48" s="1" t="n">
        <v>0</v>
      </c>
      <c r="X48" s="1" t="n">
        <v>14000</v>
      </c>
      <c r="Y48" s="1" t="n">
        <v>14000</v>
      </c>
      <c r="Z48" s="1" t="n">
        <v>14000</v>
      </c>
      <c r="AA48" s="1" t="n">
        <f aca="false">IFERROR(AVERAGEIF(D48:H48,"&lt;&gt;0"),"")</f>
        <v>14000</v>
      </c>
      <c r="AB48" s="1" t="n">
        <f aca="false">IFERROR(AVERAGEIF(I48:M48,"&lt;&gt;0"),"")</f>
        <v>14000</v>
      </c>
      <c r="AC48" s="1" t="n">
        <f aca="false">IFERROR(AVERAGEIF(N48:R48,"&lt;&gt;0"),"")</f>
        <v>14000</v>
      </c>
      <c r="AD48" s="1" t="n">
        <f aca="false">IFERROR(AVERAGEIF(S48:W48,"&lt;&gt;0"),"")</f>
        <v>14000</v>
      </c>
      <c r="AE48" s="1" t="n">
        <f aca="false">IFERROR(AVERAGEIF(X48:Z48,"&lt;&gt;0"),"")</f>
        <v>14000</v>
      </c>
      <c r="AF48" s="1" t="n">
        <f aca="false">IFERROR(AVERAGEIF(D48:Z48,"&lt;&gt;0"),"")</f>
        <v>14000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6"/>
    <col collapsed="false" customWidth="true" hidden="false" outlineLevel="0" max="25" min="4" style="1" width="11"/>
    <col collapsed="false" customWidth="true" hidden="false" outlineLevel="0" max="30" min="26" style="1" width="13"/>
    <col collapsed="false" customWidth="true" hidden="false" outlineLevel="0" max="31" min="31" style="1" width="14"/>
  </cols>
  <sheetData>
    <row r="1" customFormat="false" ht="26.25" hidden="false" customHeight="true" outlineLevel="0" collapsed="false">
      <c r="A1" s="2" t="s">
        <v>424</v>
      </c>
      <c r="B1" s="2"/>
      <c r="C1" s="2"/>
      <c r="D1" s="2"/>
    </row>
    <row r="2" customFormat="false" ht="18.75" hidden="false" customHeight="true" outlineLevel="0" collapsed="false">
      <c r="A2" s="12" t="s">
        <v>375</v>
      </c>
      <c r="B2" s="12"/>
      <c r="C2" s="12"/>
      <c r="D2" s="12"/>
    </row>
    <row r="4" customFormat="false" ht="25.5" hidden="false" customHeight="true" outlineLevel="0" collapsed="false">
      <c r="A4" s="3" t="s">
        <v>1</v>
      </c>
      <c r="B4" s="3" t="s">
        <v>376</v>
      </c>
      <c r="C4" s="3" t="s">
        <v>377</v>
      </c>
      <c r="D4" s="3" t="s">
        <v>425</v>
      </c>
      <c r="E4" s="3" t="s">
        <v>426</v>
      </c>
      <c r="F4" s="3" t="s">
        <v>427</v>
      </c>
      <c r="G4" s="3" t="s">
        <v>428</v>
      </c>
      <c r="H4" s="3" t="s">
        <v>429</v>
      </c>
      <c r="I4" s="3" t="s">
        <v>430</v>
      </c>
      <c r="J4" s="3" t="s">
        <v>431</v>
      </c>
      <c r="K4" s="3" t="s">
        <v>432</v>
      </c>
      <c r="L4" s="3" t="s">
        <v>433</v>
      </c>
      <c r="M4" s="3" t="s">
        <v>434</v>
      </c>
      <c r="N4" s="3" t="s">
        <v>435</v>
      </c>
      <c r="O4" s="3" t="s">
        <v>436</v>
      </c>
      <c r="P4" s="3" t="s">
        <v>437</v>
      </c>
      <c r="Q4" s="3" t="s">
        <v>438</v>
      </c>
      <c r="R4" s="3" t="s">
        <v>439</v>
      </c>
      <c r="S4" s="3" t="s">
        <v>440</v>
      </c>
      <c r="T4" s="3" t="s">
        <v>441</v>
      </c>
      <c r="U4" s="3" t="s">
        <v>442</v>
      </c>
      <c r="V4" s="3" t="s">
        <v>443</v>
      </c>
      <c r="W4" s="3" t="s">
        <v>444</v>
      </c>
      <c r="X4" s="3" t="s">
        <v>445</v>
      </c>
      <c r="Y4" s="3" t="s">
        <v>446</v>
      </c>
      <c r="Z4" s="35" t="s">
        <v>447</v>
      </c>
      <c r="AA4" s="35" t="s">
        <v>448</v>
      </c>
      <c r="AB4" s="35" t="s">
        <v>449</v>
      </c>
      <c r="AC4" s="35" t="s">
        <v>450</v>
      </c>
      <c r="AD4" s="35" t="s">
        <v>451</v>
      </c>
      <c r="AE4" s="36" t="s">
        <v>452</v>
      </c>
    </row>
    <row r="5" customFormat="false" ht="15" hidden="false" customHeight="true" outlineLevel="0" collapsed="false">
      <c r="A5" s="5" t="n">
        <v>1</v>
      </c>
      <c r="B5" s="6" t="s">
        <v>334</v>
      </c>
      <c r="C5" s="5" t="s">
        <v>407</v>
      </c>
      <c r="D5" s="37" t="n">
        <v>0</v>
      </c>
      <c r="E5" s="37" t="n">
        <v>12500</v>
      </c>
      <c r="F5" s="37" t="n">
        <v>12500</v>
      </c>
      <c r="G5" s="37" t="n">
        <v>12500</v>
      </c>
      <c r="H5" s="37" t="n">
        <v>12500</v>
      </c>
      <c r="I5" s="37" t="n">
        <v>12500</v>
      </c>
      <c r="J5" s="37" t="n">
        <v>12500</v>
      </c>
      <c r="K5" s="37" t="n">
        <v>12500</v>
      </c>
      <c r="L5" s="37" t="n">
        <v>12500</v>
      </c>
      <c r="M5" s="37" t="n">
        <v>12500</v>
      </c>
      <c r="N5" s="37" t="n">
        <v>12500</v>
      </c>
      <c r="O5" s="37" t="n">
        <v>0</v>
      </c>
      <c r="P5" s="37" t="n">
        <v>12500</v>
      </c>
      <c r="Q5" s="37" t="n">
        <v>12500</v>
      </c>
      <c r="R5" s="37" t="n">
        <v>12500</v>
      </c>
      <c r="S5" s="37" t="n">
        <v>12500</v>
      </c>
      <c r="T5" s="37" t="n">
        <v>12500</v>
      </c>
      <c r="U5" s="37" t="n">
        <v>12500</v>
      </c>
      <c r="V5" s="37" t="n">
        <v>12500</v>
      </c>
      <c r="W5" s="37" t="n">
        <v>12500</v>
      </c>
      <c r="X5" s="37" t="n">
        <v>12500</v>
      </c>
      <c r="Y5" s="37" t="n">
        <v>12500</v>
      </c>
      <c r="Z5" s="17" t="n">
        <f aca="false">IFERROR(AVERAGEIF(D5:E5,"&lt;&gt;0"),"")</f>
        <v>12500</v>
      </c>
      <c r="AA5" s="17" t="n">
        <f aca="false">IFERROR(AVERAGEIF(F5:J5,"&lt;&gt;0"),"")</f>
        <v>12500</v>
      </c>
      <c r="AB5" s="17" t="n">
        <f aca="false">IFERROR(AVERAGEIF(K5:O5,"&lt;&gt;0"),"")</f>
        <v>12500</v>
      </c>
      <c r="AC5" s="17" t="n">
        <f aca="false">IFERROR(AVERAGEIF(P5:T5,"&lt;&gt;0"),"")</f>
        <v>12500</v>
      </c>
      <c r="AD5" s="17" t="n">
        <f aca="false">IFERROR(AVERAGEIF(U5:Y5,"&lt;&gt;0"),"")</f>
        <v>12500</v>
      </c>
      <c r="AE5" s="17" t="n">
        <f aca="false">IFERROR(AVERAGEIF(D5:Y5,"&lt;&gt;0"),"")</f>
        <v>12500</v>
      </c>
    </row>
    <row r="6" customFormat="false" ht="15" hidden="false" customHeight="true" outlineLevel="0" collapsed="false">
      <c r="A6" s="5" t="n">
        <v>2</v>
      </c>
      <c r="B6" s="6" t="s">
        <v>335</v>
      </c>
      <c r="C6" s="5" t="s">
        <v>407</v>
      </c>
      <c r="D6" s="37" t="n">
        <v>0</v>
      </c>
      <c r="E6" s="37" t="n">
        <v>14000</v>
      </c>
      <c r="F6" s="37" t="n">
        <v>14000</v>
      </c>
      <c r="G6" s="37" t="n">
        <v>14000</v>
      </c>
      <c r="H6" s="37" t="n">
        <v>14000</v>
      </c>
      <c r="I6" s="37" t="n">
        <v>14000</v>
      </c>
      <c r="J6" s="37" t="n">
        <v>14000</v>
      </c>
      <c r="K6" s="37" t="n">
        <v>14000</v>
      </c>
      <c r="L6" s="37" t="n">
        <v>14000</v>
      </c>
      <c r="M6" s="37" t="n">
        <v>14000</v>
      </c>
      <c r="N6" s="37" t="n">
        <v>14000</v>
      </c>
      <c r="O6" s="37" t="n">
        <v>0</v>
      </c>
      <c r="P6" s="37" t="n">
        <v>14000</v>
      </c>
      <c r="Q6" s="37" t="n">
        <v>14000</v>
      </c>
      <c r="R6" s="37" t="n">
        <v>14000</v>
      </c>
      <c r="S6" s="37" t="n">
        <v>14000</v>
      </c>
      <c r="T6" s="37" t="n">
        <v>14000</v>
      </c>
      <c r="U6" s="37" t="n">
        <v>14000</v>
      </c>
      <c r="V6" s="37" t="n">
        <v>14000</v>
      </c>
      <c r="W6" s="37" t="n">
        <v>14000</v>
      </c>
      <c r="X6" s="37" t="n">
        <v>14000</v>
      </c>
      <c r="Y6" s="37" t="n">
        <v>14000</v>
      </c>
      <c r="Z6" s="17" t="n">
        <f aca="false">IFERROR(AVERAGEIF(D6:E6,"&lt;&gt;0"),"")</f>
        <v>14000</v>
      </c>
      <c r="AA6" s="17" t="n">
        <f aca="false">IFERROR(AVERAGEIF(F6:J6,"&lt;&gt;0"),"")</f>
        <v>14000</v>
      </c>
      <c r="AB6" s="17" t="n">
        <f aca="false">IFERROR(AVERAGEIF(K6:O6,"&lt;&gt;0"),"")</f>
        <v>14000</v>
      </c>
      <c r="AC6" s="17" t="n">
        <f aca="false">IFERROR(AVERAGEIF(P6:T6,"&lt;&gt;0"),"")</f>
        <v>14000</v>
      </c>
      <c r="AD6" s="17" t="n">
        <f aca="false">IFERROR(AVERAGEIF(U6:Y6,"&lt;&gt;0"),"")</f>
        <v>14000</v>
      </c>
      <c r="AE6" s="17" t="n">
        <f aca="false">IFERROR(AVERAGEIF(D6:Y6,"&lt;&gt;0"),"")</f>
        <v>14000</v>
      </c>
    </row>
    <row r="7" customFormat="false" ht="15" hidden="false" customHeight="true" outlineLevel="0" collapsed="false">
      <c r="A7" s="5" t="n">
        <v>3</v>
      </c>
      <c r="B7" s="6" t="s">
        <v>336</v>
      </c>
      <c r="C7" s="5" t="s">
        <v>407</v>
      </c>
      <c r="D7" s="37" t="n">
        <v>0</v>
      </c>
      <c r="E7" s="37" t="n">
        <v>12500</v>
      </c>
      <c r="F7" s="37" t="n">
        <v>12500</v>
      </c>
      <c r="G7" s="37" t="n">
        <v>12500</v>
      </c>
      <c r="H7" s="37" t="n">
        <v>12500</v>
      </c>
      <c r="I7" s="37" t="n">
        <v>12500</v>
      </c>
      <c r="J7" s="37" t="n">
        <v>12500</v>
      </c>
      <c r="K7" s="37" t="n">
        <v>12500</v>
      </c>
      <c r="L7" s="37" t="n">
        <v>12500</v>
      </c>
      <c r="M7" s="37" t="n">
        <v>12500</v>
      </c>
      <c r="N7" s="37" t="n">
        <v>12500</v>
      </c>
      <c r="O7" s="37" t="n">
        <v>0</v>
      </c>
      <c r="P7" s="37" t="n">
        <v>12500</v>
      </c>
      <c r="Q7" s="37" t="n">
        <v>12500</v>
      </c>
      <c r="R7" s="37" t="n">
        <v>12500</v>
      </c>
      <c r="S7" s="37" t="n">
        <v>12500</v>
      </c>
      <c r="T7" s="37" t="n">
        <v>12500</v>
      </c>
      <c r="U7" s="37" t="n">
        <v>12500</v>
      </c>
      <c r="V7" s="37" t="n">
        <v>12500</v>
      </c>
      <c r="W7" s="37" t="n">
        <v>12500</v>
      </c>
      <c r="X7" s="37" t="n">
        <v>12500</v>
      </c>
      <c r="Y7" s="37" t="n">
        <v>12500</v>
      </c>
      <c r="Z7" s="17" t="n">
        <f aca="false">IFERROR(AVERAGEIF(D7:E7,"&lt;&gt;0"),"")</f>
        <v>12500</v>
      </c>
      <c r="AA7" s="17" t="n">
        <f aca="false">IFERROR(AVERAGEIF(F7:J7,"&lt;&gt;0"),"")</f>
        <v>12500</v>
      </c>
      <c r="AB7" s="17" t="n">
        <f aca="false">IFERROR(AVERAGEIF(K7:O7,"&lt;&gt;0"),"")</f>
        <v>12500</v>
      </c>
      <c r="AC7" s="17" t="n">
        <f aca="false">IFERROR(AVERAGEIF(P7:T7,"&lt;&gt;0"),"")</f>
        <v>12500</v>
      </c>
      <c r="AD7" s="17" t="n">
        <f aca="false">IFERROR(AVERAGEIF(U7:Y7,"&lt;&gt;0"),"")</f>
        <v>12500</v>
      </c>
      <c r="AE7" s="17" t="n">
        <f aca="false">IFERROR(AVERAGEIF(D7:Y7,"&lt;&gt;0"),"")</f>
        <v>12500</v>
      </c>
    </row>
    <row r="8" customFormat="false" ht="15" hidden="false" customHeight="true" outlineLevel="0" collapsed="false">
      <c r="A8" s="5" t="n">
        <v>4</v>
      </c>
      <c r="B8" s="6" t="s">
        <v>408</v>
      </c>
      <c r="C8" s="5" t="s">
        <v>407</v>
      </c>
      <c r="D8" s="37" t="n">
        <v>0</v>
      </c>
      <c r="E8" s="37" t="n">
        <v>11000</v>
      </c>
      <c r="F8" s="37" t="n">
        <v>11000</v>
      </c>
      <c r="G8" s="37" t="n">
        <v>11000</v>
      </c>
      <c r="H8" s="37" t="n">
        <v>11000</v>
      </c>
      <c r="I8" s="37" t="n">
        <v>11000</v>
      </c>
      <c r="J8" s="37" t="n">
        <v>11000</v>
      </c>
      <c r="K8" s="37" t="n">
        <v>11000</v>
      </c>
      <c r="L8" s="37" t="n">
        <v>11000</v>
      </c>
      <c r="M8" s="37" t="n">
        <v>11000</v>
      </c>
      <c r="N8" s="37" t="n">
        <v>11000</v>
      </c>
      <c r="O8" s="37" t="n">
        <v>0</v>
      </c>
      <c r="P8" s="37" t="n">
        <v>11000</v>
      </c>
      <c r="Q8" s="37" t="n">
        <v>11000</v>
      </c>
      <c r="R8" s="37" t="n">
        <v>11000</v>
      </c>
      <c r="S8" s="37" t="n">
        <v>11000</v>
      </c>
      <c r="T8" s="37" t="n">
        <v>11000</v>
      </c>
      <c r="U8" s="37" t="n">
        <v>11000</v>
      </c>
      <c r="V8" s="37" t="n">
        <v>11000</v>
      </c>
      <c r="W8" s="37" t="n">
        <v>11000</v>
      </c>
      <c r="X8" s="37" t="n">
        <v>11000</v>
      </c>
      <c r="Y8" s="37" t="n">
        <v>11000</v>
      </c>
      <c r="Z8" s="17" t="n">
        <f aca="false">IFERROR(AVERAGEIF(D8:E8,"&lt;&gt;0"),"")</f>
        <v>11000</v>
      </c>
      <c r="AA8" s="17" t="n">
        <f aca="false">IFERROR(AVERAGEIF(F8:J8,"&lt;&gt;0"),"")</f>
        <v>11000</v>
      </c>
      <c r="AB8" s="17" t="n">
        <f aca="false">IFERROR(AVERAGEIF(K8:O8,"&lt;&gt;0"),"")</f>
        <v>11000</v>
      </c>
      <c r="AC8" s="17" t="n">
        <f aca="false">IFERROR(AVERAGEIF(P8:T8,"&lt;&gt;0"),"")</f>
        <v>11000</v>
      </c>
      <c r="AD8" s="17" t="n">
        <f aca="false">IFERROR(AVERAGEIF(U8:Y8,"&lt;&gt;0"),"")</f>
        <v>11000</v>
      </c>
      <c r="AE8" s="17" t="n">
        <f aca="false">IFERROR(AVERAGEIF(D8:Y8,"&lt;&gt;0"),"")</f>
        <v>11000</v>
      </c>
    </row>
    <row r="9" customFormat="false" ht="15" hidden="false" customHeight="true" outlineLevel="0" collapsed="false">
      <c r="A9" s="5" t="n">
        <v>5</v>
      </c>
      <c r="B9" s="6" t="s">
        <v>360</v>
      </c>
      <c r="C9" s="5" t="s">
        <v>407</v>
      </c>
      <c r="D9" s="37" t="n">
        <v>0</v>
      </c>
      <c r="E9" s="37" t="n">
        <v>25000</v>
      </c>
      <c r="F9" s="37" t="n">
        <v>25000</v>
      </c>
      <c r="G9" s="37" t="n">
        <v>25000</v>
      </c>
      <c r="H9" s="37" t="n">
        <v>25000</v>
      </c>
      <c r="I9" s="37" t="n">
        <v>25000</v>
      </c>
      <c r="J9" s="37" t="n">
        <v>25000</v>
      </c>
      <c r="K9" s="37" t="n">
        <v>25000</v>
      </c>
      <c r="L9" s="37" t="n">
        <v>25000</v>
      </c>
      <c r="M9" s="37" t="n">
        <v>25000</v>
      </c>
      <c r="N9" s="37" t="n">
        <v>22000</v>
      </c>
      <c r="O9" s="37" t="n">
        <v>0</v>
      </c>
      <c r="P9" s="37" t="n">
        <v>22000</v>
      </c>
      <c r="Q9" s="37" t="n">
        <v>22000</v>
      </c>
      <c r="R9" s="37" t="n">
        <v>22000</v>
      </c>
      <c r="S9" s="37" t="n">
        <v>22000</v>
      </c>
      <c r="T9" s="37" t="n">
        <v>22000</v>
      </c>
      <c r="U9" s="37" t="n">
        <v>22000</v>
      </c>
      <c r="V9" s="37" t="n">
        <v>22000</v>
      </c>
      <c r="W9" s="37" t="n">
        <v>22000</v>
      </c>
      <c r="X9" s="37" t="n">
        <v>22000</v>
      </c>
      <c r="Y9" s="37" t="n">
        <v>22000</v>
      </c>
      <c r="Z9" s="17" t="n">
        <f aca="false">IFERROR(AVERAGEIF(D9:E9,"&lt;&gt;0"),"")</f>
        <v>25000</v>
      </c>
      <c r="AA9" s="17" t="n">
        <f aca="false">IFERROR(AVERAGEIF(F9:J9,"&lt;&gt;0"),"")</f>
        <v>25000</v>
      </c>
      <c r="AB9" s="17" t="n">
        <f aca="false">IFERROR(AVERAGEIF(K9:O9,"&lt;&gt;0"),"")</f>
        <v>24250</v>
      </c>
      <c r="AC9" s="17" t="n">
        <f aca="false">IFERROR(AVERAGEIF(P9:T9,"&lt;&gt;0"),"")</f>
        <v>22000</v>
      </c>
      <c r="AD9" s="17" t="n">
        <f aca="false">IFERROR(AVERAGEIF(U9:Y9,"&lt;&gt;0"),"")</f>
        <v>22000</v>
      </c>
      <c r="AE9" s="17" t="n">
        <f aca="false">IFERROR(AVERAGEIF(D9:Y9,"&lt;&gt;0"),"")</f>
        <v>23350</v>
      </c>
    </row>
    <row r="10" customFormat="false" ht="15" hidden="false" customHeight="true" outlineLevel="0" collapsed="false">
      <c r="A10" s="5" t="n">
        <v>6</v>
      </c>
      <c r="B10" s="6" t="s">
        <v>361</v>
      </c>
      <c r="C10" s="5" t="s">
        <v>407</v>
      </c>
      <c r="D10" s="37" t="n">
        <v>0</v>
      </c>
      <c r="E10" s="37" t="n">
        <v>25000</v>
      </c>
      <c r="F10" s="37" t="n">
        <v>25000</v>
      </c>
      <c r="G10" s="37" t="n">
        <v>25000</v>
      </c>
      <c r="H10" s="37" t="n">
        <v>25000</v>
      </c>
      <c r="I10" s="37" t="n">
        <v>25000</v>
      </c>
      <c r="J10" s="37" t="n">
        <v>25000</v>
      </c>
      <c r="K10" s="37" t="n">
        <v>25000</v>
      </c>
      <c r="L10" s="37" t="n">
        <v>25000</v>
      </c>
      <c r="M10" s="37" t="n">
        <v>25000</v>
      </c>
      <c r="N10" s="37" t="n">
        <v>22000</v>
      </c>
      <c r="O10" s="37" t="n">
        <v>0</v>
      </c>
      <c r="P10" s="37" t="n">
        <v>22000</v>
      </c>
      <c r="Q10" s="37" t="n">
        <v>22000</v>
      </c>
      <c r="R10" s="37" t="n">
        <v>22000</v>
      </c>
      <c r="S10" s="37" t="n">
        <v>22000</v>
      </c>
      <c r="T10" s="37" t="n">
        <v>22000</v>
      </c>
      <c r="U10" s="37" t="n">
        <v>22000</v>
      </c>
      <c r="V10" s="37" t="n">
        <v>22000</v>
      </c>
      <c r="W10" s="37" t="n">
        <v>22000</v>
      </c>
      <c r="X10" s="37" t="n">
        <v>22000</v>
      </c>
      <c r="Y10" s="37" t="n">
        <v>22000</v>
      </c>
      <c r="Z10" s="17" t="n">
        <f aca="false">IFERROR(AVERAGEIF(D10:E10,"&lt;&gt;0"),"")</f>
        <v>25000</v>
      </c>
      <c r="AA10" s="17" t="n">
        <f aca="false">IFERROR(AVERAGEIF(F10:J10,"&lt;&gt;0"),"")</f>
        <v>25000</v>
      </c>
      <c r="AB10" s="17" t="n">
        <f aca="false">IFERROR(AVERAGEIF(K10:O10,"&lt;&gt;0"),"")</f>
        <v>24250</v>
      </c>
      <c r="AC10" s="17" t="n">
        <f aca="false">IFERROR(AVERAGEIF(P10:T10,"&lt;&gt;0"),"")</f>
        <v>22000</v>
      </c>
      <c r="AD10" s="17" t="n">
        <f aca="false">IFERROR(AVERAGEIF(U10:Y10,"&lt;&gt;0"),"")</f>
        <v>22000</v>
      </c>
      <c r="AE10" s="17" t="n">
        <f aca="false">IFERROR(AVERAGEIF(D10:Y10,"&lt;&gt;0"),"")</f>
        <v>23350</v>
      </c>
    </row>
    <row r="11" customFormat="false" ht="15" hidden="false" customHeight="true" outlineLevel="0" collapsed="false">
      <c r="A11" s="5" t="n">
        <v>7</v>
      </c>
      <c r="B11" s="6" t="s">
        <v>347</v>
      </c>
      <c r="C11" s="5" t="s">
        <v>407</v>
      </c>
      <c r="D11" s="37" t="n">
        <v>0</v>
      </c>
      <c r="E11" s="37" t="n">
        <v>30000</v>
      </c>
      <c r="F11" s="37" t="n">
        <v>30000</v>
      </c>
      <c r="G11" s="37" t="n">
        <v>30000</v>
      </c>
      <c r="H11" s="37" t="n">
        <v>30000</v>
      </c>
      <c r="I11" s="37" t="n">
        <v>30000</v>
      </c>
      <c r="J11" s="37" t="n">
        <v>30000</v>
      </c>
      <c r="K11" s="37" t="n">
        <v>30000</v>
      </c>
      <c r="L11" s="37" t="n">
        <v>30000</v>
      </c>
      <c r="M11" s="37" t="n">
        <v>30000</v>
      </c>
      <c r="N11" s="37" t="n">
        <v>30000</v>
      </c>
      <c r="O11" s="37" t="n">
        <v>0</v>
      </c>
      <c r="P11" s="37" t="n">
        <v>30000</v>
      </c>
      <c r="Q11" s="37" t="n">
        <v>30000</v>
      </c>
      <c r="R11" s="37" t="n">
        <v>30000</v>
      </c>
      <c r="S11" s="37" t="n">
        <v>30000</v>
      </c>
      <c r="T11" s="37" t="n">
        <v>30000</v>
      </c>
      <c r="U11" s="37" t="n">
        <v>30000</v>
      </c>
      <c r="V11" s="37" t="n">
        <v>30000</v>
      </c>
      <c r="W11" s="37" t="n">
        <v>30000</v>
      </c>
      <c r="X11" s="37" t="n">
        <v>30000</v>
      </c>
      <c r="Y11" s="37" t="n">
        <v>30000</v>
      </c>
      <c r="Z11" s="17" t="n">
        <f aca="false">IFERROR(AVERAGEIF(D11:E11,"&lt;&gt;0"),"")</f>
        <v>30000</v>
      </c>
      <c r="AA11" s="17" t="n">
        <f aca="false">IFERROR(AVERAGEIF(F11:J11,"&lt;&gt;0"),"")</f>
        <v>30000</v>
      </c>
      <c r="AB11" s="17" t="n">
        <f aca="false">IFERROR(AVERAGEIF(K11:O11,"&lt;&gt;0"),"")</f>
        <v>30000</v>
      </c>
      <c r="AC11" s="17" t="n">
        <f aca="false">IFERROR(AVERAGEIF(P11:T11,"&lt;&gt;0"),"")</f>
        <v>30000</v>
      </c>
      <c r="AD11" s="17" t="n">
        <f aca="false">IFERROR(AVERAGEIF(U11:Y11,"&lt;&gt;0"),"")</f>
        <v>30000</v>
      </c>
      <c r="AE11" s="17" t="n">
        <f aca="false">IFERROR(AVERAGEIF(D11:Y11,"&lt;&gt;0"),"")</f>
        <v>30000</v>
      </c>
    </row>
    <row r="12" customFormat="false" ht="15" hidden="false" customHeight="true" outlineLevel="0" collapsed="false">
      <c r="A12" s="5" t="n">
        <v>8</v>
      </c>
      <c r="B12" s="6" t="s">
        <v>354</v>
      </c>
      <c r="C12" s="5" t="s">
        <v>407</v>
      </c>
      <c r="D12" s="37" t="n">
        <v>0</v>
      </c>
      <c r="E12" s="37" t="n">
        <v>28000</v>
      </c>
      <c r="F12" s="37" t="n">
        <v>28000</v>
      </c>
      <c r="G12" s="37" t="n">
        <v>28000</v>
      </c>
      <c r="H12" s="37" t="n">
        <v>28000</v>
      </c>
      <c r="I12" s="37" t="n">
        <v>28000</v>
      </c>
      <c r="J12" s="37" t="n">
        <v>28000</v>
      </c>
      <c r="K12" s="37" t="n">
        <v>28000</v>
      </c>
      <c r="L12" s="37" t="n">
        <v>28000</v>
      </c>
      <c r="M12" s="37" t="n">
        <v>28000</v>
      </c>
      <c r="N12" s="37" t="n">
        <v>28000</v>
      </c>
      <c r="O12" s="37" t="n">
        <v>0</v>
      </c>
      <c r="P12" s="37" t="n">
        <v>28000</v>
      </c>
      <c r="Q12" s="37" t="n">
        <v>28000</v>
      </c>
      <c r="R12" s="37" t="n">
        <v>28000</v>
      </c>
      <c r="S12" s="37" t="n">
        <v>28000</v>
      </c>
      <c r="T12" s="37" t="n">
        <v>28000</v>
      </c>
      <c r="U12" s="37" t="n">
        <v>28000</v>
      </c>
      <c r="V12" s="37" t="n">
        <v>28000</v>
      </c>
      <c r="W12" s="37" t="n">
        <v>28000</v>
      </c>
      <c r="X12" s="37" t="n">
        <v>28000</v>
      </c>
      <c r="Y12" s="37" t="n">
        <v>28000</v>
      </c>
      <c r="Z12" s="17" t="n">
        <f aca="false">IFERROR(AVERAGEIF(D12:E12,"&lt;&gt;0"),"")</f>
        <v>28000</v>
      </c>
      <c r="AA12" s="17" t="n">
        <f aca="false">IFERROR(AVERAGEIF(F12:J12,"&lt;&gt;0"),"")</f>
        <v>28000</v>
      </c>
      <c r="AB12" s="17" t="n">
        <f aca="false">IFERROR(AVERAGEIF(K12:O12,"&lt;&gt;0"),"")</f>
        <v>28000</v>
      </c>
      <c r="AC12" s="17" t="n">
        <f aca="false">IFERROR(AVERAGEIF(P12:T12,"&lt;&gt;0"),"")</f>
        <v>28000</v>
      </c>
      <c r="AD12" s="17" t="n">
        <f aca="false">IFERROR(AVERAGEIF(U12:Y12,"&lt;&gt;0"),"")</f>
        <v>28000</v>
      </c>
      <c r="AE12" s="17" t="n">
        <f aca="false">IFERROR(AVERAGEIF(D12:Y12,"&lt;&gt;0"),"")</f>
        <v>28000</v>
      </c>
    </row>
    <row r="13" customFormat="false" ht="15" hidden="false" customHeight="true" outlineLevel="0" collapsed="false">
      <c r="A13" s="5" t="n">
        <v>9</v>
      </c>
      <c r="B13" s="6" t="s">
        <v>349</v>
      </c>
      <c r="C13" s="5" t="s">
        <v>407</v>
      </c>
      <c r="D13" s="37" t="n">
        <v>0</v>
      </c>
      <c r="E13" s="37" t="n">
        <v>15000</v>
      </c>
      <c r="F13" s="37" t="n">
        <v>15000</v>
      </c>
      <c r="G13" s="37" t="n">
        <v>15000</v>
      </c>
      <c r="H13" s="37" t="n">
        <v>15000</v>
      </c>
      <c r="I13" s="37" t="n">
        <v>15000</v>
      </c>
      <c r="J13" s="37" t="n">
        <v>15000</v>
      </c>
      <c r="K13" s="37" t="n">
        <v>15000</v>
      </c>
      <c r="L13" s="37" t="n">
        <v>15000</v>
      </c>
      <c r="M13" s="37" t="n">
        <v>15000</v>
      </c>
      <c r="N13" s="37" t="n">
        <v>15000</v>
      </c>
      <c r="O13" s="37" t="n">
        <v>0</v>
      </c>
      <c r="P13" s="37" t="n">
        <v>15000</v>
      </c>
      <c r="Q13" s="37" t="n">
        <v>15000</v>
      </c>
      <c r="R13" s="37" t="n">
        <v>15000</v>
      </c>
      <c r="S13" s="37" t="n">
        <v>15000</v>
      </c>
      <c r="T13" s="37" t="n">
        <v>15000</v>
      </c>
      <c r="U13" s="37" t="n">
        <v>15000</v>
      </c>
      <c r="V13" s="37" t="n">
        <v>15000</v>
      </c>
      <c r="W13" s="37" t="n">
        <v>15000</v>
      </c>
      <c r="X13" s="37" t="n">
        <v>15000</v>
      </c>
      <c r="Y13" s="37" t="n">
        <v>15000</v>
      </c>
      <c r="Z13" s="17" t="n">
        <f aca="false">IFERROR(AVERAGEIF(D13:E13,"&lt;&gt;0"),"")</f>
        <v>15000</v>
      </c>
      <c r="AA13" s="17" t="n">
        <f aca="false">IFERROR(AVERAGEIF(F13:J13,"&lt;&gt;0"),"")</f>
        <v>15000</v>
      </c>
      <c r="AB13" s="17" t="n">
        <f aca="false">IFERROR(AVERAGEIF(K13:O13,"&lt;&gt;0"),"")</f>
        <v>15000</v>
      </c>
      <c r="AC13" s="17" t="n">
        <f aca="false">IFERROR(AVERAGEIF(P13:T13,"&lt;&gt;0"),"")</f>
        <v>15000</v>
      </c>
      <c r="AD13" s="17" t="n">
        <f aca="false">IFERROR(AVERAGEIF(U13:Y13,"&lt;&gt;0"),"")</f>
        <v>15000</v>
      </c>
      <c r="AE13" s="17" t="n">
        <f aca="false">IFERROR(AVERAGEIF(D13:Y13,"&lt;&gt;0"),"")</f>
        <v>15000</v>
      </c>
    </row>
    <row r="14" customFormat="false" ht="15" hidden="false" customHeight="true" outlineLevel="0" collapsed="false">
      <c r="A14" s="5" t="n">
        <v>10</v>
      </c>
      <c r="B14" s="6" t="s">
        <v>340</v>
      </c>
      <c r="C14" s="5" t="s">
        <v>453</v>
      </c>
      <c r="D14" s="37" t="n">
        <v>0</v>
      </c>
      <c r="E14" s="37" t="n">
        <v>15000</v>
      </c>
      <c r="F14" s="37" t="n">
        <v>15000</v>
      </c>
      <c r="G14" s="37" t="n">
        <v>15000</v>
      </c>
      <c r="H14" s="37" t="n">
        <v>15000</v>
      </c>
      <c r="I14" s="37" t="n">
        <v>15000</v>
      </c>
      <c r="J14" s="37" t="n">
        <v>15000</v>
      </c>
      <c r="K14" s="37" t="n">
        <v>15000</v>
      </c>
      <c r="L14" s="37" t="n">
        <v>15000</v>
      </c>
      <c r="M14" s="37" t="n">
        <v>15000</v>
      </c>
      <c r="N14" s="37" t="n">
        <v>15000</v>
      </c>
      <c r="O14" s="37" t="n">
        <v>0</v>
      </c>
      <c r="P14" s="37" t="n">
        <v>15000</v>
      </c>
      <c r="Q14" s="37" t="n">
        <v>15000</v>
      </c>
      <c r="R14" s="37" t="n">
        <v>15000</v>
      </c>
      <c r="S14" s="37" t="n">
        <v>15000</v>
      </c>
      <c r="T14" s="37" t="n">
        <v>15000</v>
      </c>
      <c r="U14" s="37" t="n">
        <v>15000</v>
      </c>
      <c r="V14" s="37" t="n">
        <v>15000</v>
      </c>
      <c r="W14" s="37" t="n">
        <v>15000</v>
      </c>
      <c r="X14" s="37" t="n">
        <v>15000</v>
      </c>
      <c r="Y14" s="37" t="n">
        <v>15000</v>
      </c>
      <c r="Z14" s="17" t="n">
        <f aca="false">IFERROR(AVERAGEIF(D14:E14,"&lt;&gt;0"),"")</f>
        <v>15000</v>
      </c>
      <c r="AA14" s="17" t="n">
        <f aca="false">IFERROR(AVERAGEIF(F14:J14,"&lt;&gt;0"),"")</f>
        <v>15000</v>
      </c>
      <c r="AB14" s="17" t="n">
        <f aca="false">IFERROR(AVERAGEIF(K14:O14,"&lt;&gt;0"),"")</f>
        <v>15000</v>
      </c>
      <c r="AC14" s="17" t="n">
        <f aca="false">IFERROR(AVERAGEIF(P14:T14,"&lt;&gt;0"),"")</f>
        <v>15000</v>
      </c>
      <c r="AD14" s="17" t="n">
        <f aca="false">IFERROR(AVERAGEIF(U14:Y14,"&lt;&gt;0"),"")</f>
        <v>15000</v>
      </c>
      <c r="AE14" s="17" t="n">
        <f aca="false">IFERROR(AVERAGEIF(D14:Y14,"&lt;&gt;0"),"")</f>
        <v>15000</v>
      </c>
    </row>
    <row r="15" customFormat="false" ht="21.75" hidden="false" customHeight="true" outlineLevel="0" collapsed="false">
      <c r="A15" s="5" t="n">
        <v>11</v>
      </c>
      <c r="B15" s="6" t="s">
        <v>341</v>
      </c>
      <c r="C15" s="5" t="s">
        <v>453</v>
      </c>
      <c r="D15" s="37" t="n">
        <v>0</v>
      </c>
      <c r="E15" s="37" t="n">
        <v>18000</v>
      </c>
      <c r="F15" s="37" t="n">
        <v>18000</v>
      </c>
      <c r="G15" s="37" t="n">
        <v>18000</v>
      </c>
      <c r="H15" s="37" t="n">
        <v>18000</v>
      </c>
      <c r="I15" s="37" t="n">
        <v>18000</v>
      </c>
      <c r="J15" s="37" t="n">
        <v>18000</v>
      </c>
      <c r="K15" s="37" t="n">
        <v>18000</v>
      </c>
      <c r="L15" s="37" t="n">
        <v>18000</v>
      </c>
      <c r="M15" s="37" t="n">
        <v>18000</v>
      </c>
      <c r="N15" s="37" t="n">
        <v>18000</v>
      </c>
      <c r="O15" s="37" t="n">
        <v>0</v>
      </c>
      <c r="P15" s="37" t="n">
        <v>18000</v>
      </c>
      <c r="Q15" s="37" t="n">
        <v>18000</v>
      </c>
      <c r="R15" s="37" t="n">
        <v>18000</v>
      </c>
      <c r="S15" s="37" t="n">
        <v>18000</v>
      </c>
      <c r="T15" s="37" t="n">
        <v>18000</v>
      </c>
      <c r="U15" s="37" t="n">
        <v>18000</v>
      </c>
      <c r="V15" s="37" t="n">
        <v>18000</v>
      </c>
      <c r="W15" s="37" t="n">
        <v>18000</v>
      </c>
      <c r="X15" s="37" t="n">
        <v>18000</v>
      </c>
      <c r="Y15" s="37" t="n">
        <v>18000</v>
      </c>
      <c r="Z15" s="17" t="n">
        <f aca="false">IFERROR(AVERAGEIF(D15:E15,"&lt;&gt;0"),"")</f>
        <v>18000</v>
      </c>
      <c r="AA15" s="17" t="n">
        <f aca="false">IFERROR(AVERAGEIF(F15:J15,"&lt;&gt;0"),"")</f>
        <v>18000</v>
      </c>
      <c r="AB15" s="17" t="n">
        <f aca="false">IFERROR(AVERAGEIF(K15:O15,"&lt;&gt;0"),"")</f>
        <v>18000</v>
      </c>
      <c r="AC15" s="17" t="n">
        <f aca="false">IFERROR(AVERAGEIF(P15:T15,"&lt;&gt;0"),"")</f>
        <v>18000</v>
      </c>
      <c r="AD15" s="17" t="n">
        <f aca="false">IFERROR(AVERAGEIF(U15:Y15,"&lt;&gt;0"),"")</f>
        <v>18000</v>
      </c>
      <c r="AE15" s="17" t="n">
        <f aca="false">IFERROR(AVERAGEIF(D15:Y15,"&lt;&gt;0"),"")</f>
        <v>18000</v>
      </c>
    </row>
    <row r="16" customFormat="false" ht="15" hidden="false" customHeight="true" outlineLevel="0" collapsed="false">
      <c r="A16" s="5" t="n">
        <v>12</v>
      </c>
      <c r="B16" s="6" t="s">
        <v>342</v>
      </c>
      <c r="C16" s="5" t="s">
        <v>453</v>
      </c>
      <c r="D16" s="37" t="n">
        <v>0</v>
      </c>
      <c r="E16" s="37" t="n">
        <v>15700</v>
      </c>
      <c r="F16" s="37" t="n">
        <v>15700</v>
      </c>
      <c r="G16" s="37" t="n">
        <v>15700</v>
      </c>
      <c r="H16" s="37" t="n">
        <v>15700</v>
      </c>
      <c r="I16" s="37" t="n">
        <v>15700</v>
      </c>
      <c r="J16" s="37" t="n">
        <v>15700</v>
      </c>
      <c r="K16" s="37" t="n">
        <v>15700</v>
      </c>
      <c r="L16" s="37" t="n">
        <v>15700</v>
      </c>
      <c r="M16" s="37" t="n">
        <v>15700</v>
      </c>
      <c r="N16" s="37" t="n">
        <v>15700</v>
      </c>
      <c r="O16" s="37" t="n">
        <v>0</v>
      </c>
      <c r="P16" s="37" t="n">
        <v>15700</v>
      </c>
      <c r="Q16" s="37" t="n">
        <v>15700</v>
      </c>
      <c r="R16" s="37" t="n">
        <v>15700</v>
      </c>
      <c r="S16" s="37" t="n">
        <v>15700</v>
      </c>
      <c r="T16" s="37" t="n">
        <v>15700</v>
      </c>
      <c r="U16" s="37" t="n">
        <v>15700</v>
      </c>
      <c r="V16" s="37" t="n">
        <v>15700</v>
      </c>
      <c r="W16" s="37" t="n">
        <v>15700</v>
      </c>
      <c r="X16" s="37" t="n">
        <v>15700</v>
      </c>
      <c r="Y16" s="37" t="n">
        <v>15700</v>
      </c>
      <c r="Z16" s="17" t="n">
        <f aca="false">IFERROR(AVERAGEIF(D16:E16,"&lt;&gt;0"),"")</f>
        <v>15700</v>
      </c>
      <c r="AA16" s="17" t="n">
        <f aca="false">IFERROR(AVERAGEIF(F16:J16,"&lt;&gt;0"),"")</f>
        <v>15700</v>
      </c>
      <c r="AB16" s="17" t="n">
        <f aca="false">IFERROR(AVERAGEIF(K16:O16,"&lt;&gt;0"),"")</f>
        <v>15700</v>
      </c>
      <c r="AC16" s="17" t="n">
        <f aca="false">IFERROR(AVERAGEIF(P16:T16,"&lt;&gt;0"),"")</f>
        <v>15700</v>
      </c>
      <c r="AD16" s="17" t="n">
        <f aca="false">IFERROR(AVERAGEIF(U16:Y16,"&lt;&gt;0"),"")</f>
        <v>15700</v>
      </c>
      <c r="AE16" s="17" t="n">
        <f aca="false">IFERROR(AVERAGEIF(D16:Y16,"&lt;&gt;0"),"")</f>
        <v>15700</v>
      </c>
    </row>
    <row r="17" customFormat="false" ht="15" hidden="false" customHeight="true" outlineLevel="0" collapsed="false">
      <c r="A17" s="5" t="n">
        <v>13</v>
      </c>
      <c r="B17" s="6" t="s">
        <v>337</v>
      </c>
      <c r="C17" s="5" t="s">
        <v>407</v>
      </c>
      <c r="D17" s="37" t="n">
        <v>0</v>
      </c>
      <c r="E17" s="37" t="n">
        <v>11000</v>
      </c>
      <c r="F17" s="37" t="n">
        <v>11000</v>
      </c>
      <c r="G17" s="37" t="n">
        <v>11000</v>
      </c>
      <c r="H17" s="37" t="n">
        <v>11000</v>
      </c>
      <c r="I17" s="37" t="n">
        <v>11000</v>
      </c>
      <c r="J17" s="37" t="n">
        <v>11000</v>
      </c>
      <c r="K17" s="37" t="n">
        <v>11000</v>
      </c>
      <c r="L17" s="37" t="n">
        <v>11000</v>
      </c>
      <c r="M17" s="37" t="n">
        <v>11000</v>
      </c>
      <c r="N17" s="37" t="n">
        <v>11000</v>
      </c>
      <c r="O17" s="37" t="n">
        <v>0</v>
      </c>
      <c r="P17" s="37" t="n">
        <v>11000</v>
      </c>
      <c r="Q17" s="37" t="n">
        <v>11000</v>
      </c>
      <c r="R17" s="37" t="n">
        <v>11000</v>
      </c>
      <c r="S17" s="37" t="n">
        <v>11000</v>
      </c>
      <c r="T17" s="37" t="n">
        <v>11000</v>
      </c>
      <c r="U17" s="37" t="n">
        <v>11000</v>
      </c>
      <c r="V17" s="37" t="n">
        <v>11000</v>
      </c>
      <c r="W17" s="37" t="n">
        <v>11000</v>
      </c>
      <c r="X17" s="37" t="n">
        <v>11000</v>
      </c>
      <c r="Y17" s="37" t="n">
        <v>11000</v>
      </c>
      <c r="Z17" s="17" t="n">
        <f aca="false">IFERROR(AVERAGEIF(D17:E17,"&lt;&gt;0"),"")</f>
        <v>11000</v>
      </c>
      <c r="AA17" s="17" t="n">
        <f aca="false">IFERROR(AVERAGEIF(F17:J17,"&lt;&gt;0"),"")</f>
        <v>11000</v>
      </c>
      <c r="AB17" s="17" t="n">
        <f aca="false">IFERROR(AVERAGEIF(K17:O17,"&lt;&gt;0"),"")</f>
        <v>11000</v>
      </c>
      <c r="AC17" s="17" t="n">
        <f aca="false">IFERROR(AVERAGEIF(P17:T17,"&lt;&gt;0"),"")</f>
        <v>11000</v>
      </c>
      <c r="AD17" s="17" t="n">
        <f aca="false">IFERROR(AVERAGEIF(U17:Y17,"&lt;&gt;0"),"")</f>
        <v>11000</v>
      </c>
      <c r="AE17" s="17" t="n">
        <f aca="false">IFERROR(AVERAGEIF(D17:Y17,"&lt;&gt;0"),"")</f>
        <v>11000</v>
      </c>
    </row>
    <row r="18" customFormat="false" ht="15" hidden="false" customHeight="true" outlineLevel="0" collapsed="false">
      <c r="A18" s="5" t="n">
        <v>14</v>
      </c>
      <c r="B18" s="6" t="s">
        <v>339</v>
      </c>
      <c r="C18" s="5" t="s">
        <v>407</v>
      </c>
      <c r="D18" s="37" t="n">
        <v>0</v>
      </c>
      <c r="E18" s="37" t="n">
        <v>26000</v>
      </c>
      <c r="F18" s="37" t="n">
        <v>26000</v>
      </c>
      <c r="G18" s="37" t="n">
        <v>26000</v>
      </c>
      <c r="H18" s="37" t="n">
        <v>26000</v>
      </c>
      <c r="I18" s="37" t="n">
        <v>26000</v>
      </c>
      <c r="J18" s="37" t="n">
        <v>26000</v>
      </c>
      <c r="K18" s="37" t="n">
        <v>26000</v>
      </c>
      <c r="L18" s="37" t="n">
        <v>26000</v>
      </c>
      <c r="M18" s="37" t="n">
        <v>26000</v>
      </c>
      <c r="N18" s="37" t="n">
        <v>26000</v>
      </c>
      <c r="O18" s="37" t="n">
        <v>0</v>
      </c>
      <c r="P18" s="37" t="n">
        <v>26000</v>
      </c>
      <c r="Q18" s="37" t="n">
        <v>26000</v>
      </c>
      <c r="R18" s="37" t="n">
        <v>26000</v>
      </c>
      <c r="S18" s="37" t="n">
        <v>26000</v>
      </c>
      <c r="T18" s="37" t="n">
        <v>26000</v>
      </c>
      <c r="U18" s="37" t="n">
        <v>26000</v>
      </c>
      <c r="V18" s="37" t="n">
        <v>26000</v>
      </c>
      <c r="W18" s="37" t="n">
        <v>26000</v>
      </c>
      <c r="X18" s="37" t="n">
        <v>26000</v>
      </c>
      <c r="Y18" s="37" t="n">
        <v>26000</v>
      </c>
      <c r="Z18" s="17" t="n">
        <f aca="false">IFERROR(AVERAGEIF(D18:E18,"&lt;&gt;0"),"")</f>
        <v>26000</v>
      </c>
      <c r="AA18" s="17" t="n">
        <f aca="false">IFERROR(AVERAGEIF(F18:J18,"&lt;&gt;0"),"")</f>
        <v>26000</v>
      </c>
      <c r="AB18" s="17" t="n">
        <f aca="false">IFERROR(AVERAGEIF(K18:O18,"&lt;&gt;0"),"")</f>
        <v>26000</v>
      </c>
      <c r="AC18" s="17" t="n">
        <f aca="false">IFERROR(AVERAGEIF(P18:T18,"&lt;&gt;0"),"")</f>
        <v>26000</v>
      </c>
      <c r="AD18" s="17" t="n">
        <f aca="false">IFERROR(AVERAGEIF(U18:Y18,"&lt;&gt;0"),"")</f>
        <v>26000</v>
      </c>
      <c r="AE18" s="17" t="n">
        <f aca="false">IFERROR(AVERAGEIF(D18:Y18,"&lt;&gt;0"),"")</f>
        <v>26000</v>
      </c>
    </row>
    <row r="19" customFormat="false" ht="15" hidden="false" customHeight="true" outlineLevel="0" collapsed="false">
      <c r="A19" s="5" t="n">
        <v>15</v>
      </c>
      <c r="B19" s="6" t="s">
        <v>348</v>
      </c>
      <c r="C19" s="5" t="s">
        <v>407</v>
      </c>
      <c r="D19" s="37" t="n">
        <v>0</v>
      </c>
      <c r="E19" s="37" t="n">
        <v>25000</v>
      </c>
      <c r="F19" s="37" t="n">
        <v>25000</v>
      </c>
      <c r="G19" s="37" t="n">
        <v>25000</v>
      </c>
      <c r="H19" s="37" t="n">
        <v>25000</v>
      </c>
      <c r="I19" s="37" t="n">
        <v>25000</v>
      </c>
      <c r="J19" s="37" t="n">
        <v>25000</v>
      </c>
      <c r="K19" s="37" t="n">
        <v>25000</v>
      </c>
      <c r="L19" s="37" t="n">
        <v>25000</v>
      </c>
      <c r="M19" s="37" t="n">
        <v>25000</v>
      </c>
      <c r="N19" s="37" t="n">
        <v>25000</v>
      </c>
      <c r="O19" s="37" t="n">
        <v>0</v>
      </c>
      <c r="P19" s="37" t="n">
        <v>25000</v>
      </c>
      <c r="Q19" s="37" t="n">
        <v>25000</v>
      </c>
      <c r="R19" s="37" t="n">
        <v>25000</v>
      </c>
      <c r="S19" s="37" t="n">
        <v>25000</v>
      </c>
      <c r="T19" s="37" t="n">
        <v>25000</v>
      </c>
      <c r="U19" s="37" t="n">
        <v>25000</v>
      </c>
      <c r="V19" s="37" t="n">
        <v>25000</v>
      </c>
      <c r="W19" s="37" t="n">
        <v>25000</v>
      </c>
      <c r="X19" s="37" t="n">
        <v>25000</v>
      </c>
      <c r="Y19" s="37" t="n">
        <v>25000</v>
      </c>
      <c r="Z19" s="17" t="n">
        <f aca="false">IFERROR(AVERAGEIF(D19:E19,"&lt;&gt;0"),"")</f>
        <v>25000</v>
      </c>
      <c r="AA19" s="17" t="n">
        <f aca="false">IFERROR(AVERAGEIF(F19:J19,"&lt;&gt;0"),"")</f>
        <v>25000</v>
      </c>
      <c r="AB19" s="17" t="n">
        <f aca="false">IFERROR(AVERAGEIF(K19:O19,"&lt;&gt;0"),"")</f>
        <v>25000</v>
      </c>
      <c r="AC19" s="17" t="n">
        <f aca="false">IFERROR(AVERAGEIF(P19:T19,"&lt;&gt;0"),"")</f>
        <v>25000</v>
      </c>
      <c r="AD19" s="17" t="n">
        <f aca="false">IFERROR(AVERAGEIF(U19:Y19,"&lt;&gt;0"),"")</f>
        <v>25000</v>
      </c>
      <c r="AE19" s="17" t="n">
        <f aca="false">IFERROR(AVERAGEIF(D19:Y19,"&lt;&gt;0"),"")</f>
        <v>25000</v>
      </c>
    </row>
    <row r="20" customFormat="false" ht="15" hidden="false" customHeight="true" outlineLevel="0" collapsed="false">
      <c r="A20" s="5" t="n">
        <v>16</v>
      </c>
      <c r="B20" s="6" t="s">
        <v>362</v>
      </c>
      <c r="C20" s="5" t="s">
        <v>407</v>
      </c>
      <c r="D20" s="37" t="n">
        <v>0</v>
      </c>
      <c r="E20" s="37" t="n">
        <v>110000</v>
      </c>
      <c r="F20" s="37" t="n">
        <v>110000</v>
      </c>
      <c r="G20" s="37" t="n">
        <v>110000</v>
      </c>
      <c r="H20" s="37" t="n">
        <v>110000</v>
      </c>
      <c r="I20" s="37" t="n">
        <v>110000</v>
      </c>
      <c r="J20" s="37" t="n">
        <v>110000</v>
      </c>
      <c r="K20" s="37" t="n">
        <v>110000</v>
      </c>
      <c r="L20" s="37" t="n">
        <v>110000</v>
      </c>
      <c r="M20" s="37" t="n">
        <v>110000</v>
      </c>
      <c r="N20" s="37" t="n">
        <v>110000</v>
      </c>
      <c r="O20" s="37" t="n">
        <v>0</v>
      </c>
      <c r="P20" s="37" t="n">
        <v>110000</v>
      </c>
      <c r="Q20" s="37" t="n">
        <v>110000</v>
      </c>
      <c r="R20" s="37" t="n">
        <v>110000</v>
      </c>
      <c r="S20" s="37" t="n">
        <v>110000</v>
      </c>
      <c r="T20" s="37" t="n">
        <v>110000</v>
      </c>
      <c r="U20" s="37" t="n">
        <v>110000</v>
      </c>
      <c r="V20" s="37" t="n">
        <v>110000</v>
      </c>
      <c r="W20" s="37" t="n">
        <v>110000</v>
      </c>
      <c r="X20" s="37" t="n">
        <v>110000</v>
      </c>
      <c r="Y20" s="37" t="n">
        <v>110000</v>
      </c>
      <c r="Z20" s="17" t="n">
        <f aca="false">IFERROR(AVERAGEIF(D20:E20,"&lt;&gt;0"),"")</f>
        <v>110000</v>
      </c>
      <c r="AA20" s="17" t="n">
        <f aca="false">IFERROR(AVERAGEIF(F20:J20,"&lt;&gt;0"),"")</f>
        <v>110000</v>
      </c>
      <c r="AB20" s="17" t="n">
        <f aca="false">IFERROR(AVERAGEIF(K20:O20,"&lt;&gt;0"),"")</f>
        <v>110000</v>
      </c>
      <c r="AC20" s="17" t="n">
        <f aca="false">IFERROR(AVERAGEIF(P20:T20,"&lt;&gt;0"),"")</f>
        <v>110000</v>
      </c>
      <c r="AD20" s="17" t="n">
        <f aca="false">IFERROR(AVERAGEIF(U20:Y20,"&lt;&gt;0"),"")</f>
        <v>110000</v>
      </c>
      <c r="AE20" s="17" t="n">
        <f aca="false">IFERROR(AVERAGEIF(D20:Y20,"&lt;&gt;0"),"")</f>
        <v>110000</v>
      </c>
    </row>
    <row r="21" customFormat="false" ht="15" hidden="false" customHeight="true" outlineLevel="0" collapsed="false">
      <c r="A21" s="5" t="n">
        <v>17</v>
      </c>
      <c r="B21" s="6" t="s">
        <v>363</v>
      </c>
      <c r="C21" s="5" t="s">
        <v>407</v>
      </c>
      <c r="D21" s="37" t="n">
        <v>0</v>
      </c>
      <c r="E21" s="37" t="n">
        <v>60000</v>
      </c>
      <c r="F21" s="37" t="n">
        <v>60000</v>
      </c>
      <c r="G21" s="37" t="n">
        <v>60000</v>
      </c>
      <c r="H21" s="37" t="n">
        <v>60000</v>
      </c>
      <c r="I21" s="37" t="n">
        <v>60000</v>
      </c>
      <c r="J21" s="37" t="n">
        <v>60000</v>
      </c>
      <c r="K21" s="37" t="n">
        <v>60000</v>
      </c>
      <c r="L21" s="37" t="n">
        <v>60000</v>
      </c>
      <c r="M21" s="37" t="n">
        <v>60000</v>
      </c>
      <c r="N21" s="37" t="n">
        <v>60000</v>
      </c>
      <c r="O21" s="37" t="n">
        <v>0</v>
      </c>
      <c r="P21" s="37" t="n">
        <v>60000</v>
      </c>
      <c r="Q21" s="37" t="n">
        <v>60000</v>
      </c>
      <c r="R21" s="37" t="n">
        <v>60000</v>
      </c>
      <c r="S21" s="37" t="n">
        <v>60000</v>
      </c>
      <c r="T21" s="37" t="n">
        <v>60000</v>
      </c>
      <c r="U21" s="37" t="n">
        <v>60000</v>
      </c>
      <c r="V21" s="37" t="n">
        <v>60000</v>
      </c>
      <c r="W21" s="37" t="n">
        <v>60000</v>
      </c>
      <c r="X21" s="37" t="n">
        <v>60000</v>
      </c>
      <c r="Y21" s="37" t="n">
        <v>60000</v>
      </c>
      <c r="Z21" s="17" t="n">
        <f aca="false">IFERROR(AVERAGEIF(D21:E21,"&lt;&gt;0"),"")</f>
        <v>60000</v>
      </c>
      <c r="AA21" s="17" t="n">
        <f aca="false">IFERROR(AVERAGEIF(F21:J21,"&lt;&gt;0"),"")</f>
        <v>60000</v>
      </c>
      <c r="AB21" s="17" t="n">
        <f aca="false">IFERROR(AVERAGEIF(K21:O21,"&lt;&gt;0"),"")</f>
        <v>60000</v>
      </c>
      <c r="AC21" s="17" t="n">
        <f aca="false">IFERROR(AVERAGEIF(P21:T21,"&lt;&gt;0"),"")</f>
        <v>60000</v>
      </c>
      <c r="AD21" s="17" t="n">
        <f aca="false">IFERROR(AVERAGEIF(U21:Y21,"&lt;&gt;0"),"")</f>
        <v>60000</v>
      </c>
      <c r="AE21" s="17" t="n">
        <f aca="false">IFERROR(AVERAGEIF(D21:Y21,"&lt;&gt;0"),"")</f>
        <v>60000</v>
      </c>
    </row>
    <row r="22" customFormat="false" ht="15" hidden="false" customHeight="true" outlineLevel="0" collapsed="false">
      <c r="A22" s="5" t="n">
        <v>18</v>
      </c>
      <c r="B22" s="6" t="s">
        <v>364</v>
      </c>
      <c r="C22" s="5" t="s">
        <v>407</v>
      </c>
      <c r="D22" s="37" t="n">
        <v>0</v>
      </c>
      <c r="E22" s="37" t="n">
        <v>55000</v>
      </c>
      <c r="F22" s="37" t="n">
        <v>55000</v>
      </c>
      <c r="G22" s="37" t="n">
        <v>55000</v>
      </c>
      <c r="H22" s="37" t="n">
        <v>55000</v>
      </c>
      <c r="I22" s="37" t="n">
        <v>55000</v>
      </c>
      <c r="J22" s="37" t="n">
        <v>55000</v>
      </c>
      <c r="K22" s="37" t="n">
        <v>55000</v>
      </c>
      <c r="L22" s="37" t="n">
        <v>55000</v>
      </c>
      <c r="M22" s="37" t="n">
        <v>55000</v>
      </c>
      <c r="N22" s="37" t="n">
        <v>55000</v>
      </c>
      <c r="O22" s="37" t="n">
        <v>0</v>
      </c>
      <c r="P22" s="37" t="n">
        <v>55000</v>
      </c>
      <c r="Q22" s="37" t="n">
        <v>55000</v>
      </c>
      <c r="R22" s="37" t="n">
        <v>55000</v>
      </c>
      <c r="S22" s="37" t="n">
        <v>55000</v>
      </c>
      <c r="T22" s="37" t="n">
        <v>55000</v>
      </c>
      <c r="U22" s="37" t="n">
        <v>55000</v>
      </c>
      <c r="V22" s="37" t="n">
        <v>55000</v>
      </c>
      <c r="W22" s="37" t="n">
        <v>55000</v>
      </c>
      <c r="X22" s="37" t="n">
        <v>55000</v>
      </c>
      <c r="Y22" s="37" t="n">
        <v>55000</v>
      </c>
      <c r="Z22" s="17" t="n">
        <f aca="false">IFERROR(AVERAGEIF(D22:E22,"&lt;&gt;0"),"")</f>
        <v>55000</v>
      </c>
      <c r="AA22" s="17" t="n">
        <f aca="false">IFERROR(AVERAGEIF(F22:J22,"&lt;&gt;0"),"")</f>
        <v>55000</v>
      </c>
      <c r="AB22" s="17" t="n">
        <f aca="false">IFERROR(AVERAGEIF(K22:O22,"&lt;&gt;0"),"")</f>
        <v>55000</v>
      </c>
      <c r="AC22" s="17" t="n">
        <f aca="false">IFERROR(AVERAGEIF(P22:T22,"&lt;&gt;0"),"")</f>
        <v>55000</v>
      </c>
      <c r="AD22" s="17" t="n">
        <f aca="false">IFERROR(AVERAGEIF(U22:Y22,"&lt;&gt;0"),"")</f>
        <v>55000</v>
      </c>
      <c r="AE22" s="17" t="n">
        <f aca="false">IFERROR(AVERAGEIF(D22:Y22,"&lt;&gt;0"),"")</f>
        <v>55000</v>
      </c>
    </row>
    <row r="23" customFormat="false" ht="15" hidden="false" customHeight="true" outlineLevel="0" collapsed="false">
      <c r="A23" s="5" t="n">
        <v>19</v>
      </c>
      <c r="B23" s="6" t="s">
        <v>409</v>
      </c>
      <c r="C23" s="5" t="s">
        <v>407</v>
      </c>
      <c r="D23" s="37" t="n">
        <v>0</v>
      </c>
      <c r="E23" s="37" t="n">
        <v>28000</v>
      </c>
      <c r="F23" s="37" t="n">
        <v>28000</v>
      </c>
      <c r="G23" s="37" t="n">
        <v>28000</v>
      </c>
      <c r="H23" s="37" t="n">
        <v>28000</v>
      </c>
      <c r="I23" s="37" t="n">
        <v>28000</v>
      </c>
      <c r="J23" s="37" t="n">
        <v>28000</v>
      </c>
      <c r="K23" s="37" t="n">
        <v>28000</v>
      </c>
      <c r="L23" s="37" t="n">
        <v>28000</v>
      </c>
      <c r="M23" s="37" t="n">
        <v>28000</v>
      </c>
      <c r="N23" s="37" t="n">
        <v>28000</v>
      </c>
      <c r="O23" s="37" t="n">
        <v>0</v>
      </c>
      <c r="P23" s="37" t="n">
        <v>28000</v>
      </c>
      <c r="Q23" s="37" t="n">
        <v>28000</v>
      </c>
      <c r="R23" s="37" t="n">
        <v>28000</v>
      </c>
      <c r="S23" s="37" t="n">
        <v>28000</v>
      </c>
      <c r="T23" s="37" t="n">
        <v>28000</v>
      </c>
      <c r="U23" s="37" t="n">
        <v>28000</v>
      </c>
      <c r="V23" s="37" t="n">
        <v>28000</v>
      </c>
      <c r="W23" s="37" t="n">
        <v>28000</v>
      </c>
      <c r="X23" s="37" t="n">
        <v>28000</v>
      </c>
      <c r="Y23" s="37" t="n">
        <v>28000</v>
      </c>
      <c r="Z23" s="17" t="n">
        <f aca="false">IFERROR(AVERAGEIF(D23:E23,"&lt;&gt;0"),"")</f>
        <v>28000</v>
      </c>
      <c r="AA23" s="17" t="n">
        <f aca="false">IFERROR(AVERAGEIF(F23:J23,"&lt;&gt;0"),"")</f>
        <v>28000</v>
      </c>
      <c r="AB23" s="17" t="n">
        <f aca="false">IFERROR(AVERAGEIF(K23:O23,"&lt;&gt;0"),"")</f>
        <v>28000</v>
      </c>
      <c r="AC23" s="17" t="n">
        <f aca="false">IFERROR(AVERAGEIF(P23:T23,"&lt;&gt;0"),"")</f>
        <v>28000</v>
      </c>
      <c r="AD23" s="17" t="n">
        <f aca="false">IFERROR(AVERAGEIF(U23:Y23,"&lt;&gt;0"),"")</f>
        <v>28000</v>
      </c>
      <c r="AE23" s="17" t="n">
        <f aca="false">IFERROR(AVERAGEIF(D23:Y23,"&lt;&gt;0"),"")</f>
        <v>28000</v>
      </c>
    </row>
    <row r="24" customFormat="false" ht="15" hidden="false" customHeight="true" outlineLevel="0" collapsed="false">
      <c r="A24" s="5" t="n">
        <v>20</v>
      </c>
      <c r="B24" s="6" t="s">
        <v>350</v>
      </c>
      <c r="C24" s="5" t="s">
        <v>407</v>
      </c>
      <c r="D24" s="37" t="n">
        <v>0</v>
      </c>
      <c r="E24" s="37" t="n">
        <v>28000</v>
      </c>
      <c r="F24" s="37" t="n">
        <v>28000</v>
      </c>
      <c r="G24" s="37" t="n">
        <v>28000</v>
      </c>
      <c r="H24" s="37" t="n">
        <v>28000</v>
      </c>
      <c r="I24" s="37" t="n">
        <v>28000</v>
      </c>
      <c r="J24" s="37" t="n">
        <v>28000</v>
      </c>
      <c r="K24" s="37" t="n">
        <v>28000</v>
      </c>
      <c r="L24" s="37" t="n">
        <v>28000</v>
      </c>
      <c r="M24" s="37" t="n">
        <v>28000</v>
      </c>
      <c r="N24" s="37" t="n">
        <v>28000</v>
      </c>
      <c r="O24" s="37" t="n">
        <v>0</v>
      </c>
      <c r="P24" s="37" t="n">
        <v>28000</v>
      </c>
      <c r="Q24" s="37" t="n">
        <v>28000</v>
      </c>
      <c r="R24" s="37" t="n">
        <v>28000</v>
      </c>
      <c r="S24" s="37" t="n">
        <v>28000</v>
      </c>
      <c r="T24" s="37" t="n">
        <v>28000</v>
      </c>
      <c r="U24" s="37" t="n">
        <v>28000</v>
      </c>
      <c r="V24" s="37" t="n">
        <v>28000</v>
      </c>
      <c r="W24" s="37" t="n">
        <v>28000</v>
      </c>
      <c r="X24" s="37" t="n">
        <v>28000</v>
      </c>
      <c r="Y24" s="37" t="n">
        <v>28000</v>
      </c>
      <c r="Z24" s="17" t="n">
        <f aca="false">IFERROR(AVERAGEIF(D24:E24,"&lt;&gt;0"),"")</f>
        <v>28000</v>
      </c>
      <c r="AA24" s="17" t="n">
        <f aca="false">IFERROR(AVERAGEIF(F24:J24,"&lt;&gt;0"),"")</f>
        <v>28000</v>
      </c>
      <c r="AB24" s="17" t="n">
        <f aca="false">IFERROR(AVERAGEIF(K24:O24,"&lt;&gt;0"),"")</f>
        <v>28000</v>
      </c>
      <c r="AC24" s="17" t="n">
        <f aca="false">IFERROR(AVERAGEIF(P24:T24,"&lt;&gt;0"),"")</f>
        <v>28000</v>
      </c>
      <c r="AD24" s="17" t="n">
        <f aca="false">IFERROR(AVERAGEIF(U24:Y24,"&lt;&gt;0"),"")</f>
        <v>28000</v>
      </c>
      <c r="AE24" s="17" t="n">
        <f aca="false">IFERROR(AVERAGEIF(D24:Y24,"&lt;&gt;0"),"")</f>
        <v>28000</v>
      </c>
    </row>
    <row r="25" customFormat="false" ht="15" hidden="false" customHeight="true" outlineLevel="0" collapsed="false">
      <c r="A25" s="5" t="n">
        <v>21</v>
      </c>
      <c r="B25" s="6" t="s">
        <v>410</v>
      </c>
      <c r="C25" s="5" t="s">
        <v>407</v>
      </c>
      <c r="D25" s="37" t="n">
        <v>0</v>
      </c>
      <c r="E25" s="37" t="n">
        <v>60000</v>
      </c>
      <c r="F25" s="37" t="n">
        <v>60000</v>
      </c>
      <c r="G25" s="37" t="n">
        <v>60000</v>
      </c>
      <c r="H25" s="37" t="n">
        <v>60000</v>
      </c>
      <c r="I25" s="37" t="n">
        <v>60000</v>
      </c>
      <c r="J25" s="37" t="n">
        <v>60000</v>
      </c>
      <c r="K25" s="37" t="n">
        <v>60000</v>
      </c>
      <c r="L25" s="37" t="n">
        <v>60000</v>
      </c>
      <c r="M25" s="37" t="n">
        <v>60000</v>
      </c>
      <c r="N25" s="37" t="n">
        <v>60000</v>
      </c>
      <c r="O25" s="37" t="n">
        <v>0</v>
      </c>
      <c r="P25" s="37" t="n">
        <v>60000</v>
      </c>
      <c r="Q25" s="37" t="n">
        <v>60000</v>
      </c>
      <c r="R25" s="37" t="n">
        <v>60000</v>
      </c>
      <c r="S25" s="37" t="n">
        <v>60000</v>
      </c>
      <c r="T25" s="37" t="n">
        <v>60000</v>
      </c>
      <c r="U25" s="37" t="n">
        <v>60000</v>
      </c>
      <c r="V25" s="37" t="n">
        <v>60000</v>
      </c>
      <c r="W25" s="37" t="n">
        <v>60000</v>
      </c>
      <c r="X25" s="37" t="n">
        <v>60000</v>
      </c>
      <c r="Y25" s="37" t="n">
        <v>60000</v>
      </c>
      <c r="Z25" s="17" t="n">
        <f aca="false">IFERROR(AVERAGEIF(D25:E25,"&lt;&gt;0"),"")</f>
        <v>60000</v>
      </c>
      <c r="AA25" s="17" t="n">
        <f aca="false">IFERROR(AVERAGEIF(F25:J25,"&lt;&gt;0"),"")</f>
        <v>60000</v>
      </c>
      <c r="AB25" s="17" t="n">
        <f aca="false">IFERROR(AVERAGEIF(K25:O25,"&lt;&gt;0"),"")</f>
        <v>60000</v>
      </c>
      <c r="AC25" s="17" t="n">
        <f aca="false">IFERROR(AVERAGEIF(P25:T25,"&lt;&gt;0"),"")</f>
        <v>60000</v>
      </c>
      <c r="AD25" s="17" t="n">
        <f aca="false">IFERROR(AVERAGEIF(U25:Y25,"&lt;&gt;0"),"")</f>
        <v>60000</v>
      </c>
      <c r="AE25" s="17" t="n">
        <f aca="false">IFERROR(AVERAGEIF(D25:Y25,"&lt;&gt;0"),"")</f>
        <v>60000</v>
      </c>
    </row>
    <row r="26" customFormat="false" ht="21.75" hidden="false" customHeight="true" outlineLevel="0" collapsed="false">
      <c r="A26" s="5" t="n">
        <v>22</v>
      </c>
      <c r="B26" s="6" t="s">
        <v>357</v>
      </c>
      <c r="C26" s="5" t="s">
        <v>454</v>
      </c>
      <c r="D26" s="37" t="n">
        <v>0</v>
      </c>
      <c r="E26" s="37" t="n">
        <v>2800</v>
      </c>
      <c r="F26" s="37" t="n">
        <v>2800</v>
      </c>
      <c r="G26" s="37" t="n">
        <v>2800</v>
      </c>
      <c r="H26" s="37" t="n">
        <v>2800</v>
      </c>
      <c r="I26" s="37" t="n">
        <v>2800</v>
      </c>
      <c r="J26" s="37" t="n">
        <v>2800</v>
      </c>
      <c r="K26" s="37" t="n">
        <v>2800</v>
      </c>
      <c r="L26" s="37" t="n">
        <v>2800</v>
      </c>
      <c r="M26" s="37" t="n">
        <v>2800</v>
      </c>
      <c r="N26" s="37" t="n">
        <v>2800</v>
      </c>
      <c r="O26" s="37" t="n">
        <v>0</v>
      </c>
      <c r="P26" s="37" t="n">
        <v>2800</v>
      </c>
      <c r="Q26" s="37" t="n">
        <v>2800</v>
      </c>
      <c r="R26" s="37" t="n">
        <v>2800</v>
      </c>
      <c r="S26" s="37" t="n">
        <v>2800</v>
      </c>
      <c r="T26" s="37" t="n">
        <v>2800</v>
      </c>
      <c r="U26" s="37" t="n">
        <v>2800</v>
      </c>
      <c r="V26" s="37" t="n">
        <v>2800</v>
      </c>
      <c r="W26" s="37" t="n">
        <v>2800</v>
      </c>
      <c r="X26" s="37" t="n">
        <v>2800</v>
      </c>
      <c r="Y26" s="37" t="n">
        <v>2800</v>
      </c>
      <c r="Z26" s="17" t="n">
        <f aca="false">IFERROR(AVERAGEIF(D26:E26,"&lt;&gt;0"),"")</f>
        <v>2800</v>
      </c>
      <c r="AA26" s="17" t="n">
        <f aca="false">IFERROR(AVERAGEIF(F26:J26,"&lt;&gt;0"),"")</f>
        <v>2800</v>
      </c>
      <c r="AB26" s="17" t="n">
        <f aca="false">IFERROR(AVERAGEIF(K26:O26,"&lt;&gt;0"),"")</f>
        <v>2800</v>
      </c>
      <c r="AC26" s="17" t="n">
        <f aca="false">IFERROR(AVERAGEIF(P26:T26,"&lt;&gt;0"),"")</f>
        <v>2800</v>
      </c>
      <c r="AD26" s="17" t="n">
        <f aca="false">IFERROR(AVERAGEIF(U26:Y26,"&lt;&gt;0"),"")</f>
        <v>2800</v>
      </c>
      <c r="AE26" s="17" t="n">
        <f aca="false">IFERROR(AVERAGEIF(D26:Y26,"&lt;&gt;0"),"")</f>
        <v>2800</v>
      </c>
    </row>
    <row r="27" customFormat="false" ht="15" hidden="false" customHeight="true" outlineLevel="0" collapsed="false">
      <c r="A27" s="5" t="n">
        <v>23</v>
      </c>
      <c r="B27" s="6" t="s">
        <v>355</v>
      </c>
      <c r="C27" s="5" t="s">
        <v>407</v>
      </c>
      <c r="D27" s="37" t="n">
        <v>0</v>
      </c>
      <c r="E27" s="37" t="n">
        <v>24000</v>
      </c>
      <c r="F27" s="37" t="n">
        <v>24000</v>
      </c>
      <c r="G27" s="37" t="n">
        <v>24000</v>
      </c>
      <c r="H27" s="37" t="n">
        <v>24000</v>
      </c>
      <c r="I27" s="37" t="n">
        <v>24000</v>
      </c>
      <c r="J27" s="37" t="n">
        <v>24000</v>
      </c>
      <c r="K27" s="37" t="n">
        <v>24000</v>
      </c>
      <c r="L27" s="37" t="n">
        <v>24000</v>
      </c>
      <c r="M27" s="37" t="n">
        <v>24000</v>
      </c>
      <c r="N27" s="37" t="n">
        <v>24000</v>
      </c>
      <c r="O27" s="37" t="n">
        <v>0</v>
      </c>
      <c r="P27" s="37" t="n">
        <v>24000</v>
      </c>
      <c r="Q27" s="37" t="n">
        <v>24000</v>
      </c>
      <c r="R27" s="37" t="n">
        <v>24000</v>
      </c>
      <c r="S27" s="37" t="n">
        <v>24000</v>
      </c>
      <c r="T27" s="37" t="n">
        <v>24000</v>
      </c>
      <c r="U27" s="37" t="n">
        <v>24000</v>
      </c>
      <c r="V27" s="37" t="n">
        <v>24000</v>
      </c>
      <c r="W27" s="37" t="n">
        <v>24000</v>
      </c>
      <c r="X27" s="37" t="n">
        <v>24000</v>
      </c>
      <c r="Y27" s="37" t="n">
        <v>24000</v>
      </c>
      <c r="Z27" s="17" t="n">
        <f aca="false">IFERROR(AVERAGEIF(D27:E27,"&lt;&gt;0"),"")</f>
        <v>24000</v>
      </c>
      <c r="AA27" s="17" t="n">
        <f aca="false">IFERROR(AVERAGEIF(F27:J27,"&lt;&gt;0"),"")</f>
        <v>24000</v>
      </c>
      <c r="AB27" s="17" t="n">
        <f aca="false">IFERROR(AVERAGEIF(K27:O27,"&lt;&gt;0"),"")</f>
        <v>24000</v>
      </c>
      <c r="AC27" s="17" t="n">
        <f aca="false">IFERROR(AVERAGEIF(P27:T27,"&lt;&gt;0"),"")</f>
        <v>24000</v>
      </c>
      <c r="AD27" s="17" t="n">
        <f aca="false">IFERROR(AVERAGEIF(U27:Y27,"&lt;&gt;0"),"")</f>
        <v>24000</v>
      </c>
      <c r="AE27" s="17" t="n">
        <f aca="false">IFERROR(AVERAGEIF(D27:Y27,"&lt;&gt;0"),"")</f>
        <v>24000</v>
      </c>
    </row>
    <row r="28" customFormat="false" ht="15" hidden="false" customHeight="true" outlineLevel="0" collapsed="false">
      <c r="A28" s="5" t="n">
        <v>24</v>
      </c>
      <c r="B28" s="6" t="s">
        <v>356</v>
      </c>
      <c r="C28" s="5" t="s">
        <v>407</v>
      </c>
      <c r="D28" s="37" t="n">
        <v>0</v>
      </c>
      <c r="E28" s="37" t="n">
        <v>30000</v>
      </c>
      <c r="F28" s="37" t="n">
        <v>30000</v>
      </c>
      <c r="G28" s="37" t="n">
        <v>30000</v>
      </c>
      <c r="H28" s="37" t="n">
        <v>30000</v>
      </c>
      <c r="I28" s="37" t="n">
        <v>30000</v>
      </c>
      <c r="J28" s="37" t="n">
        <v>30000</v>
      </c>
      <c r="K28" s="37" t="n">
        <v>30000</v>
      </c>
      <c r="L28" s="37" t="n">
        <v>30000</v>
      </c>
      <c r="M28" s="37" t="n">
        <v>30000</v>
      </c>
      <c r="N28" s="37" t="n">
        <v>30000</v>
      </c>
      <c r="O28" s="37" t="n">
        <v>0</v>
      </c>
      <c r="P28" s="37" t="n">
        <v>30000</v>
      </c>
      <c r="Q28" s="37" t="n">
        <v>30000</v>
      </c>
      <c r="R28" s="37" t="n">
        <v>30000</v>
      </c>
      <c r="S28" s="37" t="n">
        <v>30000</v>
      </c>
      <c r="T28" s="37" t="n">
        <v>30000</v>
      </c>
      <c r="U28" s="37" t="n">
        <v>30000</v>
      </c>
      <c r="V28" s="37" t="n">
        <v>30000</v>
      </c>
      <c r="W28" s="37" t="n">
        <v>30000</v>
      </c>
      <c r="X28" s="37" t="n">
        <v>30000</v>
      </c>
      <c r="Y28" s="37" t="n">
        <v>30000</v>
      </c>
      <c r="Z28" s="17" t="n">
        <f aca="false">IFERROR(AVERAGEIF(D28:E28,"&lt;&gt;0"),"")</f>
        <v>30000</v>
      </c>
      <c r="AA28" s="17" t="n">
        <f aca="false">IFERROR(AVERAGEIF(F28:J28,"&lt;&gt;0"),"")</f>
        <v>30000</v>
      </c>
      <c r="AB28" s="17" t="n">
        <f aca="false">IFERROR(AVERAGEIF(K28:O28,"&lt;&gt;0"),"")</f>
        <v>30000</v>
      </c>
      <c r="AC28" s="17" t="n">
        <f aca="false">IFERROR(AVERAGEIF(P28:T28,"&lt;&gt;0"),"")</f>
        <v>30000</v>
      </c>
      <c r="AD28" s="17" t="n">
        <f aca="false">IFERROR(AVERAGEIF(U28:Y28,"&lt;&gt;0"),"")</f>
        <v>30000</v>
      </c>
      <c r="AE28" s="17" t="n">
        <f aca="false">IFERROR(AVERAGEIF(D28:Y28,"&lt;&gt;0"),"")</f>
        <v>30000</v>
      </c>
    </row>
    <row r="29" customFormat="false" ht="15" hidden="false" customHeight="true" outlineLevel="0" collapsed="false">
      <c r="A29" s="5" t="n">
        <v>25</v>
      </c>
      <c r="B29" s="6" t="s">
        <v>411</v>
      </c>
      <c r="C29" s="5" t="s">
        <v>407</v>
      </c>
      <c r="D29" s="37" t="n">
        <v>0</v>
      </c>
      <c r="E29" s="37" t="n">
        <v>27000</v>
      </c>
      <c r="F29" s="37" t="n">
        <v>27000</v>
      </c>
      <c r="G29" s="37" t="n">
        <v>27000</v>
      </c>
      <c r="H29" s="37" t="n">
        <v>27000</v>
      </c>
      <c r="I29" s="37" t="n">
        <v>27000</v>
      </c>
      <c r="J29" s="37" t="n">
        <v>27000</v>
      </c>
      <c r="K29" s="37" t="n">
        <v>27000</v>
      </c>
      <c r="L29" s="37" t="n">
        <v>27000</v>
      </c>
      <c r="M29" s="37" t="n">
        <v>27000</v>
      </c>
      <c r="N29" s="37" t="n">
        <v>27000</v>
      </c>
      <c r="O29" s="37" t="n">
        <v>0</v>
      </c>
      <c r="P29" s="37" t="n">
        <v>27000</v>
      </c>
      <c r="Q29" s="37" t="n">
        <v>27000</v>
      </c>
      <c r="R29" s="37" t="n">
        <v>27000</v>
      </c>
      <c r="S29" s="37" t="n">
        <v>27000</v>
      </c>
      <c r="T29" s="37" t="n">
        <v>27000</v>
      </c>
      <c r="U29" s="37" t="n">
        <v>27000</v>
      </c>
      <c r="V29" s="37" t="n">
        <v>27000</v>
      </c>
      <c r="W29" s="37" t="n">
        <v>27000</v>
      </c>
      <c r="X29" s="37" t="n">
        <v>27000</v>
      </c>
      <c r="Y29" s="37" t="n">
        <v>27000</v>
      </c>
      <c r="Z29" s="17" t="n">
        <f aca="false">IFERROR(AVERAGEIF(D29:E29,"&lt;&gt;0"),"")</f>
        <v>27000</v>
      </c>
      <c r="AA29" s="17" t="n">
        <f aca="false">IFERROR(AVERAGEIF(F29:J29,"&lt;&gt;0"),"")</f>
        <v>27000</v>
      </c>
      <c r="AB29" s="17" t="n">
        <f aca="false">IFERROR(AVERAGEIF(K29:O29,"&lt;&gt;0"),"")</f>
        <v>27000</v>
      </c>
      <c r="AC29" s="17" t="n">
        <f aca="false">IFERROR(AVERAGEIF(P29:T29,"&lt;&gt;0"),"")</f>
        <v>27000</v>
      </c>
      <c r="AD29" s="17" t="n">
        <f aca="false">IFERROR(AVERAGEIF(U29:Y29,"&lt;&gt;0"),"")</f>
        <v>27000</v>
      </c>
      <c r="AE29" s="17" t="n">
        <f aca="false">IFERROR(AVERAGEIF(D29:Y29,"&lt;&gt;0"),"")</f>
        <v>27000</v>
      </c>
    </row>
    <row r="30" customFormat="false" ht="15" hidden="false" customHeight="true" outlineLevel="0" collapsed="false">
      <c r="A30" s="5" t="n">
        <v>26</v>
      </c>
      <c r="B30" s="6" t="s">
        <v>412</v>
      </c>
      <c r="C30" s="5" t="s">
        <v>407</v>
      </c>
      <c r="D30" s="37" t="n">
        <v>0</v>
      </c>
      <c r="E30" s="37" t="n">
        <v>8000</v>
      </c>
      <c r="F30" s="37" t="n">
        <v>8000</v>
      </c>
      <c r="G30" s="37" t="n">
        <v>8000</v>
      </c>
      <c r="H30" s="37" t="n">
        <v>8000</v>
      </c>
      <c r="I30" s="37" t="n">
        <v>8000</v>
      </c>
      <c r="J30" s="37" t="n">
        <v>8000</v>
      </c>
      <c r="K30" s="37" t="n">
        <v>8000</v>
      </c>
      <c r="L30" s="37" t="n">
        <v>8000</v>
      </c>
      <c r="M30" s="37" t="n">
        <v>8000</v>
      </c>
      <c r="N30" s="37" t="n">
        <v>8000</v>
      </c>
      <c r="O30" s="37" t="n">
        <v>0</v>
      </c>
      <c r="P30" s="37" t="n">
        <v>8000</v>
      </c>
      <c r="Q30" s="37" t="n">
        <v>8000</v>
      </c>
      <c r="R30" s="37" t="n">
        <v>8000</v>
      </c>
      <c r="S30" s="37" t="n">
        <v>8000</v>
      </c>
      <c r="T30" s="37" t="n">
        <v>8000</v>
      </c>
      <c r="U30" s="37" t="n">
        <v>8000</v>
      </c>
      <c r="V30" s="37" t="n">
        <v>8000</v>
      </c>
      <c r="W30" s="37" t="n">
        <v>8000</v>
      </c>
      <c r="X30" s="37" t="n">
        <v>8000</v>
      </c>
      <c r="Y30" s="37" t="n">
        <v>8000</v>
      </c>
      <c r="Z30" s="17" t="n">
        <f aca="false">IFERROR(AVERAGEIF(D30:E30,"&lt;&gt;0"),"")</f>
        <v>8000</v>
      </c>
      <c r="AA30" s="17" t="n">
        <f aca="false">IFERROR(AVERAGEIF(F30:J30,"&lt;&gt;0"),"")</f>
        <v>8000</v>
      </c>
      <c r="AB30" s="17" t="n">
        <f aca="false">IFERROR(AVERAGEIF(K30:O30,"&lt;&gt;0"),"")</f>
        <v>8000</v>
      </c>
      <c r="AC30" s="17" t="n">
        <f aca="false">IFERROR(AVERAGEIF(P30:T30,"&lt;&gt;0"),"")</f>
        <v>8000</v>
      </c>
      <c r="AD30" s="17" t="n">
        <f aca="false">IFERROR(AVERAGEIF(U30:Y30,"&lt;&gt;0"),"")</f>
        <v>8000</v>
      </c>
      <c r="AE30" s="17" t="n">
        <f aca="false">IFERROR(AVERAGEIF(D30:Y30,"&lt;&gt;0"),"")</f>
        <v>8000</v>
      </c>
    </row>
    <row r="31" customFormat="false" ht="15" hidden="false" customHeight="true" outlineLevel="0" collapsed="false">
      <c r="A31" s="5" t="n">
        <v>27</v>
      </c>
      <c r="B31" s="6" t="s">
        <v>358</v>
      </c>
      <c r="C31" s="5" t="s">
        <v>455</v>
      </c>
      <c r="D31" s="37" t="n">
        <v>0</v>
      </c>
      <c r="E31" s="37" t="n">
        <v>10500</v>
      </c>
      <c r="F31" s="37" t="n">
        <v>10500</v>
      </c>
      <c r="G31" s="37" t="n">
        <v>10500</v>
      </c>
      <c r="H31" s="37" t="n">
        <v>10500</v>
      </c>
      <c r="I31" s="37" t="n">
        <v>10500</v>
      </c>
      <c r="J31" s="37" t="n">
        <v>10500</v>
      </c>
      <c r="K31" s="37" t="n">
        <v>10500</v>
      </c>
      <c r="L31" s="37" t="n">
        <v>10500</v>
      </c>
      <c r="M31" s="37" t="n">
        <v>10500</v>
      </c>
      <c r="N31" s="37" t="n">
        <v>10500</v>
      </c>
      <c r="O31" s="37" t="n">
        <v>0</v>
      </c>
      <c r="P31" s="37" t="n">
        <v>10500</v>
      </c>
      <c r="Q31" s="37" t="n">
        <v>10500</v>
      </c>
      <c r="R31" s="37" t="n">
        <v>10500</v>
      </c>
      <c r="S31" s="37" t="n">
        <v>10500</v>
      </c>
      <c r="T31" s="37" t="n">
        <v>10500</v>
      </c>
      <c r="U31" s="37" t="n">
        <v>10500</v>
      </c>
      <c r="V31" s="37" t="n">
        <v>10500</v>
      </c>
      <c r="W31" s="37" t="n">
        <v>10500</v>
      </c>
      <c r="X31" s="37" t="n">
        <v>10500</v>
      </c>
      <c r="Y31" s="37" t="n">
        <v>10500</v>
      </c>
      <c r="Z31" s="17" t="n">
        <f aca="false">IFERROR(AVERAGEIF(D31:E31,"&lt;&gt;0"),"")</f>
        <v>10500</v>
      </c>
      <c r="AA31" s="17" t="n">
        <f aca="false">IFERROR(AVERAGEIF(F31:J31,"&lt;&gt;0"),"")</f>
        <v>10500</v>
      </c>
      <c r="AB31" s="17" t="n">
        <f aca="false">IFERROR(AVERAGEIF(K31:O31,"&lt;&gt;0"),"")</f>
        <v>10500</v>
      </c>
      <c r="AC31" s="17" t="n">
        <f aca="false">IFERROR(AVERAGEIF(P31:T31,"&lt;&gt;0"),"")</f>
        <v>10500</v>
      </c>
      <c r="AD31" s="17" t="n">
        <f aca="false">IFERROR(AVERAGEIF(U31:Y31,"&lt;&gt;0"),"")</f>
        <v>10500</v>
      </c>
      <c r="AE31" s="17" t="n">
        <f aca="false">IFERROR(AVERAGEIF(D31:Y31,"&lt;&gt;0"),"")</f>
        <v>10500</v>
      </c>
    </row>
    <row r="32" customFormat="false" ht="15" hidden="false" customHeight="true" outlineLevel="0" collapsed="false">
      <c r="A32" s="5" t="n">
        <v>28</v>
      </c>
      <c r="B32" s="6" t="s">
        <v>352</v>
      </c>
      <c r="C32" s="5" t="s">
        <v>456</v>
      </c>
      <c r="D32" s="37" t="n">
        <v>0</v>
      </c>
      <c r="E32" s="37" t="n">
        <v>42000</v>
      </c>
      <c r="F32" s="37" t="n">
        <v>42000</v>
      </c>
      <c r="G32" s="37" t="n">
        <v>42000</v>
      </c>
      <c r="H32" s="37" t="n">
        <v>42000</v>
      </c>
      <c r="I32" s="37" t="n">
        <v>42000</v>
      </c>
      <c r="J32" s="37" t="n">
        <v>42000</v>
      </c>
      <c r="K32" s="37" t="n">
        <v>42000</v>
      </c>
      <c r="L32" s="37" t="n">
        <v>42000</v>
      </c>
      <c r="M32" s="37" t="n">
        <v>42000</v>
      </c>
      <c r="N32" s="37" t="n">
        <v>42000</v>
      </c>
      <c r="O32" s="37" t="n">
        <v>0</v>
      </c>
      <c r="P32" s="37" t="n">
        <v>42000</v>
      </c>
      <c r="Q32" s="37" t="n">
        <v>42000</v>
      </c>
      <c r="R32" s="37" t="n">
        <v>42000</v>
      </c>
      <c r="S32" s="37" t="n">
        <v>42000</v>
      </c>
      <c r="T32" s="37" t="n">
        <v>42000</v>
      </c>
      <c r="U32" s="37" t="n">
        <v>42000</v>
      </c>
      <c r="V32" s="37" t="n">
        <v>42000</v>
      </c>
      <c r="W32" s="37" t="n">
        <v>42000</v>
      </c>
      <c r="X32" s="37" t="n">
        <v>42000</v>
      </c>
      <c r="Y32" s="37" t="n">
        <v>42000</v>
      </c>
      <c r="Z32" s="17" t="n">
        <f aca="false">IFERROR(AVERAGEIF(D32:E32,"&lt;&gt;0"),"")</f>
        <v>42000</v>
      </c>
      <c r="AA32" s="17" t="n">
        <f aca="false">IFERROR(AVERAGEIF(F32:J32,"&lt;&gt;0"),"")</f>
        <v>42000</v>
      </c>
      <c r="AB32" s="17" t="n">
        <f aca="false">IFERROR(AVERAGEIF(K32:O32,"&lt;&gt;0"),"")</f>
        <v>42000</v>
      </c>
      <c r="AC32" s="17" t="n">
        <f aca="false">IFERROR(AVERAGEIF(P32:T32,"&lt;&gt;0"),"")</f>
        <v>42000</v>
      </c>
      <c r="AD32" s="17" t="n">
        <f aca="false">IFERROR(AVERAGEIF(U32:Y32,"&lt;&gt;0"),"")</f>
        <v>42000</v>
      </c>
      <c r="AE32" s="17" t="n">
        <f aca="false">IFERROR(AVERAGEIF(D32:Y32,"&lt;&gt;0"),"")</f>
        <v>42000</v>
      </c>
    </row>
    <row r="33" customFormat="false" ht="15" hidden="false" customHeight="true" outlineLevel="0" collapsed="false">
      <c r="A33" s="5" t="n">
        <v>29</v>
      </c>
      <c r="B33" s="6" t="s">
        <v>365</v>
      </c>
      <c r="C33" s="5" t="s">
        <v>407</v>
      </c>
      <c r="D33" s="37" t="n">
        <v>0</v>
      </c>
      <c r="E33" s="37" t="n">
        <v>8000</v>
      </c>
      <c r="F33" s="37" t="n">
        <v>8000</v>
      </c>
      <c r="G33" s="37" t="n">
        <v>8000</v>
      </c>
      <c r="H33" s="37" t="n">
        <v>8000</v>
      </c>
      <c r="I33" s="37" t="n">
        <v>8000</v>
      </c>
      <c r="J33" s="37" t="n">
        <v>8000</v>
      </c>
      <c r="K33" s="37" t="n">
        <v>8000</v>
      </c>
      <c r="L33" s="37" t="n">
        <v>8000</v>
      </c>
      <c r="M33" s="37" t="n">
        <v>8000</v>
      </c>
      <c r="N33" s="37" t="n">
        <v>8000</v>
      </c>
      <c r="O33" s="37" t="n">
        <v>0</v>
      </c>
      <c r="P33" s="37" t="n">
        <v>8000</v>
      </c>
      <c r="Q33" s="37" t="n">
        <v>8000</v>
      </c>
      <c r="R33" s="37" t="n">
        <v>8000</v>
      </c>
      <c r="S33" s="37" t="n">
        <v>8000</v>
      </c>
      <c r="T33" s="37" t="n">
        <v>8000</v>
      </c>
      <c r="U33" s="37" t="n">
        <v>8000</v>
      </c>
      <c r="V33" s="37" t="n">
        <v>8000</v>
      </c>
      <c r="W33" s="37" t="n">
        <v>8000</v>
      </c>
      <c r="X33" s="37" t="n">
        <v>8000</v>
      </c>
      <c r="Y33" s="37" t="n">
        <v>8000</v>
      </c>
      <c r="Z33" s="17" t="n">
        <f aca="false">IFERROR(AVERAGEIF(D33:E33,"&lt;&gt;0"),"")</f>
        <v>8000</v>
      </c>
      <c r="AA33" s="17" t="n">
        <f aca="false">IFERROR(AVERAGEIF(F33:J33,"&lt;&gt;0"),"")</f>
        <v>8000</v>
      </c>
      <c r="AB33" s="17" t="n">
        <f aca="false">IFERROR(AVERAGEIF(K33:O33,"&lt;&gt;0"),"")</f>
        <v>8000</v>
      </c>
      <c r="AC33" s="17" t="n">
        <f aca="false">IFERROR(AVERAGEIF(P33:T33,"&lt;&gt;0"),"")</f>
        <v>8000</v>
      </c>
      <c r="AD33" s="17" t="n">
        <f aca="false">IFERROR(AVERAGEIF(U33:Y33,"&lt;&gt;0"),"")</f>
        <v>8000</v>
      </c>
      <c r="AE33" s="17" t="n">
        <f aca="false">IFERROR(AVERAGEIF(D33:Y33,"&lt;&gt;0"),"")</f>
        <v>8000</v>
      </c>
    </row>
    <row r="34" customFormat="false" ht="15" hidden="false" customHeight="true" outlineLevel="0" collapsed="false">
      <c r="A34" s="5" t="n">
        <v>30</v>
      </c>
      <c r="B34" s="6" t="s">
        <v>338</v>
      </c>
      <c r="C34" s="5" t="s">
        <v>407</v>
      </c>
      <c r="D34" s="37" t="n">
        <v>0</v>
      </c>
      <c r="E34" s="37" t="n">
        <v>6000</v>
      </c>
      <c r="F34" s="37" t="n">
        <v>6000</v>
      </c>
      <c r="G34" s="37" t="n">
        <v>6000</v>
      </c>
      <c r="H34" s="37" t="n">
        <v>6000</v>
      </c>
      <c r="I34" s="37" t="n">
        <v>6000</v>
      </c>
      <c r="J34" s="37" t="n">
        <v>6000</v>
      </c>
      <c r="K34" s="37" t="n">
        <v>6000</v>
      </c>
      <c r="L34" s="37" t="n">
        <v>6000</v>
      </c>
      <c r="M34" s="37" t="n">
        <v>6000</v>
      </c>
      <c r="N34" s="37" t="n">
        <v>6000</v>
      </c>
      <c r="O34" s="37" t="n">
        <v>0</v>
      </c>
      <c r="P34" s="37" t="n">
        <v>6000</v>
      </c>
      <c r="Q34" s="37" t="n">
        <v>6000</v>
      </c>
      <c r="R34" s="37" t="n">
        <v>6000</v>
      </c>
      <c r="S34" s="37" t="n">
        <v>6000</v>
      </c>
      <c r="T34" s="37" t="n">
        <v>6000</v>
      </c>
      <c r="U34" s="37" t="n">
        <v>6000</v>
      </c>
      <c r="V34" s="37" t="n">
        <v>6000</v>
      </c>
      <c r="W34" s="37" t="n">
        <v>6000</v>
      </c>
      <c r="X34" s="37" t="n">
        <v>6000</v>
      </c>
      <c r="Y34" s="37" t="n">
        <v>6000</v>
      </c>
      <c r="Z34" s="17" t="n">
        <f aca="false">IFERROR(AVERAGEIF(D34:E34,"&lt;&gt;0"),"")</f>
        <v>6000</v>
      </c>
      <c r="AA34" s="17" t="n">
        <f aca="false">IFERROR(AVERAGEIF(F34:J34,"&lt;&gt;0"),"")</f>
        <v>6000</v>
      </c>
      <c r="AB34" s="17" t="n">
        <f aca="false">IFERROR(AVERAGEIF(K34:O34,"&lt;&gt;0"),"")</f>
        <v>6000</v>
      </c>
      <c r="AC34" s="17" t="n">
        <f aca="false">IFERROR(AVERAGEIF(P34:T34,"&lt;&gt;0"),"")</f>
        <v>6000</v>
      </c>
      <c r="AD34" s="17" t="n">
        <f aca="false">IFERROR(AVERAGEIF(U34:Y34,"&lt;&gt;0"),"")</f>
        <v>6000</v>
      </c>
      <c r="AE34" s="17" t="n">
        <f aca="false">IFERROR(AVERAGEIF(D34:Y34,"&lt;&gt;0"),"")</f>
        <v>6000</v>
      </c>
    </row>
    <row r="35" customFormat="false" ht="15" hidden="false" customHeight="true" outlineLevel="0" collapsed="false">
      <c r="A35" s="5" t="n">
        <v>31</v>
      </c>
      <c r="B35" s="6" t="s">
        <v>343</v>
      </c>
      <c r="C35" s="5" t="s">
        <v>407</v>
      </c>
      <c r="D35" s="37" t="n">
        <v>0</v>
      </c>
      <c r="E35" s="37" t="n">
        <v>60000</v>
      </c>
      <c r="F35" s="37" t="n">
        <v>60000</v>
      </c>
      <c r="G35" s="37" t="n">
        <v>60000</v>
      </c>
      <c r="H35" s="37" t="n">
        <v>60000</v>
      </c>
      <c r="I35" s="37" t="n">
        <v>60000</v>
      </c>
      <c r="J35" s="37" t="n">
        <v>60000</v>
      </c>
      <c r="K35" s="37" t="n">
        <v>60000</v>
      </c>
      <c r="L35" s="37" t="n">
        <v>60000</v>
      </c>
      <c r="M35" s="37" t="n">
        <v>60000</v>
      </c>
      <c r="N35" s="37" t="n">
        <v>60000</v>
      </c>
      <c r="O35" s="37" t="n">
        <v>0</v>
      </c>
      <c r="P35" s="37" t="n">
        <v>60000</v>
      </c>
      <c r="Q35" s="37" t="n">
        <v>60000</v>
      </c>
      <c r="R35" s="37" t="n">
        <v>70000</v>
      </c>
      <c r="S35" s="37" t="n">
        <v>70000</v>
      </c>
      <c r="T35" s="37" t="n">
        <v>70000</v>
      </c>
      <c r="U35" s="37" t="n">
        <v>70000</v>
      </c>
      <c r="V35" s="37" t="n">
        <v>70000</v>
      </c>
      <c r="W35" s="37" t="n">
        <v>70000</v>
      </c>
      <c r="X35" s="37" t="n">
        <v>70000</v>
      </c>
      <c r="Y35" s="37" t="n">
        <v>70000</v>
      </c>
      <c r="Z35" s="17" t="n">
        <f aca="false">IFERROR(AVERAGEIF(D35:E35,"&lt;&gt;0"),"")</f>
        <v>60000</v>
      </c>
      <c r="AA35" s="17" t="n">
        <f aca="false">IFERROR(AVERAGEIF(F35:J35,"&lt;&gt;0"),"")</f>
        <v>60000</v>
      </c>
      <c r="AB35" s="17" t="n">
        <f aca="false">IFERROR(AVERAGEIF(K35:O35,"&lt;&gt;0"),"")</f>
        <v>60000</v>
      </c>
      <c r="AC35" s="17" t="n">
        <f aca="false">IFERROR(AVERAGEIF(P35:T35,"&lt;&gt;0"),"")</f>
        <v>66000</v>
      </c>
      <c r="AD35" s="17" t="n">
        <f aca="false">IFERROR(AVERAGEIF(U35:Y35,"&lt;&gt;0"),"")</f>
        <v>70000</v>
      </c>
      <c r="AE35" s="17" t="n">
        <f aca="false">IFERROR(AVERAGEIF(D35:Y35,"&lt;&gt;0"),"")</f>
        <v>64000</v>
      </c>
    </row>
    <row r="36" customFormat="false" ht="15" hidden="false" customHeight="true" outlineLevel="0" collapsed="false">
      <c r="A36" s="5" t="n">
        <v>32</v>
      </c>
      <c r="B36" s="6" t="s">
        <v>345</v>
      </c>
      <c r="C36" s="5" t="s">
        <v>407</v>
      </c>
      <c r="D36" s="37" t="n">
        <v>0</v>
      </c>
      <c r="E36" s="37" t="n">
        <v>11000</v>
      </c>
      <c r="F36" s="37" t="n">
        <v>11000</v>
      </c>
      <c r="G36" s="37" t="n">
        <v>11000</v>
      </c>
      <c r="H36" s="37" t="n">
        <v>11000</v>
      </c>
      <c r="I36" s="37" t="n">
        <v>11000</v>
      </c>
      <c r="J36" s="37" t="n">
        <v>11000</v>
      </c>
      <c r="K36" s="37" t="n">
        <v>11000</v>
      </c>
      <c r="L36" s="37" t="n">
        <v>11000</v>
      </c>
      <c r="M36" s="37" t="n">
        <v>11000</v>
      </c>
      <c r="N36" s="37" t="n">
        <v>11000</v>
      </c>
      <c r="O36" s="37" t="n">
        <v>0</v>
      </c>
      <c r="P36" s="37" t="n">
        <v>11000</v>
      </c>
      <c r="Q36" s="37" t="n">
        <v>11000</v>
      </c>
      <c r="R36" s="37" t="n">
        <v>11000</v>
      </c>
      <c r="S36" s="37" t="n">
        <v>11000</v>
      </c>
      <c r="T36" s="37" t="n">
        <v>11000</v>
      </c>
      <c r="U36" s="37" t="n">
        <v>11000</v>
      </c>
      <c r="V36" s="37" t="n">
        <v>11000</v>
      </c>
      <c r="W36" s="37" t="n">
        <v>11000</v>
      </c>
      <c r="X36" s="37" t="n">
        <v>11000</v>
      </c>
      <c r="Y36" s="37" t="n">
        <v>11000</v>
      </c>
      <c r="Z36" s="17" t="n">
        <f aca="false">IFERROR(AVERAGEIF(D36:E36,"&lt;&gt;0"),"")</f>
        <v>11000</v>
      </c>
      <c r="AA36" s="17" t="n">
        <f aca="false">IFERROR(AVERAGEIF(F36:J36,"&lt;&gt;0"),"")</f>
        <v>11000</v>
      </c>
      <c r="AB36" s="17" t="n">
        <f aca="false">IFERROR(AVERAGEIF(K36:O36,"&lt;&gt;0"),"")</f>
        <v>11000</v>
      </c>
      <c r="AC36" s="17" t="n">
        <f aca="false">IFERROR(AVERAGEIF(P36:T36,"&lt;&gt;0"),"")</f>
        <v>11000</v>
      </c>
      <c r="AD36" s="17" t="n">
        <f aca="false">IFERROR(AVERAGEIF(U36:Y36,"&lt;&gt;0"),"")</f>
        <v>11000</v>
      </c>
      <c r="AE36" s="17" t="n">
        <f aca="false">IFERROR(AVERAGEIF(D36:Y36,"&lt;&gt;0"),"")</f>
        <v>11000</v>
      </c>
    </row>
    <row r="37" customFormat="false" ht="15" hidden="false" customHeight="true" outlineLevel="0" collapsed="false">
      <c r="A37" s="5" t="n">
        <v>33</v>
      </c>
      <c r="B37" s="6" t="s">
        <v>366</v>
      </c>
      <c r="C37" s="5" t="s">
        <v>407</v>
      </c>
      <c r="D37" s="37" t="n">
        <v>0</v>
      </c>
      <c r="E37" s="37" t="n">
        <v>7000</v>
      </c>
      <c r="F37" s="37" t="n">
        <v>7000</v>
      </c>
      <c r="G37" s="37" t="n">
        <v>7000</v>
      </c>
      <c r="H37" s="37" t="n">
        <v>7000</v>
      </c>
      <c r="I37" s="37" t="n">
        <v>7000</v>
      </c>
      <c r="J37" s="37" t="n">
        <v>7000</v>
      </c>
      <c r="K37" s="37" t="n">
        <v>7000</v>
      </c>
      <c r="L37" s="37" t="n">
        <v>7000</v>
      </c>
      <c r="M37" s="37" t="n">
        <v>7000</v>
      </c>
      <c r="N37" s="37" t="n">
        <v>7000</v>
      </c>
      <c r="O37" s="37" t="n">
        <v>0</v>
      </c>
      <c r="P37" s="37" t="n">
        <v>7000</v>
      </c>
      <c r="Q37" s="37" t="n">
        <v>7000</v>
      </c>
      <c r="R37" s="37" t="n">
        <v>7000</v>
      </c>
      <c r="S37" s="37" t="n">
        <v>7000</v>
      </c>
      <c r="T37" s="37" t="n">
        <v>7000</v>
      </c>
      <c r="U37" s="37" t="n">
        <v>7000</v>
      </c>
      <c r="V37" s="37" t="n">
        <v>7000</v>
      </c>
      <c r="W37" s="37" t="n">
        <v>7000</v>
      </c>
      <c r="X37" s="37" t="n">
        <v>7000</v>
      </c>
      <c r="Y37" s="37" t="n">
        <v>7000</v>
      </c>
      <c r="Z37" s="17" t="n">
        <f aca="false">IFERROR(AVERAGEIF(D37:E37,"&lt;&gt;0"),"")</f>
        <v>7000</v>
      </c>
      <c r="AA37" s="17" t="n">
        <f aca="false">IFERROR(AVERAGEIF(F37:J37,"&lt;&gt;0"),"")</f>
        <v>7000</v>
      </c>
      <c r="AB37" s="17" t="n">
        <f aca="false">IFERROR(AVERAGEIF(K37:O37,"&lt;&gt;0"),"")</f>
        <v>7000</v>
      </c>
      <c r="AC37" s="17" t="n">
        <f aca="false">IFERROR(AVERAGEIF(P37:T37,"&lt;&gt;0"),"")</f>
        <v>7000</v>
      </c>
      <c r="AD37" s="17" t="n">
        <f aca="false">IFERROR(AVERAGEIF(U37:Y37,"&lt;&gt;0"),"")</f>
        <v>7000</v>
      </c>
      <c r="AE37" s="17" t="n">
        <f aca="false">IFERROR(AVERAGEIF(D37:Y37,"&lt;&gt;0"),"")</f>
        <v>7000</v>
      </c>
    </row>
    <row r="38" customFormat="false" ht="15" hidden="false" customHeight="true" outlineLevel="0" collapsed="false">
      <c r="A38" s="5" t="n">
        <v>34</v>
      </c>
      <c r="B38" s="6" t="s">
        <v>413</v>
      </c>
      <c r="C38" s="5" t="s">
        <v>407</v>
      </c>
      <c r="D38" s="37" t="n">
        <v>0</v>
      </c>
      <c r="E38" s="37" t="n">
        <v>4000</v>
      </c>
      <c r="F38" s="37" t="n">
        <v>4000</v>
      </c>
      <c r="G38" s="37" t="n">
        <v>4000</v>
      </c>
      <c r="H38" s="37" t="n">
        <v>4000</v>
      </c>
      <c r="I38" s="37" t="n">
        <v>4000</v>
      </c>
      <c r="J38" s="37" t="n">
        <v>4000</v>
      </c>
      <c r="K38" s="37" t="n">
        <v>4000</v>
      </c>
      <c r="L38" s="37" t="n">
        <v>4000</v>
      </c>
      <c r="M38" s="37" t="n">
        <v>4000</v>
      </c>
      <c r="N38" s="37" t="n">
        <v>4000</v>
      </c>
      <c r="O38" s="37" t="n">
        <v>0</v>
      </c>
      <c r="P38" s="37" t="n">
        <v>4000</v>
      </c>
      <c r="Q38" s="37" t="n">
        <v>4000</v>
      </c>
      <c r="R38" s="37" t="n">
        <v>4000</v>
      </c>
      <c r="S38" s="37" t="n">
        <v>4000</v>
      </c>
      <c r="T38" s="37" t="n">
        <v>4000</v>
      </c>
      <c r="U38" s="37" t="n">
        <v>4000</v>
      </c>
      <c r="V38" s="37" t="n">
        <v>4000</v>
      </c>
      <c r="W38" s="37" t="n">
        <v>4000</v>
      </c>
      <c r="X38" s="37" t="n">
        <v>4000</v>
      </c>
      <c r="Y38" s="37" t="n">
        <v>4000</v>
      </c>
      <c r="Z38" s="17" t="n">
        <f aca="false">IFERROR(AVERAGEIF(D38:E38,"&lt;&gt;0"),"")</f>
        <v>4000</v>
      </c>
      <c r="AA38" s="17" t="n">
        <f aca="false">IFERROR(AVERAGEIF(F38:J38,"&lt;&gt;0"),"")</f>
        <v>4000</v>
      </c>
      <c r="AB38" s="17" t="n">
        <f aca="false">IFERROR(AVERAGEIF(K38:O38,"&lt;&gt;0"),"")</f>
        <v>4000</v>
      </c>
      <c r="AC38" s="17" t="n">
        <f aca="false">IFERROR(AVERAGEIF(P38:T38,"&lt;&gt;0"),"")</f>
        <v>4000</v>
      </c>
      <c r="AD38" s="17" t="n">
        <f aca="false">IFERROR(AVERAGEIF(U38:Y38,"&lt;&gt;0"),"")</f>
        <v>4000</v>
      </c>
      <c r="AE38" s="17" t="n">
        <f aca="false">IFERROR(AVERAGEIF(D38:Y38,"&lt;&gt;0"),"")</f>
        <v>4000</v>
      </c>
    </row>
    <row r="39" customFormat="false" ht="15" hidden="false" customHeight="true" outlineLevel="0" collapsed="false">
      <c r="A39" s="5" t="n">
        <v>35</v>
      </c>
      <c r="B39" s="6" t="s">
        <v>414</v>
      </c>
      <c r="C39" s="5" t="s">
        <v>407</v>
      </c>
      <c r="D39" s="37" t="n">
        <v>0</v>
      </c>
      <c r="E39" s="37" t="n">
        <v>12000</v>
      </c>
      <c r="F39" s="37" t="n">
        <v>12000</v>
      </c>
      <c r="G39" s="37" t="n">
        <v>12000</v>
      </c>
      <c r="H39" s="37" t="n">
        <v>12000</v>
      </c>
      <c r="I39" s="37" t="n">
        <v>12000</v>
      </c>
      <c r="J39" s="37" t="n">
        <v>12000</v>
      </c>
      <c r="K39" s="37" t="n">
        <v>12000</v>
      </c>
      <c r="L39" s="37" t="n">
        <v>12000</v>
      </c>
      <c r="M39" s="37" t="n">
        <v>12000</v>
      </c>
      <c r="N39" s="37" t="n">
        <v>12000</v>
      </c>
      <c r="O39" s="37" t="n">
        <v>0</v>
      </c>
      <c r="P39" s="37" t="n">
        <v>12000</v>
      </c>
      <c r="Q39" s="37" t="n">
        <v>12000</v>
      </c>
      <c r="R39" s="37" t="n">
        <v>12000</v>
      </c>
      <c r="S39" s="37" t="n">
        <v>12000</v>
      </c>
      <c r="T39" s="37" t="n">
        <v>12000</v>
      </c>
      <c r="U39" s="37" t="n">
        <v>12000</v>
      </c>
      <c r="V39" s="37" t="n">
        <v>12000</v>
      </c>
      <c r="W39" s="37" t="n">
        <v>12000</v>
      </c>
      <c r="X39" s="37" t="n">
        <v>12000</v>
      </c>
      <c r="Y39" s="37" t="n">
        <v>12000</v>
      </c>
      <c r="Z39" s="17" t="n">
        <f aca="false">IFERROR(AVERAGEIF(D39:E39,"&lt;&gt;0"),"")</f>
        <v>12000</v>
      </c>
      <c r="AA39" s="17" t="n">
        <f aca="false">IFERROR(AVERAGEIF(F39:J39,"&lt;&gt;0"),"")</f>
        <v>12000</v>
      </c>
      <c r="AB39" s="17" t="n">
        <f aca="false">IFERROR(AVERAGEIF(K39:O39,"&lt;&gt;0"),"")</f>
        <v>12000</v>
      </c>
      <c r="AC39" s="17" t="n">
        <f aca="false">IFERROR(AVERAGEIF(P39:T39,"&lt;&gt;0"),"")</f>
        <v>12000</v>
      </c>
      <c r="AD39" s="17" t="n">
        <f aca="false">IFERROR(AVERAGEIF(U39:Y39,"&lt;&gt;0"),"")</f>
        <v>12000</v>
      </c>
      <c r="AE39" s="17" t="n">
        <f aca="false">IFERROR(AVERAGEIF(D39:Y39,"&lt;&gt;0"),"")</f>
        <v>12000</v>
      </c>
    </row>
    <row r="40" customFormat="false" ht="15" hidden="false" customHeight="true" outlineLevel="0" collapsed="false">
      <c r="A40" s="5" t="n">
        <v>36</v>
      </c>
      <c r="B40" s="6" t="s">
        <v>415</v>
      </c>
      <c r="C40" s="5" t="s">
        <v>407</v>
      </c>
      <c r="D40" s="37" t="n">
        <v>0</v>
      </c>
      <c r="E40" s="37" t="n">
        <v>4000</v>
      </c>
      <c r="F40" s="37" t="n">
        <v>4000</v>
      </c>
      <c r="G40" s="37" t="n">
        <v>4000</v>
      </c>
      <c r="H40" s="37" t="n">
        <v>4000</v>
      </c>
      <c r="I40" s="37" t="n">
        <v>4000</v>
      </c>
      <c r="J40" s="37" t="n">
        <v>4000</v>
      </c>
      <c r="K40" s="37" t="n">
        <v>4000</v>
      </c>
      <c r="L40" s="37" t="n">
        <v>4000</v>
      </c>
      <c r="M40" s="37" t="n">
        <v>4000</v>
      </c>
      <c r="N40" s="37" t="n">
        <v>4000</v>
      </c>
      <c r="O40" s="37" t="n">
        <v>0</v>
      </c>
      <c r="P40" s="37" t="n">
        <v>4000</v>
      </c>
      <c r="Q40" s="37" t="n">
        <v>4000</v>
      </c>
      <c r="R40" s="37" t="n">
        <v>4000</v>
      </c>
      <c r="S40" s="37" t="n">
        <v>4000</v>
      </c>
      <c r="T40" s="37" t="n">
        <v>4000</v>
      </c>
      <c r="U40" s="37" t="n">
        <v>4000</v>
      </c>
      <c r="V40" s="37" t="n">
        <v>4000</v>
      </c>
      <c r="W40" s="37" t="n">
        <v>4000</v>
      </c>
      <c r="X40" s="37" t="n">
        <v>4000</v>
      </c>
      <c r="Y40" s="37" t="n">
        <v>4000</v>
      </c>
      <c r="Z40" s="17" t="n">
        <f aca="false">IFERROR(AVERAGEIF(D40:E40,"&lt;&gt;0"),"")</f>
        <v>4000</v>
      </c>
      <c r="AA40" s="17" t="n">
        <f aca="false">IFERROR(AVERAGEIF(F40:J40,"&lt;&gt;0"),"")</f>
        <v>4000</v>
      </c>
      <c r="AB40" s="17" t="n">
        <f aca="false">IFERROR(AVERAGEIF(K40:O40,"&lt;&gt;0"),"")</f>
        <v>4000</v>
      </c>
      <c r="AC40" s="17" t="n">
        <f aca="false">IFERROR(AVERAGEIF(P40:T40,"&lt;&gt;0"),"")</f>
        <v>4000</v>
      </c>
      <c r="AD40" s="17" t="n">
        <f aca="false">IFERROR(AVERAGEIF(U40:Y40,"&lt;&gt;0"),"")</f>
        <v>4000</v>
      </c>
      <c r="AE40" s="17" t="n">
        <f aca="false">IFERROR(AVERAGEIF(D40:Y40,"&lt;&gt;0"),"")</f>
        <v>4000</v>
      </c>
    </row>
    <row r="41" customFormat="false" ht="15" hidden="false" customHeight="true" outlineLevel="0" collapsed="false">
      <c r="A41" s="5" t="n">
        <v>37</v>
      </c>
      <c r="B41" s="6" t="s">
        <v>416</v>
      </c>
      <c r="C41" s="5" t="s">
        <v>407</v>
      </c>
      <c r="D41" s="37" t="n">
        <v>0</v>
      </c>
      <c r="E41" s="37" t="n">
        <v>2000</v>
      </c>
      <c r="F41" s="37" t="n">
        <v>2000</v>
      </c>
      <c r="G41" s="37" t="n">
        <v>2000</v>
      </c>
      <c r="H41" s="37" t="n">
        <v>2000</v>
      </c>
      <c r="I41" s="37" t="n">
        <v>2000</v>
      </c>
      <c r="J41" s="37" t="n">
        <v>2000</v>
      </c>
      <c r="K41" s="37" t="n">
        <v>2000</v>
      </c>
      <c r="L41" s="37" t="n">
        <v>2000</v>
      </c>
      <c r="M41" s="37" t="n">
        <v>2000</v>
      </c>
      <c r="N41" s="37" t="n">
        <v>2000</v>
      </c>
      <c r="O41" s="37" t="n">
        <v>0</v>
      </c>
      <c r="P41" s="37" t="n">
        <v>2000</v>
      </c>
      <c r="Q41" s="37" t="n">
        <v>2000</v>
      </c>
      <c r="R41" s="37" t="n">
        <v>2000</v>
      </c>
      <c r="S41" s="37" t="n">
        <v>2000</v>
      </c>
      <c r="T41" s="37" t="n">
        <v>2000</v>
      </c>
      <c r="U41" s="37" t="n">
        <v>2000</v>
      </c>
      <c r="V41" s="37" t="n">
        <v>2000</v>
      </c>
      <c r="W41" s="37" t="n">
        <v>2000</v>
      </c>
      <c r="X41" s="37" t="n">
        <v>2000</v>
      </c>
      <c r="Y41" s="37" t="n">
        <v>2000</v>
      </c>
      <c r="Z41" s="17" t="n">
        <f aca="false">IFERROR(AVERAGEIF(D41:E41,"&lt;&gt;0"),"")</f>
        <v>2000</v>
      </c>
      <c r="AA41" s="17" t="n">
        <f aca="false">IFERROR(AVERAGEIF(F41:J41,"&lt;&gt;0"),"")</f>
        <v>2000</v>
      </c>
      <c r="AB41" s="17" t="n">
        <f aca="false">IFERROR(AVERAGEIF(K41:O41,"&lt;&gt;0"),"")</f>
        <v>2000</v>
      </c>
      <c r="AC41" s="17" t="n">
        <f aca="false">IFERROR(AVERAGEIF(P41:T41,"&lt;&gt;0"),"")</f>
        <v>2000</v>
      </c>
      <c r="AD41" s="17" t="n">
        <f aca="false">IFERROR(AVERAGEIF(U41:Y41,"&lt;&gt;0"),"")</f>
        <v>2000</v>
      </c>
      <c r="AE41" s="17" t="n">
        <f aca="false">IFERROR(AVERAGEIF(D41:Y41,"&lt;&gt;0"),"")</f>
        <v>2000</v>
      </c>
    </row>
    <row r="42" customFormat="false" ht="15" hidden="false" customHeight="true" outlineLevel="0" collapsed="false">
      <c r="A42" s="5" t="n">
        <v>38</v>
      </c>
      <c r="B42" s="6" t="s">
        <v>417</v>
      </c>
      <c r="C42" s="5" t="s">
        <v>407</v>
      </c>
      <c r="D42" s="37" t="n">
        <v>0</v>
      </c>
      <c r="E42" s="37" t="n">
        <v>5000</v>
      </c>
      <c r="F42" s="37" t="n">
        <v>5000</v>
      </c>
      <c r="G42" s="37" t="n">
        <v>5000</v>
      </c>
      <c r="H42" s="37" t="n">
        <v>5000</v>
      </c>
      <c r="I42" s="37" t="n">
        <v>5000</v>
      </c>
      <c r="J42" s="37" t="n">
        <v>5000</v>
      </c>
      <c r="K42" s="37" t="n">
        <v>5000</v>
      </c>
      <c r="L42" s="37" t="n">
        <v>5000</v>
      </c>
      <c r="M42" s="37" t="n">
        <v>5000</v>
      </c>
      <c r="N42" s="37" t="n">
        <v>5000</v>
      </c>
      <c r="O42" s="37" t="n">
        <v>0</v>
      </c>
      <c r="P42" s="37" t="n">
        <v>5000</v>
      </c>
      <c r="Q42" s="37" t="n">
        <v>5000</v>
      </c>
      <c r="R42" s="37" t="n">
        <v>5000</v>
      </c>
      <c r="S42" s="37" t="n">
        <v>5000</v>
      </c>
      <c r="T42" s="37" t="n">
        <v>5000</v>
      </c>
      <c r="U42" s="37" t="n">
        <v>5000</v>
      </c>
      <c r="V42" s="37" t="n">
        <v>5000</v>
      </c>
      <c r="W42" s="37" t="n">
        <v>5000</v>
      </c>
      <c r="X42" s="37" t="n">
        <v>5000</v>
      </c>
      <c r="Y42" s="37" t="n">
        <v>5000</v>
      </c>
      <c r="Z42" s="17" t="n">
        <f aca="false">IFERROR(AVERAGEIF(D42:E42,"&lt;&gt;0"),"")</f>
        <v>5000</v>
      </c>
      <c r="AA42" s="17" t="n">
        <f aca="false">IFERROR(AVERAGEIF(F42:J42,"&lt;&gt;0"),"")</f>
        <v>5000</v>
      </c>
      <c r="AB42" s="17" t="n">
        <f aca="false">IFERROR(AVERAGEIF(K42:O42,"&lt;&gt;0"),"")</f>
        <v>5000</v>
      </c>
      <c r="AC42" s="17" t="n">
        <f aca="false">IFERROR(AVERAGEIF(P42:T42,"&lt;&gt;0"),"")</f>
        <v>5000</v>
      </c>
      <c r="AD42" s="17" t="n">
        <f aca="false">IFERROR(AVERAGEIF(U42:Y42,"&lt;&gt;0"),"")</f>
        <v>5000</v>
      </c>
      <c r="AE42" s="17" t="n">
        <f aca="false">IFERROR(AVERAGEIF(D42:Y42,"&lt;&gt;0"),"")</f>
        <v>5000</v>
      </c>
    </row>
    <row r="43" customFormat="false" ht="15" hidden="false" customHeight="true" outlineLevel="0" collapsed="false">
      <c r="A43" s="5" t="n">
        <v>39</v>
      </c>
      <c r="B43" s="6" t="s">
        <v>418</v>
      </c>
      <c r="C43" s="5" t="s">
        <v>407</v>
      </c>
      <c r="D43" s="37" t="n">
        <v>0</v>
      </c>
      <c r="E43" s="37" t="n">
        <v>5000</v>
      </c>
      <c r="F43" s="37" t="n">
        <v>5000</v>
      </c>
      <c r="G43" s="37" t="n">
        <v>5000</v>
      </c>
      <c r="H43" s="37" t="n">
        <v>5000</v>
      </c>
      <c r="I43" s="37" t="n">
        <v>5000</v>
      </c>
      <c r="J43" s="37" t="n">
        <v>5000</v>
      </c>
      <c r="K43" s="37" t="n">
        <v>5000</v>
      </c>
      <c r="L43" s="37" t="n">
        <v>5000</v>
      </c>
      <c r="M43" s="37" t="n">
        <v>5000</v>
      </c>
      <c r="N43" s="37" t="n">
        <v>5000</v>
      </c>
      <c r="O43" s="37" t="n">
        <v>0</v>
      </c>
      <c r="P43" s="37" t="n">
        <v>5000</v>
      </c>
      <c r="Q43" s="37" t="n">
        <v>5000</v>
      </c>
      <c r="R43" s="37" t="n">
        <v>5000</v>
      </c>
      <c r="S43" s="37" t="n">
        <v>5000</v>
      </c>
      <c r="T43" s="37" t="n">
        <v>5000</v>
      </c>
      <c r="U43" s="37" t="n">
        <v>5000</v>
      </c>
      <c r="V43" s="37" t="n">
        <v>5000</v>
      </c>
      <c r="W43" s="37" t="n">
        <v>5000</v>
      </c>
      <c r="X43" s="37" t="n">
        <v>5000</v>
      </c>
      <c r="Y43" s="37" t="n">
        <v>5000</v>
      </c>
      <c r="Z43" s="17" t="n">
        <f aca="false">IFERROR(AVERAGEIF(D43:E43,"&lt;&gt;0"),"")</f>
        <v>5000</v>
      </c>
      <c r="AA43" s="17" t="n">
        <f aca="false">IFERROR(AVERAGEIF(F43:J43,"&lt;&gt;0"),"")</f>
        <v>5000</v>
      </c>
      <c r="AB43" s="17" t="n">
        <f aca="false">IFERROR(AVERAGEIF(K43:O43,"&lt;&gt;0"),"")</f>
        <v>5000</v>
      </c>
      <c r="AC43" s="17" t="n">
        <f aca="false">IFERROR(AVERAGEIF(P43:T43,"&lt;&gt;0"),"")</f>
        <v>5000</v>
      </c>
      <c r="AD43" s="17" t="n">
        <f aca="false">IFERROR(AVERAGEIF(U43:Y43,"&lt;&gt;0"),"")</f>
        <v>5000</v>
      </c>
      <c r="AE43" s="17" t="n">
        <f aca="false">IFERROR(AVERAGEIF(D43:Y43,"&lt;&gt;0"),"")</f>
        <v>5000</v>
      </c>
    </row>
    <row r="44" customFormat="false" ht="15" hidden="false" customHeight="true" outlineLevel="0" collapsed="false">
      <c r="A44" s="5" t="n">
        <v>40</v>
      </c>
      <c r="B44" s="6" t="s">
        <v>419</v>
      </c>
      <c r="C44" s="5" t="s">
        <v>407</v>
      </c>
      <c r="D44" s="37" t="n">
        <v>0</v>
      </c>
      <c r="E44" s="37" t="n">
        <v>4000</v>
      </c>
      <c r="F44" s="37" t="n">
        <v>4000</v>
      </c>
      <c r="G44" s="37" t="n">
        <v>4000</v>
      </c>
      <c r="H44" s="37" t="n">
        <v>4000</v>
      </c>
      <c r="I44" s="37" t="n">
        <v>4000</v>
      </c>
      <c r="J44" s="37" t="n">
        <v>4000</v>
      </c>
      <c r="K44" s="37" t="n">
        <v>4000</v>
      </c>
      <c r="L44" s="37" t="n">
        <v>4000</v>
      </c>
      <c r="M44" s="37" t="n">
        <v>4000</v>
      </c>
      <c r="N44" s="37" t="n">
        <v>4000</v>
      </c>
      <c r="O44" s="37" t="n">
        <v>0</v>
      </c>
      <c r="P44" s="37" t="n">
        <v>4000</v>
      </c>
      <c r="Q44" s="37" t="n">
        <v>4000</v>
      </c>
      <c r="R44" s="37" t="n">
        <v>4000</v>
      </c>
      <c r="S44" s="37" t="n">
        <v>4000</v>
      </c>
      <c r="T44" s="37" t="n">
        <v>4000</v>
      </c>
      <c r="U44" s="37" t="n">
        <v>4000</v>
      </c>
      <c r="V44" s="37" t="n">
        <v>4000</v>
      </c>
      <c r="W44" s="37" t="n">
        <v>4000</v>
      </c>
      <c r="X44" s="37" t="n">
        <v>4000</v>
      </c>
      <c r="Y44" s="37" t="n">
        <v>4000</v>
      </c>
      <c r="Z44" s="17" t="n">
        <f aca="false">IFERROR(AVERAGEIF(D44:E44,"&lt;&gt;0"),"")</f>
        <v>4000</v>
      </c>
      <c r="AA44" s="17" t="n">
        <f aca="false">IFERROR(AVERAGEIF(F44:J44,"&lt;&gt;0"),"")</f>
        <v>4000</v>
      </c>
      <c r="AB44" s="17" t="n">
        <f aca="false">IFERROR(AVERAGEIF(K44:O44,"&lt;&gt;0"),"")</f>
        <v>4000</v>
      </c>
      <c r="AC44" s="17" t="n">
        <f aca="false">IFERROR(AVERAGEIF(P44:T44,"&lt;&gt;0"),"")</f>
        <v>4000</v>
      </c>
      <c r="AD44" s="17" t="n">
        <f aca="false">IFERROR(AVERAGEIF(U44:Y44,"&lt;&gt;0"),"")</f>
        <v>4000</v>
      </c>
      <c r="AE44" s="17" t="n">
        <f aca="false">IFERROR(AVERAGEIF(D44:Y44,"&lt;&gt;0"),"")</f>
        <v>4000</v>
      </c>
    </row>
    <row r="45" customFormat="false" ht="15" hidden="false" customHeight="true" outlineLevel="0" collapsed="false">
      <c r="A45" s="5" t="n">
        <v>41</v>
      </c>
      <c r="B45" s="6" t="s">
        <v>420</v>
      </c>
      <c r="C45" s="5" t="s">
        <v>457</v>
      </c>
      <c r="D45" s="37" t="n">
        <v>0</v>
      </c>
      <c r="E45" s="37" t="n">
        <v>60000</v>
      </c>
      <c r="F45" s="37" t="n">
        <v>60000</v>
      </c>
      <c r="G45" s="37" t="n">
        <v>60000</v>
      </c>
      <c r="H45" s="37" t="n">
        <v>60000</v>
      </c>
      <c r="I45" s="37" t="n">
        <v>60000</v>
      </c>
      <c r="J45" s="37" t="n">
        <v>60000</v>
      </c>
      <c r="K45" s="37" t="n">
        <v>60000</v>
      </c>
      <c r="L45" s="37" t="n">
        <v>60000</v>
      </c>
      <c r="M45" s="37" t="n">
        <v>60000</v>
      </c>
      <c r="N45" s="37" t="n">
        <v>60000</v>
      </c>
      <c r="O45" s="37" t="n">
        <v>0</v>
      </c>
      <c r="P45" s="37" t="n">
        <v>60000</v>
      </c>
      <c r="Q45" s="37" t="n">
        <v>60000</v>
      </c>
      <c r="R45" s="37" t="n">
        <v>60000</v>
      </c>
      <c r="S45" s="37" t="n">
        <v>60000</v>
      </c>
      <c r="T45" s="37" t="n">
        <v>60000</v>
      </c>
      <c r="U45" s="37" t="n">
        <v>60000</v>
      </c>
      <c r="V45" s="37" t="n">
        <v>60000</v>
      </c>
      <c r="W45" s="37" t="n">
        <v>60000</v>
      </c>
      <c r="X45" s="37" t="n">
        <v>60000</v>
      </c>
      <c r="Y45" s="37" t="n">
        <v>60000</v>
      </c>
      <c r="Z45" s="17" t="n">
        <f aca="false">IFERROR(AVERAGEIF(D45:E45,"&lt;&gt;0"),"")</f>
        <v>60000</v>
      </c>
      <c r="AA45" s="17" t="n">
        <f aca="false">IFERROR(AVERAGEIF(F45:J45,"&lt;&gt;0"),"")</f>
        <v>60000</v>
      </c>
      <c r="AB45" s="17" t="n">
        <f aca="false">IFERROR(AVERAGEIF(K45:O45,"&lt;&gt;0"),"")</f>
        <v>60000</v>
      </c>
      <c r="AC45" s="17" t="n">
        <f aca="false">IFERROR(AVERAGEIF(P45:T45,"&lt;&gt;0"),"")</f>
        <v>60000</v>
      </c>
      <c r="AD45" s="17" t="n">
        <f aca="false">IFERROR(AVERAGEIF(U45:Y45,"&lt;&gt;0"),"")</f>
        <v>60000</v>
      </c>
      <c r="AE45" s="17" t="n">
        <f aca="false">IFERROR(AVERAGEIF(D45:Y45,"&lt;&gt;0"),"")</f>
        <v>60000</v>
      </c>
    </row>
    <row r="46" customFormat="false" ht="15" hidden="false" customHeight="true" outlineLevel="0" collapsed="false">
      <c r="A46" s="5" t="n">
        <v>42</v>
      </c>
      <c r="B46" s="6" t="s">
        <v>421</v>
      </c>
      <c r="C46" s="5" t="s">
        <v>407</v>
      </c>
      <c r="D46" s="37" t="n">
        <v>0</v>
      </c>
      <c r="E46" s="37" t="n">
        <v>35000</v>
      </c>
      <c r="F46" s="37" t="n">
        <v>35000</v>
      </c>
      <c r="G46" s="37" t="n">
        <v>35000</v>
      </c>
      <c r="H46" s="37" t="n">
        <v>35000</v>
      </c>
      <c r="I46" s="37" t="n">
        <v>35000</v>
      </c>
      <c r="J46" s="37" t="n">
        <v>35000</v>
      </c>
      <c r="K46" s="37" t="n">
        <v>35000</v>
      </c>
      <c r="L46" s="37" t="n">
        <v>35000</v>
      </c>
      <c r="M46" s="37" t="n">
        <v>35000</v>
      </c>
      <c r="N46" s="37" t="n">
        <v>35000</v>
      </c>
      <c r="O46" s="37" t="n">
        <v>0</v>
      </c>
      <c r="P46" s="37" t="n">
        <v>35000</v>
      </c>
      <c r="Q46" s="37" t="n">
        <v>35000</v>
      </c>
      <c r="R46" s="37" t="n">
        <v>35000</v>
      </c>
      <c r="S46" s="37" t="n">
        <v>35000</v>
      </c>
      <c r="T46" s="37" t="n">
        <v>35000</v>
      </c>
      <c r="U46" s="37" t="n">
        <v>35000</v>
      </c>
      <c r="V46" s="37" t="n">
        <v>35000</v>
      </c>
      <c r="W46" s="37" t="n">
        <v>35000</v>
      </c>
      <c r="X46" s="37" t="n">
        <v>35000</v>
      </c>
      <c r="Y46" s="37" t="n">
        <v>35000</v>
      </c>
      <c r="Z46" s="17" t="n">
        <f aca="false">IFERROR(AVERAGEIF(D46:E46,"&lt;&gt;0"),"")</f>
        <v>35000</v>
      </c>
      <c r="AA46" s="17" t="n">
        <f aca="false">IFERROR(AVERAGEIF(F46:J46,"&lt;&gt;0"),"")</f>
        <v>35000</v>
      </c>
      <c r="AB46" s="17" t="n">
        <f aca="false">IFERROR(AVERAGEIF(K46:O46,"&lt;&gt;0"),"")</f>
        <v>35000</v>
      </c>
      <c r="AC46" s="17" t="n">
        <f aca="false">IFERROR(AVERAGEIF(P46:T46,"&lt;&gt;0"),"")</f>
        <v>35000</v>
      </c>
      <c r="AD46" s="17" t="n">
        <f aca="false">IFERROR(AVERAGEIF(U46:Y46,"&lt;&gt;0"),"")</f>
        <v>35000</v>
      </c>
      <c r="AE46" s="17" t="n">
        <f aca="false">IFERROR(AVERAGEIF(D46:Y46,"&lt;&gt;0"),"")</f>
        <v>35000</v>
      </c>
    </row>
    <row r="47" customFormat="false" ht="15" hidden="false" customHeight="true" outlineLevel="0" collapsed="false">
      <c r="A47" s="5" t="n">
        <v>43</v>
      </c>
      <c r="B47" s="6" t="s">
        <v>422</v>
      </c>
      <c r="C47" s="5" t="s">
        <v>407</v>
      </c>
      <c r="D47" s="37" t="n">
        <v>0</v>
      </c>
      <c r="E47" s="37" t="n">
        <v>27000</v>
      </c>
      <c r="F47" s="37" t="n">
        <v>27000</v>
      </c>
      <c r="G47" s="37" t="n">
        <v>27000</v>
      </c>
      <c r="H47" s="37" t="n">
        <v>27000</v>
      </c>
      <c r="I47" s="37" t="n">
        <v>27000</v>
      </c>
      <c r="J47" s="37" t="n">
        <v>27000</v>
      </c>
      <c r="K47" s="37" t="n">
        <v>27000</v>
      </c>
      <c r="L47" s="37" t="n">
        <v>27000</v>
      </c>
      <c r="M47" s="37" t="n">
        <v>27000</v>
      </c>
      <c r="N47" s="37" t="n">
        <v>27000</v>
      </c>
      <c r="O47" s="37" t="n">
        <v>0</v>
      </c>
      <c r="P47" s="37" t="n">
        <v>27000</v>
      </c>
      <c r="Q47" s="37" t="n">
        <v>27000</v>
      </c>
      <c r="R47" s="37" t="n">
        <v>27000</v>
      </c>
      <c r="S47" s="37" t="n">
        <v>27000</v>
      </c>
      <c r="T47" s="37" t="n">
        <v>27000</v>
      </c>
      <c r="U47" s="37" t="n">
        <v>27000</v>
      </c>
      <c r="V47" s="37" t="n">
        <v>27000</v>
      </c>
      <c r="W47" s="37" t="n">
        <v>27000</v>
      </c>
      <c r="X47" s="37" t="n">
        <v>27000</v>
      </c>
      <c r="Y47" s="37" t="n">
        <v>27000</v>
      </c>
      <c r="Z47" s="17" t="n">
        <f aca="false">IFERROR(AVERAGEIF(D47:E47,"&lt;&gt;0"),"")</f>
        <v>27000</v>
      </c>
      <c r="AA47" s="17" t="n">
        <f aca="false">IFERROR(AVERAGEIF(F47:J47,"&lt;&gt;0"),"")</f>
        <v>27000</v>
      </c>
      <c r="AB47" s="17" t="n">
        <f aca="false">IFERROR(AVERAGEIF(K47:O47,"&lt;&gt;0"),"")</f>
        <v>27000</v>
      </c>
      <c r="AC47" s="17" t="n">
        <f aca="false">IFERROR(AVERAGEIF(P47:T47,"&lt;&gt;0"),"")</f>
        <v>27000</v>
      </c>
      <c r="AD47" s="17" t="n">
        <f aca="false">IFERROR(AVERAGEIF(U47:Y47,"&lt;&gt;0"),"")</f>
        <v>27000</v>
      </c>
      <c r="AE47" s="17" t="n">
        <f aca="false">IFERROR(AVERAGEIF(D47:Y47,"&lt;&gt;0"),"")</f>
        <v>27000</v>
      </c>
    </row>
    <row r="48" customFormat="false" ht="15" hidden="false" customHeight="true" outlineLevel="0" collapsed="false">
      <c r="A48" s="5" t="n">
        <v>44</v>
      </c>
      <c r="B48" s="6" t="s">
        <v>423</v>
      </c>
      <c r="C48" s="5" t="s">
        <v>407</v>
      </c>
      <c r="D48" s="37" t="n">
        <v>0</v>
      </c>
      <c r="E48" s="37" t="n">
        <v>14000</v>
      </c>
      <c r="F48" s="37" t="n">
        <v>14000</v>
      </c>
      <c r="G48" s="37" t="n">
        <v>14000</v>
      </c>
      <c r="H48" s="37" t="n">
        <v>14000</v>
      </c>
      <c r="I48" s="37" t="n">
        <v>14000</v>
      </c>
      <c r="J48" s="37" t="n">
        <v>14000</v>
      </c>
      <c r="K48" s="37" t="n">
        <v>14000</v>
      </c>
      <c r="L48" s="37" t="n">
        <v>14000</v>
      </c>
      <c r="M48" s="37" t="n">
        <v>14000</v>
      </c>
      <c r="N48" s="37" t="n">
        <v>14000</v>
      </c>
      <c r="O48" s="37" t="n">
        <v>0</v>
      </c>
      <c r="P48" s="37" t="n">
        <v>14000</v>
      </c>
      <c r="Q48" s="37" t="n">
        <v>14000</v>
      </c>
      <c r="R48" s="37" t="n">
        <v>14000</v>
      </c>
      <c r="S48" s="37" t="n">
        <v>14000</v>
      </c>
      <c r="T48" s="37" t="n">
        <v>14000</v>
      </c>
      <c r="U48" s="37" t="n">
        <v>14000</v>
      </c>
      <c r="V48" s="37" t="n">
        <v>14000</v>
      </c>
      <c r="W48" s="37" t="n">
        <v>14000</v>
      </c>
      <c r="X48" s="37" t="n">
        <v>14000</v>
      </c>
      <c r="Y48" s="37" t="n">
        <v>14000</v>
      </c>
      <c r="Z48" s="17" t="n">
        <f aca="false">IFERROR(AVERAGEIF(D48:E48,"&lt;&gt;0"),"")</f>
        <v>14000</v>
      </c>
      <c r="AA48" s="17" t="n">
        <f aca="false">IFERROR(AVERAGEIF(F48:J48,"&lt;&gt;0"),"")</f>
        <v>14000</v>
      </c>
      <c r="AB48" s="17" t="n">
        <f aca="false">IFERROR(AVERAGEIF(K48:O48,"&lt;&gt;0"),"")</f>
        <v>14000</v>
      </c>
      <c r="AC48" s="17" t="n">
        <f aca="false">IFERROR(AVERAGEIF(P48:T48,"&lt;&gt;0"),"")</f>
        <v>14000</v>
      </c>
      <c r="AD48" s="17" t="n">
        <f aca="false">IFERROR(AVERAGEIF(U48:Y48,"&lt;&gt;0"),"")</f>
        <v>14000</v>
      </c>
      <c r="AE48" s="17" t="n">
        <f aca="false">IFERROR(AVERAGEIF(D48:Y48,"&lt;&gt;0"),"")</f>
        <v>14000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6"/>
    <col collapsed="false" customWidth="true" hidden="false" outlineLevel="0" max="23" min="4" style="1" width="11"/>
    <col collapsed="false" customWidth="true" hidden="false" outlineLevel="0" max="27" min="24" style="1" width="13"/>
    <col collapsed="false" customWidth="true" hidden="false" outlineLevel="0" max="28" min="28" style="1" width="14"/>
  </cols>
  <sheetData>
    <row r="1" customFormat="false" ht="26.25" hidden="false" customHeight="true" outlineLevel="0" collapsed="false">
      <c r="A1" s="2" t="s">
        <v>458</v>
      </c>
      <c r="B1" s="2"/>
      <c r="C1" s="2"/>
      <c r="D1" s="2"/>
    </row>
    <row r="2" customFormat="false" ht="18.75" hidden="false" customHeight="true" outlineLevel="0" collapsed="false">
      <c r="A2" s="12" t="s">
        <v>375</v>
      </c>
      <c r="B2" s="12"/>
      <c r="C2" s="12"/>
      <c r="D2" s="12"/>
    </row>
    <row r="4" customFormat="false" ht="25.5" hidden="false" customHeight="true" outlineLevel="0" collapsed="false">
      <c r="A4" s="3" t="s">
        <v>1</v>
      </c>
      <c r="B4" s="3" t="s">
        <v>376</v>
      </c>
      <c r="C4" s="3" t="s">
        <v>377</v>
      </c>
      <c r="D4" s="3" t="s">
        <v>459</v>
      </c>
      <c r="E4" s="3" t="s">
        <v>460</v>
      </c>
      <c r="F4" s="3" t="s">
        <v>461</v>
      </c>
      <c r="G4" s="3" t="s">
        <v>462</v>
      </c>
      <c r="H4" s="3" t="s">
        <v>463</v>
      </c>
      <c r="I4" s="3" t="s">
        <v>464</v>
      </c>
      <c r="J4" s="3" t="s">
        <v>465</v>
      </c>
      <c r="K4" s="3" t="s">
        <v>466</v>
      </c>
      <c r="L4" s="3" t="s">
        <v>467</v>
      </c>
      <c r="M4" s="3" t="s">
        <v>468</v>
      </c>
      <c r="N4" s="3" t="s">
        <v>469</v>
      </c>
      <c r="O4" s="3" t="s">
        <v>470</v>
      </c>
      <c r="P4" s="3" t="s">
        <v>471</v>
      </c>
      <c r="Q4" s="3" t="s">
        <v>472</v>
      </c>
      <c r="R4" s="3" t="s">
        <v>473</v>
      </c>
      <c r="S4" s="3" t="s">
        <v>474</v>
      </c>
      <c r="T4" s="3" t="s">
        <v>475</v>
      </c>
      <c r="U4" s="3" t="s">
        <v>476</v>
      </c>
      <c r="V4" s="3" t="s">
        <v>477</v>
      </c>
      <c r="W4" s="3" t="s">
        <v>478</v>
      </c>
      <c r="X4" s="35" t="s">
        <v>479</v>
      </c>
      <c r="Y4" s="35" t="s">
        <v>480</v>
      </c>
      <c r="Z4" s="35" t="s">
        <v>481</v>
      </c>
      <c r="AA4" s="35" t="s">
        <v>482</v>
      </c>
      <c r="AB4" s="36" t="s">
        <v>483</v>
      </c>
    </row>
    <row r="5" customFormat="false" ht="15" hidden="false" customHeight="true" outlineLevel="0" collapsed="false">
      <c r="A5" s="5" t="n">
        <v>1</v>
      </c>
      <c r="B5" s="6" t="s">
        <v>334</v>
      </c>
      <c r="C5" s="5" t="s">
        <v>407</v>
      </c>
      <c r="D5" s="37" t="n">
        <v>12500</v>
      </c>
      <c r="E5" s="37" t="n">
        <v>12500</v>
      </c>
      <c r="F5" s="37" t="n">
        <v>12500</v>
      </c>
      <c r="G5" s="37" t="n">
        <v>12500</v>
      </c>
      <c r="H5" s="37" t="n">
        <v>12500</v>
      </c>
      <c r="I5" s="37" t="n">
        <v>12500</v>
      </c>
      <c r="J5" s="37" t="n">
        <v>12500</v>
      </c>
      <c r="K5" s="37" t="n">
        <v>12500</v>
      </c>
      <c r="L5" s="37" t="n">
        <v>12500</v>
      </c>
      <c r="M5" s="37" t="n">
        <v>12500</v>
      </c>
      <c r="N5" s="37" t="n">
        <v>0</v>
      </c>
      <c r="O5" s="37" t="n">
        <v>0</v>
      </c>
      <c r="P5" s="37" t="n">
        <v>12500</v>
      </c>
      <c r="Q5" s="37" t="n">
        <v>12500</v>
      </c>
      <c r="R5" s="37" t="n">
        <v>12500</v>
      </c>
      <c r="S5" s="37" t="n">
        <v>12500</v>
      </c>
      <c r="T5" s="37" t="n">
        <v>12500</v>
      </c>
      <c r="U5" s="37" t="n">
        <v>12500</v>
      </c>
      <c r="V5" s="37" t="n">
        <v>12500</v>
      </c>
      <c r="W5" s="37" t="n">
        <v>12500</v>
      </c>
      <c r="X5" s="17" t="n">
        <f aca="false">IFERROR(AVERAGEIF(D5:H5,"&lt;&gt;0"),"")</f>
        <v>12500</v>
      </c>
      <c r="Y5" s="17" t="n">
        <f aca="false">IFERROR(AVERAGEIF(I5:M5,"&lt;&gt;0"),"")</f>
        <v>12500</v>
      </c>
      <c r="Z5" s="17" t="n">
        <f aca="false">IFERROR(AVERAGEIF(N5:R5,"&lt;&gt;0"),"")</f>
        <v>12500</v>
      </c>
      <c r="AA5" s="17" t="n">
        <f aca="false">IFERROR(AVERAGEIF(S5:W5,"&lt;&gt;0"),"")</f>
        <v>12500</v>
      </c>
      <c r="AB5" s="17" t="n">
        <f aca="false">IFERROR(AVERAGEIF(D5:W5,"&lt;&gt;0"),"")</f>
        <v>12500</v>
      </c>
    </row>
    <row r="6" customFormat="false" ht="15" hidden="false" customHeight="true" outlineLevel="0" collapsed="false">
      <c r="A6" s="5" t="n">
        <v>2</v>
      </c>
      <c r="B6" s="6" t="s">
        <v>335</v>
      </c>
      <c r="C6" s="5" t="s">
        <v>407</v>
      </c>
      <c r="D6" s="37" t="n">
        <v>14000</v>
      </c>
      <c r="E6" s="37" t="n">
        <v>14000</v>
      </c>
      <c r="F6" s="37" t="n">
        <v>14000</v>
      </c>
      <c r="G6" s="37" t="n">
        <v>14000</v>
      </c>
      <c r="H6" s="37" t="n">
        <v>14000</v>
      </c>
      <c r="I6" s="37" t="n">
        <v>14000</v>
      </c>
      <c r="J6" s="37" t="n">
        <v>14000</v>
      </c>
      <c r="K6" s="37" t="n">
        <v>14000</v>
      </c>
      <c r="L6" s="37" t="n">
        <v>14000</v>
      </c>
      <c r="M6" s="37" t="n">
        <v>14000</v>
      </c>
      <c r="N6" s="37" t="n">
        <v>0</v>
      </c>
      <c r="O6" s="37" t="n">
        <v>0</v>
      </c>
      <c r="P6" s="37" t="n">
        <v>14000</v>
      </c>
      <c r="Q6" s="37" t="n">
        <v>14000</v>
      </c>
      <c r="R6" s="37" t="n">
        <v>14000</v>
      </c>
      <c r="S6" s="37" t="n">
        <v>14000</v>
      </c>
      <c r="T6" s="37" t="n">
        <v>14000</v>
      </c>
      <c r="U6" s="37" t="n">
        <v>14000</v>
      </c>
      <c r="V6" s="37" t="n">
        <v>14000</v>
      </c>
      <c r="W6" s="37" t="n">
        <v>14000</v>
      </c>
      <c r="X6" s="17" t="n">
        <f aca="false">IFERROR(AVERAGEIF(D6:H6,"&lt;&gt;0"),"")</f>
        <v>14000</v>
      </c>
      <c r="Y6" s="17" t="n">
        <f aca="false">IFERROR(AVERAGEIF(I6:M6,"&lt;&gt;0"),"")</f>
        <v>14000</v>
      </c>
      <c r="Z6" s="17" t="n">
        <f aca="false">IFERROR(AVERAGEIF(N6:R6,"&lt;&gt;0"),"")</f>
        <v>14000</v>
      </c>
      <c r="AA6" s="17" t="n">
        <f aca="false">IFERROR(AVERAGEIF(S6:W6,"&lt;&gt;0"),"")</f>
        <v>14000</v>
      </c>
      <c r="AB6" s="17" t="n">
        <f aca="false">IFERROR(AVERAGEIF(D6:W6,"&lt;&gt;0"),"")</f>
        <v>14000</v>
      </c>
    </row>
    <row r="7" customFormat="false" ht="15" hidden="false" customHeight="true" outlineLevel="0" collapsed="false">
      <c r="A7" s="5" t="n">
        <v>3</v>
      </c>
      <c r="B7" s="6" t="s">
        <v>336</v>
      </c>
      <c r="C7" s="5" t="s">
        <v>407</v>
      </c>
      <c r="D7" s="37" t="n">
        <v>12500</v>
      </c>
      <c r="E7" s="37" t="n">
        <v>12500</v>
      </c>
      <c r="F7" s="37" t="n">
        <v>12500</v>
      </c>
      <c r="G7" s="37" t="n">
        <v>12500</v>
      </c>
      <c r="H7" s="37" t="n">
        <v>12500</v>
      </c>
      <c r="I7" s="37" t="n">
        <v>12500</v>
      </c>
      <c r="J7" s="37" t="n">
        <v>12500</v>
      </c>
      <c r="K7" s="37" t="n">
        <v>12500</v>
      </c>
      <c r="L7" s="37" t="n">
        <v>12500</v>
      </c>
      <c r="M7" s="37" t="n">
        <v>12500</v>
      </c>
      <c r="N7" s="37" t="n">
        <v>0</v>
      </c>
      <c r="O7" s="37" t="n">
        <v>0</v>
      </c>
      <c r="P7" s="37" t="n">
        <v>12500</v>
      </c>
      <c r="Q7" s="37" t="n">
        <v>12500</v>
      </c>
      <c r="R7" s="37" t="n">
        <v>12500</v>
      </c>
      <c r="S7" s="37" t="n">
        <v>12500</v>
      </c>
      <c r="T7" s="37" t="n">
        <v>12500</v>
      </c>
      <c r="U7" s="37" t="n">
        <v>12500</v>
      </c>
      <c r="V7" s="37" t="n">
        <v>12500</v>
      </c>
      <c r="W7" s="37" t="n">
        <v>12500</v>
      </c>
      <c r="X7" s="17" t="n">
        <f aca="false">IFERROR(AVERAGEIF(D7:H7,"&lt;&gt;0"),"")</f>
        <v>12500</v>
      </c>
      <c r="Y7" s="17" t="n">
        <f aca="false">IFERROR(AVERAGEIF(I7:M7,"&lt;&gt;0"),"")</f>
        <v>12500</v>
      </c>
      <c r="Z7" s="17" t="n">
        <f aca="false">IFERROR(AVERAGEIF(N7:R7,"&lt;&gt;0"),"")</f>
        <v>12500</v>
      </c>
      <c r="AA7" s="17" t="n">
        <f aca="false">IFERROR(AVERAGEIF(S7:W7,"&lt;&gt;0"),"")</f>
        <v>12500</v>
      </c>
      <c r="AB7" s="17" t="n">
        <f aca="false">IFERROR(AVERAGEIF(D7:W7,"&lt;&gt;0"),"")</f>
        <v>12500</v>
      </c>
    </row>
    <row r="8" customFormat="false" ht="15" hidden="false" customHeight="true" outlineLevel="0" collapsed="false">
      <c r="A8" s="5" t="n">
        <v>4</v>
      </c>
      <c r="B8" s="6" t="s">
        <v>408</v>
      </c>
      <c r="C8" s="5" t="s">
        <v>407</v>
      </c>
      <c r="D8" s="37" t="n">
        <v>11000</v>
      </c>
      <c r="E8" s="37" t="n">
        <v>11000</v>
      </c>
      <c r="F8" s="37" t="n">
        <v>11000</v>
      </c>
      <c r="G8" s="37" t="n">
        <v>11000</v>
      </c>
      <c r="H8" s="37" t="n">
        <v>11000</v>
      </c>
      <c r="I8" s="37" t="n">
        <v>11000</v>
      </c>
      <c r="J8" s="37" t="n">
        <v>11000</v>
      </c>
      <c r="K8" s="37" t="n">
        <v>11000</v>
      </c>
      <c r="L8" s="37" t="n">
        <v>11000</v>
      </c>
      <c r="M8" s="37" t="n">
        <v>11000</v>
      </c>
      <c r="N8" s="37" t="n">
        <v>0</v>
      </c>
      <c r="O8" s="37" t="n">
        <v>0</v>
      </c>
      <c r="P8" s="37" t="n">
        <v>11000</v>
      </c>
      <c r="Q8" s="37" t="n">
        <v>11000</v>
      </c>
      <c r="R8" s="37" t="n">
        <v>11000</v>
      </c>
      <c r="S8" s="37" t="n">
        <v>11000</v>
      </c>
      <c r="T8" s="37" t="n">
        <v>11000</v>
      </c>
      <c r="U8" s="37" t="n">
        <v>11000</v>
      </c>
      <c r="V8" s="37" t="n">
        <v>11000</v>
      </c>
      <c r="W8" s="37" t="n">
        <v>11000</v>
      </c>
      <c r="X8" s="17" t="n">
        <f aca="false">IFERROR(AVERAGEIF(D8:H8,"&lt;&gt;0"),"")</f>
        <v>11000</v>
      </c>
      <c r="Y8" s="17" t="n">
        <f aca="false">IFERROR(AVERAGEIF(I8:M8,"&lt;&gt;0"),"")</f>
        <v>11000</v>
      </c>
      <c r="Z8" s="17" t="n">
        <f aca="false">IFERROR(AVERAGEIF(N8:R8,"&lt;&gt;0"),"")</f>
        <v>11000</v>
      </c>
      <c r="AA8" s="17" t="n">
        <f aca="false">IFERROR(AVERAGEIF(S8:W8,"&lt;&gt;0"),"")</f>
        <v>11000</v>
      </c>
      <c r="AB8" s="17" t="n">
        <f aca="false">IFERROR(AVERAGEIF(D8:W8,"&lt;&gt;0"),"")</f>
        <v>11000</v>
      </c>
    </row>
    <row r="9" customFormat="false" ht="15" hidden="false" customHeight="true" outlineLevel="0" collapsed="false">
      <c r="A9" s="5" t="n">
        <v>5</v>
      </c>
      <c r="B9" s="6" t="s">
        <v>360</v>
      </c>
      <c r="C9" s="5" t="s">
        <v>407</v>
      </c>
      <c r="D9" s="37" t="n">
        <v>22000</v>
      </c>
      <c r="E9" s="37" t="n">
        <v>22000</v>
      </c>
      <c r="F9" s="37" t="n">
        <v>26000</v>
      </c>
      <c r="G9" s="37" t="n">
        <v>22000</v>
      </c>
      <c r="H9" s="37" t="n">
        <v>22000</v>
      </c>
      <c r="I9" s="37" t="n">
        <v>22000</v>
      </c>
      <c r="J9" s="37" t="n">
        <v>22000</v>
      </c>
      <c r="K9" s="37" t="n">
        <v>22000</v>
      </c>
      <c r="L9" s="37" t="n">
        <v>22000</v>
      </c>
      <c r="M9" s="37" t="n">
        <v>23500</v>
      </c>
      <c r="N9" s="37" t="n">
        <v>0</v>
      </c>
      <c r="O9" s="37" t="n">
        <v>0</v>
      </c>
      <c r="P9" s="37" t="n">
        <v>26000</v>
      </c>
      <c r="Q9" s="37" t="n">
        <v>23500</v>
      </c>
      <c r="R9" s="37" t="n">
        <v>26000</v>
      </c>
      <c r="S9" s="37" t="n">
        <v>26000</v>
      </c>
      <c r="T9" s="37" t="n">
        <v>25500</v>
      </c>
      <c r="U9" s="37" t="n">
        <v>26000</v>
      </c>
      <c r="V9" s="37" t="n">
        <v>25500</v>
      </c>
      <c r="W9" s="37" t="n">
        <v>26000</v>
      </c>
      <c r="X9" s="17" t="n">
        <f aca="false">IFERROR(AVERAGEIF(D9:H9,"&lt;&gt;0"),"")</f>
        <v>22800</v>
      </c>
      <c r="Y9" s="17" t="n">
        <f aca="false">IFERROR(AVERAGEIF(I9:M9,"&lt;&gt;0"),"")</f>
        <v>22300</v>
      </c>
      <c r="Z9" s="17" t="n">
        <f aca="false">IFERROR(AVERAGEIF(N9:R9,"&lt;&gt;0"),"")</f>
        <v>25166.6666666667</v>
      </c>
      <c r="AA9" s="17" t="n">
        <f aca="false">IFERROR(AVERAGEIF(S9:W9,"&lt;&gt;0"),"")</f>
        <v>25800</v>
      </c>
      <c r="AB9" s="17" t="n">
        <f aca="false">IFERROR(AVERAGEIF(D9:W9,"&lt;&gt;0"),"")</f>
        <v>23888.8888888889</v>
      </c>
    </row>
    <row r="10" customFormat="false" ht="15" hidden="false" customHeight="true" outlineLevel="0" collapsed="false">
      <c r="A10" s="5" t="n">
        <v>6</v>
      </c>
      <c r="B10" s="6" t="s">
        <v>361</v>
      </c>
      <c r="C10" s="5" t="s">
        <v>407</v>
      </c>
      <c r="D10" s="37" t="n">
        <v>22000</v>
      </c>
      <c r="E10" s="37" t="n">
        <v>22000</v>
      </c>
      <c r="F10" s="37" t="n">
        <v>24000</v>
      </c>
      <c r="G10" s="37" t="n">
        <v>22000</v>
      </c>
      <c r="H10" s="37" t="n">
        <v>22000</v>
      </c>
      <c r="I10" s="37" t="n">
        <v>22000</v>
      </c>
      <c r="J10" s="37" t="n">
        <v>22000</v>
      </c>
      <c r="K10" s="37" t="n">
        <v>22000</v>
      </c>
      <c r="L10" s="37" t="n">
        <v>22000</v>
      </c>
      <c r="M10" s="37" t="n">
        <v>23500</v>
      </c>
      <c r="N10" s="37" t="n">
        <v>0</v>
      </c>
      <c r="O10" s="37" t="n">
        <v>0</v>
      </c>
      <c r="P10" s="37" t="n">
        <v>24000</v>
      </c>
      <c r="Q10" s="37" t="n">
        <v>23500</v>
      </c>
      <c r="R10" s="37" t="n">
        <v>24000</v>
      </c>
      <c r="S10" s="37" t="n">
        <v>25000</v>
      </c>
      <c r="T10" s="37" t="n">
        <v>25000</v>
      </c>
      <c r="U10" s="37" t="n">
        <v>25000</v>
      </c>
      <c r="V10" s="37" t="n">
        <v>25000</v>
      </c>
      <c r="W10" s="37" t="n">
        <v>25000</v>
      </c>
      <c r="X10" s="17" t="n">
        <f aca="false">IFERROR(AVERAGEIF(D10:H10,"&lt;&gt;0"),"")</f>
        <v>22400</v>
      </c>
      <c r="Y10" s="17" t="n">
        <f aca="false">IFERROR(AVERAGEIF(I10:M10,"&lt;&gt;0"),"")</f>
        <v>22300</v>
      </c>
      <c r="Z10" s="17" t="n">
        <f aca="false">IFERROR(AVERAGEIF(N10:R10,"&lt;&gt;0"),"")</f>
        <v>23833.3333333333</v>
      </c>
      <c r="AA10" s="17" t="n">
        <f aca="false">IFERROR(AVERAGEIF(S10:W10,"&lt;&gt;0"),"")</f>
        <v>25000</v>
      </c>
      <c r="AB10" s="17" t="n">
        <f aca="false">IFERROR(AVERAGEIF(D10:W10,"&lt;&gt;0"),"")</f>
        <v>23333.3333333333</v>
      </c>
    </row>
    <row r="11" customFormat="false" ht="15" hidden="false" customHeight="true" outlineLevel="0" collapsed="false">
      <c r="A11" s="5" t="n">
        <v>7</v>
      </c>
      <c r="B11" s="6" t="s">
        <v>347</v>
      </c>
      <c r="C11" s="5" t="s">
        <v>407</v>
      </c>
      <c r="D11" s="37" t="n">
        <v>30000</v>
      </c>
      <c r="E11" s="37" t="n">
        <v>30000</v>
      </c>
      <c r="F11" s="37" t="n">
        <v>85000</v>
      </c>
      <c r="G11" s="37" t="n">
        <v>32000</v>
      </c>
      <c r="H11" s="37" t="n">
        <v>32000</v>
      </c>
      <c r="I11" s="37" t="n">
        <v>33000</v>
      </c>
      <c r="J11" s="37" t="n">
        <v>33000</v>
      </c>
      <c r="K11" s="37" t="n">
        <v>33000</v>
      </c>
      <c r="L11" s="37" t="n">
        <v>33000</v>
      </c>
      <c r="M11" s="37" t="n">
        <v>34000</v>
      </c>
      <c r="N11" s="37" t="n">
        <v>0</v>
      </c>
      <c r="O11" s="37" t="n">
        <v>0</v>
      </c>
      <c r="P11" s="37" t="n">
        <v>85000</v>
      </c>
      <c r="Q11" s="37" t="n">
        <v>43000</v>
      </c>
      <c r="R11" s="37" t="n">
        <v>85000</v>
      </c>
      <c r="S11" s="37" t="n">
        <v>85000</v>
      </c>
      <c r="T11" s="37" t="n">
        <v>45000</v>
      </c>
      <c r="U11" s="37" t="n">
        <v>85000</v>
      </c>
      <c r="V11" s="37" t="n">
        <v>45000</v>
      </c>
      <c r="W11" s="37" t="n">
        <v>85000</v>
      </c>
      <c r="X11" s="17" t="n">
        <f aca="false">IFERROR(AVERAGEIF(D11:H11,"&lt;&gt;0"),"")</f>
        <v>41800</v>
      </c>
      <c r="Y11" s="17" t="n">
        <f aca="false">IFERROR(AVERAGEIF(I11:M11,"&lt;&gt;0"),"")</f>
        <v>33200</v>
      </c>
      <c r="Z11" s="17" t="n">
        <f aca="false">IFERROR(AVERAGEIF(N11:R11,"&lt;&gt;0"),"")</f>
        <v>71000</v>
      </c>
      <c r="AA11" s="17" t="n">
        <f aca="false">IFERROR(AVERAGEIF(S11:W11,"&lt;&gt;0"),"")</f>
        <v>69000</v>
      </c>
      <c r="AB11" s="17" t="n">
        <f aca="false">IFERROR(AVERAGEIF(D11:W11,"&lt;&gt;0"),"")</f>
        <v>51833.3333333333</v>
      </c>
    </row>
    <row r="12" customFormat="false" ht="15" hidden="false" customHeight="true" outlineLevel="0" collapsed="false">
      <c r="A12" s="5" t="n">
        <v>8</v>
      </c>
      <c r="B12" s="6" t="s">
        <v>354</v>
      </c>
      <c r="C12" s="5" t="s">
        <v>407</v>
      </c>
      <c r="D12" s="37" t="n">
        <v>28000</v>
      </c>
      <c r="E12" s="37" t="n">
        <v>28000</v>
      </c>
      <c r="F12" s="37" t="n">
        <v>30000</v>
      </c>
      <c r="G12" s="37" t="n">
        <v>28000</v>
      </c>
      <c r="H12" s="37" t="n">
        <v>28000</v>
      </c>
      <c r="I12" s="37" t="n">
        <v>29000</v>
      </c>
      <c r="J12" s="37" t="n">
        <v>29000</v>
      </c>
      <c r="K12" s="37" t="n">
        <v>29000</v>
      </c>
      <c r="L12" s="37" t="n">
        <v>29000</v>
      </c>
      <c r="M12" s="37" t="n">
        <v>30000</v>
      </c>
      <c r="N12" s="37" t="n">
        <v>0</v>
      </c>
      <c r="O12" s="37" t="n">
        <v>0</v>
      </c>
      <c r="P12" s="37" t="n">
        <v>30000</v>
      </c>
      <c r="Q12" s="37" t="n">
        <v>30000</v>
      </c>
      <c r="R12" s="37" t="n">
        <v>30000</v>
      </c>
      <c r="S12" s="37" t="n">
        <v>30000</v>
      </c>
      <c r="T12" s="37" t="n">
        <v>30000</v>
      </c>
      <c r="U12" s="37" t="n">
        <v>30000</v>
      </c>
      <c r="V12" s="37" t="n">
        <v>30000</v>
      </c>
      <c r="W12" s="37" t="n">
        <v>30000</v>
      </c>
      <c r="X12" s="17" t="n">
        <f aca="false">IFERROR(AVERAGEIF(D12:H12,"&lt;&gt;0"),"")</f>
        <v>28400</v>
      </c>
      <c r="Y12" s="17" t="n">
        <f aca="false">IFERROR(AVERAGEIF(I12:M12,"&lt;&gt;0"),"")</f>
        <v>29200</v>
      </c>
      <c r="Z12" s="17" t="n">
        <f aca="false">IFERROR(AVERAGEIF(N12:R12,"&lt;&gt;0"),"")</f>
        <v>30000</v>
      </c>
      <c r="AA12" s="17" t="n">
        <f aca="false">IFERROR(AVERAGEIF(S12:W12,"&lt;&gt;0"),"")</f>
        <v>30000</v>
      </c>
      <c r="AB12" s="17" t="n">
        <f aca="false">IFERROR(AVERAGEIF(D12:W12,"&lt;&gt;0"),"")</f>
        <v>29333.3333333333</v>
      </c>
    </row>
    <row r="13" customFormat="false" ht="15" hidden="false" customHeight="true" outlineLevel="0" collapsed="false">
      <c r="A13" s="5" t="n">
        <v>9</v>
      </c>
      <c r="B13" s="6" t="s">
        <v>349</v>
      </c>
      <c r="C13" s="5" t="s">
        <v>407</v>
      </c>
      <c r="D13" s="37" t="n">
        <v>15000</v>
      </c>
      <c r="E13" s="37" t="n">
        <v>15000</v>
      </c>
      <c r="F13" s="37" t="n">
        <v>16500</v>
      </c>
      <c r="G13" s="37" t="n">
        <v>15000</v>
      </c>
      <c r="H13" s="37" t="n">
        <v>15000</v>
      </c>
      <c r="I13" s="37" t="n">
        <v>15000</v>
      </c>
      <c r="J13" s="37" t="n">
        <v>15000</v>
      </c>
      <c r="K13" s="37" t="n">
        <v>15000</v>
      </c>
      <c r="L13" s="37" t="n">
        <v>15000</v>
      </c>
      <c r="M13" s="37" t="n">
        <v>15000</v>
      </c>
      <c r="N13" s="37" t="n">
        <v>0</v>
      </c>
      <c r="O13" s="37" t="n">
        <v>0</v>
      </c>
      <c r="P13" s="37" t="n">
        <v>16500</v>
      </c>
      <c r="Q13" s="37" t="n">
        <v>15000</v>
      </c>
      <c r="R13" s="37" t="n">
        <v>16500</v>
      </c>
      <c r="S13" s="37" t="n">
        <v>16500</v>
      </c>
      <c r="T13" s="37" t="n">
        <v>15000</v>
      </c>
      <c r="U13" s="37" t="n">
        <v>16500</v>
      </c>
      <c r="V13" s="37" t="n">
        <v>15000</v>
      </c>
      <c r="W13" s="37" t="n">
        <v>16500</v>
      </c>
      <c r="X13" s="17" t="n">
        <f aca="false">IFERROR(AVERAGEIF(D13:H13,"&lt;&gt;0"),"")</f>
        <v>15300</v>
      </c>
      <c r="Y13" s="17" t="n">
        <f aca="false">IFERROR(AVERAGEIF(I13:M13,"&lt;&gt;0"),"")</f>
        <v>15000</v>
      </c>
      <c r="Z13" s="17" t="n">
        <f aca="false">IFERROR(AVERAGEIF(N13:R13,"&lt;&gt;0"),"")</f>
        <v>16000</v>
      </c>
      <c r="AA13" s="17" t="n">
        <f aca="false">IFERROR(AVERAGEIF(S13:W13,"&lt;&gt;0"),"")</f>
        <v>15900</v>
      </c>
      <c r="AB13" s="17" t="n">
        <f aca="false">IFERROR(AVERAGEIF(D13:W13,"&lt;&gt;0"),"")</f>
        <v>15500</v>
      </c>
    </row>
    <row r="14" customFormat="false" ht="15" hidden="false" customHeight="true" outlineLevel="0" collapsed="false">
      <c r="A14" s="5" t="n">
        <v>10</v>
      </c>
      <c r="B14" s="6" t="s">
        <v>340</v>
      </c>
      <c r="C14" s="5" t="s">
        <v>453</v>
      </c>
      <c r="D14" s="37" t="n">
        <v>15000</v>
      </c>
      <c r="E14" s="37" t="n">
        <v>15000</v>
      </c>
      <c r="F14" s="37" t="n">
        <v>17500</v>
      </c>
      <c r="G14" s="37" t="n">
        <v>15000</v>
      </c>
      <c r="H14" s="37" t="n">
        <v>15000</v>
      </c>
      <c r="I14" s="37" t="n">
        <v>15000</v>
      </c>
      <c r="J14" s="37" t="n">
        <v>15000</v>
      </c>
      <c r="K14" s="37" t="n">
        <v>15000</v>
      </c>
      <c r="L14" s="37" t="n">
        <v>15000</v>
      </c>
      <c r="M14" s="37" t="n">
        <v>15000</v>
      </c>
      <c r="N14" s="37" t="n">
        <v>0</v>
      </c>
      <c r="O14" s="37" t="n">
        <v>0</v>
      </c>
      <c r="P14" s="37" t="n">
        <v>17500</v>
      </c>
      <c r="Q14" s="37" t="n">
        <v>15000</v>
      </c>
      <c r="R14" s="37" t="n">
        <v>17500</v>
      </c>
      <c r="S14" s="37" t="n">
        <v>17500</v>
      </c>
      <c r="T14" s="37" t="n">
        <v>15000</v>
      </c>
      <c r="U14" s="37" t="n">
        <v>17500</v>
      </c>
      <c r="V14" s="37" t="n">
        <v>15000</v>
      </c>
      <c r="W14" s="37" t="n">
        <v>17500</v>
      </c>
      <c r="X14" s="17" t="n">
        <f aca="false">IFERROR(AVERAGEIF(D14:H14,"&lt;&gt;0"),"")</f>
        <v>15500</v>
      </c>
      <c r="Y14" s="17" t="n">
        <f aca="false">IFERROR(AVERAGEIF(I14:M14,"&lt;&gt;0"),"")</f>
        <v>15000</v>
      </c>
      <c r="Z14" s="17" t="n">
        <f aca="false">IFERROR(AVERAGEIF(N14:R14,"&lt;&gt;0"),"")</f>
        <v>16666.6666666667</v>
      </c>
      <c r="AA14" s="17" t="n">
        <f aca="false">IFERROR(AVERAGEIF(S14:W14,"&lt;&gt;0"),"")</f>
        <v>16500</v>
      </c>
      <c r="AB14" s="17" t="n">
        <f aca="false">IFERROR(AVERAGEIF(D14:W14,"&lt;&gt;0"),"")</f>
        <v>15833.3333333333</v>
      </c>
    </row>
    <row r="15" customFormat="false" ht="21.75" hidden="false" customHeight="true" outlineLevel="0" collapsed="false">
      <c r="A15" s="5" t="n">
        <v>11</v>
      </c>
      <c r="B15" s="6" t="s">
        <v>341</v>
      </c>
      <c r="C15" s="5" t="s">
        <v>453</v>
      </c>
      <c r="D15" s="37" t="n">
        <v>18000</v>
      </c>
      <c r="E15" s="37" t="n">
        <v>18000</v>
      </c>
      <c r="F15" s="37" t="n">
        <v>20000</v>
      </c>
      <c r="G15" s="37" t="n">
        <v>18000</v>
      </c>
      <c r="H15" s="37" t="n">
        <v>18000</v>
      </c>
      <c r="I15" s="37" t="n">
        <v>18000</v>
      </c>
      <c r="J15" s="37" t="n">
        <v>18000</v>
      </c>
      <c r="K15" s="37" t="n">
        <v>18000</v>
      </c>
      <c r="L15" s="37" t="n">
        <v>18000</v>
      </c>
      <c r="M15" s="37" t="n">
        <v>18000</v>
      </c>
      <c r="N15" s="37" t="n">
        <v>0</v>
      </c>
      <c r="O15" s="37" t="n">
        <v>0</v>
      </c>
      <c r="P15" s="37" t="n">
        <v>20000</v>
      </c>
      <c r="Q15" s="37" t="n">
        <v>18000</v>
      </c>
      <c r="R15" s="37" t="n">
        <v>20000</v>
      </c>
      <c r="S15" s="37" t="n">
        <v>20000</v>
      </c>
      <c r="T15" s="37" t="n">
        <v>18000</v>
      </c>
      <c r="U15" s="37" t="n">
        <v>20000</v>
      </c>
      <c r="V15" s="37" t="n">
        <v>18000</v>
      </c>
      <c r="W15" s="37" t="n">
        <v>20000</v>
      </c>
      <c r="X15" s="17" t="n">
        <f aca="false">IFERROR(AVERAGEIF(D15:H15,"&lt;&gt;0"),"")</f>
        <v>18400</v>
      </c>
      <c r="Y15" s="17" t="n">
        <f aca="false">IFERROR(AVERAGEIF(I15:M15,"&lt;&gt;0"),"")</f>
        <v>18000</v>
      </c>
      <c r="Z15" s="17" t="n">
        <f aca="false">IFERROR(AVERAGEIF(N15:R15,"&lt;&gt;0"),"")</f>
        <v>19333.3333333333</v>
      </c>
      <c r="AA15" s="17" t="n">
        <f aca="false">IFERROR(AVERAGEIF(S15:W15,"&lt;&gt;0"),"")</f>
        <v>19200</v>
      </c>
      <c r="AB15" s="17" t="n">
        <f aca="false">IFERROR(AVERAGEIF(D15:W15,"&lt;&gt;0"),"")</f>
        <v>18666.6666666667</v>
      </c>
    </row>
    <row r="16" customFormat="false" ht="15" hidden="false" customHeight="true" outlineLevel="0" collapsed="false">
      <c r="A16" s="5" t="n">
        <v>12</v>
      </c>
      <c r="B16" s="6" t="s">
        <v>342</v>
      </c>
      <c r="C16" s="5" t="s">
        <v>453</v>
      </c>
      <c r="D16" s="37" t="n">
        <v>15700</v>
      </c>
      <c r="E16" s="37" t="n">
        <v>15700</v>
      </c>
      <c r="F16" s="37" t="n">
        <v>15700</v>
      </c>
      <c r="G16" s="37" t="n">
        <v>15700</v>
      </c>
      <c r="H16" s="37" t="n">
        <v>15700</v>
      </c>
      <c r="I16" s="37" t="n">
        <v>15700</v>
      </c>
      <c r="J16" s="37" t="n">
        <v>15700</v>
      </c>
      <c r="K16" s="37" t="n">
        <v>15700</v>
      </c>
      <c r="L16" s="37" t="n">
        <v>15700</v>
      </c>
      <c r="M16" s="37" t="n">
        <v>15700</v>
      </c>
      <c r="N16" s="37" t="n">
        <v>0</v>
      </c>
      <c r="O16" s="37" t="n">
        <v>0</v>
      </c>
      <c r="P16" s="37" t="n">
        <v>15700</v>
      </c>
      <c r="Q16" s="37" t="n">
        <v>15700</v>
      </c>
      <c r="R16" s="37" t="n">
        <v>15700</v>
      </c>
      <c r="S16" s="37" t="n">
        <v>15700</v>
      </c>
      <c r="T16" s="37" t="n">
        <v>15700</v>
      </c>
      <c r="U16" s="37" t="n">
        <v>15700</v>
      </c>
      <c r="V16" s="37" t="n">
        <v>15700</v>
      </c>
      <c r="W16" s="37" t="n">
        <v>15700</v>
      </c>
      <c r="X16" s="17" t="n">
        <f aca="false">IFERROR(AVERAGEIF(D16:H16,"&lt;&gt;0"),"")</f>
        <v>15700</v>
      </c>
      <c r="Y16" s="17" t="n">
        <f aca="false">IFERROR(AVERAGEIF(I16:M16,"&lt;&gt;0"),"")</f>
        <v>15700</v>
      </c>
      <c r="Z16" s="17" t="n">
        <f aca="false">IFERROR(AVERAGEIF(N16:R16,"&lt;&gt;0"),"")</f>
        <v>15700</v>
      </c>
      <c r="AA16" s="17" t="n">
        <f aca="false">IFERROR(AVERAGEIF(S16:W16,"&lt;&gt;0"),"")</f>
        <v>15700</v>
      </c>
      <c r="AB16" s="17" t="n">
        <f aca="false">IFERROR(AVERAGEIF(D16:W16,"&lt;&gt;0"),"")</f>
        <v>15700</v>
      </c>
    </row>
    <row r="17" customFormat="false" ht="15" hidden="false" customHeight="true" outlineLevel="0" collapsed="false">
      <c r="A17" s="5" t="n">
        <v>13</v>
      </c>
      <c r="B17" s="6" t="s">
        <v>337</v>
      </c>
      <c r="C17" s="5" t="s">
        <v>407</v>
      </c>
      <c r="D17" s="37" t="n">
        <v>11000</v>
      </c>
      <c r="E17" s="37" t="n">
        <v>11000</v>
      </c>
      <c r="F17" s="37" t="n">
        <v>11000</v>
      </c>
      <c r="G17" s="37" t="n">
        <v>11000</v>
      </c>
      <c r="H17" s="37" t="n">
        <v>11000</v>
      </c>
      <c r="I17" s="37" t="n">
        <v>11000</v>
      </c>
      <c r="J17" s="37" t="n">
        <v>11000</v>
      </c>
      <c r="K17" s="37" t="n">
        <v>11000</v>
      </c>
      <c r="L17" s="37" t="n">
        <v>11000</v>
      </c>
      <c r="M17" s="37" t="n">
        <v>11000</v>
      </c>
      <c r="N17" s="37" t="n">
        <v>0</v>
      </c>
      <c r="O17" s="37" t="n">
        <v>0</v>
      </c>
      <c r="P17" s="37" t="n">
        <v>11000</v>
      </c>
      <c r="Q17" s="37" t="n">
        <v>11000</v>
      </c>
      <c r="R17" s="37" t="n">
        <v>11000</v>
      </c>
      <c r="S17" s="37" t="n">
        <v>11000</v>
      </c>
      <c r="T17" s="37" t="n">
        <v>11000</v>
      </c>
      <c r="U17" s="37" t="n">
        <v>11000</v>
      </c>
      <c r="V17" s="37" t="n">
        <v>11000</v>
      </c>
      <c r="W17" s="37" t="n">
        <v>11000</v>
      </c>
      <c r="X17" s="17" t="n">
        <f aca="false">IFERROR(AVERAGEIF(D17:H17,"&lt;&gt;0"),"")</f>
        <v>11000</v>
      </c>
      <c r="Y17" s="17" t="n">
        <f aca="false">IFERROR(AVERAGEIF(I17:M17,"&lt;&gt;0"),"")</f>
        <v>11000</v>
      </c>
      <c r="Z17" s="17" t="n">
        <f aca="false">IFERROR(AVERAGEIF(N17:R17,"&lt;&gt;0"),"")</f>
        <v>11000</v>
      </c>
      <c r="AA17" s="17" t="n">
        <f aca="false">IFERROR(AVERAGEIF(S17:W17,"&lt;&gt;0"),"")</f>
        <v>11000</v>
      </c>
      <c r="AB17" s="17" t="n">
        <f aca="false">IFERROR(AVERAGEIF(D17:W17,"&lt;&gt;0"),"")</f>
        <v>11000</v>
      </c>
    </row>
    <row r="18" customFormat="false" ht="15" hidden="false" customHeight="true" outlineLevel="0" collapsed="false">
      <c r="A18" s="5" t="n">
        <v>14</v>
      </c>
      <c r="B18" s="6" t="s">
        <v>339</v>
      </c>
      <c r="C18" s="5" t="s">
        <v>407</v>
      </c>
      <c r="D18" s="37" t="n">
        <v>26000</v>
      </c>
      <c r="E18" s="37" t="n">
        <v>26000</v>
      </c>
      <c r="F18" s="37" t="n">
        <v>37000</v>
      </c>
      <c r="G18" s="37" t="n">
        <v>26000</v>
      </c>
      <c r="H18" s="37" t="n">
        <v>26000</v>
      </c>
      <c r="I18" s="37" t="n">
        <v>26000</v>
      </c>
      <c r="J18" s="37" t="n">
        <v>26000</v>
      </c>
      <c r="K18" s="37" t="n">
        <v>26000</v>
      </c>
      <c r="L18" s="37" t="n">
        <v>26000</v>
      </c>
      <c r="M18" s="37" t="n">
        <v>28000</v>
      </c>
      <c r="N18" s="37" t="n">
        <v>0</v>
      </c>
      <c r="O18" s="37" t="n">
        <v>0</v>
      </c>
      <c r="P18" s="37" t="n">
        <v>37000</v>
      </c>
      <c r="Q18" s="37" t="n">
        <v>31000</v>
      </c>
      <c r="R18" s="37" t="n">
        <v>37000</v>
      </c>
      <c r="S18" s="37" t="n">
        <v>37000</v>
      </c>
      <c r="T18" s="37" t="n">
        <v>31000</v>
      </c>
      <c r="U18" s="37" t="n">
        <v>37000</v>
      </c>
      <c r="V18" s="37" t="n">
        <v>31000</v>
      </c>
      <c r="W18" s="37" t="n">
        <v>37000</v>
      </c>
      <c r="X18" s="17" t="n">
        <f aca="false">IFERROR(AVERAGEIF(D18:H18,"&lt;&gt;0"),"")</f>
        <v>28200</v>
      </c>
      <c r="Y18" s="17" t="n">
        <f aca="false">IFERROR(AVERAGEIF(I18:M18,"&lt;&gt;0"),"")</f>
        <v>26400</v>
      </c>
      <c r="Z18" s="17" t="n">
        <f aca="false">IFERROR(AVERAGEIF(N18:R18,"&lt;&gt;0"),"")</f>
        <v>35000</v>
      </c>
      <c r="AA18" s="17" t="n">
        <f aca="false">IFERROR(AVERAGEIF(S18:W18,"&lt;&gt;0"),"")</f>
        <v>34600</v>
      </c>
      <c r="AB18" s="17" t="n">
        <f aca="false">IFERROR(AVERAGEIF(D18:W18,"&lt;&gt;0"),"")</f>
        <v>30611.1111111111</v>
      </c>
    </row>
    <row r="19" customFormat="false" ht="15" hidden="false" customHeight="true" outlineLevel="0" collapsed="false">
      <c r="A19" s="5" t="n">
        <v>15</v>
      </c>
      <c r="B19" s="6" t="s">
        <v>348</v>
      </c>
      <c r="C19" s="5" t="s">
        <v>407</v>
      </c>
      <c r="D19" s="37" t="n">
        <v>25000</v>
      </c>
      <c r="E19" s="37" t="n">
        <v>25000</v>
      </c>
      <c r="F19" s="37" t="n">
        <v>28000</v>
      </c>
      <c r="G19" s="37" t="n">
        <v>25000</v>
      </c>
      <c r="H19" s="37" t="n">
        <v>25000</v>
      </c>
      <c r="I19" s="37" t="n">
        <v>25000</v>
      </c>
      <c r="J19" s="37" t="n">
        <v>25000</v>
      </c>
      <c r="K19" s="37" t="n">
        <v>25000</v>
      </c>
      <c r="L19" s="37" t="n">
        <v>25000</v>
      </c>
      <c r="M19" s="37" t="n">
        <v>26000</v>
      </c>
      <c r="N19" s="37" t="n">
        <v>0</v>
      </c>
      <c r="O19" s="37" t="n">
        <v>0</v>
      </c>
      <c r="P19" s="37" t="n">
        <v>28000</v>
      </c>
      <c r="Q19" s="37" t="n">
        <v>26000</v>
      </c>
      <c r="R19" s="37" t="n">
        <v>28000</v>
      </c>
      <c r="S19" s="37" t="n">
        <v>28000</v>
      </c>
      <c r="T19" s="37" t="n">
        <v>26000</v>
      </c>
      <c r="U19" s="37" t="n">
        <v>28000</v>
      </c>
      <c r="V19" s="37" t="n">
        <v>26000</v>
      </c>
      <c r="W19" s="37" t="n">
        <v>28000</v>
      </c>
      <c r="X19" s="17" t="n">
        <f aca="false">IFERROR(AVERAGEIF(D19:H19,"&lt;&gt;0"),"")</f>
        <v>25600</v>
      </c>
      <c r="Y19" s="17" t="n">
        <f aca="false">IFERROR(AVERAGEIF(I19:M19,"&lt;&gt;0"),"")</f>
        <v>25200</v>
      </c>
      <c r="Z19" s="17" t="n">
        <f aca="false">IFERROR(AVERAGEIF(N19:R19,"&lt;&gt;0"),"")</f>
        <v>27333.3333333333</v>
      </c>
      <c r="AA19" s="17" t="n">
        <f aca="false">IFERROR(AVERAGEIF(S19:W19,"&lt;&gt;0"),"")</f>
        <v>27200</v>
      </c>
      <c r="AB19" s="17" t="n">
        <f aca="false">IFERROR(AVERAGEIF(D19:W19,"&lt;&gt;0"),"")</f>
        <v>26222.2222222222</v>
      </c>
    </row>
    <row r="20" customFormat="false" ht="15" hidden="false" customHeight="true" outlineLevel="0" collapsed="false">
      <c r="A20" s="5" t="n">
        <v>16</v>
      </c>
      <c r="B20" s="6" t="s">
        <v>362</v>
      </c>
      <c r="C20" s="5" t="s">
        <v>407</v>
      </c>
      <c r="D20" s="37" t="n">
        <v>110000</v>
      </c>
      <c r="E20" s="37" t="n">
        <v>110000</v>
      </c>
      <c r="F20" s="37" t="n">
        <v>110000</v>
      </c>
      <c r="G20" s="37" t="n">
        <v>110000</v>
      </c>
      <c r="H20" s="37" t="n">
        <v>110000</v>
      </c>
      <c r="I20" s="37" t="n">
        <v>110000</v>
      </c>
      <c r="J20" s="37" t="n">
        <v>110000</v>
      </c>
      <c r="K20" s="37" t="n">
        <v>110000</v>
      </c>
      <c r="L20" s="37" t="n">
        <v>110000</v>
      </c>
      <c r="M20" s="37" t="n">
        <v>110000</v>
      </c>
      <c r="N20" s="37" t="n">
        <v>0</v>
      </c>
      <c r="O20" s="37" t="n">
        <v>0</v>
      </c>
      <c r="P20" s="37" t="n">
        <v>110000</v>
      </c>
      <c r="Q20" s="37" t="n">
        <v>110000</v>
      </c>
      <c r="R20" s="37" t="n">
        <v>110000</v>
      </c>
      <c r="S20" s="37" t="n">
        <v>110000</v>
      </c>
      <c r="T20" s="37" t="n">
        <v>110000</v>
      </c>
      <c r="U20" s="37" t="n">
        <v>110000</v>
      </c>
      <c r="V20" s="37" t="n">
        <v>110000</v>
      </c>
      <c r="W20" s="37" t="n">
        <v>110000</v>
      </c>
      <c r="X20" s="17" t="n">
        <f aca="false">IFERROR(AVERAGEIF(D20:H20,"&lt;&gt;0"),"")</f>
        <v>110000</v>
      </c>
      <c r="Y20" s="17" t="n">
        <f aca="false">IFERROR(AVERAGEIF(I20:M20,"&lt;&gt;0"),"")</f>
        <v>110000</v>
      </c>
      <c r="Z20" s="17" t="n">
        <f aca="false">IFERROR(AVERAGEIF(N20:R20,"&lt;&gt;0"),"")</f>
        <v>110000</v>
      </c>
      <c r="AA20" s="17" t="n">
        <f aca="false">IFERROR(AVERAGEIF(S20:W20,"&lt;&gt;0"),"")</f>
        <v>110000</v>
      </c>
      <c r="AB20" s="17" t="n">
        <f aca="false">IFERROR(AVERAGEIF(D20:W20,"&lt;&gt;0"),"")</f>
        <v>110000</v>
      </c>
    </row>
    <row r="21" customFormat="false" ht="15" hidden="false" customHeight="true" outlineLevel="0" collapsed="false">
      <c r="A21" s="5" t="n">
        <v>17</v>
      </c>
      <c r="B21" s="6" t="s">
        <v>363</v>
      </c>
      <c r="C21" s="5" t="s">
        <v>407</v>
      </c>
      <c r="D21" s="37" t="n">
        <v>60000</v>
      </c>
      <c r="E21" s="37" t="n">
        <v>60000</v>
      </c>
      <c r="F21" s="37" t="n">
        <v>70000</v>
      </c>
      <c r="G21" s="37" t="n">
        <v>60000</v>
      </c>
      <c r="H21" s="37" t="n">
        <v>60000</v>
      </c>
      <c r="I21" s="37" t="n">
        <v>60000</v>
      </c>
      <c r="J21" s="37" t="n">
        <v>60000</v>
      </c>
      <c r="K21" s="37" t="n">
        <v>60000</v>
      </c>
      <c r="L21" s="37" t="n">
        <v>60000</v>
      </c>
      <c r="M21" s="37" t="n">
        <v>60000</v>
      </c>
      <c r="N21" s="37" t="n">
        <v>0</v>
      </c>
      <c r="O21" s="37" t="n">
        <v>0</v>
      </c>
      <c r="P21" s="37" t="n">
        <v>70000</v>
      </c>
      <c r="Q21" s="37" t="n">
        <v>60000</v>
      </c>
      <c r="R21" s="37" t="n">
        <v>70000</v>
      </c>
      <c r="S21" s="37" t="n">
        <v>70000</v>
      </c>
      <c r="T21" s="37" t="n">
        <v>60000</v>
      </c>
      <c r="U21" s="37" t="n">
        <v>70000</v>
      </c>
      <c r="V21" s="37" t="n">
        <v>60000</v>
      </c>
      <c r="W21" s="37" t="n">
        <v>70000</v>
      </c>
      <c r="X21" s="17" t="n">
        <f aca="false">IFERROR(AVERAGEIF(D21:H21,"&lt;&gt;0"),"")</f>
        <v>62000</v>
      </c>
      <c r="Y21" s="17" t="n">
        <f aca="false">IFERROR(AVERAGEIF(I21:M21,"&lt;&gt;0"),"")</f>
        <v>60000</v>
      </c>
      <c r="Z21" s="17" t="n">
        <f aca="false">IFERROR(AVERAGEIF(N21:R21,"&lt;&gt;0"),"")</f>
        <v>66666.6666666667</v>
      </c>
      <c r="AA21" s="17" t="n">
        <f aca="false">IFERROR(AVERAGEIF(S21:W21,"&lt;&gt;0"),"")</f>
        <v>66000</v>
      </c>
      <c r="AB21" s="17" t="n">
        <f aca="false">IFERROR(AVERAGEIF(D21:W21,"&lt;&gt;0"),"")</f>
        <v>63333.3333333333</v>
      </c>
    </row>
    <row r="22" customFormat="false" ht="15" hidden="false" customHeight="true" outlineLevel="0" collapsed="false">
      <c r="A22" s="5" t="n">
        <v>18</v>
      </c>
      <c r="B22" s="6" t="s">
        <v>364</v>
      </c>
      <c r="C22" s="5" t="s">
        <v>407</v>
      </c>
      <c r="D22" s="37" t="n">
        <v>55000</v>
      </c>
      <c r="E22" s="37" t="n">
        <v>55000</v>
      </c>
      <c r="F22" s="37" t="n">
        <v>70000</v>
      </c>
      <c r="G22" s="37" t="n">
        <v>55000</v>
      </c>
      <c r="H22" s="37" t="n">
        <v>55000</v>
      </c>
      <c r="I22" s="37" t="n">
        <v>55000</v>
      </c>
      <c r="J22" s="37" t="n">
        <v>55000</v>
      </c>
      <c r="K22" s="37" t="n">
        <v>55000</v>
      </c>
      <c r="L22" s="37" t="n">
        <v>55000</v>
      </c>
      <c r="M22" s="37" t="n">
        <v>55000</v>
      </c>
      <c r="N22" s="37" t="n">
        <v>0</v>
      </c>
      <c r="O22" s="37" t="n">
        <v>0</v>
      </c>
      <c r="P22" s="37" t="n">
        <v>70000</v>
      </c>
      <c r="Q22" s="37" t="n">
        <v>55000</v>
      </c>
      <c r="R22" s="37" t="n">
        <v>70000</v>
      </c>
      <c r="S22" s="37" t="n">
        <v>70000</v>
      </c>
      <c r="T22" s="37" t="n">
        <v>55000</v>
      </c>
      <c r="U22" s="37" t="n">
        <v>70000</v>
      </c>
      <c r="V22" s="37" t="n">
        <v>55000</v>
      </c>
      <c r="W22" s="37" t="n">
        <v>70000</v>
      </c>
      <c r="X22" s="17" t="n">
        <f aca="false">IFERROR(AVERAGEIF(D22:H22,"&lt;&gt;0"),"")</f>
        <v>58000</v>
      </c>
      <c r="Y22" s="17" t="n">
        <f aca="false">IFERROR(AVERAGEIF(I22:M22,"&lt;&gt;0"),"")</f>
        <v>55000</v>
      </c>
      <c r="Z22" s="17" t="n">
        <f aca="false">IFERROR(AVERAGEIF(N22:R22,"&lt;&gt;0"),"")</f>
        <v>65000</v>
      </c>
      <c r="AA22" s="17" t="n">
        <f aca="false">IFERROR(AVERAGEIF(S22:W22,"&lt;&gt;0"),"")</f>
        <v>64000</v>
      </c>
      <c r="AB22" s="17" t="n">
        <f aca="false">IFERROR(AVERAGEIF(D22:W22,"&lt;&gt;0"),"")</f>
        <v>60000</v>
      </c>
    </row>
    <row r="23" customFormat="false" ht="15" hidden="false" customHeight="true" outlineLevel="0" collapsed="false">
      <c r="A23" s="5" t="n">
        <v>19</v>
      </c>
      <c r="B23" s="6" t="s">
        <v>409</v>
      </c>
      <c r="C23" s="5" t="s">
        <v>407</v>
      </c>
      <c r="D23" s="37" t="n">
        <v>28000</v>
      </c>
      <c r="E23" s="37" t="n">
        <v>28000</v>
      </c>
      <c r="F23" s="37" t="n">
        <v>35000</v>
      </c>
      <c r="G23" s="37" t="n">
        <v>28000</v>
      </c>
      <c r="H23" s="37" t="n">
        <v>28000</v>
      </c>
      <c r="I23" s="37" t="n">
        <v>28000</v>
      </c>
      <c r="J23" s="37" t="n">
        <v>28000</v>
      </c>
      <c r="K23" s="37" t="n">
        <v>28000</v>
      </c>
      <c r="L23" s="37" t="n">
        <v>28000</v>
      </c>
      <c r="M23" s="37" t="n">
        <v>28000</v>
      </c>
      <c r="N23" s="37" t="n">
        <v>0</v>
      </c>
      <c r="O23" s="37" t="n">
        <v>0</v>
      </c>
      <c r="P23" s="37" t="n">
        <v>35000</v>
      </c>
      <c r="Q23" s="37" t="n">
        <v>28000</v>
      </c>
      <c r="R23" s="37" t="n">
        <v>35000</v>
      </c>
      <c r="S23" s="37" t="n">
        <v>35000</v>
      </c>
      <c r="T23" s="37" t="n">
        <v>28000</v>
      </c>
      <c r="U23" s="37" t="n">
        <v>35000</v>
      </c>
      <c r="V23" s="37" t="n">
        <v>28000</v>
      </c>
      <c r="W23" s="37" t="n">
        <v>35000</v>
      </c>
      <c r="X23" s="17" t="n">
        <f aca="false">IFERROR(AVERAGEIF(D23:H23,"&lt;&gt;0"),"")</f>
        <v>29400</v>
      </c>
      <c r="Y23" s="17" t="n">
        <f aca="false">IFERROR(AVERAGEIF(I23:M23,"&lt;&gt;0"),"")</f>
        <v>28000</v>
      </c>
      <c r="Z23" s="17" t="n">
        <f aca="false">IFERROR(AVERAGEIF(N23:R23,"&lt;&gt;0"),"")</f>
        <v>32666.6666666667</v>
      </c>
      <c r="AA23" s="17" t="n">
        <f aca="false">IFERROR(AVERAGEIF(S23:W23,"&lt;&gt;0"),"")</f>
        <v>32200</v>
      </c>
      <c r="AB23" s="17" t="n">
        <f aca="false">IFERROR(AVERAGEIF(D23:W23,"&lt;&gt;0"),"")</f>
        <v>30333.3333333333</v>
      </c>
    </row>
    <row r="24" customFormat="false" ht="15" hidden="false" customHeight="true" outlineLevel="0" collapsed="false">
      <c r="A24" s="5" t="n">
        <v>20</v>
      </c>
      <c r="B24" s="6" t="s">
        <v>350</v>
      </c>
      <c r="C24" s="5" t="s">
        <v>407</v>
      </c>
      <c r="D24" s="37" t="n">
        <v>28000</v>
      </c>
      <c r="E24" s="37" t="n">
        <v>28000</v>
      </c>
      <c r="F24" s="37" t="n">
        <v>35000</v>
      </c>
      <c r="G24" s="37" t="n">
        <v>28000</v>
      </c>
      <c r="H24" s="37" t="n">
        <v>28000</v>
      </c>
      <c r="I24" s="37" t="n">
        <v>28000</v>
      </c>
      <c r="J24" s="37" t="n">
        <v>28000</v>
      </c>
      <c r="K24" s="37" t="n">
        <v>28000</v>
      </c>
      <c r="L24" s="37" t="n">
        <v>28000</v>
      </c>
      <c r="M24" s="37" t="n">
        <v>28000</v>
      </c>
      <c r="N24" s="37" t="n">
        <v>0</v>
      </c>
      <c r="O24" s="37" t="n">
        <v>0</v>
      </c>
      <c r="P24" s="37" t="n">
        <v>35000</v>
      </c>
      <c r="Q24" s="37" t="n">
        <v>28000</v>
      </c>
      <c r="R24" s="37" t="n">
        <v>35000</v>
      </c>
      <c r="S24" s="37" t="n">
        <v>35000</v>
      </c>
      <c r="T24" s="37" t="n">
        <v>28000</v>
      </c>
      <c r="U24" s="37" t="n">
        <v>35000</v>
      </c>
      <c r="V24" s="37" t="n">
        <v>28000</v>
      </c>
      <c r="W24" s="37" t="n">
        <v>35000</v>
      </c>
      <c r="X24" s="17" t="n">
        <f aca="false">IFERROR(AVERAGEIF(D24:H24,"&lt;&gt;0"),"")</f>
        <v>29400</v>
      </c>
      <c r="Y24" s="17" t="n">
        <f aca="false">IFERROR(AVERAGEIF(I24:M24,"&lt;&gt;0"),"")</f>
        <v>28000</v>
      </c>
      <c r="Z24" s="17" t="n">
        <f aca="false">IFERROR(AVERAGEIF(N24:R24,"&lt;&gt;0"),"")</f>
        <v>32666.6666666667</v>
      </c>
      <c r="AA24" s="17" t="n">
        <f aca="false">IFERROR(AVERAGEIF(S24:W24,"&lt;&gt;0"),"")</f>
        <v>32200</v>
      </c>
      <c r="AB24" s="17" t="n">
        <f aca="false">IFERROR(AVERAGEIF(D24:W24,"&lt;&gt;0"),"")</f>
        <v>30333.3333333333</v>
      </c>
    </row>
    <row r="25" customFormat="false" ht="15" hidden="false" customHeight="true" outlineLevel="0" collapsed="false">
      <c r="A25" s="5" t="n">
        <v>21</v>
      </c>
      <c r="B25" s="6" t="s">
        <v>410</v>
      </c>
      <c r="C25" s="5" t="s">
        <v>407</v>
      </c>
      <c r="D25" s="37" t="n">
        <v>60000</v>
      </c>
      <c r="E25" s="37" t="n">
        <v>60000</v>
      </c>
      <c r="F25" s="37" t="n">
        <v>80000</v>
      </c>
      <c r="G25" s="37" t="n">
        <v>60000</v>
      </c>
      <c r="H25" s="37" t="n">
        <v>60000</v>
      </c>
      <c r="I25" s="37" t="n">
        <v>60000</v>
      </c>
      <c r="J25" s="37" t="n">
        <v>60000</v>
      </c>
      <c r="K25" s="37" t="n">
        <v>60000</v>
      </c>
      <c r="L25" s="37" t="n">
        <v>60000</v>
      </c>
      <c r="M25" s="37" t="n">
        <v>60000</v>
      </c>
      <c r="N25" s="37" t="n">
        <v>0</v>
      </c>
      <c r="O25" s="37" t="n">
        <v>0</v>
      </c>
      <c r="P25" s="37" t="n">
        <v>80000</v>
      </c>
      <c r="Q25" s="37" t="n">
        <v>60000</v>
      </c>
      <c r="R25" s="37" t="n">
        <v>80000</v>
      </c>
      <c r="S25" s="37" t="n">
        <v>80000</v>
      </c>
      <c r="T25" s="37" t="n">
        <v>60000</v>
      </c>
      <c r="U25" s="37" t="n">
        <v>80000</v>
      </c>
      <c r="V25" s="37" t="n">
        <v>60000</v>
      </c>
      <c r="W25" s="37" t="n">
        <v>80000</v>
      </c>
      <c r="X25" s="17" t="n">
        <f aca="false">IFERROR(AVERAGEIF(D25:H25,"&lt;&gt;0"),"")</f>
        <v>64000</v>
      </c>
      <c r="Y25" s="17" t="n">
        <f aca="false">IFERROR(AVERAGEIF(I25:M25,"&lt;&gt;0"),"")</f>
        <v>60000</v>
      </c>
      <c r="Z25" s="17" t="n">
        <f aca="false">IFERROR(AVERAGEIF(N25:R25,"&lt;&gt;0"),"")</f>
        <v>73333.3333333333</v>
      </c>
      <c r="AA25" s="17" t="n">
        <f aca="false">IFERROR(AVERAGEIF(S25:W25,"&lt;&gt;0"),"")</f>
        <v>72000</v>
      </c>
      <c r="AB25" s="17" t="n">
        <f aca="false">IFERROR(AVERAGEIF(D25:W25,"&lt;&gt;0"),"")</f>
        <v>66666.6666666667</v>
      </c>
    </row>
    <row r="26" customFormat="false" ht="21.75" hidden="false" customHeight="true" outlineLevel="0" collapsed="false">
      <c r="A26" s="5" t="n">
        <v>22</v>
      </c>
      <c r="B26" s="6" t="s">
        <v>357</v>
      </c>
      <c r="C26" s="5" t="s">
        <v>454</v>
      </c>
      <c r="D26" s="37" t="n">
        <v>2800</v>
      </c>
      <c r="E26" s="37" t="n">
        <v>2800</v>
      </c>
      <c r="F26" s="37" t="n">
        <v>2800</v>
      </c>
      <c r="G26" s="37" t="n">
        <v>2800</v>
      </c>
      <c r="H26" s="37" t="n">
        <v>2800</v>
      </c>
      <c r="I26" s="37" t="n">
        <v>2800</v>
      </c>
      <c r="J26" s="37" t="n">
        <v>2800</v>
      </c>
      <c r="K26" s="37" t="n">
        <v>2800</v>
      </c>
      <c r="L26" s="37" t="n">
        <v>2800</v>
      </c>
      <c r="M26" s="37" t="n">
        <v>2800</v>
      </c>
      <c r="N26" s="37" t="n">
        <v>0</v>
      </c>
      <c r="O26" s="37" t="n">
        <v>0</v>
      </c>
      <c r="P26" s="37" t="n">
        <v>2800</v>
      </c>
      <c r="Q26" s="37" t="n">
        <v>2800</v>
      </c>
      <c r="R26" s="37" t="n">
        <v>2800</v>
      </c>
      <c r="S26" s="37" t="n">
        <v>2800</v>
      </c>
      <c r="T26" s="37" t="n">
        <v>2800</v>
      </c>
      <c r="U26" s="37" t="n">
        <v>2800</v>
      </c>
      <c r="V26" s="37" t="n">
        <v>2800</v>
      </c>
      <c r="W26" s="37" t="n">
        <v>2800</v>
      </c>
      <c r="X26" s="17" t="n">
        <f aca="false">IFERROR(AVERAGEIF(D26:H26,"&lt;&gt;0"),"")</f>
        <v>2800</v>
      </c>
      <c r="Y26" s="17" t="n">
        <f aca="false">IFERROR(AVERAGEIF(I26:M26,"&lt;&gt;0"),"")</f>
        <v>2800</v>
      </c>
      <c r="Z26" s="17" t="n">
        <f aca="false">IFERROR(AVERAGEIF(N26:R26,"&lt;&gt;0"),"")</f>
        <v>2800</v>
      </c>
      <c r="AA26" s="17" t="n">
        <f aca="false">IFERROR(AVERAGEIF(S26:W26,"&lt;&gt;0"),"")</f>
        <v>2800</v>
      </c>
      <c r="AB26" s="17" t="n">
        <f aca="false">IFERROR(AVERAGEIF(D26:W26,"&lt;&gt;0"),"")</f>
        <v>2800</v>
      </c>
    </row>
    <row r="27" customFormat="false" ht="15" hidden="false" customHeight="true" outlineLevel="0" collapsed="false">
      <c r="A27" s="5" t="n">
        <v>23</v>
      </c>
      <c r="B27" s="6" t="s">
        <v>355</v>
      </c>
      <c r="C27" s="5" t="s">
        <v>407</v>
      </c>
      <c r="D27" s="37" t="n">
        <v>24000</v>
      </c>
      <c r="E27" s="37" t="n">
        <v>24000</v>
      </c>
      <c r="F27" s="37" t="n">
        <v>30000</v>
      </c>
      <c r="G27" s="37" t="n">
        <v>24000</v>
      </c>
      <c r="H27" s="37" t="n">
        <v>24000</v>
      </c>
      <c r="I27" s="37" t="n">
        <v>24500</v>
      </c>
      <c r="J27" s="37" t="n">
        <v>24500</v>
      </c>
      <c r="K27" s="37" t="n">
        <v>24500</v>
      </c>
      <c r="L27" s="37" t="n">
        <v>24500</v>
      </c>
      <c r="M27" s="37" t="n">
        <v>25000</v>
      </c>
      <c r="N27" s="37" t="n">
        <v>0</v>
      </c>
      <c r="O27" s="37" t="n">
        <v>0</v>
      </c>
      <c r="P27" s="37" t="n">
        <v>30000</v>
      </c>
      <c r="Q27" s="37" t="n">
        <v>25000</v>
      </c>
      <c r="R27" s="37" t="n">
        <v>30000</v>
      </c>
      <c r="S27" s="37" t="n">
        <v>30000</v>
      </c>
      <c r="T27" s="37" t="n">
        <v>25000</v>
      </c>
      <c r="U27" s="37" t="n">
        <v>30000</v>
      </c>
      <c r="V27" s="37" t="n">
        <v>25000</v>
      </c>
      <c r="W27" s="37" t="n">
        <v>30000</v>
      </c>
      <c r="X27" s="17" t="n">
        <f aca="false">IFERROR(AVERAGEIF(D27:H27,"&lt;&gt;0"),"")</f>
        <v>25200</v>
      </c>
      <c r="Y27" s="17" t="n">
        <f aca="false">IFERROR(AVERAGEIF(I27:M27,"&lt;&gt;0"),"")</f>
        <v>24600</v>
      </c>
      <c r="Z27" s="17" t="n">
        <f aca="false">IFERROR(AVERAGEIF(N27:R27,"&lt;&gt;0"),"")</f>
        <v>28333.3333333333</v>
      </c>
      <c r="AA27" s="17" t="n">
        <f aca="false">IFERROR(AVERAGEIF(S27:W27,"&lt;&gt;0"),"")</f>
        <v>28000</v>
      </c>
      <c r="AB27" s="17" t="n">
        <f aca="false">IFERROR(AVERAGEIF(D27:W27,"&lt;&gt;0"),"")</f>
        <v>26333.3333333333</v>
      </c>
    </row>
    <row r="28" customFormat="false" ht="15" hidden="false" customHeight="true" outlineLevel="0" collapsed="false">
      <c r="A28" s="5" t="n">
        <v>24</v>
      </c>
      <c r="B28" s="6" t="s">
        <v>356</v>
      </c>
      <c r="C28" s="5" t="s">
        <v>407</v>
      </c>
      <c r="D28" s="37" t="n">
        <v>30000</v>
      </c>
      <c r="E28" s="37" t="n">
        <v>30000</v>
      </c>
      <c r="F28" s="37" t="n">
        <v>35000</v>
      </c>
      <c r="G28" s="37" t="n">
        <v>30000</v>
      </c>
      <c r="H28" s="37" t="n">
        <v>30000</v>
      </c>
      <c r="I28" s="37" t="n">
        <v>30000</v>
      </c>
      <c r="J28" s="37" t="n">
        <v>30000</v>
      </c>
      <c r="K28" s="37" t="n">
        <v>30000</v>
      </c>
      <c r="L28" s="37" t="n">
        <v>30000</v>
      </c>
      <c r="M28" s="37" t="n">
        <v>30000</v>
      </c>
      <c r="N28" s="37" t="n">
        <v>0</v>
      </c>
      <c r="O28" s="37" t="n">
        <v>0</v>
      </c>
      <c r="P28" s="37" t="n">
        <v>35000</v>
      </c>
      <c r="Q28" s="37" t="n">
        <v>30000</v>
      </c>
      <c r="R28" s="37" t="n">
        <v>35000</v>
      </c>
      <c r="S28" s="37" t="n">
        <v>35000</v>
      </c>
      <c r="T28" s="37" t="n">
        <v>30000</v>
      </c>
      <c r="U28" s="37" t="n">
        <v>35000</v>
      </c>
      <c r="V28" s="37" t="n">
        <v>30000</v>
      </c>
      <c r="W28" s="37" t="n">
        <v>35000</v>
      </c>
      <c r="X28" s="17" t="n">
        <f aca="false">IFERROR(AVERAGEIF(D28:H28,"&lt;&gt;0"),"")</f>
        <v>31000</v>
      </c>
      <c r="Y28" s="17" t="n">
        <f aca="false">IFERROR(AVERAGEIF(I28:M28,"&lt;&gt;0"),"")</f>
        <v>30000</v>
      </c>
      <c r="Z28" s="17" t="n">
        <f aca="false">IFERROR(AVERAGEIF(N28:R28,"&lt;&gt;0"),"")</f>
        <v>33333.3333333333</v>
      </c>
      <c r="AA28" s="17" t="n">
        <f aca="false">IFERROR(AVERAGEIF(S28:W28,"&lt;&gt;0"),"")</f>
        <v>33000</v>
      </c>
      <c r="AB28" s="17" t="n">
        <f aca="false">IFERROR(AVERAGEIF(D28:W28,"&lt;&gt;0"),"")</f>
        <v>31666.6666666667</v>
      </c>
    </row>
    <row r="29" customFormat="false" ht="15" hidden="false" customHeight="true" outlineLevel="0" collapsed="false">
      <c r="A29" s="5" t="n">
        <v>25</v>
      </c>
      <c r="B29" s="6" t="s">
        <v>411</v>
      </c>
      <c r="C29" s="5" t="s">
        <v>407</v>
      </c>
      <c r="D29" s="37" t="n">
        <v>27000</v>
      </c>
      <c r="E29" s="37" t="n">
        <v>27000</v>
      </c>
      <c r="F29" s="37" t="n">
        <v>34000</v>
      </c>
      <c r="G29" s="37" t="n">
        <v>27000</v>
      </c>
      <c r="H29" s="37" t="n">
        <v>27000</v>
      </c>
      <c r="I29" s="37" t="n">
        <v>27000</v>
      </c>
      <c r="J29" s="37" t="n">
        <v>27000</v>
      </c>
      <c r="K29" s="37" t="n">
        <v>27000</v>
      </c>
      <c r="L29" s="37" t="n">
        <v>27000</v>
      </c>
      <c r="M29" s="37" t="n">
        <v>27000</v>
      </c>
      <c r="N29" s="37" t="n">
        <v>0</v>
      </c>
      <c r="O29" s="37" t="n">
        <v>0</v>
      </c>
      <c r="P29" s="37" t="n">
        <v>34000</v>
      </c>
      <c r="Q29" s="37" t="n">
        <v>27000</v>
      </c>
      <c r="R29" s="37" t="n">
        <v>34000</v>
      </c>
      <c r="S29" s="37" t="n">
        <v>34000</v>
      </c>
      <c r="T29" s="37" t="n">
        <v>27000</v>
      </c>
      <c r="U29" s="37" t="n">
        <v>34000</v>
      </c>
      <c r="V29" s="37" t="n">
        <v>27000</v>
      </c>
      <c r="W29" s="37" t="n">
        <v>34000</v>
      </c>
      <c r="X29" s="17" t="n">
        <f aca="false">IFERROR(AVERAGEIF(D29:H29,"&lt;&gt;0"),"")</f>
        <v>28400</v>
      </c>
      <c r="Y29" s="17" t="n">
        <f aca="false">IFERROR(AVERAGEIF(I29:M29,"&lt;&gt;0"),"")</f>
        <v>27000</v>
      </c>
      <c r="Z29" s="17" t="n">
        <f aca="false">IFERROR(AVERAGEIF(N29:R29,"&lt;&gt;0"),"")</f>
        <v>31666.6666666667</v>
      </c>
      <c r="AA29" s="17" t="n">
        <f aca="false">IFERROR(AVERAGEIF(S29:W29,"&lt;&gt;0"),"")</f>
        <v>31200</v>
      </c>
      <c r="AB29" s="17" t="n">
        <f aca="false">IFERROR(AVERAGEIF(D29:W29,"&lt;&gt;0"),"")</f>
        <v>29333.3333333333</v>
      </c>
    </row>
    <row r="30" customFormat="false" ht="15" hidden="false" customHeight="true" outlineLevel="0" collapsed="false">
      <c r="A30" s="5" t="n">
        <v>26</v>
      </c>
      <c r="B30" s="6" t="s">
        <v>412</v>
      </c>
      <c r="C30" s="5" t="s">
        <v>407</v>
      </c>
      <c r="D30" s="37" t="n">
        <v>8000</v>
      </c>
      <c r="E30" s="37" t="n">
        <v>8000</v>
      </c>
      <c r="F30" s="37" t="n">
        <v>8000</v>
      </c>
      <c r="G30" s="37" t="n">
        <v>8000</v>
      </c>
      <c r="H30" s="37" t="n">
        <v>8000</v>
      </c>
      <c r="I30" s="37" t="n">
        <v>8000</v>
      </c>
      <c r="J30" s="37" t="n">
        <v>8000</v>
      </c>
      <c r="K30" s="37" t="n">
        <v>8000</v>
      </c>
      <c r="L30" s="37" t="n">
        <v>8000</v>
      </c>
      <c r="M30" s="37" t="n">
        <v>8000</v>
      </c>
      <c r="N30" s="37" t="n">
        <v>0</v>
      </c>
      <c r="O30" s="37" t="n">
        <v>0</v>
      </c>
      <c r="P30" s="37" t="n">
        <v>8000</v>
      </c>
      <c r="Q30" s="37" t="n">
        <v>8000</v>
      </c>
      <c r="R30" s="37" t="n">
        <v>8000</v>
      </c>
      <c r="S30" s="37" t="n">
        <v>8000</v>
      </c>
      <c r="T30" s="37" t="n">
        <v>8000</v>
      </c>
      <c r="U30" s="37" t="n">
        <v>8000</v>
      </c>
      <c r="V30" s="37" t="n">
        <v>8000</v>
      </c>
      <c r="W30" s="37" t="n">
        <v>8000</v>
      </c>
      <c r="X30" s="17" t="n">
        <f aca="false">IFERROR(AVERAGEIF(D30:H30,"&lt;&gt;0"),"")</f>
        <v>8000</v>
      </c>
      <c r="Y30" s="17" t="n">
        <f aca="false">IFERROR(AVERAGEIF(I30:M30,"&lt;&gt;0"),"")</f>
        <v>8000</v>
      </c>
      <c r="Z30" s="17" t="n">
        <f aca="false">IFERROR(AVERAGEIF(N30:R30,"&lt;&gt;0"),"")</f>
        <v>8000</v>
      </c>
      <c r="AA30" s="17" t="n">
        <f aca="false">IFERROR(AVERAGEIF(S30:W30,"&lt;&gt;0"),"")</f>
        <v>8000</v>
      </c>
      <c r="AB30" s="17" t="n">
        <f aca="false">IFERROR(AVERAGEIF(D30:W30,"&lt;&gt;0"),"")</f>
        <v>8000</v>
      </c>
    </row>
    <row r="31" customFormat="false" ht="15" hidden="false" customHeight="true" outlineLevel="0" collapsed="false">
      <c r="A31" s="5" t="n">
        <v>27</v>
      </c>
      <c r="B31" s="6" t="s">
        <v>358</v>
      </c>
      <c r="C31" s="5" t="s">
        <v>455</v>
      </c>
      <c r="D31" s="37" t="n">
        <v>10500</v>
      </c>
      <c r="E31" s="37" t="n">
        <v>10500</v>
      </c>
      <c r="F31" s="37" t="n">
        <v>10500</v>
      </c>
      <c r="G31" s="37" t="n">
        <v>10500</v>
      </c>
      <c r="H31" s="37" t="n">
        <v>10500</v>
      </c>
      <c r="I31" s="37" t="n">
        <v>10500</v>
      </c>
      <c r="J31" s="37" t="n">
        <v>10500</v>
      </c>
      <c r="K31" s="37" t="n">
        <v>10500</v>
      </c>
      <c r="L31" s="37" t="n">
        <v>10500</v>
      </c>
      <c r="M31" s="37" t="n">
        <v>10500</v>
      </c>
      <c r="N31" s="37" t="n">
        <v>0</v>
      </c>
      <c r="O31" s="37" t="n">
        <v>0</v>
      </c>
      <c r="P31" s="37" t="n">
        <v>10500</v>
      </c>
      <c r="Q31" s="37" t="n">
        <v>10500</v>
      </c>
      <c r="R31" s="37" t="n">
        <v>10500</v>
      </c>
      <c r="S31" s="37" t="n">
        <v>10500</v>
      </c>
      <c r="T31" s="37" t="n">
        <v>10500</v>
      </c>
      <c r="U31" s="37" t="n">
        <v>10500</v>
      </c>
      <c r="V31" s="37" t="n">
        <v>10500</v>
      </c>
      <c r="W31" s="37" t="n">
        <v>10500</v>
      </c>
      <c r="X31" s="17" t="n">
        <f aca="false">IFERROR(AVERAGEIF(D31:H31,"&lt;&gt;0"),"")</f>
        <v>10500</v>
      </c>
      <c r="Y31" s="17" t="n">
        <f aca="false">IFERROR(AVERAGEIF(I31:M31,"&lt;&gt;0"),"")</f>
        <v>10500</v>
      </c>
      <c r="Z31" s="17" t="n">
        <f aca="false">IFERROR(AVERAGEIF(N31:R31,"&lt;&gt;0"),"")</f>
        <v>10500</v>
      </c>
      <c r="AA31" s="17" t="n">
        <f aca="false">IFERROR(AVERAGEIF(S31:W31,"&lt;&gt;0"),"")</f>
        <v>10500</v>
      </c>
      <c r="AB31" s="17" t="n">
        <f aca="false">IFERROR(AVERAGEIF(D31:W31,"&lt;&gt;0"),"")</f>
        <v>10500</v>
      </c>
    </row>
    <row r="32" customFormat="false" ht="15" hidden="false" customHeight="true" outlineLevel="0" collapsed="false">
      <c r="A32" s="5" t="n">
        <v>28</v>
      </c>
      <c r="B32" s="6" t="s">
        <v>352</v>
      </c>
      <c r="C32" s="5" t="s">
        <v>456</v>
      </c>
      <c r="D32" s="37" t="n">
        <v>42000</v>
      </c>
      <c r="E32" s="37" t="n">
        <v>42000</v>
      </c>
      <c r="F32" s="37" t="n">
        <v>42000</v>
      </c>
      <c r="G32" s="37" t="n">
        <v>42000</v>
      </c>
      <c r="H32" s="37" t="n">
        <v>42000</v>
      </c>
      <c r="I32" s="37" t="n">
        <v>42000</v>
      </c>
      <c r="J32" s="37" t="n">
        <v>42000</v>
      </c>
      <c r="K32" s="37" t="n">
        <v>42000</v>
      </c>
      <c r="L32" s="37" t="n">
        <v>42000</v>
      </c>
      <c r="M32" s="37" t="n">
        <v>42000</v>
      </c>
      <c r="N32" s="37" t="n">
        <v>0</v>
      </c>
      <c r="O32" s="37" t="n">
        <v>0</v>
      </c>
      <c r="P32" s="37" t="n">
        <v>42000</v>
      </c>
      <c r="Q32" s="37" t="n">
        <v>42000</v>
      </c>
      <c r="R32" s="37" t="n">
        <v>42000</v>
      </c>
      <c r="S32" s="37" t="n">
        <v>42000</v>
      </c>
      <c r="T32" s="37" t="n">
        <v>42000</v>
      </c>
      <c r="U32" s="37" t="n">
        <v>42000</v>
      </c>
      <c r="V32" s="37" t="n">
        <v>42000</v>
      </c>
      <c r="W32" s="37" t="n">
        <v>42000</v>
      </c>
      <c r="X32" s="17" t="n">
        <f aca="false">IFERROR(AVERAGEIF(D32:H32,"&lt;&gt;0"),"")</f>
        <v>42000</v>
      </c>
      <c r="Y32" s="17" t="n">
        <f aca="false">IFERROR(AVERAGEIF(I32:M32,"&lt;&gt;0"),"")</f>
        <v>42000</v>
      </c>
      <c r="Z32" s="17" t="n">
        <f aca="false">IFERROR(AVERAGEIF(N32:R32,"&lt;&gt;0"),"")</f>
        <v>42000</v>
      </c>
      <c r="AA32" s="17" t="n">
        <f aca="false">IFERROR(AVERAGEIF(S32:W32,"&lt;&gt;0"),"")</f>
        <v>42000</v>
      </c>
      <c r="AB32" s="17" t="n">
        <f aca="false">IFERROR(AVERAGEIF(D32:W32,"&lt;&gt;0"),"")</f>
        <v>42000</v>
      </c>
    </row>
    <row r="33" customFormat="false" ht="15" hidden="false" customHeight="true" outlineLevel="0" collapsed="false">
      <c r="A33" s="5" t="n">
        <v>29</v>
      </c>
      <c r="B33" s="6" t="s">
        <v>365</v>
      </c>
      <c r="C33" s="5" t="s">
        <v>407</v>
      </c>
      <c r="D33" s="37" t="n">
        <v>8000</v>
      </c>
      <c r="E33" s="37" t="n">
        <v>8000</v>
      </c>
      <c r="F33" s="37" t="n">
        <v>10000</v>
      </c>
      <c r="G33" s="37" t="n">
        <v>8000</v>
      </c>
      <c r="H33" s="37" t="n">
        <v>8000</v>
      </c>
      <c r="I33" s="37" t="n">
        <v>8000</v>
      </c>
      <c r="J33" s="37" t="n">
        <v>8000</v>
      </c>
      <c r="K33" s="37" t="n">
        <v>8000</v>
      </c>
      <c r="L33" s="37" t="n">
        <v>8000</v>
      </c>
      <c r="M33" s="37" t="n">
        <v>8000</v>
      </c>
      <c r="N33" s="37" t="n">
        <v>0</v>
      </c>
      <c r="O33" s="37" t="n">
        <v>0</v>
      </c>
      <c r="P33" s="37" t="n">
        <v>10000</v>
      </c>
      <c r="Q33" s="37" t="n">
        <v>8000</v>
      </c>
      <c r="R33" s="37" t="n">
        <v>10000</v>
      </c>
      <c r="S33" s="37" t="n">
        <v>10000</v>
      </c>
      <c r="T33" s="37" t="n">
        <v>8000</v>
      </c>
      <c r="U33" s="37" t="n">
        <v>10000</v>
      </c>
      <c r="V33" s="37" t="n">
        <v>8000</v>
      </c>
      <c r="W33" s="37" t="n">
        <v>10000</v>
      </c>
      <c r="X33" s="17" t="n">
        <f aca="false">IFERROR(AVERAGEIF(D33:H33,"&lt;&gt;0"),"")</f>
        <v>8400</v>
      </c>
      <c r="Y33" s="17" t="n">
        <f aca="false">IFERROR(AVERAGEIF(I33:M33,"&lt;&gt;0"),"")</f>
        <v>8000</v>
      </c>
      <c r="Z33" s="17" t="n">
        <f aca="false">IFERROR(AVERAGEIF(N33:R33,"&lt;&gt;0"),"")</f>
        <v>9333.33333333333</v>
      </c>
      <c r="AA33" s="17" t="n">
        <f aca="false">IFERROR(AVERAGEIF(S33:W33,"&lt;&gt;0"),"")</f>
        <v>9200</v>
      </c>
      <c r="AB33" s="17" t="n">
        <f aca="false">IFERROR(AVERAGEIF(D33:W33,"&lt;&gt;0"),"")</f>
        <v>8666.66666666667</v>
      </c>
    </row>
    <row r="34" customFormat="false" ht="15" hidden="false" customHeight="true" outlineLevel="0" collapsed="false">
      <c r="A34" s="5" t="n">
        <v>30</v>
      </c>
      <c r="B34" s="6" t="s">
        <v>338</v>
      </c>
      <c r="C34" s="5" t="s">
        <v>407</v>
      </c>
      <c r="D34" s="37" t="n">
        <v>6000</v>
      </c>
      <c r="E34" s="37" t="n">
        <v>6000</v>
      </c>
      <c r="F34" s="37" t="n">
        <v>6000</v>
      </c>
      <c r="G34" s="37" t="n">
        <v>6000</v>
      </c>
      <c r="H34" s="37" t="n">
        <v>6000</v>
      </c>
      <c r="I34" s="37" t="n">
        <v>6000</v>
      </c>
      <c r="J34" s="37" t="n">
        <v>6000</v>
      </c>
      <c r="K34" s="37" t="n">
        <v>6000</v>
      </c>
      <c r="L34" s="37" t="n">
        <v>6000</v>
      </c>
      <c r="M34" s="37" t="n">
        <v>6000</v>
      </c>
      <c r="N34" s="37" t="n">
        <v>0</v>
      </c>
      <c r="O34" s="37" t="n">
        <v>0</v>
      </c>
      <c r="P34" s="37" t="n">
        <v>6000</v>
      </c>
      <c r="Q34" s="37" t="n">
        <v>6000</v>
      </c>
      <c r="R34" s="37" t="n">
        <v>6000</v>
      </c>
      <c r="S34" s="37" t="n">
        <v>6000</v>
      </c>
      <c r="T34" s="37" t="n">
        <v>6000</v>
      </c>
      <c r="U34" s="37" t="n">
        <v>6000</v>
      </c>
      <c r="V34" s="37" t="n">
        <v>6000</v>
      </c>
      <c r="W34" s="37" t="n">
        <v>6000</v>
      </c>
      <c r="X34" s="17" t="n">
        <f aca="false">IFERROR(AVERAGEIF(D34:H34,"&lt;&gt;0"),"")</f>
        <v>6000</v>
      </c>
      <c r="Y34" s="17" t="n">
        <f aca="false">IFERROR(AVERAGEIF(I34:M34,"&lt;&gt;0"),"")</f>
        <v>6000</v>
      </c>
      <c r="Z34" s="17" t="n">
        <f aca="false">IFERROR(AVERAGEIF(N34:R34,"&lt;&gt;0"),"")</f>
        <v>6000</v>
      </c>
      <c r="AA34" s="17" t="n">
        <f aca="false">IFERROR(AVERAGEIF(S34:W34,"&lt;&gt;0"),"")</f>
        <v>6000</v>
      </c>
      <c r="AB34" s="17" t="n">
        <f aca="false">IFERROR(AVERAGEIF(D34:W34,"&lt;&gt;0"),"")</f>
        <v>6000</v>
      </c>
    </row>
    <row r="35" customFormat="false" ht="15" hidden="false" customHeight="true" outlineLevel="0" collapsed="false">
      <c r="A35" s="5" t="n">
        <v>31</v>
      </c>
      <c r="B35" s="6" t="s">
        <v>343</v>
      </c>
      <c r="C35" s="5" t="s">
        <v>407</v>
      </c>
      <c r="D35" s="37" t="n">
        <v>70000</v>
      </c>
      <c r="E35" s="37" t="n">
        <v>70000</v>
      </c>
      <c r="F35" s="37" t="n">
        <v>70000</v>
      </c>
      <c r="G35" s="37" t="n">
        <v>70000</v>
      </c>
      <c r="H35" s="37" t="n">
        <v>70000</v>
      </c>
      <c r="I35" s="37" t="n">
        <v>70000</v>
      </c>
      <c r="J35" s="37" t="n">
        <v>70000</v>
      </c>
      <c r="K35" s="37" t="n">
        <v>70000</v>
      </c>
      <c r="L35" s="37" t="n">
        <v>70000</v>
      </c>
      <c r="M35" s="37" t="n">
        <v>70000</v>
      </c>
      <c r="N35" s="37" t="n">
        <v>0</v>
      </c>
      <c r="O35" s="37" t="n">
        <v>0</v>
      </c>
      <c r="P35" s="37" t="n">
        <v>70000</v>
      </c>
      <c r="Q35" s="37" t="n">
        <v>70000</v>
      </c>
      <c r="R35" s="37" t="n">
        <v>70000</v>
      </c>
      <c r="S35" s="37" t="n">
        <v>70000</v>
      </c>
      <c r="T35" s="37" t="n">
        <v>70000</v>
      </c>
      <c r="U35" s="37" t="n">
        <v>70000</v>
      </c>
      <c r="V35" s="37" t="n">
        <v>70000</v>
      </c>
      <c r="W35" s="37" t="n">
        <v>70000</v>
      </c>
      <c r="X35" s="17" t="n">
        <f aca="false">IFERROR(AVERAGEIF(D35:H35,"&lt;&gt;0"),"")</f>
        <v>70000</v>
      </c>
      <c r="Y35" s="17" t="n">
        <f aca="false">IFERROR(AVERAGEIF(I35:M35,"&lt;&gt;0"),"")</f>
        <v>70000</v>
      </c>
      <c r="Z35" s="17" t="n">
        <f aca="false">IFERROR(AVERAGEIF(N35:R35,"&lt;&gt;0"),"")</f>
        <v>70000</v>
      </c>
      <c r="AA35" s="17" t="n">
        <f aca="false">IFERROR(AVERAGEIF(S35:W35,"&lt;&gt;0"),"")</f>
        <v>70000</v>
      </c>
      <c r="AB35" s="17" t="n">
        <f aca="false">IFERROR(AVERAGEIF(D35:W35,"&lt;&gt;0"),"")</f>
        <v>70000</v>
      </c>
    </row>
    <row r="36" customFormat="false" ht="15" hidden="false" customHeight="true" outlineLevel="0" collapsed="false">
      <c r="A36" s="5" t="n">
        <v>32</v>
      </c>
      <c r="B36" s="6" t="s">
        <v>345</v>
      </c>
      <c r="C36" s="5" t="s">
        <v>407</v>
      </c>
      <c r="D36" s="37" t="n">
        <v>11000</v>
      </c>
      <c r="E36" s="37" t="n">
        <v>11000</v>
      </c>
      <c r="F36" s="37" t="n">
        <v>12000</v>
      </c>
      <c r="G36" s="37" t="n">
        <v>11000</v>
      </c>
      <c r="H36" s="37" t="n">
        <v>11000</v>
      </c>
      <c r="I36" s="37" t="n">
        <v>11000</v>
      </c>
      <c r="J36" s="37" t="n">
        <v>11000</v>
      </c>
      <c r="K36" s="37" t="n">
        <v>11000</v>
      </c>
      <c r="L36" s="37" t="n">
        <v>11000</v>
      </c>
      <c r="M36" s="37" t="n">
        <v>11000</v>
      </c>
      <c r="N36" s="37" t="n">
        <v>0</v>
      </c>
      <c r="O36" s="37" t="n">
        <v>0</v>
      </c>
      <c r="P36" s="37" t="n">
        <v>12000</v>
      </c>
      <c r="Q36" s="37" t="n">
        <v>11000</v>
      </c>
      <c r="R36" s="37" t="n">
        <v>12000</v>
      </c>
      <c r="S36" s="37" t="n">
        <v>12000</v>
      </c>
      <c r="T36" s="37" t="n">
        <v>11000</v>
      </c>
      <c r="U36" s="37" t="n">
        <v>12000</v>
      </c>
      <c r="V36" s="37" t="n">
        <v>11000</v>
      </c>
      <c r="W36" s="37" t="n">
        <v>12000</v>
      </c>
      <c r="X36" s="17" t="n">
        <f aca="false">IFERROR(AVERAGEIF(D36:H36,"&lt;&gt;0"),"")</f>
        <v>11200</v>
      </c>
      <c r="Y36" s="17" t="n">
        <f aca="false">IFERROR(AVERAGEIF(I36:M36,"&lt;&gt;0"),"")</f>
        <v>11000</v>
      </c>
      <c r="Z36" s="17" t="n">
        <f aca="false">IFERROR(AVERAGEIF(N36:R36,"&lt;&gt;0"),"")</f>
        <v>11666.6666666667</v>
      </c>
      <c r="AA36" s="17" t="n">
        <f aca="false">IFERROR(AVERAGEIF(S36:W36,"&lt;&gt;0"),"")</f>
        <v>11600</v>
      </c>
      <c r="AB36" s="17" t="n">
        <f aca="false">IFERROR(AVERAGEIF(D36:W36,"&lt;&gt;0"),"")</f>
        <v>11333.3333333333</v>
      </c>
    </row>
    <row r="37" customFormat="false" ht="15" hidden="false" customHeight="true" outlineLevel="0" collapsed="false">
      <c r="A37" s="5" t="n">
        <v>33</v>
      </c>
      <c r="B37" s="6" t="s">
        <v>366</v>
      </c>
      <c r="C37" s="5" t="s">
        <v>407</v>
      </c>
      <c r="D37" s="37" t="n">
        <v>7000</v>
      </c>
      <c r="E37" s="37" t="n">
        <v>7000</v>
      </c>
      <c r="F37" s="37" t="n">
        <v>8000</v>
      </c>
      <c r="G37" s="37" t="n">
        <v>7000</v>
      </c>
      <c r="H37" s="37" t="n">
        <v>7000</v>
      </c>
      <c r="I37" s="37" t="n">
        <v>7000</v>
      </c>
      <c r="J37" s="37" t="n">
        <v>7000</v>
      </c>
      <c r="K37" s="37" t="n">
        <v>7000</v>
      </c>
      <c r="L37" s="37" t="n">
        <v>7000</v>
      </c>
      <c r="M37" s="37" t="n">
        <v>7000</v>
      </c>
      <c r="N37" s="37" t="n">
        <v>0</v>
      </c>
      <c r="O37" s="37" t="n">
        <v>0</v>
      </c>
      <c r="P37" s="37" t="n">
        <v>8000</v>
      </c>
      <c r="Q37" s="37" t="n">
        <v>7000</v>
      </c>
      <c r="R37" s="37" t="n">
        <v>8000</v>
      </c>
      <c r="S37" s="37" t="n">
        <v>8000</v>
      </c>
      <c r="T37" s="37" t="n">
        <v>7000</v>
      </c>
      <c r="U37" s="37" t="n">
        <v>8000</v>
      </c>
      <c r="V37" s="37" t="n">
        <v>7000</v>
      </c>
      <c r="W37" s="37" t="n">
        <v>8000</v>
      </c>
      <c r="X37" s="17" t="n">
        <f aca="false">IFERROR(AVERAGEIF(D37:H37,"&lt;&gt;0"),"")</f>
        <v>7200</v>
      </c>
      <c r="Y37" s="17" t="n">
        <f aca="false">IFERROR(AVERAGEIF(I37:M37,"&lt;&gt;0"),"")</f>
        <v>7000</v>
      </c>
      <c r="Z37" s="17" t="n">
        <f aca="false">IFERROR(AVERAGEIF(N37:R37,"&lt;&gt;0"),"")</f>
        <v>7666.66666666667</v>
      </c>
      <c r="AA37" s="17" t="n">
        <f aca="false">IFERROR(AVERAGEIF(S37:W37,"&lt;&gt;0"),"")</f>
        <v>7600</v>
      </c>
      <c r="AB37" s="17" t="n">
        <f aca="false">IFERROR(AVERAGEIF(D37:W37,"&lt;&gt;0"),"")</f>
        <v>7333.33333333333</v>
      </c>
    </row>
    <row r="38" customFormat="false" ht="15" hidden="false" customHeight="true" outlineLevel="0" collapsed="false">
      <c r="A38" s="5" t="n">
        <v>34</v>
      </c>
      <c r="B38" s="6" t="s">
        <v>413</v>
      </c>
      <c r="C38" s="5" t="s">
        <v>407</v>
      </c>
      <c r="D38" s="37" t="n">
        <v>4000</v>
      </c>
      <c r="E38" s="37" t="n">
        <v>4000</v>
      </c>
      <c r="F38" s="37" t="n">
        <v>7000</v>
      </c>
      <c r="G38" s="37" t="n">
        <v>4000</v>
      </c>
      <c r="H38" s="37" t="n">
        <v>4000</v>
      </c>
      <c r="I38" s="37" t="n">
        <v>4000</v>
      </c>
      <c r="J38" s="37" t="n">
        <v>4000</v>
      </c>
      <c r="K38" s="37" t="n">
        <v>4000</v>
      </c>
      <c r="L38" s="37" t="n">
        <v>4000</v>
      </c>
      <c r="M38" s="37" t="n">
        <v>4000</v>
      </c>
      <c r="N38" s="37" t="n">
        <v>0</v>
      </c>
      <c r="O38" s="37" t="n">
        <v>0</v>
      </c>
      <c r="P38" s="37" t="n">
        <v>7000</v>
      </c>
      <c r="Q38" s="37" t="n">
        <v>4000</v>
      </c>
      <c r="R38" s="37" t="n">
        <v>7000</v>
      </c>
      <c r="S38" s="37" t="n">
        <v>7000</v>
      </c>
      <c r="T38" s="37" t="n">
        <v>4000</v>
      </c>
      <c r="U38" s="37" t="n">
        <v>7000</v>
      </c>
      <c r="V38" s="37" t="n">
        <v>4000</v>
      </c>
      <c r="W38" s="37" t="n">
        <v>7000</v>
      </c>
      <c r="X38" s="17" t="n">
        <f aca="false">IFERROR(AVERAGEIF(D38:H38,"&lt;&gt;0"),"")</f>
        <v>4600</v>
      </c>
      <c r="Y38" s="17" t="n">
        <f aca="false">IFERROR(AVERAGEIF(I38:M38,"&lt;&gt;0"),"")</f>
        <v>4000</v>
      </c>
      <c r="Z38" s="17" t="n">
        <f aca="false">IFERROR(AVERAGEIF(N38:R38,"&lt;&gt;0"),"")</f>
        <v>6000</v>
      </c>
      <c r="AA38" s="17" t="n">
        <f aca="false">IFERROR(AVERAGEIF(S38:W38,"&lt;&gt;0"),"")</f>
        <v>5800</v>
      </c>
      <c r="AB38" s="17" t="n">
        <f aca="false">IFERROR(AVERAGEIF(D38:W38,"&lt;&gt;0"),"")</f>
        <v>5000</v>
      </c>
    </row>
    <row r="39" customFormat="false" ht="15" hidden="false" customHeight="true" outlineLevel="0" collapsed="false">
      <c r="A39" s="5" t="n">
        <v>35</v>
      </c>
      <c r="B39" s="6" t="s">
        <v>414</v>
      </c>
      <c r="C39" s="5" t="s">
        <v>407</v>
      </c>
      <c r="D39" s="37" t="n">
        <v>12000</v>
      </c>
      <c r="E39" s="37" t="n">
        <v>12000</v>
      </c>
      <c r="F39" s="37" t="n">
        <v>12000</v>
      </c>
      <c r="G39" s="37" t="n">
        <v>12000</v>
      </c>
      <c r="H39" s="37" t="n">
        <v>12000</v>
      </c>
      <c r="I39" s="37" t="n">
        <v>12000</v>
      </c>
      <c r="J39" s="37" t="n">
        <v>12000</v>
      </c>
      <c r="K39" s="37" t="n">
        <v>12000</v>
      </c>
      <c r="L39" s="37" t="n">
        <v>12000</v>
      </c>
      <c r="M39" s="37" t="n">
        <v>12000</v>
      </c>
      <c r="N39" s="37" t="n">
        <v>0</v>
      </c>
      <c r="O39" s="37" t="n">
        <v>0</v>
      </c>
      <c r="P39" s="37" t="n">
        <v>12000</v>
      </c>
      <c r="Q39" s="37" t="n">
        <v>12000</v>
      </c>
      <c r="R39" s="37" t="n">
        <v>12000</v>
      </c>
      <c r="S39" s="37" t="n">
        <v>12000</v>
      </c>
      <c r="T39" s="37" t="n">
        <v>12000</v>
      </c>
      <c r="U39" s="37" t="n">
        <v>12000</v>
      </c>
      <c r="V39" s="37" t="n">
        <v>12000</v>
      </c>
      <c r="W39" s="37" t="n">
        <v>12000</v>
      </c>
      <c r="X39" s="17" t="n">
        <f aca="false">IFERROR(AVERAGEIF(D39:H39,"&lt;&gt;0"),"")</f>
        <v>12000</v>
      </c>
      <c r="Y39" s="17" t="n">
        <f aca="false">IFERROR(AVERAGEIF(I39:M39,"&lt;&gt;0"),"")</f>
        <v>12000</v>
      </c>
      <c r="Z39" s="17" t="n">
        <f aca="false">IFERROR(AVERAGEIF(N39:R39,"&lt;&gt;0"),"")</f>
        <v>12000</v>
      </c>
      <c r="AA39" s="17" t="n">
        <f aca="false">IFERROR(AVERAGEIF(S39:W39,"&lt;&gt;0"),"")</f>
        <v>12000</v>
      </c>
      <c r="AB39" s="17" t="n">
        <f aca="false">IFERROR(AVERAGEIF(D39:W39,"&lt;&gt;0"),"")</f>
        <v>12000</v>
      </c>
    </row>
    <row r="40" customFormat="false" ht="15" hidden="false" customHeight="true" outlineLevel="0" collapsed="false">
      <c r="A40" s="5" t="n">
        <v>36</v>
      </c>
      <c r="B40" s="6" t="s">
        <v>415</v>
      </c>
      <c r="C40" s="5" t="s">
        <v>407</v>
      </c>
      <c r="D40" s="37" t="n">
        <v>4000</v>
      </c>
      <c r="E40" s="37" t="n">
        <v>4000</v>
      </c>
      <c r="F40" s="37" t="n">
        <v>4000</v>
      </c>
      <c r="G40" s="37" t="n">
        <v>4000</v>
      </c>
      <c r="H40" s="37" t="n">
        <v>4000</v>
      </c>
      <c r="I40" s="37" t="n">
        <v>4000</v>
      </c>
      <c r="J40" s="37" t="n">
        <v>4000</v>
      </c>
      <c r="K40" s="37" t="n">
        <v>4000</v>
      </c>
      <c r="L40" s="37" t="n">
        <v>4000</v>
      </c>
      <c r="M40" s="37" t="n">
        <v>4000</v>
      </c>
      <c r="N40" s="37" t="n">
        <v>0</v>
      </c>
      <c r="O40" s="37" t="n">
        <v>0</v>
      </c>
      <c r="P40" s="37" t="n">
        <v>4000</v>
      </c>
      <c r="Q40" s="37" t="n">
        <v>4000</v>
      </c>
      <c r="R40" s="37" t="n">
        <v>4000</v>
      </c>
      <c r="S40" s="37" t="n">
        <v>4000</v>
      </c>
      <c r="T40" s="37" t="n">
        <v>4000</v>
      </c>
      <c r="U40" s="37" t="n">
        <v>4000</v>
      </c>
      <c r="V40" s="37" t="n">
        <v>4000</v>
      </c>
      <c r="W40" s="37" t="n">
        <v>4000</v>
      </c>
      <c r="X40" s="17" t="n">
        <f aca="false">IFERROR(AVERAGEIF(D40:H40,"&lt;&gt;0"),"")</f>
        <v>4000</v>
      </c>
      <c r="Y40" s="17" t="n">
        <f aca="false">IFERROR(AVERAGEIF(I40:M40,"&lt;&gt;0"),"")</f>
        <v>4000</v>
      </c>
      <c r="Z40" s="17" t="n">
        <f aca="false">IFERROR(AVERAGEIF(N40:R40,"&lt;&gt;0"),"")</f>
        <v>4000</v>
      </c>
      <c r="AA40" s="17" t="n">
        <f aca="false">IFERROR(AVERAGEIF(S40:W40,"&lt;&gt;0"),"")</f>
        <v>4000</v>
      </c>
      <c r="AB40" s="17" t="n">
        <f aca="false">IFERROR(AVERAGEIF(D40:W40,"&lt;&gt;0"),"")</f>
        <v>4000</v>
      </c>
    </row>
    <row r="41" customFormat="false" ht="15" hidden="false" customHeight="true" outlineLevel="0" collapsed="false">
      <c r="A41" s="5" t="n">
        <v>37</v>
      </c>
      <c r="B41" s="6" t="s">
        <v>416</v>
      </c>
      <c r="C41" s="5" t="s">
        <v>407</v>
      </c>
      <c r="D41" s="37" t="n">
        <v>2000</v>
      </c>
      <c r="E41" s="37" t="n">
        <v>2000</v>
      </c>
      <c r="F41" s="37" t="n">
        <v>4000</v>
      </c>
      <c r="G41" s="37" t="n">
        <v>2000</v>
      </c>
      <c r="H41" s="37" t="n">
        <v>2000</v>
      </c>
      <c r="I41" s="37" t="n">
        <v>2000</v>
      </c>
      <c r="J41" s="37" t="n">
        <v>2000</v>
      </c>
      <c r="K41" s="37" t="n">
        <v>2000</v>
      </c>
      <c r="L41" s="37" t="n">
        <v>2000</v>
      </c>
      <c r="M41" s="37" t="n">
        <v>2000</v>
      </c>
      <c r="N41" s="37" t="n">
        <v>0</v>
      </c>
      <c r="O41" s="37" t="n">
        <v>0</v>
      </c>
      <c r="P41" s="37" t="n">
        <v>4000</v>
      </c>
      <c r="Q41" s="37" t="n">
        <v>2000</v>
      </c>
      <c r="R41" s="37" t="n">
        <v>4000</v>
      </c>
      <c r="S41" s="37" t="n">
        <v>4000</v>
      </c>
      <c r="T41" s="37" t="n">
        <v>2000</v>
      </c>
      <c r="U41" s="37" t="n">
        <v>4000</v>
      </c>
      <c r="V41" s="37" t="n">
        <v>2000</v>
      </c>
      <c r="W41" s="37" t="n">
        <v>4000</v>
      </c>
      <c r="X41" s="17" t="n">
        <f aca="false">IFERROR(AVERAGEIF(D41:H41,"&lt;&gt;0"),"")</f>
        <v>2400</v>
      </c>
      <c r="Y41" s="17" t="n">
        <f aca="false">IFERROR(AVERAGEIF(I41:M41,"&lt;&gt;0"),"")</f>
        <v>2000</v>
      </c>
      <c r="Z41" s="17" t="n">
        <f aca="false">IFERROR(AVERAGEIF(N41:R41,"&lt;&gt;0"),"")</f>
        <v>3333.33333333333</v>
      </c>
      <c r="AA41" s="17" t="n">
        <f aca="false">IFERROR(AVERAGEIF(S41:W41,"&lt;&gt;0"),"")</f>
        <v>3200</v>
      </c>
      <c r="AB41" s="17" t="n">
        <f aca="false">IFERROR(AVERAGEIF(D41:W41,"&lt;&gt;0"),"")</f>
        <v>2666.66666666667</v>
      </c>
    </row>
    <row r="42" customFormat="false" ht="15" hidden="false" customHeight="true" outlineLevel="0" collapsed="false">
      <c r="A42" s="5" t="n">
        <v>38</v>
      </c>
      <c r="B42" s="6" t="s">
        <v>417</v>
      </c>
      <c r="C42" s="5" t="s">
        <v>407</v>
      </c>
      <c r="D42" s="37" t="n">
        <v>5000</v>
      </c>
      <c r="E42" s="37" t="n">
        <v>5000</v>
      </c>
      <c r="F42" s="37" t="n">
        <v>5000</v>
      </c>
      <c r="G42" s="37" t="n">
        <v>5000</v>
      </c>
      <c r="H42" s="37" t="n">
        <v>5000</v>
      </c>
      <c r="I42" s="37" t="n">
        <v>5000</v>
      </c>
      <c r="J42" s="37" t="n">
        <v>5000</v>
      </c>
      <c r="K42" s="37" t="n">
        <v>5000</v>
      </c>
      <c r="L42" s="37" t="n">
        <v>5000</v>
      </c>
      <c r="M42" s="37" t="n">
        <v>5000</v>
      </c>
      <c r="N42" s="37" t="n">
        <v>0</v>
      </c>
      <c r="O42" s="37" t="n">
        <v>0</v>
      </c>
      <c r="P42" s="37" t="n">
        <v>5000</v>
      </c>
      <c r="Q42" s="37" t="n">
        <v>5000</v>
      </c>
      <c r="R42" s="37" t="n">
        <v>5000</v>
      </c>
      <c r="S42" s="37" t="n">
        <v>5000</v>
      </c>
      <c r="T42" s="37" t="n">
        <v>5000</v>
      </c>
      <c r="U42" s="37" t="n">
        <v>5000</v>
      </c>
      <c r="V42" s="37" t="n">
        <v>5000</v>
      </c>
      <c r="W42" s="37" t="n">
        <v>5000</v>
      </c>
      <c r="X42" s="17" t="n">
        <f aca="false">IFERROR(AVERAGEIF(D42:H42,"&lt;&gt;0"),"")</f>
        <v>5000</v>
      </c>
      <c r="Y42" s="17" t="n">
        <f aca="false">IFERROR(AVERAGEIF(I42:M42,"&lt;&gt;0"),"")</f>
        <v>5000</v>
      </c>
      <c r="Z42" s="17" t="n">
        <f aca="false">IFERROR(AVERAGEIF(N42:R42,"&lt;&gt;0"),"")</f>
        <v>5000</v>
      </c>
      <c r="AA42" s="17" t="n">
        <f aca="false">IFERROR(AVERAGEIF(S42:W42,"&lt;&gt;0"),"")</f>
        <v>5000</v>
      </c>
      <c r="AB42" s="17" t="n">
        <f aca="false">IFERROR(AVERAGEIF(D42:W42,"&lt;&gt;0"),"")</f>
        <v>5000</v>
      </c>
    </row>
    <row r="43" customFormat="false" ht="15" hidden="false" customHeight="true" outlineLevel="0" collapsed="false">
      <c r="A43" s="5" t="n">
        <v>39</v>
      </c>
      <c r="B43" s="6" t="s">
        <v>418</v>
      </c>
      <c r="C43" s="5" t="s">
        <v>407</v>
      </c>
      <c r="D43" s="37" t="n">
        <v>5000</v>
      </c>
      <c r="E43" s="37" t="n">
        <v>5000</v>
      </c>
      <c r="F43" s="37" t="n">
        <v>5000</v>
      </c>
      <c r="G43" s="37" t="n">
        <v>5000</v>
      </c>
      <c r="H43" s="37" t="n">
        <v>5000</v>
      </c>
      <c r="I43" s="37" t="n">
        <v>5000</v>
      </c>
      <c r="J43" s="37" t="n">
        <v>5000</v>
      </c>
      <c r="K43" s="37" t="n">
        <v>5000</v>
      </c>
      <c r="L43" s="37" t="n">
        <v>5000</v>
      </c>
      <c r="M43" s="37" t="n">
        <v>5000</v>
      </c>
      <c r="N43" s="37" t="n">
        <v>0</v>
      </c>
      <c r="O43" s="37" t="n">
        <v>0</v>
      </c>
      <c r="P43" s="37" t="n">
        <v>5000</v>
      </c>
      <c r="Q43" s="37" t="n">
        <v>5000</v>
      </c>
      <c r="R43" s="37" t="n">
        <v>5000</v>
      </c>
      <c r="S43" s="37" t="n">
        <v>5000</v>
      </c>
      <c r="T43" s="37" t="n">
        <v>5000</v>
      </c>
      <c r="U43" s="37" t="n">
        <v>5000</v>
      </c>
      <c r="V43" s="37" t="n">
        <v>5000</v>
      </c>
      <c r="W43" s="37" t="n">
        <v>5000</v>
      </c>
      <c r="X43" s="17" t="n">
        <f aca="false">IFERROR(AVERAGEIF(D43:H43,"&lt;&gt;0"),"")</f>
        <v>5000</v>
      </c>
      <c r="Y43" s="17" t="n">
        <f aca="false">IFERROR(AVERAGEIF(I43:M43,"&lt;&gt;0"),"")</f>
        <v>5000</v>
      </c>
      <c r="Z43" s="17" t="n">
        <f aca="false">IFERROR(AVERAGEIF(N43:R43,"&lt;&gt;0"),"")</f>
        <v>5000</v>
      </c>
      <c r="AA43" s="17" t="n">
        <f aca="false">IFERROR(AVERAGEIF(S43:W43,"&lt;&gt;0"),"")</f>
        <v>5000</v>
      </c>
      <c r="AB43" s="17" t="n">
        <f aca="false">IFERROR(AVERAGEIF(D43:W43,"&lt;&gt;0"),"")</f>
        <v>5000</v>
      </c>
    </row>
    <row r="44" customFormat="false" ht="15" hidden="false" customHeight="true" outlineLevel="0" collapsed="false">
      <c r="A44" s="5" t="n">
        <v>40</v>
      </c>
      <c r="B44" s="6" t="s">
        <v>419</v>
      </c>
      <c r="C44" s="5" t="s">
        <v>407</v>
      </c>
      <c r="D44" s="37" t="n">
        <v>4000</v>
      </c>
      <c r="E44" s="37" t="n">
        <v>4000</v>
      </c>
      <c r="F44" s="37" t="n">
        <v>4000</v>
      </c>
      <c r="G44" s="37" t="n">
        <v>4000</v>
      </c>
      <c r="H44" s="37" t="n">
        <v>4000</v>
      </c>
      <c r="I44" s="37" t="n">
        <v>4000</v>
      </c>
      <c r="J44" s="37" t="n">
        <v>4000</v>
      </c>
      <c r="K44" s="37" t="n">
        <v>4000</v>
      </c>
      <c r="L44" s="37" t="n">
        <v>4000</v>
      </c>
      <c r="M44" s="37" t="n">
        <v>4000</v>
      </c>
      <c r="N44" s="37" t="n">
        <v>0</v>
      </c>
      <c r="O44" s="37" t="n">
        <v>0</v>
      </c>
      <c r="P44" s="37" t="n">
        <v>4000</v>
      </c>
      <c r="Q44" s="37" t="n">
        <v>4000</v>
      </c>
      <c r="R44" s="37" t="n">
        <v>4000</v>
      </c>
      <c r="S44" s="37" t="n">
        <v>4000</v>
      </c>
      <c r="T44" s="37" t="n">
        <v>4000</v>
      </c>
      <c r="U44" s="37" t="n">
        <v>4000</v>
      </c>
      <c r="V44" s="37" t="n">
        <v>4000</v>
      </c>
      <c r="W44" s="37" t="n">
        <v>4000</v>
      </c>
      <c r="X44" s="17" t="n">
        <f aca="false">IFERROR(AVERAGEIF(D44:H44,"&lt;&gt;0"),"")</f>
        <v>4000</v>
      </c>
      <c r="Y44" s="17" t="n">
        <f aca="false">IFERROR(AVERAGEIF(I44:M44,"&lt;&gt;0"),"")</f>
        <v>4000</v>
      </c>
      <c r="Z44" s="17" t="n">
        <f aca="false">IFERROR(AVERAGEIF(N44:R44,"&lt;&gt;0"),"")</f>
        <v>4000</v>
      </c>
      <c r="AA44" s="17" t="n">
        <f aca="false">IFERROR(AVERAGEIF(S44:W44,"&lt;&gt;0"),"")</f>
        <v>4000</v>
      </c>
      <c r="AB44" s="17" t="n">
        <f aca="false">IFERROR(AVERAGEIF(D44:W44,"&lt;&gt;0"),"")</f>
        <v>4000</v>
      </c>
    </row>
    <row r="45" customFormat="false" ht="15" hidden="false" customHeight="true" outlineLevel="0" collapsed="false">
      <c r="A45" s="5" t="n">
        <v>41</v>
      </c>
      <c r="B45" s="6" t="s">
        <v>420</v>
      </c>
      <c r="C45" s="5" t="s">
        <v>457</v>
      </c>
      <c r="D45" s="37" t="n">
        <v>60000</v>
      </c>
      <c r="E45" s="37" t="n">
        <v>60000</v>
      </c>
      <c r="F45" s="37" t="n">
        <v>60000</v>
      </c>
      <c r="G45" s="37" t="n">
        <v>60000</v>
      </c>
      <c r="H45" s="37" t="n">
        <v>60000</v>
      </c>
      <c r="I45" s="37" t="n">
        <v>60000</v>
      </c>
      <c r="J45" s="37" t="n">
        <v>60000</v>
      </c>
      <c r="K45" s="37" t="n">
        <v>60000</v>
      </c>
      <c r="L45" s="37" t="n">
        <v>60000</v>
      </c>
      <c r="M45" s="37" t="n">
        <v>60000</v>
      </c>
      <c r="N45" s="37" t="n">
        <v>0</v>
      </c>
      <c r="O45" s="37" t="n">
        <v>0</v>
      </c>
      <c r="P45" s="37" t="n">
        <v>60000</v>
      </c>
      <c r="Q45" s="37" t="n">
        <v>60000</v>
      </c>
      <c r="R45" s="37" t="n">
        <v>60000</v>
      </c>
      <c r="S45" s="37" t="n">
        <v>60000</v>
      </c>
      <c r="T45" s="37" t="n">
        <v>60000</v>
      </c>
      <c r="U45" s="37" t="n">
        <v>60000</v>
      </c>
      <c r="V45" s="37" t="n">
        <v>60000</v>
      </c>
      <c r="W45" s="37" t="n">
        <v>60000</v>
      </c>
      <c r="X45" s="17" t="n">
        <f aca="false">IFERROR(AVERAGEIF(D45:H45,"&lt;&gt;0"),"")</f>
        <v>60000</v>
      </c>
      <c r="Y45" s="17" t="n">
        <f aca="false">IFERROR(AVERAGEIF(I45:M45,"&lt;&gt;0"),"")</f>
        <v>60000</v>
      </c>
      <c r="Z45" s="17" t="n">
        <f aca="false">IFERROR(AVERAGEIF(N45:R45,"&lt;&gt;0"),"")</f>
        <v>60000</v>
      </c>
      <c r="AA45" s="17" t="n">
        <f aca="false">IFERROR(AVERAGEIF(S45:W45,"&lt;&gt;0"),"")</f>
        <v>60000</v>
      </c>
      <c r="AB45" s="17" t="n">
        <f aca="false">IFERROR(AVERAGEIF(D45:W45,"&lt;&gt;0"),"")</f>
        <v>60000</v>
      </c>
    </row>
    <row r="46" customFormat="false" ht="15" hidden="false" customHeight="true" outlineLevel="0" collapsed="false">
      <c r="A46" s="5" t="n">
        <v>42</v>
      </c>
      <c r="B46" s="6" t="s">
        <v>421</v>
      </c>
      <c r="C46" s="5" t="s">
        <v>407</v>
      </c>
      <c r="D46" s="37" t="n">
        <v>35000</v>
      </c>
      <c r="E46" s="37" t="n">
        <v>35000</v>
      </c>
      <c r="F46" s="37" t="n">
        <v>35000</v>
      </c>
      <c r="G46" s="37" t="n">
        <v>35000</v>
      </c>
      <c r="H46" s="37" t="n">
        <v>35000</v>
      </c>
      <c r="I46" s="37" t="n">
        <v>35000</v>
      </c>
      <c r="J46" s="37" t="n">
        <v>35000</v>
      </c>
      <c r="K46" s="37" t="n">
        <v>35000</v>
      </c>
      <c r="L46" s="37" t="n">
        <v>35000</v>
      </c>
      <c r="M46" s="37" t="n">
        <v>35000</v>
      </c>
      <c r="N46" s="37" t="n">
        <v>0</v>
      </c>
      <c r="O46" s="37" t="n">
        <v>0</v>
      </c>
      <c r="P46" s="37" t="n">
        <v>35000</v>
      </c>
      <c r="Q46" s="37" t="n">
        <v>35000</v>
      </c>
      <c r="R46" s="37" t="n">
        <v>35000</v>
      </c>
      <c r="S46" s="37" t="n">
        <v>35000</v>
      </c>
      <c r="T46" s="37" t="n">
        <v>35000</v>
      </c>
      <c r="U46" s="37" t="n">
        <v>35000</v>
      </c>
      <c r="V46" s="37" t="n">
        <v>35000</v>
      </c>
      <c r="W46" s="37" t="n">
        <v>35000</v>
      </c>
      <c r="X46" s="17" t="n">
        <f aca="false">IFERROR(AVERAGEIF(D46:H46,"&lt;&gt;0"),"")</f>
        <v>35000</v>
      </c>
      <c r="Y46" s="17" t="n">
        <f aca="false">IFERROR(AVERAGEIF(I46:M46,"&lt;&gt;0"),"")</f>
        <v>35000</v>
      </c>
      <c r="Z46" s="17" t="n">
        <f aca="false">IFERROR(AVERAGEIF(N46:R46,"&lt;&gt;0"),"")</f>
        <v>35000</v>
      </c>
      <c r="AA46" s="17" t="n">
        <f aca="false">IFERROR(AVERAGEIF(S46:W46,"&lt;&gt;0"),"")</f>
        <v>35000</v>
      </c>
      <c r="AB46" s="17" t="n">
        <f aca="false">IFERROR(AVERAGEIF(D46:W46,"&lt;&gt;0"),"")</f>
        <v>35000</v>
      </c>
    </row>
    <row r="47" customFormat="false" ht="15" hidden="false" customHeight="true" outlineLevel="0" collapsed="false">
      <c r="A47" s="5" t="n">
        <v>43</v>
      </c>
      <c r="B47" s="6" t="s">
        <v>422</v>
      </c>
      <c r="C47" s="5" t="s">
        <v>407</v>
      </c>
      <c r="D47" s="37" t="n">
        <v>27000</v>
      </c>
      <c r="E47" s="37" t="n">
        <v>27000</v>
      </c>
      <c r="F47" s="37" t="n">
        <v>30000</v>
      </c>
      <c r="G47" s="37" t="n">
        <v>27000</v>
      </c>
      <c r="H47" s="37" t="n">
        <v>27000</v>
      </c>
      <c r="I47" s="37" t="n">
        <v>27000</v>
      </c>
      <c r="J47" s="37" t="n">
        <v>27000</v>
      </c>
      <c r="K47" s="37" t="n">
        <v>27000</v>
      </c>
      <c r="L47" s="37" t="n">
        <v>27000</v>
      </c>
      <c r="M47" s="37" t="n">
        <v>27000</v>
      </c>
      <c r="N47" s="37" t="n">
        <v>0</v>
      </c>
      <c r="O47" s="37" t="n">
        <v>0</v>
      </c>
      <c r="P47" s="37" t="n">
        <v>30000</v>
      </c>
      <c r="Q47" s="37" t="n">
        <v>27000</v>
      </c>
      <c r="R47" s="37" t="n">
        <v>30000</v>
      </c>
      <c r="S47" s="37" t="n">
        <v>30000</v>
      </c>
      <c r="T47" s="37" t="n">
        <v>27000</v>
      </c>
      <c r="U47" s="37" t="n">
        <v>30000</v>
      </c>
      <c r="V47" s="37" t="n">
        <v>27000</v>
      </c>
      <c r="W47" s="37" t="n">
        <v>30000</v>
      </c>
      <c r="X47" s="17" t="n">
        <f aca="false">IFERROR(AVERAGEIF(D47:H47,"&lt;&gt;0"),"")</f>
        <v>27600</v>
      </c>
      <c r="Y47" s="17" t="n">
        <f aca="false">IFERROR(AVERAGEIF(I47:M47,"&lt;&gt;0"),"")</f>
        <v>27000</v>
      </c>
      <c r="Z47" s="17" t="n">
        <f aca="false">IFERROR(AVERAGEIF(N47:R47,"&lt;&gt;0"),"")</f>
        <v>29000</v>
      </c>
      <c r="AA47" s="17" t="n">
        <f aca="false">IFERROR(AVERAGEIF(S47:W47,"&lt;&gt;0"),"")</f>
        <v>28800</v>
      </c>
      <c r="AB47" s="17" t="n">
        <f aca="false">IFERROR(AVERAGEIF(D47:W47,"&lt;&gt;0"),"")</f>
        <v>28000</v>
      </c>
    </row>
    <row r="48" customFormat="false" ht="15" hidden="false" customHeight="true" outlineLevel="0" collapsed="false">
      <c r="A48" s="5" t="n">
        <v>44</v>
      </c>
      <c r="B48" s="6" t="s">
        <v>423</v>
      </c>
      <c r="C48" s="5" t="s">
        <v>407</v>
      </c>
      <c r="D48" s="37" t="n">
        <v>14000</v>
      </c>
      <c r="E48" s="37" t="n">
        <v>14000</v>
      </c>
      <c r="F48" s="37" t="n">
        <v>16000</v>
      </c>
      <c r="G48" s="37" t="n">
        <v>14000</v>
      </c>
      <c r="H48" s="37" t="n">
        <v>14000</v>
      </c>
      <c r="I48" s="37" t="n">
        <v>14000</v>
      </c>
      <c r="J48" s="37" t="n">
        <v>14000</v>
      </c>
      <c r="K48" s="37" t="n">
        <v>14000</v>
      </c>
      <c r="L48" s="37" t="n">
        <v>14000</v>
      </c>
      <c r="M48" s="37" t="n">
        <v>14000</v>
      </c>
      <c r="N48" s="37" t="n">
        <v>0</v>
      </c>
      <c r="O48" s="37" t="n">
        <v>0</v>
      </c>
      <c r="P48" s="37" t="n">
        <v>16000</v>
      </c>
      <c r="Q48" s="37" t="n">
        <v>14000</v>
      </c>
      <c r="R48" s="37" t="n">
        <v>16000</v>
      </c>
      <c r="S48" s="37" t="n">
        <v>16000</v>
      </c>
      <c r="T48" s="37" t="n">
        <v>14000</v>
      </c>
      <c r="U48" s="37" t="n">
        <v>16000</v>
      </c>
      <c r="V48" s="37" t="n">
        <v>14000</v>
      </c>
      <c r="W48" s="37" t="n">
        <v>16000</v>
      </c>
      <c r="X48" s="17" t="n">
        <f aca="false">IFERROR(AVERAGEIF(D48:H48,"&lt;&gt;0"),"")</f>
        <v>14400</v>
      </c>
      <c r="Y48" s="17" t="n">
        <f aca="false">IFERROR(AVERAGEIF(I48:M48,"&lt;&gt;0"),"")</f>
        <v>14000</v>
      </c>
      <c r="Z48" s="17" t="n">
        <f aca="false">IFERROR(AVERAGEIF(N48:R48,"&lt;&gt;0"),"")</f>
        <v>15333.3333333333</v>
      </c>
      <c r="AA48" s="17" t="n">
        <f aca="false">IFERROR(AVERAGEIF(S48:W48,"&lt;&gt;0"),"")</f>
        <v>15200</v>
      </c>
      <c r="AB48" s="17" t="n">
        <f aca="false">IFERROR(AVERAGEIF(D48:W48,"&lt;&gt;0"),"")</f>
        <v>14666.6666666667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6"/>
    <col collapsed="false" customWidth="true" hidden="false" outlineLevel="0" max="25" min="4" style="1" width="11"/>
    <col collapsed="false" customWidth="true" hidden="false" outlineLevel="0" max="30" min="26" style="1" width="13"/>
    <col collapsed="false" customWidth="true" hidden="false" outlineLevel="0" max="31" min="31" style="1" width="14"/>
  </cols>
  <sheetData>
    <row r="1" customFormat="false" ht="26.25" hidden="false" customHeight="true" outlineLevel="0" collapsed="false">
      <c r="A1" s="2" t="s">
        <v>484</v>
      </c>
      <c r="B1" s="2"/>
      <c r="C1" s="2"/>
      <c r="D1" s="2"/>
    </row>
    <row r="2" customFormat="false" ht="18.75" hidden="false" customHeight="true" outlineLevel="0" collapsed="false">
      <c r="A2" s="12" t="s">
        <v>375</v>
      </c>
      <c r="B2" s="12"/>
      <c r="C2" s="12"/>
      <c r="D2" s="12"/>
    </row>
    <row r="4" customFormat="false" ht="25.5" hidden="false" customHeight="true" outlineLevel="0" collapsed="false">
      <c r="A4" s="3" t="s">
        <v>1</v>
      </c>
      <c r="B4" s="3" t="s">
        <v>376</v>
      </c>
      <c r="C4" s="3" t="s">
        <v>377</v>
      </c>
      <c r="D4" s="3" t="s">
        <v>485</v>
      </c>
      <c r="E4" s="3" t="s">
        <v>486</v>
      </c>
      <c r="F4" s="3" t="s">
        <v>487</v>
      </c>
      <c r="G4" s="3" t="s">
        <v>488</v>
      </c>
      <c r="H4" s="3" t="s">
        <v>489</v>
      </c>
      <c r="I4" s="3" t="s">
        <v>490</v>
      </c>
      <c r="J4" s="3" t="s">
        <v>491</v>
      </c>
      <c r="K4" s="3" t="s">
        <v>492</v>
      </c>
      <c r="L4" s="3" t="s">
        <v>493</v>
      </c>
      <c r="M4" s="3" t="s">
        <v>494</v>
      </c>
      <c r="N4" s="3" t="s">
        <v>495</v>
      </c>
      <c r="O4" s="3" t="s">
        <v>496</v>
      </c>
      <c r="P4" s="3" t="s">
        <v>497</v>
      </c>
      <c r="Q4" s="3" t="s">
        <v>498</v>
      </c>
      <c r="R4" s="3" t="s">
        <v>499</v>
      </c>
      <c r="S4" s="3" t="s">
        <v>500</v>
      </c>
      <c r="T4" s="3" t="s">
        <v>501</v>
      </c>
      <c r="U4" s="3" t="s">
        <v>502</v>
      </c>
      <c r="V4" s="3" t="s">
        <v>503</v>
      </c>
      <c r="W4" s="3" t="s">
        <v>504</v>
      </c>
      <c r="X4" s="3" t="s">
        <v>505</v>
      </c>
      <c r="Y4" s="3" t="s">
        <v>506</v>
      </c>
      <c r="Z4" s="35" t="s">
        <v>479</v>
      </c>
      <c r="AA4" s="35" t="s">
        <v>480</v>
      </c>
      <c r="AB4" s="35" t="s">
        <v>481</v>
      </c>
      <c r="AC4" s="35" t="s">
        <v>482</v>
      </c>
      <c r="AD4" s="35" t="s">
        <v>507</v>
      </c>
      <c r="AE4" s="36" t="s">
        <v>508</v>
      </c>
    </row>
    <row r="5" customFormat="false" ht="15" hidden="false" customHeight="true" outlineLevel="0" collapsed="false">
      <c r="A5" s="5" t="n">
        <v>1</v>
      </c>
      <c r="B5" s="6" t="s">
        <v>334</v>
      </c>
      <c r="C5" s="5" t="s">
        <v>407</v>
      </c>
      <c r="D5" s="37" t="n">
        <v>12500</v>
      </c>
      <c r="E5" s="37" t="n">
        <v>12500</v>
      </c>
      <c r="F5" s="37" t="n">
        <v>12500</v>
      </c>
      <c r="G5" s="37" t="n">
        <v>12500</v>
      </c>
      <c r="H5" s="37" t="n">
        <v>12500</v>
      </c>
      <c r="I5" s="37" t="n">
        <v>12500</v>
      </c>
      <c r="J5" s="37" t="n">
        <v>12500</v>
      </c>
      <c r="K5" s="37" t="n">
        <v>12500</v>
      </c>
      <c r="L5" s="37" t="n">
        <v>12500</v>
      </c>
      <c r="M5" s="37" t="n">
        <v>12500</v>
      </c>
      <c r="N5" s="37" t="n">
        <v>12500</v>
      </c>
      <c r="O5" s="37" t="n">
        <v>12500</v>
      </c>
      <c r="P5" s="37" t="n">
        <v>12500</v>
      </c>
      <c r="Q5" s="37" t="n">
        <v>12500</v>
      </c>
      <c r="R5" s="37" t="n">
        <v>12500</v>
      </c>
      <c r="S5" s="37" t="n">
        <v>0</v>
      </c>
      <c r="T5" s="37" t="n">
        <v>0</v>
      </c>
      <c r="U5" s="37" t="n">
        <v>12500</v>
      </c>
      <c r="V5" s="37" t="n">
        <v>12500</v>
      </c>
      <c r="W5" s="37" t="n">
        <v>12500</v>
      </c>
      <c r="X5" s="37" t="n">
        <v>12500</v>
      </c>
      <c r="Y5" s="37" t="n">
        <v>12500</v>
      </c>
      <c r="Z5" s="17" t="n">
        <f aca="false">IFERROR(AVERAGEIF(D5:H5,"&lt;&gt;0"),"")</f>
        <v>12500</v>
      </c>
      <c r="AA5" s="17" t="n">
        <f aca="false">IFERROR(AVERAGEIF(I5:M5,"&lt;&gt;0"),"")</f>
        <v>12500</v>
      </c>
      <c r="AB5" s="17" t="n">
        <f aca="false">IFERROR(AVERAGEIF(N5:R5,"&lt;&gt;0"),"")</f>
        <v>12500</v>
      </c>
      <c r="AC5" s="17" t="n">
        <f aca="false">IFERROR(AVERAGEIF(S5:W5,"&lt;&gt;0"),"")</f>
        <v>12500</v>
      </c>
      <c r="AD5" s="17" t="n">
        <f aca="false">IFERROR(AVERAGEIF(X5:Y5,"&lt;&gt;0"),"")</f>
        <v>12500</v>
      </c>
      <c r="AE5" s="17" t="n">
        <f aca="false">IFERROR(AVERAGEIF(D5:Y5,"&lt;&gt;0"),"")</f>
        <v>12500</v>
      </c>
    </row>
    <row r="6" customFormat="false" ht="15" hidden="false" customHeight="true" outlineLevel="0" collapsed="false">
      <c r="A6" s="5" t="n">
        <v>2</v>
      </c>
      <c r="B6" s="6" t="s">
        <v>335</v>
      </c>
      <c r="C6" s="5" t="s">
        <v>407</v>
      </c>
      <c r="D6" s="37" t="n">
        <v>14000</v>
      </c>
      <c r="E6" s="37" t="n">
        <v>14000</v>
      </c>
      <c r="F6" s="37" t="n">
        <v>14000</v>
      </c>
      <c r="G6" s="37" t="n">
        <v>14000</v>
      </c>
      <c r="H6" s="37" t="n">
        <v>14000</v>
      </c>
      <c r="I6" s="37" t="n">
        <v>14000</v>
      </c>
      <c r="J6" s="37" t="n">
        <v>14000</v>
      </c>
      <c r="K6" s="37" t="n">
        <v>14000</v>
      </c>
      <c r="L6" s="37" t="n">
        <v>14000</v>
      </c>
      <c r="M6" s="37" t="n">
        <v>14000</v>
      </c>
      <c r="N6" s="37" t="n">
        <v>14000</v>
      </c>
      <c r="O6" s="37" t="n">
        <v>14000</v>
      </c>
      <c r="P6" s="37" t="n">
        <v>14000</v>
      </c>
      <c r="Q6" s="37" t="n">
        <v>14000</v>
      </c>
      <c r="R6" s="37" t="n">
        <v>14000</v>
      </c>
      <c r="S6" s="37" t="n">
        <v>0</v>
      </c>
      <c r="T6" s="37" t="n">
        <v>0</v>
      </c>
      <c r="U6" s="37" t="n">
        <v>14000</v>
      </c>
      <c r="V6" s="37" t="n">
        <v>14000</v>
      </c>
      <c r="W6" s="37" t="n">
        <v>14000</v>
      </c>
      <c r="X6" s="37" t="n">
        <v>14000</v>
      </c>
      <c r="Y6" s="37" t="n">
        <v>14000</v>
      </c>
      <c r="Z6" s="17" t="n">
        <f aca="false">IFERROR(AVERAGEIF(D6:H6,"&lt;&gt;0"),"")</f>
        <v>14000</v>
      </c>
      <c r="AA6" s="17" t="n">
        <f aca="false">IFERROR(AVERAGEIF(I6:M6,"&lt;&gt;0"),"")</f>
        <v>14000</v>
      </c>
      <c r="AB6" s="17" t="n">
        <f aca="false">IFERROR(AVERAGEIF(N6:R6,"&lt;&gt;0"),"")</f>
        <v>14000</v>
      </c>
      <c r="AC6" s="17" t="n">
        <f aca="false">IFERROR(AVERAGEIF(S6:W6,"&lt;&gt;0"),"")</f>
        <v>14000</v>
      </c>
      <c r="AD6" s="17" t="n">
        <f aca="false">IFERROR(AVERAGEIF(X6:Y6,"&lt;&gt;0"),"")</f>
        <v>14000</v>
      </c>
      <c r="AE6" s="17" t="n">
        <f aca="false">IFERROR(AVERAGEIF(D6:Y6,"&lt;&gt;0"),"")</f>
        <v>14000</v>
      </c>
    </row>
    <row r="7" customFormat="false" ht="15" hidden="false" customHeight="true" outlineLevel="0" collapsed="false">
      <c r="A7" s="5" t="n">
        <v>3</v>
      </c>
      <c r="B7" s="6" t="s">
        <v>336</v>
      </c>
      <c r="C7" s="5" t="s">
        <v>407</v>
      </c>
      <c r="D7" s="37" t="n">
        <v>12500</v>
      </c>
      <c r="E7" s="37" t="n">
        <v>12500</v>
      </c>
      <c r="F7" s="37" t="n">
        <v>12500</v>
      </c>
      <c r="G7" s="37" t="n">
        <v>12500</v>
      </c>
      <c r="H7" s="37" t="n">
        <v>12500</v>
      </c>
      <c r="I7" s="37" t="n">
        <v>12500</v>
      </c>
      <c r="J7" s="37" t="n">
        <v>12500</v>
      </c>
      <c r="K7" s="37" t="n">
        <v>12500</v>
      </c>
      <c r="L7" s="37" t="n">
        <v>12500</v>
      </c>
      <c r="M7" s="37" t="n">
        <v>12500</v>
      </c>
      <c r="N7" s="37" t="n">
        <v>12500</v>
      </c>
      <c r="O7" s="37" t="n">
        <v>12500</v>
      </c>
      <c r="P7" s="37" t="n">
        <v>12500</v>
      </c>
      <c r="Q7" s="37" t="n">
        <v>12500</v>
      </c>
      <c r="R7" s="37" t="n">
        <v>12500</v>
      </c>
      <c r="S7" s="37" t="n">
        <v>0</v>
      </c>
      <c r="T7" s="37" t="n">
        <v>0</v>
      </c>
      <c r="U7" s="37" t="n">
        <v>12500</v>
      </c>
      <c r="V7" s="37" t="n">
        <v>12500</v>
      </c>
      <c r="W7" s="37" t="n">
        <v>12500</v>
      </c>
      <c r="X7" s="37" t="n">
        <v>12500</v>
      </c>
      <c r="Y7" s="37" t="n">
        <v>12500</v>
      </c>
      <c r="Z7" s="17" t="n">
        <f aca="false">IFERROR(AVERAGEIF(D7:H7,"&lt;&gt;0"),"")</f>
        <v>12500</v>
      </c>
      <c r="AA7" s="17" t="n">
        <f aca="false">IFERROR(AVERAGEIF(I7:M7,"&lt;&gt;0"),"")</f>
        <v>12500</v>
      </c>
      <c r="AB7" s="17" t="n">
        <f aca="false">IFERROR(AVERAGEIF(N7:R7,"&lt;&gt;0"),"")</f>
        <v>12500</v>
      </c>
      <c r="AC7" s="17" t="n">
        <f aca="false">IFERROR(AVERAGEIF(S7:W7,"&lt;&gt;0"),"")</f>
        <v>12500</v>
      </c>
      <c r="AD7" s="17" t="n">
        <f aca="false">IFERROR(AVERAGEIF(X7:Y7,"&lt;&gt;0"),"")</f>
        <v>12500</v>
      </c>
      <c r="AE7" s="17" t="n">
        <f aca="false">IFERROR(AVERAGEIF(D7:Y7,"&lt;&gt;0"),"")</f>
        <v>12500</v>
      </c>
    </row>
    <row r="8" customFormat="false" ht="15" hidden="false" customHeight="true" outlineLevel="0" collapsed="false">
      <c r="A8" s="5" t="n">
        <v>4</v>
      </c>
      <c r="B8" s="6" t="s">
        <v>408</v>
      </c>
      <c r="C8" s="5" t="s">
        <v>407</v>
      </c>
      <c r="D8" s="37" t="n">
        <v>11000</v>
      </c>
      <c r="E8" s="37" t="n">
        <v>11000</v>
      </c>
      <c r="F8" s="37" t="n">
        <v>11000</v>
      </c>
      <c r="G8" s="37" t="n">
        <v>11000</v>
      </c>
      <c r="H8" s="37" t="n">
        <v>11000</v>
      </c>
      <c r="I8" s="37" t="n">
        <v>11000</v>
      </c>
      <c r="J8" s="37" t="n">
        <v>11000</v>
      </c>
      <c r="K8" s="37" t="n">
        <v>11000</v>
      </c>
      <c r="L8" s="37" t="n">
        <v>11000</v>
      </c>
      <c r="M8" s="37" t="n">
        <v>11000</v>
      </c>
      <c r="N8" s="37" t="n">
        <v>11000</v>
      </c>
      <c r="O8" s="37" t="n">
        <v>11000</v>
      </c>
      <c r="P8" s="37" t="n">
        <v>11000</v>
      </c>
      <c r="Q8" s="37" t="n">
        <v>11000</v>
      </c>
      <c r="R8" s="37" t="n">
        <v>11000</v>
      </c>
      <c r="S8" s="37" t="n">
        <v>0</v>
      </c>
      <c r="T8" s="37" t="n">
        <v>0</v>
      </c>
      <c r="U8" s="37" t="n">
        <v>11000</v>
      </c>
      <c r="V8" s="37" t="n">
        <v>11000</v>
      </c>
      <c r="W8" s="37" t="n">
        <v>11000</v>
      </c>
      <c r="X8" s="37" t="n">
        <v>11000</v>
      </c>
      <c r="Y8" s="37" t="n">
        <v>11000</v>
      </c>
      <c r="Z8" s="17" t="n">
        <f aca="false">IFERROR(AVERAGEIF(D8:H8,"&lt;&gt;0"),"")</f>
        <v>11000</v>
      </c>
      <c r="AA8" s="17" t="n">
        <f aca="false">IFERROR(AVERAGEIF(I8:M8,"&lt;&gt;0"),"")</f>
        <v>11000</v>
      </c>
      <c r="AB8" s="17" t="n">
        <f aca="false">IFERROR(AVERAGEIF(N8:R8,"&lt;&gt;0"),"")</f>
        <v>11000</v>
      </c>
      <c r="AC8" s="17" t="n">
        <f aca="false">IFERROR(AVERAGEIF(S8:W8,"&lt;&gt;0"),"")</f>
        <v>11000</v>
      </c>
      <c r="AD8" s="17" t="n">
        <f aca="false">IFERROR(AVERAGEIF(X8:Y8,"&lt;&gt;0"),"")</f>
        <v>11000</v>
      </c>
      <c r="AE8" s="17" t="n">
        <f aca="false">IFERROR(AVERAGEIF(D8:Y8,"&lt;&gt;0"),"")</f>
        <v>11000</v>
      </c>
    </row>
    <row r="9" customFormat="false" ht="15" hidden="false" customHeight="true" outlineLevel="0" collapsed="false">
      <c r="A9" s="5" t="n">
        <v>5</v>
      </c>
      <c r="B9" s="6" t="s">
        <v>360</v>
      </c>
      <c r="C9" s="5" t="s">
        <v>407</v>
      </c>
      <c r="D9" s="37" t="n">
        <v>26000</v>
      </c>
      <c r="E9" s="37" t="n">
        <v>26000</v>
      </c>
      <c r="F9" s="37" t="n">
        <v>28000</v>
      </c>
      <c r="G9" s="37" t="n">
        <v>28000</v>
      </c>
      <c r="H9" s="37" t="n">
        <v>32000</v>
      </c>
      <c r="I9" s="37" t="n">
        <v>30000</v>
      </c>
      <c r="J9" s="37" t="n">
        <v>30000</v>
      </c>
      <c r="K9" s="37" t="n">
        <v>30000</v>
      </c>
      <c r="L9" s="37" t="n">
        <v>30000</v>
      </c>
      <c r="M9" s="37" t="n">
        <v>32000</v>
      </c>
      <c r="N9" s="37" t="n">
        <v>36000</v>
      </c>
      <c r="O9" s="37" t="n">
        <v>36000</v>
      </c>
      <c r="P9" s="37" t="n">
        <v>36000</v>
      </c>
      <c r="Q9" s="37" t="n">
        <v>40000</v>
      </c>
      <c r="R9" s="37" t="n">
        <v>40000</v>
      </c>
      <c r="S9" s="37" t="n">
        <v>0</v>
      </c>
      <c r="T9" s="37" t="n">
        <v>0</v>
      </c>
      <c r="U9" s="37" t="n">
        <v>35000</v>
      </c>
      <c r="V9" s="37" t="n">
        <v>35000</v>
      </c>
      <c r="W9" s="37" t="n">
        <v>25000</v>
      </c>
      <c r="X9" s="37" t="n">
        <v>32000</v>
      </c>
      <c r="Y9" s="37" t="n">
        <v>35000</v>
      </c>
      <c r="Z9" s="17" t="n">
        <f aca="false">IFERROR(AVERAGEIF(D9:H9,"&lt;&gt;0"),"")</f>
        <v>28000</v>
      </c>
      <c r="AA9" s="17" t="n">
        <f aca="false">IFERROR(AVERAGEIF(I9:M9,"&lt;&gt;0"),"")</f>
        <v>30400</v>
      </c>
      <c r="AB9" s="17" t="n">
        <f aca="false">IFERROR(AVERAGEIF(N9:R9,"&lt;&gt;0"),"")</f>
        <v>37600</v>
      </c>
      <c r="AC9" s="17" t="n">
        <f aca="false">IFERROR(AVERAGEIF(S9:W9,"&lt;&gt;0"),"")</f>
        <v>31666.6666666667</v>
      </c>
      <c r="AD9" s="17" t="n">
        <f aca="false">IFERROR(AVERAGEIF(X9:Y9,"&lt;&gt;0"),"")</f>
        <v>33500</v>
      </c>
      <c r="AE9" s="17" t="n">
        <f aca="false">IFERROR(AVERAGEIF(D9:Y9,"&lt;&gt;0"),"")</f>
        <v>32100</v>
      </c>
    </row>
    <row r="10" customFormat="false" ht="15" hidden="false" customHeight="true" outlineLevel="0" collapsed="false">
      <c r="A10" s="5" t="n">
        <v>6</v>
      </c>
      <c r="B10" s="6" t="s">
        <v>361</v>
      </c>
      <c r="C10" s="5" t="s">
        <v>407</v>
      </c>
      <c r="D10" s="37" t="n">
        <v>24000</v>
      </c>
      <c r="E10" s="37" t="n">
        <v>24000</v>
      </c>
      <c r="F10" s="37" t="n">
        <v>24000</v>
      </c>
      <c r="G10" s="37" t="n">
        <v>24000</v>
      </c>
      <c r="H10" s="37" t="n">
        <v>26000</v>
      </c>
      <c r="I10" s="37" t="n">
        <v>28000</v>
      </c>
      <c r="J10" s="37" t="n">
        <v>28000</v>
      </c>
      <c r="K10" s="37" t="n">
        <v>28000</v>
      </c>
      <c r="L10" s="37" t="n">
        <v>30000</v>
      </c>
      <c r="M10" s="37" t="n">
        <v>32000</v>
      </c>
      <c r="N10" s="37" t="n">
        <v>40000</v>
      </c>
      <c r="O10" s="37" t="n">
        <v>45000</v>
      </c>
      <c r="P10" s="37" t="n">
        <v>43000</v>
      </c>
      <c r="Q10" s="37" t="n">
        <v>50000</v>
      </c>
      <c r="R10" s="37" t="n">
        <v>45000</v>
      </c>
      <c r="S10" s="37" t="n">
        <v>0</v>
      </c>
      <c r="T10" s="37" t="n">
        <v>0</v>
      </c>
      <c r="U10" s="37" t="n">
        <v>35000</v>
      </c>
      <c r="V10" s="37" t="n">
        <v>35000</v>
      </c>
      <c r="W10" s="37" t="n">
        <v>28000</v>
      </c>
      <c r="X10" s="37" t="n">
        <v>33000</v>
      </c>
      <c r="Y10" s="37" t="n">
        <v>35000</v>
      </c>
      <c r="Z10" s="17" t="n">
        <f aca="false">IFERROR(AVERAGEIF(D10:H10,"&lt;&gt;0"),"")</f>
        <v>24400</v>
      </c>
      <c r="AA10" s="17" t="n">
        <f aca="false">IFERROR(AVERAGEIF(I10:M10,"&lt;&gt;0"),"")</f>
        <v>29200</v>
      </c>
      <c r="AB10" s="17" t="n">
        <f aca="false">IFERROR(AVERAGEIF(N10:R10,"&lt;&gt;0"),"")</f>
        <v>44600</v>
      </c>
      <c r="AC10" s="17" t="n">
        <f aca="false">IFERROR(AVERAGEIF(S10:W10,"&lt;&gt;0"),"")</f>
        <v>32666.6666666667</v>
      </c>
      <c r="AD10" s="17" t="n">
        <f aca="false">IFERROR(AVERAGEIF(X10:Y10,"&lt;&gt;0"),"")</f>
        <v>34000</v>
      </c>
      <c r="AE10" s="17" t="n">
        <f aca="false">IFERROR(AVERAGEIF(D10:Y10,"&lt;&gt;0"),"")</f>
        <v>32850</v>
      </c>
    </row>
    <row r="11" customFormat="false" ht="15" hidden="false" customHeight="true" outlineLevel="0" collapsed="false">
      <c r="A11" s="5" t="n">
        <v>7</v>
      </c>
      <c r="B11" s="6" t="s">
        <v>347</v>
      </c>
      <c r="C11" s="5" t="s">
        <v>407</v>
      </c>
      <c r="D11" s="37" t="n">
        <v>85000</v>
      </c>
      <c r="E11" s="37" t="n">
        <v>85000</v>
      </c>
      <c r="F11" s="37" t="n">
        <v>85000</v>
      </c>
      <c r="G11" s="37" t="n">
        <v>85000</v>
      </c>
      <c r="H11" s="37" t="n">
        <v>90000</v>
      </c>
      <c r="I11" s="37" t="n">
        <v>85000</v>
      </c>
      <c r="J11" s="37" t="n">
        <v>85000</v>
      </c>
      <c r="K11" s="37" t="n">
        <v>85000</v>
      </c>
      <c r="L11" s="37" t="n">
        <v>85000</v>
      </c>
      <c r="M11" s="37" t="n">
        <v>80000</v>
      </c>
      <c r="N11" s="37" t="n">
        <v>76000</v>
      </c>
      <c r="O11" s="37" t="n">
        <v>95000</v>
      </c>
      <c r="P11" s="37" t="n">
        <v>95000</v>
      </c>
      <c r="Q11" s="37" t="n">
        <v>80000</v>
      </c>
      <c r="R11" s="37" t="n">
        <v>80000</v>
      </c>
      <c r="S11" s="37" t="n">
        <v>0</v>
      </c>
      <c r="T11" s="37" t="n">
        <v>0</v>
      </c>
      <c r="U11" s="37" t="n">
        <v>60000</v>
      </c>
      <c r="V11" s="37" t="n">
        <v>60000</v>
      </c>
      <c r="W11" s="37" t="n">
        <v>60000</v>
      </c>
      <c r="X11" s="37" t="n">
        <v>62000</v>
      </c>
      <c r="Y11" s="37" t="n">
        <v>72000</v>
      </c>
      <c r="Z11" s="17" t="n">
        <f aca="false">IFERROR(AVERAGEIF(D11:H11,"&lt;&gt;0"),"")</f>
        <v>86000</v>
      </c>
      <c r="AA11" s="17" t="n">
        <f aca="false">IFERROR(AVERAGEIF(I11:M11,"&lt;&gt;0"),"")</f>
        <v>84000</v>
      </c>
      <c r="AB11" s="17" t="n">
        <f aca="false">IFERROR(AVERAGEIF(N11:R11,"&lt;&gt;0"),"")</f>
        <v>85200</v>
      </c>
      <c r="AC11" s="17" t="n">
        <f aca="false">IFERROR(AVERAGEIF(S11:W11,"&lt;&gt;0"),"")</f>
        <v>60000</v>
      </c>
      <c r="AD11" s="17" t="n">
        <f aca="false">IFERROR(AVERAGEIF(X11:Y11,"&lt;&gt;0"),"")</f>
        <v>67000</v>
      </c>
      <c r="AE11" s="17" t="n">
        <f aca="false">IFERROR(AVERAGEIF(D11:Y11,"&lt;&gt;0"),"")</f>
        <v>79500</v>
      </c>
    </row>
    <row r="12" customFormat="false" ht="15" hidden="false" customHeight="true" outlineLevel="0" collapsed="false">
      <c r="A12" s="5" t="n">
        <v>8</v>
      </c>
      <c r="B12" s="6" t="s">
        <v>354</v>
      </c>
      <c r="C12" s="5" t="s">
        <v>407</v>
      </c>
      <c r="D12" s="37" t="n">
        <v>30000</v>
      </c>
      <c r="E12" s="37" t="n">
        <v>30000</v>
      </c>
      <c r="F12" s="37" t="n">
        <v>30000</v>
      </c>
      <c r="G12" s="37" t="n">
        <v>30000</v>
      </c>
      <c r="H12" s="37" t="n">
        <v>30000</v>
      </c>
      <c r="I12" s="37" t="n">
        <v>32000</v>
      </c>
      <c r="J12" s="37" t="n">
        <v>32000</v>
      </c>
      <c r="K12" s="37" t="n">
        <v>32000</v>
      </c>
      <c r="L12" s="37" t="n">
        <v>30000</v>
      </c>
      <c r="M12" s="37" t="n">
        <v>30000</v>
      </c>
      <c r="N12" s="37" t="n">
        <v>30000</v>
      </c>
      <c r="O12" s="37" t="n">
        <v>30000</v>
      </c>
      <c r="P12" s="37" t="n">
        <v>30000</v>
      </c>
      <c r="Q12" s="37" t="n">
        <v>30000</v>
      </c>
      <c r="R12" s="37" t="n">
        <v>30000</v>
      </c>
      <c r="S12" s="37" t="n">
        <v>0</v>
      </c>
      <c r="T12" s="37" t="n">
        <v>0</v>
      </c>
      <c r="U12" s="37" t="n">
        <v>30000</v>
      </c>
      <c r="V12" s="37" t="n">
        <v>30000</v>
      </c>
      <c r="W12" s="37" t="n">
        <v>30000</v>
      </c>
      <c r="X12" s="37" t="n">
        <v>30000</v>
      </c>
      <c r="Y12" s="37" t="n">
        <v>30000</v>
      </c>
      <c r="Z12" s="17" t="n">
        <f aca="false">IFERROR(AVERAGEIF(D12:H12,"&lt;&gt;0"),"")</f>
        <v>30000</v>
      </c>
      <c r="AA12" s="17" t="n">
        <f aca="false">IFERROR(AVERAGEIF(I12:M12,"&lt;&gt;0"),"")</f>
        <v>31200</v>
      </c>
      <c r="AB12" s="17" t="n">
        <f aca="false">IFERROR(AVERAGEIF(N12:R12,"&lt;&gt;0"),"")</f>
        <v>30000</v>
      </c>
      <c r="AC12" s="17" t="n">
        <f aca="false">IFERROR(AVERAGEIF(S12:W12,"&lt;&gt;0"),"")</f>
        <v>30000</v>
      </c>
      <c r="AD12" s="17" t="n">
        <f aca="false">IFERROR(AVERAGEIF(X12:Y12,"&lt;&gt;0"),"")</f>
        <v>30000</v>
      </c>
      <c r="AE12" s="17" t="n">
        <f aca="false">IFERROR(AVERAGEIF(D12:Y12,"&lt;&gt;0"),"")</f>
        <v>30300</v>
      </c>
    </row>
    <row r="13" customFormat="false" ht="15" hidden="false" customHeight="true" outlineLevel="0" collapsed="false">
      <c r="A13" s="5" t="n">
        <v>9</v>
      </c>
      <c r="B13" s="6" t="s">
        <v>349</v>
      </c>
      <c r="C13" s="5" t="s">
        <v>407</v>
      </c>
      <c r="D13" s="37" t="n">
        <v>16500</v>
      </c>
      <c r="E13" s="37" t="n">
        <v>16500</v>
      </c>
      <c r="F13" s="37" t="n">
        <v>16500</v>
      </c>
      <c r="G13" s="37" t="n">
        <v>16500</v>
      </c>
      <c r="H13" s="37" t="n">
        <v>16500</v>
      </c>
      <c r="I13" s="37" t="n">
        <v>16500</v>
      </c>
      <c r="J13" s="37" t="n">
        <v>16500</v>
      </c>
      <c r="K13" s="37" t="n">
        <v>16500</v>
      </c>
      <c r="L13" s="37" t="n">
        <v>17300</v>
      </c>
      <c r="M13" s="37" t="n">
        <v>17200</v>
      </c>
      <c r="N13" s="37" t="n">
        <v>17500</v>
      </c>
      <c r="O13" s="37" t="n">
        <v>17500</v>
      </c>
      <c r="P13" s="37" t="n">
        <v>17500</v>
      </c>
      <c r="Q13" s="37" t="n">
        <v>17500</v>
      </c>
      <c r="R13" s="37" t="n">
        <v>17500</v>
      </c>
      <c r="S13" s="37" t="n">
        <v>0</v>
      </c>
      <c r="T13" s="37" t="n">
        <v>0</v>
      </c>
      <c r="U13" s="37" t="n">
        <v>17500</v>
      </c>
      <c r="V13" s="37" t="n">
        <v>17500</v>
      </c>
      <c r="W13" s="37" t="n">
        <v>17300</v>
      </c>
      <c r="X13" s="37" t="n">
        <v>17300</v>
      </c>
      <c r="Y13" s="37" t="n">
        <v>17300</v>
      </c>
      <c r="Z13" s="17" t="n">
        <f aca="false">IFERROR(AVERAGEIF(D13:H13,"&lt;&gt;0"),"")</f>
        <v>16500</v>
      </c>
      <c r="AA13" s="17" t="n">
        <f aca="false">IFERROR(AVERAGEIF(I13:M13,"&lt;&gt;0"),"")</f>
        <v>16800</v>
      </c>
      <c r="AB13" s="17" t="n">
        <f aca="false">IFERROR(AVERAGEIF(N13:R13,"&lt;&gt;0"),"")</f>
        <v>17500</v>
      </c>
      <c r="AC13" s="17" t="n">
        <f aca="false">IFERROR(AVERAGEIF(S13:W13,"&lt;&gt;0"),"")</f>
        <v>17433.3333333333</v>
      </c>
      <c r="AD13" s="17" t="n">
        <f aca="false">IFERROR(AVERAGEIF(X13:Y13,"&lt;&gt;0"),"")</f>
        <v>17300</v>
      </c>
      <c r="AE13" s="17" t="n">
        <f aca="false">IFERROR(AVERAGEIF(D13:Y13,"&lt;&gt;0"),"")</f>
        <v>17045</v>
      </c>
    </row>
    <row r="14" customFormat="false" ht="15" hidden="false" customHeight="true" outlineLevel="0" collapsed="false">
      <c r="A14" s="5" t="n">
        <v>10</v>
      </c>
      <c r="B14" s="6" t="s">
        <v>340</v>
      </c>
      <c r="C14" s="5" t="s">
        <v>453</v>
      </c>
      <c r="D14" s="37" t="n">
        <v>17500</v>
      </c>
      <c r="E14" s="37" t="n">
        <v>17500</v>
      </c>
      <c r="F14" s="37" t="n">
        <v>17500</v>
      </c>
      <c r="G14" s="37" t="n">
        <v>17500</v>
      </c>
      <c r="H14" s="37" t="n">
        <v>17500</v>
      </c>
      <c r="I14" s="37" t="n">
        <v>17500</v>
      </c>
      <c r="J14" s="37" t="n">
        <v>17500</v>
      </c>
      <c r="K14" s="37" t="n">
        <v>17500</v>
      </c>
      <c r="L14" s="37" t="n">
        <v>17500</v>
      </c>
      <c r="M14" s="37" t="n">
        <v>18000</v>
      </c>
      <c r="N14" s="37" t="n">
        <v>18900</v>
      </c>
      <c r="O14" s="37" t="n">
        <v>18500</v>
      </c>
      <c r="P14" s="37" t="n">
        <v>19350</v>
      </c>
      <c r="Q14" s="37" t="n">
        <v>19350</v>
      </c>
      <c r="R14" s="37" t="n">
        <v>19350</v>
      </c>
      <c r="S14" s="37" t="n">
        <v>0</v>
      </c>
      <c r="T14" s="37" t="n">
        <v>0</v>
      </c>
      <c r="U14" s="37" t="n">
        <v>19350</v>
      </c>
      <c r="V14" s="37" t="n">
        <v>19350</v>
      </c>
      <c r="W14" s="37" t="n">
        <v>19350</v>
      </c>
      <c r="X14" s="37" t="n">
        <v>19350</v>
      </c>
      <c r="Y14" s="37" t="n">
        <v>19350</v>
      </c>
      <c r="Z14" s="17" t="n">
        <f aca="false">IFERROR(AVERAGEIF(D14:H14,"&lt;&gt;0"),"")</f>
        <v>17500</v>
      </c>
      <c r="AA14" s="17" t="n">
        <f aca="false">IFERROR(AVERAGEIF(I14:M14,"&lt;&gt;0"),"")</f>
        <v>17600</v>
      </c>
      <c r="AB14" s="17" t="n">
        <f aca="false">IFERROR(AVERAGEIF(N14:R14,"&lt;&gt;0"),"")</f>
        <v>19090</v>
      </c>
      <c r="AC14" s="17" t="n">
        <f aca="false">IFERROR(AVERAGEIF(S14:W14,"&lt;&gt;0"),"")</f>
        <v>19350</v>
      </c>
      <c r="AD14" s="17" t="n">
        <f aca="false">IFERROR(AVERAGEIF(X14:Y14,"&lt;&gt;0"),"")</f>
        <v>19350</v>
      </c>
      <c r="AE14" s="17" t="n">
        <f aca="false">IFERROR(AVERAGEIF(D14:Y14,"&lt;&gt;0"),"")</f>
        <v>18385</v>
      </c>
    </row>
    <row r="15" customFormat="false" ht="21.75" hidden="false" customHeight="true" outlineLevel="0" collapsed="false">
      <c r="A15" s="5" t="n">
        <v>11</v>
      </c>
      <c r="B15" s="6" t="s">
        <v>341</v>
      </c>
      <c r="C15" s="5" t="s">
        <v>453</v>
      </c>
      <c r="D15" s="37" t="n">
        <v>20000</v>
      </c>
      <c r="E15" s="37" t="n">
        <v>20000</v>
      </c>
      <c r="F15" s="37" t="n">
        <v>20000</v>
      </c>
      <c r="G15" s="37" t="n">
        <v>20000</v>
      </c>
      <c r="H15" s="37" t="n">
        <v>20000</v>
      </c>
      <c r="I15" s="37" t="n">
        <v>20000</v>
      </c>
      <c r="J15" s="37" t="n">
        <v>20000</v>
      </c>
      <c r="K15" s="37" t="n">
        <v>20000</v>
      </c>
      <c r="L15" s="37" t="n">
        <v>20000</v>
      </c>
      <c r="M15" s="37" t="n">
        <v>20000</v>
      </c>
      <c r="N15" s="37" t="n">
        <v>22000</v>
      </c>
      <c r="O15" s="37" t="n">
        <v>22000</v>
      </c>
      <c r="P15" s="37" t="n">
        <v>22000</v>
      </c>
      <c r="Q15" s="37" t="n">
        <v>22000</v>
      </c>
      <c r="R15" s="37" t="n">
        <v>22000</v>
      </c>
      <c r="S15" s="37" t="n">
        <v>0</v>
      </c>
      <c r="T15" s="37" t="n">
        <v>0</v>
      </c>
      <c r="U15" s="37" t="n">
        <v>22000</v>
      </c>
      <c r="V15" s="37" t="n">
        <v>22000</v>
      </c>
      <c r="W15" s="37" t="n">
        <v>22000</v>
      </c>
      <c r="X15" s="37" t="n">
        <v>22000</v>
      </c>
      <c r="Y15" s="37" t="n">
        <v>22000</v>
      </c>
      <c r="Z15" s="17" t="n">
        <f aca="false">IFERROR(AVERAGEIF(D15:H15,"&lt;&gt;0"),"")</f>
        <v>20000</v>
      </c>
      <c r="AA15" s="17" t="n">
        <f aca="false">IFERROR(AVERAGEIF(I15:M15,"&lt;&gt;0"),"")</f>
        <v>20000</v>
      </c>
      <c r="AB15" s="17" t="n">
        <f aca="false">IFERROR(AVERAGEIF(N15:R15,"&lt;&gt;0"),"")</f>
        <v>22000</v>
      </c>
      <c r="AC15" s="17" t="n">
        <f aca="false">IFERROR(AVERAGEIF(S15:W15,"&lt;&gt;0"),"")</f>
        <v>22000</v>
      </c>
      <c r="AD15" s="17" t="n">
        <f aca="false">IFERROR(AVERAGEIF(X15:Y15,"&lt;&gt;0"),"")</f>
        <v>22000</v>
      </c>
      <c r="AE15" s="17" t="n">
        <f aca="false">IFERROR(AVERAGEIF(D15:Y15,"&lt;&gt;0"),"")</f>
        <v>21000</v>
      </c>
    </row>
    <row r="16" customFormat="false" ht="15" hidden="false" customHeight="true" outlineLevel="0" collapsed="false">
      <c r="A16" s="5" t="n">
        <v>12</v>
      </c>
      <c r="B16" s="6" t="s">
        <v>342</v>
      </c>
      <c r="C16" s="5" t="s">
        <v>453</v>
      </c>
      <c r="D16" s="37" t="n">
        <v>15700</v>
      </c>
      <c r="E16" s="37" t="n">
        <v>15700</v>
      </c>
      <c r="F16" s="37" t="n">
        <v>15700</v>
      </c>
      <c r="G16" s="37" t="n">
        <v>15700</v>
      </c>
      <c r="H16" s="37" t="n">
        <v>15700</v>
      </c>
      <c r="I16" s="37" t="n">
        <v>15700</v>
      </c>
      <c r="J16" s="37" t="n">
        <v>15700</v>
      </c>
      <c r="K16" s="37" t="n">
        <v>15700</v>
      </c>
      <c r="L16" s="37" t="n">
        <v>15700</v>
      </c>
      <c r="M16" s="37" t="n">
        <v>15700</v>
      </c>
      <c r="N16" s="37" t="n">
        <v>15700</v>
      </c>
      <c r="O16" s="37" t="n">
        <v>15700</v>
      </c>
      <c r="P16" s="37" t="n">
        <v>15700</v>
      </c>
      <c r="Q16" s="37" t="n">
        <v>15700</v>
      </c>
      <c r="R16" s="37" t="n">
        <v>15700</v>
      </c>
      <c r="S16" s="37" t="n">
        <v>0</v>
      </c>
      <c r="T16" s="37" t="n">
        <v>0</v>
      </c>
      <c r="U16" s="37" t="n">
        <v>15700</v>
      </c>
      <c r="V16" s="37" t="n">
        <v>15700</v>
      </c>
      <c r="W16" s="37" t="n">
        <v>15700</v>
      </c>
      <c r="X16" s="37" t="n">
        <v>15700</v>
      </c>
      <c r="Y16" s="37" t="n">
        <v>15700</v>
      </c>
      <c r="Z16" s="17" t="n">
        <f aca="false">IFERROR(AVERAGEIF(D16:H16,"&lt;&gt;0"),"")</f>
        <v>15700</v>
      </c>
      <c r="AA16" s="17" t="n">
        <f aca="false">IFERROR(AVERAGEIF(I16:M16,"&lt;&gt;0"),"")</f>
        <v>15700</v>
      </c>
      <c r="AB16" s="17" t="n">
        <f aca="false">IFERROR(AVERAGEIF(N16:R16,"&lt;&gt;0"),"")</f>
        <v>15700</v>
      </c>
      <c r="AC16" s="17" t="n">
        <f aca="false">IFERROR(AVERAGEIF(S16:W16,"&lt;&gt;0"),"")</f>
        <v>15700</v>
      </c>
      <c r="AD16" s="17" t="n">
        <f aca="false">IFERROR(AVERAGEIF(X16:Y16,"&lt;&gt;0"),"")</f>
        <v>15700</v>
      </c>
      <c r="AE16" s="17" t="n">
        <f aca="false">IFERROR(AVERAGEIF(D16:Y16,"&lt;&gt;0"),"")</f>
        <v>15700</v>
      </c>
    </row>
    <row r="17" customFormat="false" ht="15" hidden="false" customHeight="true" outlineLevel="0" collapsed="false">
      <c r="A17" s="5" t="n">
        <v>13</v>
      </c>
      <c r="B17" s="6" t="s">
        <v>337</v>
      </c>
      <c r="C17" s="5" t="s">
        <v>407</v>
      </c>
      <c r="D17" s="37" t="n">
        <v>11000</v>
      </c>
      <c r="E17" s="37" t="n">
        <v>11000</v>
      </c>
      <c r="F17" s="37" t="n">
        <v>11000</v>
      </c>
      <c r="G17" s="37" t="n">
        <v>11000</v>
      </c>
      <c r="H17" s="37" t="n">
        <v>11000</v>
      </c>
      <c r="I17" s="37" t="n">
        <v>11000</v>
      </c>
      <c r="J17" s="37" t="n">
        <v>11000</v>
      </c>
      <c r="K17" s="37" t="n">
        <v>11000</v>
      </c>
      <c r="L17" s="37" t="n">
        <v>11000</v>
      </c>
      <c r="M17" s="37" t="n">
        <v>11000</v>
      </c>
      <c r="N17" s="37" t="n">
        <v>11000</v>
      </c>
      <c r="O17" s="37" t="n">
        <v>11000</v>
      </c>
      <c r="P17" s="37" t="n">
        <v>11000</v>
      </c>
      <c r="Q17" s="37" t="n">
        <v>11000</v>
      </c>
      <c r="R17" s="37" t="n">
        <v>11000</v>
      </c>
      <c r="S17" s="37" t="n">
        <v>0</v>
      </c>
      <c r="T17" s="37" t="n">
        <v>0</v>
      </c>
      <c r="U17" s="37" t="n">
        <v>11000</v>
      </c>
      <c r="V17" s="37" t="n">
        <v>11000</v>
      </c>
      <c r="W17" s="37" t="n">
        <v>11000</v>
      </c>
      <c r="X17" s="37" t="n">
        <v>11000</v>
      </c>
      <c r="Y17" s="37" t="n">
        <v>11000</v>
      </c>
      <c r="Z17" s="17" t="n">
        <f aca="false">IFERROR(AVERAGEIF(D17:H17,"&lt;&gt;0"),"")</f>
        <v>11000</v>
      </c>
      <c r="AA17" s="17" t="n">
        <f aca="false">IFERROR(AVERAGEIF(I17:M17,"&lt;&gt;0"),"")</f>
        <v>11000</v>
      </c>
      <c r="AB17" s="17" t="n">
        <f aca="false">IFERROR(AVERAGEIF(N17:R17,"&lt;&gt;0"),"")</f>
        <v>11000</v>
      </c>
      <c r="AC17" s="17" t="n">
        <f aca="false">IFERROR(AVERAGEIF(S17:W17,"&lt;&gt;0"),"")</f>
        <v>11000</v>
      </c>
      <c r="AD17" s="17" t="n">
        <f aca="false">IFERROR(AVERAGEIF(X17:Y17,"&lt;&gt;0"),"")</f>
        <v>11000</v>
      </c>
      <c r="AE17" s="17" t="n">
        <f aca="false">IFERROR(AVERAGEIF(D17:Y17,"&lt;&gt;0"),"")</f>
        <v>11000</v>
      </c>
    </row>
    <row r="18" customFormat="false" ht="15" hidden="false" customHeight="true" outlineLevel="0" collapsed="false">
      <c r="A18" s="5" t="n">
        <v>14</v>
      </c>
      <c r="B18" s="6" t="s">
        <v>339</v>
      </c>
      <c r="C18" s="5" t="s">
        <v>407</v>
      </c>
      <c r="D18" s="37" t="n">
        <v>37000</v>
      </c>
      <c r="E18" s="37" t="n">
        <v>37000</v>
      </c>
      <c r="F18" s="37" t="n">
        <v>37000</v>
      </c>
      <c r="G18" s="37" t="n">
        <v>37000</v>
      </c>
      <c r="H18" s="37" t="n">
        <v>37000</v>
      </c>
      <c r="I18" s="37" t="n">
        <v>37000</v>
      </c>
      <c r="J18" s="37" t="n">
        <v>37000</v>
      </c>
      <c r="K18" s="37" t="n">
        <v>37000</v>
      </c>
      <c r="L18" s="37" t="n">
        <v>38000</v>
      </c>
      <c r="M18" s="37" t="n">
        <v>39000</v>
      </c>
      <c r="N18" s="37" t="n">
        <v>40000</v>
      </c>
      <c r="O18" s="37" t="n">
        <v>40000</v>
      </c>
      <c r="P18" s="37" t="n">
        <v>40000</v>
      </c>
      <c r="Q18" s="37" t="n">
        <v>40000</v>
      </c>
      <c r="R18" s="37" t="n">
        <v>40000</v>
      </c>
      <c r="S18" s="37" t="n">
        <v>0</v>
      </c>
      <c r="T18" s="37" t="n">
        <v>0</v>
      </c>
      <c r="U18" s="37" t="n">
        <v>40000</v>
      </c>
      <c r="V18" s="37" t="n">
        <v>40000</v>
      </c>
      <c r="W18" s="37" t="n">
        <v>40000</v>
      </c>
      <c r="X18" s="37" t="n">
        <v>36000</v>
      </c>
      <c r="Y18" s="37" t="n">
        <v>36000</v>
      </c>
      <c r="Z18" s="17" t="n">
        <f aca="false">IFERROR(AVERAGEIF(D18:H18,"&lt;&gt;0"),"")</f>
        <v>37000</v>
      </c>
      <c r="AA18" s="17" t="n">
        <f aca="false">IFERROR(AVERAGEIF(I18:M18,"&lt;&gt;0"),"")</f>
        <v>37600</v>
      </c>
      <c r="AB18" s="17" t="n">
        <f aca="false">IFERROR(AVERAGEIF(N18:R18,"&lt;&gt;0"),"")</f>
        <v>40000</v>
      </c>
      <c r="AC18" s="17" t="n">
        <f aca="false">IFERROR(AVERAGEIF(S18:W18,"&lt;&gt;0"),"")</f>
        <v>40000</v>
      </c>
      <c r="AD18" s="17" t="n">
        <f aca="false">IFERROR(AVERAGEIF(X18:Y18,"&lt;&gt;0"),"")</f>
        <v>36000</v>
      </c>
      <c r="AE18" s="17" t="n">
        <f aca="false">IFERROR(AVERAGEIF(D18:Y18,"&lt;&gt;0"),"")</f>
        <v>38250</v>
      </c>
    </row>
    <row r="19" customFormat="false" ht="15" hidden="false" customHeight="true" outlineLevel="0" collapsed="false">
      <c r="A19" s="5" t="n">
        <v>15</v>
      </c>
      <c r="B19" s="6" t="s">
        <v>348</v>
      </c>
      <c r="C19" s="5" t="s">
        <v>407</v>
      </c>
      <c r="D19" s="37" t="n">
        <v>28000</v>
      </c>
      <c r="E19" s="37" t="n">
        <v>28000</v>
      </c>
      <c r="F19" s="37" t="n">
        <v>28000</v>
      </c>
      <c r="G19" s="37" t="n">
        <v>28000</v>
      </c>
      <c r="H19" s="37" t="n">
        <v>28000</v>
      </c>
      <c r="I19" s="37" t="n">
        <v>28000</v>
      </c>
      <c r="J19" s="37" t="n">
        <v>28000</v>
      </c>
      <c r="K19" s="37" t="n">
        <v>28000</v>
      </c>
      <c r="L19" s="37" t="n">
        <v>28000</v>
      </c>
      <c r="M19" s="37" t="n">
        <v>28500</v>
      </c>
      <c r="N19" s="37" t="n">
        <v>28000</v>
      </c>
      <c r="O19" s="37" t="n">
        <v>28000</v>
      </c>
      <c r="P19" s="37" t="n">
        <v>28000</v>
      </c>
      <c r="Q19" s="37" t="n">
        <v>28500</v>
      </c>
      <c r="R19" s="37" t="n">
        <v>27500</v>
      </c>
      <c r="S19" s="37" t="n">
        <v>0</v>
      </c>
      <c r="T19" s="37" t="n">
        <v>0</v>
      </c>
      <c r="U19" s="37" t="n">
        <v>28000</v>
      </c>
      <c r="V19" s="37" t="n">
        <v>28000</v>
      </c>
      <c r="W19" s="37" t="n">
        <v>27500</v>
      </c>
      <c r="X19" s="37" t="n">
        <v>27500</v>
      </c>
      <c r="Y19" s="37" t="n">
        <v>27500</v>
      </c>
      <c r="Z19" s="17" t="n">
        <f aca="false">IFERROR(AVERAGEIF(D19:H19,"&lt;&gt;0"),"")</f>
        <v>28000</v>
      </c>
      <c r="AA19" s="17" t="n">
        <f aca="false">IFERROR(AVERAGEIF(I19:M19,"&lt;&gt;0"),"")</f>
        <v>28100</v>
      </c>
      <c r="AB19" s="17" t="n">
        <f aca="false">IFERROR(AVERAGEIF(N19:R19,"&lt;&gt;0"),"")</f>
        <v>28000</v>
      </c>
      <c r="AC19" s="17" t="n">
        <f aca="false">IFERROR(AVERAGEIF(S19:W19,"&lt;&gt;0"),"")</f>
        <v>27833.3333333333</v>
      </c>
      <c r="AD19" s="17" t="n">
        <f aca="false">IFERROR(AVERAGEIF(X19:Y19,"&lt;&gt;0"),"")</f>
        <v>27500</v>
      </c>
      <c r="AE19" s="17" t="n">
        <f aca="false">IFERROR(AVERAGEIF(D19:Y19,"&lt;&gt;0"),"")</f>
        <v>27950</v>
      </c>
    </row>
    <row r="20" customFormat="false" ht="15" hidden="false" customHeight="true" outlineLevel="0" collapsed="false">
      <c r="A20" s="5" t="n">
        <v>16</v>
      </c>
      <c r="B20" s="6" t="s">
        <v>362</v>
      </c>
      <c r="C20" s="5" t="s">
        <v>407</v>
      </c>
      <c r="D20" s="37" t="n">
        <v>110000</v>
      </c>
      <c r="E20" s="37" t="n">
        <v>110000</v>
      </c>
      <c r="F20" s="37" t="n">
        <v>110000</v>
      </c>
      <c r="G20" s="37" t="n">
        <v>110000</v>
      </c>
      <c r="H20" s="37" t="n">
        <v>110000</v>
      </c>
      <c r="I20" s="37" t="n">
        <v>112000</v>
      </c>
      <c r="J20" s="37" t="n">
        <v>112000</v>
      </c>
      <c r="K20" s="37" t="n">
        <v>112000</v>
      </c>
      <c r="L20" s="37" t="n">
        <v>115000</v>
      </c>
      <c r="M20" s="37" t="n">
        <v>115000</v>
      </c>
      <c r="N20" s="37" t="n">
        <v>115000</v>
      </c>
      <c r="O20" s="37" t="n">
        <v>115000</v>
      </c>
      <c r="P20" s="37" t="n">
        <v>115000</v>
      </c>
      <c r="Q20" s="37" t="n">
        <v>120000</v>
      </c>
      <c r="R20" s="37" t="n">
        <v>120000</v>
      </c>
      <c r="S20" s="37" t="n">
        <v>0</v>
      </c>
      <c r="T20" s="37" t="n">
        <v>0</v>
      </c>
      <c r="U20" s="37" t="n">
        <v>115000</v>
      </c>
      <c r="V20" s="37" t="n">
        <v>115000</v>
      </c>
      <c r="W20" s="37" t="n">
        <v>115000</v>
      </c>
      <c r="X20" s="37" t="n">
        <v>115000</v>
      </c>
      <c r="Y20" s="37" t="n">
        <v>115000</v>
      </c>
      <c r="Z20" s="17" t="n">
        <f aca="false">IFERROR(AVERAGEIF(D20:H20,"&lt;&gt;0"),"")</f>
        <v>110000</v>
      </c>
      <c r="AA20" s="17" t="n">
        <f aca="false">IFERROR(AVERAGEIF(I20:M20,"&lt;&gt;0"),"")</f>
        <v>113200</v>
      </c>
      <c r="AB20" s="17" t="n">
        <f aca="false">IFERROR(AVERAGEIF(N20:R20,"&lt;&gt;0"),"")</f>
        <v>117000</v>
      </c>
      <c r="AC20" s="17" t="n">
        <f aca="false">IFERROR(AVERAGEIF(S20:W20,"&lt;&gt;0"),"")</f>
        <v>115000</v>
      </c>
      <c r="AD20" s="17" t="n">
        <f aca="false">IFERROR(AVERAGEIF(X20:Y20,"&lt;&gt;0"),"")</f>
        <v>115000</v>
      </c>
      <c r="AE20" s="17" t="n">
        <f aca="false">IFERROR(AVERAGEIF(D20:Y20,"&lt;&gt;0"),"")</f>
        <v>113800</v>
      </c>
    </row>
    <row r="21" customFormat="false" ht="15" hidden="false" customHeight="true" outlineLevel="0" collapsed="false">
      <c r="A21" s="5" t="n">
        <v>17</v>
      </c>
      <c r="B21" s="6" t="s">
        <v>363</v>
      </c>
      <c r="C21" s="5" t="s">
        <v>407</v>
      </c>
      <c r="D21" s="37" t="n">
        <v>70000</v>
      </c>
      <c r="E21" s="37" t="n">
        <v>70000</v>
      </c>
      <c r="F21" s="37" t="n">
        <v>70000</v>
      </c>
      <c r="G21" s="37" t="n">
        <v>70000</v>
      </c>
      <c r="H21" s="37" t="n">
        <v>70000</v>
      </c>
      <c r="I21" s="37" t="n">
        <v>70000</v>
      </c>
      <c r="J21" s="37" t="n">
        <v>70000</v>
      </c>
      <c r="K21" s="37" t="n">
        <v>70000</v>
      </c>
      <c r="L21" s="37" t="n">
        <v>70000</v>
      </c>
      <c r="M21" s="37" t="n">
        <v>70000</v>
      </c>
      <c r="N21" s="37" t="n">
        <v>70000</v>
      </c>
      <c r="O21" s="37" t="n">
        <v>70000</v>
      </c>
      <c r="P21" s="37" t="n">
        <v>70000</v>
      </c>
      <c r="Q21" s="37" t="n">
        <v>70000</v>
      </c>
      <c r="R21" s="37" t="n">
        <v>70000</v>
      </c>
      <c r="S21" s="37" t="n">
        <v>0</v>
      </c>
      <c r="T21" s="37" t="n">
        <v>0</v>
      </c>
      <c r="U21" s="37" t="n">
        <v>70000</v>
      </c>
      <c r="V21" s="37" t="n">
        <v>70000</v>
      </c>
      <c r="W21" s="37" t="n">
        <v>70000</v>
      </c>
      <c r="X21" s="37" t="n">
        <v>70000</v>
      </c>
      <c r="Y21" s="37" t="n">
        <v>70000</v>
      </c>
      <c r="Z21" s="17" t="n">
        <f aca="false">IFERROR(AVERAGEIF(D21:H21,"&lt;&gt;0"),"")</f>
        <v>70000</v>
      </c>
      <c r="AA21" s="17" t="n">
        <f aca="false">IFERROR(AVERAGEIF(I21:M21,"&lt;&gt;0"),"")</f>
        <v>70000</v>
      </c>
      <c r="AB21" s="17" t="n">
        <f aca="false">IFERROR(AVERAGEIF(N21:R21,"&lt;&gt;0"),"")</f>
        <v>70000</v>
      </c>
      <c r="AC21" s="17" t="n">
        <f aca="false">IFERROR(AVERAGEIF(S21:W21,"&lt;&gt;0"),"")</f>
        <v>70000</v>
      </c>
      <c r="AD21" s="17" t="n">
        <f aca="false">IFERROR(AVERAGEIF(X21:Y21,"&lt;&gt;0"),"")</f>
        <v>70000</v>
      </c>
      <c r="AE21" s="17" t="n">
        <f aca="false">IFERROR(AVERAGEIF(D21:Y21,"&lt;&gt;0"),"")</f>
        <v>70000</v>
      </c>
    </row>
    <row r="22" customFormat="false" ht="15" hidden="false" customHeight="true" outlineLevel="0" collapsed="false">
      <c r="A22" s="5" t="n">
        <v>18</v>
      </c>
      <c r="B22" s="6" t="s">
        <v>364</v>
      </c>
      <c r="C22" s="5" t="s">
        <v>407</v>
      </c>
      <c r="D22" s="37" t="n">
        <v>70000</v>
      </c>
      <c r="E22" s="37" t="n">
        <v>70000</v>
      </c>
      <c r="F22" s="37" t="n">
        <v>70000</v>
      </c>
      <c r="G22" s="37" t="n">
        <v>70000</v>
      </c>
      <c r="H22" s="37" t="n">
        <v>70000</v>
      </c>
      <c r="I22" s="37" t="n">
        <v>70000</v>
      </c>
      <c r="J22" s="37" t="n">
        <v>70000</v>
      </c>
      <c r="K22" s="37" t="n">
        <v>70000</v>
      </c>
      <c r="L22" s="37" t="n">
        <v>70000</v>
      </c>
      <c r="M22" s="37" t="n">
        <v>70000</v>
      </c>
      <c r="N22" s="37" t="n">
        <v>80000</v>
      </c>
      <c r="O22" s="37" t="n">
        <v>80000</v>
      </c>
      <c r="P22" s="37" t="n">
        <v>80000</v>
      </c>
      <c r="Q22" s="37" t="n">
        <v>80000</v>
      </c>
      <c r="R22" s="37" t="n">
        <v>80000</v>
      </c>
      <c r="S22" s="37" t="n">
        <v>0</v>
      </c>
      <c r="T22" s="37" t="n">
        <v>0</v>
      </c>
      <c r="U22" s="37" t="n">
        <v>80000</v>
      </c>
      <c r="V22" s="37" t="n">
        <v>80000</v>
      </c>
      <c r="W22" s="37" t="n">
        <v>80000</v>
      </c>
      <c r="X22" s="37" t="n">
        <v>80000</v>
      </c>
      <c r="Y22" s="37" t="n">
        <v>80000</v>
      </c>
      <c r="Z22" s="17" t="n">
        <f aca="false">IFERROR(AVERAGEIF(D22:H22,"&lt;&gt;0"),"")</f>
        <v>70000</v>
      </c>
      <c r="AA22" s="17" t="n">
        <f aca="false">IFERROR(AVERAGEIF(I22:M22,"&lt;&gt;0"),"")</f>
        <v>70000</v>
      </c>
      <c r="AB22" s="17" t="n">
        <f aca="false">IFERROR(AVERAGEIF(N22:R22,"&lt;&gt;0"),"")</f>
        <v>80000</v>
      </c>
      <c r="AC22" s="17" t="n">
        <f aca="false">IFERROR(AVERAGEIF(S22:W22,"&lt;&gt;0"),"")</f>
        <v>80000</v>
      </c>
      <c r="AD22" s="17" t="n">
        <f aca="false">IFERROR(AVERAGEIF(X22:Y22,"&lt;&gt;0"),"")</f>
        <v>80000</v>
      </c>
      <c r="AE22" s="17" t="n">
        <f aca="false">IFERROR(AVERAGEIF(D22:Y22,"&lt;&gt;0"),"")</f>
        <v>75000</v>
      </c>
    </row>
    <row r="23" customFormat="false" ht="15" hidden="false" customHeight="true" outlineLevel="0" collapsed="false">
      <c r="A23" s="5" t="n">
        <v>19</v>
      </c>
      <c r="B23" s="6" t="s">
        <v>409</v>
      </c>
      <c r="C23" s="5" t="s">
        <v>407</v>
      </c>
      <c r="D23" s="37" t="n">
        <v>35000</v>
      </c>
      <c r="E23" s="37" t="n">
        <v>35000</v>
      </c>
      <c r="F23" s="37" t="n">
        <v>35000</v>
      </c>
      <c r="G23" s="37" t="n">
        <v>35000</v>
      </c>
      <c r="H23" s="37" t="n">
        <v>35000</v>
      </c>
      <c r="I23" s="37" t="n">
        <v>35000</v>
      </c>
      <c r="J23" s="37" t="n">
        <v>35000</v>
      </c>
      <c r="K23" s="37" t="n">
        <v>35000</v>
      </c>
      <c r="L23" s="37" t="n">
        <v>35000</v>
      </c>
      <c r="M23" s="37" t="n">
        <v>35000</v>
      </c>
      <c r="N23" s="37" t="n">
        <v>40000</v>
      </c>
      <c r="O23" s="37" t="n">
        <v>40000</v>
      </c>
      <c r="P23" s="37" t="n">
        <v>40000</v>
      </c>
      <c r="Q23" s="37" t="n">
        <v>45000</v>
      </c>
      <c r="R23" s="37" t="n">
        <v>45000</v>
      </c>
      <c r="S23" s="37" t="n">
        <v>0</v>
      </c>
      <c r="T23" s="37" t="n">
        <v>0</v>
      </c>
      <c r="U23" s="37" t="n">
        <v>45000</v>
      </c>
      <c r="V23" s="37" t="n">
        <v>45000</v>
      </c>
      <c r="W23" s="37" t="n">
        <v>45000</v>
      </c>
      <c r="X23" s="37" t="n">
        <v>45000</v>
      </c>
      <c r="Y23" s="37" t="n">
        <v>45000</v>
      </c>
      <c r="Z23" s="17" t="n">
        <f aca="false">IFERROR(AVERAGEIF(D23:H23,"&lt;&gt;0"),"")</f>
        <v>35000</v>
      </c>
      <c r="AA23" s="17" t="n">
        <f aca="false">IFERROR(AVERAGEIF(I23:M23,"&lt;&gt;0"),"")</f>
        <v>35000</v>
      </c>
      <c r="AB23" s="17" t="n">
        <f aca="false">IFERROR(AVERAGEIF(N23:R23,"&lt;&gt;0"),"")</f>
        <v>42000</v>
      </c>
      <c r="AC23" s="17" t="n">
        <f aca="false">IFERROR(AVERAGEIF(S23:W23,"&lt;&gt;0"),"")</f>
        <v>45000</v>
      </c>
      <c r="AD23" s="17" t="n">
        <f aca="false">IFERROR(AVERAGEIF(X23:Y23,"&lt;&gt;0"),"")</f>
        <v>45000</v>
      </c>
      <c r="AE23" s="17" t="n">
        <f aca="false">IFERROR(AVERAGEIF(D23:Y23,"&lt;&gt;0"),"")</f>
        <v>39250</v>
      </c>
    </row>
    <row r="24" customFormat="false" ht="15" hidden="false" customHeight="true" outlineLevel="0" collapsed="false">
      <c r="A24" s="5" t="n">
        <v>20</v>
      </c>
      <c r="B24" s="6" t="s">
        <v>350</v>
      </c>
      <c r="C24" s="5" t="s">
        <v>407</v>
      </c>
      <c r="D24" s="37" t="n">
        <v>35000</v>
      </c>
      <c r="E24" s="37" t="n">
        <v>35000</v>
      </c>
      <c r="F24" s="37" t="n">
        <v>35000</v>
      </c>
      <c r="G24" s="37" t="n">
        <v>35000</v>
      </c>
      <c r="H24" s="37" t="n">
        <v>35000</v>
      </c>
      <c r="I24" s="37" t="n">
        <v>35000</v>
      </c>
      <c r="J24" s="37" t="n">
        <v>35000</v>
      </c>
      <c r="K24" s="37" t="n">
        <v>35000</v>
      </c>
      <c r="L24" s="37" t="n">
        <v>35000</v>
      </c>
      <c r="M24" s="37" t="n">
        <v>35000</v>
      </c>
      <c r="N24" s="37" t="n">
        <v>40000</v>
      </c>
      <c r="O24" s="37" t="n">
        <v>40000</v>
      </c>
      <c r="P24" s="37" t="n">
        <v>40000</v>
      </c>
      <c r="Q24" s="37" t="n">
        <v>45000</v>
      </c>
      <c r="R24" s="37" t="n">
        <v>45000</v>
      </c>
      <c r="S24" s="37" t="n">
        <v>0</v>
      </c>
      <c r="T24" s="37" t="n">
        <v>0</v>
      </c>
      <c r="U24" s="37" t="n">
        <v>45000</v>
      </c>
      <c r="V24" s="37" t="n">
        <v>45000</v>
      </c>
      <c r="W24" s="37" t="n">
        <v>45000</v>
      </c>
      <c r="X24" s="37" t="n">
        <v>45000</v>
      </c>
      <c r="Y24" s="37" t="n">
        <v>45000</v>
      </c>
      <c r="Z24" s="17" t="n">
        <f aca="false">IFERROR(AVERAGEIF(D24:H24,"&lt;&gt;0"),"")</f>
        <v>35000</v>
      </c>
      <c r="AA24" s="17" t="n">
        <f aca="false">IFERROR(AVERAGEIF(I24:M24,"&lt;&gt;0"),"")</f>
        <v>35000</v>
      </c>
      <c r="AB24" s="17" t="n">
        <f aca="false">IFERROR(AVERAGEIF(N24:R24,"&lt;&gt;0"),"")</f>
        <v>42000</v>
      </c>
      <c r="AC24" s="17" t="n">
        <f aca="false">IFERROR(AVERAGEIF(S24:W24,"&lt;&gt;0"),"")</f>
        <v>45000</v>
      </c>
      <c r="AD24" s="17" t="n">
        <f aca="false">IFERROR(AVERAGEIF(X24:Y24,"&lt;&gt;0"),"")</f>
        <v>45000</v>
      </c>
      <c r="AE24" s="17" t="n">
        <f aca="false">IFERROR(AVERAGEIF(D24:Y24,"&lt;&gt;0"),"")</f>
        <v>39250</v>
      </c>
    </row>
    <row r="25" customFormat="false" ht="15" hidden="false" customHeight="true" outlineLevel="0" collapsed="false">
      <c r="A25" s="5" t="n">
        <v>21</v>
      </c>
      <c r="B25" s="6" t="s">
        <v>410</v>
      </c>
      <c r="C25" s="5" t="s">
        <v>407</v>
      </c>
      <c r="D25" s="37" t="n">
        <v>80000</v>
      </c>
      <c r="E25" s="37" t="n">
        <v>80000</v>
      </c>
      <c r="F25" s="37" t="n">
        <v>80000</v>
      </c>
      <c r="G25" s="37" t="n">
        <v>80000</v>
      </c>
      <c r="H25" s="37" t="n">
        <v>80000</v>
      </c>
      <c r="I25" s="37" t="n">
        <v>80000</v>
      </c>
      <c r="J25" s="37" t="n">
        <v>80000</v>
      </c>
      <c r="K25" s="37" t="n">
        <v>80000</v>
      </c>
      <c r="L25" s="37" t="n">
        <v>80000</v>
      </c>
      <c r="M25" s="37" t="n">
        <v>80000</v>
      </c>
      <c r="N25" s="37" t="n">
        <v>80000</v>
      </c>
      <c r="O25" s="37" t="n">
        <v>80000</v>
      </c>
      <c r="P25" s="37" t="n">
        <v>80000</v>
      </c>
      <c r="Q25" s="37" t="n">
        <v>80000</v>
      </c>
      <c r="R25" s="37" t="n">
        <v>80000</v>
      </c>
      <c r="S25" s="37" t="n">
        <v>0</v>
      </c>
      <c r="T25" s="37" t="n">
        <v>0</v>
      </c>
      <c r="U25" s="37" t="n">
        <v>80000</v>
      </c>
      <c r="V25" s="37" t="n">
        <v>80000</v>
      </c>
      <c r="W25" s="37" t="n">
        <v>80000</v>
      </c>
      <c r="X25" s="37" t="n">
        <v>80000</v>
      </c>
      <c r="Y25" s="37" t="n">
        <v>80000</v>
      </c>
      <c r="Z25" s="17" t="n">
        <f aca="false">IFERROR(AVERAGEIF(D25:H25,"&lt;&gt;0"),"")</f>
        <v>80000</v>
      </c>
      <c r="AA25" s="17" t="n">
        <f aca="false">IFERROR(AVERAGEIF(I25:M25,"&lt;&gt;0"),"")</f>
        <v>80000</v>
      </c>
      <c r="AB25" s="17" t="n">
        <f aca="false">IFERROR(AVERAGEIF(N25:R25,"&lt;&gt;0"),"")</f>
        <v>80000</v>
      </c>
      <c r="AC25" s="17" t="n">
        <f aca="false">IFERROR(AVERAGEIF(S25:W25,"&lt;&gt;0"),"")</f>
        <v>80000</v>
      </c>
      <c r="AD25" s="17" t="n">
        <f aca="false">IFERROR(AVERAGEIF(X25:Y25,"&lt;&gt;0"),"")</f>
        <v>80000</v>
      </c>
      <c r="AE25" s="17" t="n">
        <f aca="false">IFERROR(AVERAGEIF(D25:Y25,"&lt;&gt;0"),"")</f>
        <v>80000</v>
      </c>
    </row>
    <row r="26" customFormat="false" ht="21.75" hidden="false" customHeight="true" outlineLevel="0" collapsed="false">
      <c r="A26" s="5" t="n">
        <v>22</v>
      </c>
      <c r="B26" s="6" t="s">
        <v>357</v>
      </c>
      <c r="C26" s="5" t="s">
        <v>454</v>
      </c>
      <c r="D26" s="37" t="n">
        <v>2800</v>
      </c>
      <c r="E26" s="37" t="n">
        <v>2800</v>
      </c>
      <c r="F26" s="37" t="n">
        <v>2800</v>
      </c>
      <c r="G26" s="37" t="n">
        <v>2800</v>
      </c>
      <c r="H26" s="37" t="n">
        <v>2800</v>
      </c>
      <c r="I26" s="37" t="n">
        <v>2800</v>
      </c>
      <c r="J26" s="37" t="n">
        <v>2800</v>
      </c>
      <c r="K26" s="37" t="n">
        <v>2800</v>
      </c>
      <c r="L26" s="37" t="n">
        <v>2800</v>
      </c>
      <c r="M26" s="37" t="n">
        <v>2800</v>
      </c>
      <c r="N26" s="37" t="n">
        <v>2800</v>
      </c>
      <c r="O26" s="37" t="n">
        <v>2800</v>
      </c>
      <c r="P26" s="37" t="n">
        <v>2800</v>
      </c>
      <c r="Q26" s="37" t="n">
        <v>2800</v>
      </c>
      <c r="R26" s="37" t="n">
        <v>2800</v>
      </c>
      <c r="S26" s="37" t="n">
        <v>0</v>
      </c>
      <c r="T26" s="37" t="n">
        <v>0</v>
      </c>
      <c r="U26" s="37" t="n">
        <v>2800</v>
      </c>
      <c r="V26" s="37" t="n">
        <v>2800</v>
      </c>
      <c r="W26" s="37" t="n">
        <v>2800</v>
      </c>
      <c r="X26" s="37" t="n">
        <v>2800</v>
      </c>
      <c r="Y26" s="37" t="n">
        <v>2800</v>
      </c>
      <c r="Z26" s="17" t="n">
        <f aca="false">IFERROR(AVERAGEIF(D26:H26,"&lt;&gt;0"),"")</f>
        <v>2800</v>
      </c>
      <c r="AA26" s="17" t="n">
        <f aca="false">IFERROR(AVERAGEIF(I26:M26,"&lt;&gt;0"),"")</f>
        <v>2800</v>
      </c>
      <c r="AB26" s="17" t="n">
        <f aca="false">IFERROR(AVERAGEIF(N26:R26,"&lt;&gt;0"),"")</f>
        <v>2800</v>
      </c>
      <c r="AC26" s="17" t="n">
        <f aca="false">IFERROR(AVERAGEIF(S26:W26,"&lt;&gt;0"),"")</f>
        <v>2800</v>
      </c>
      <c r="AD26" s="17" t="n">
        <f aca="false">IFERROR(AVERAGEIF(X26:Y26,"&lt;&gt;0"),"")</f>
        <v>2800</v>
      </c>
      <c r="AE26" s="17" t="n">
        <f aca="false">IFERROR(AVERAGEIF(D26:Y26,"&lt;&gt;0"),"")</f>
        <v>2800</v>
      </c>
    </row>
    <row r="27" customFormat="false" ht="15" hidden="false" customHeight="true" outlineLevel="0" collapsed="false">
      <c r="A27" s="5" t="n">
        <v>23</v>
      </c>
      <c r="B27" s="6" t="s">
        <v>355</v>
      </c>
      <c r="C27" s="5" t="s">
        <v>407</v>
      </c>
      <c r="D27" s="37" t="n">
        <v>30000</v>
      </c>
      <c r="E27" s="37" t="n">
        <v>30000</v>
      </c>
      <c r="F27" s="37" t="n">
        <v>30000</v>
      </c>
      <c r="G27" s="37" t="n">
        <v>30000</v>
      </c>
      <c r="H27" s="37" t="n">
        <v>29000</v>
      </c>
      <c r="I27" s="37" t="n">
        <v>29000</v>
      </c>
      <c r="J27" s="37" t="n">
        <v>29000</v>
      </c>
      <c r="K27" s="37" t="n">
        <v>29000</v>
      </c>
      <c r="L27" s="37" t="n">
        <v>30000</v>
      </c>
      <c r="M27" s="37" t="n">
        <v>30000</v>
      </c>
      <c r="N27" s="37" t="n">
        <v>29000</v>
      </c>
      <c r="O27" s="37" t="n">
        <v>29000</v>
      </c>
      <c r="P27" s="37" t="n">
        <v>29000</v>
      </c>
      <c r="Q27" s="37" t="n">
        <v>30000</v>
      </c>
      <c r="R27" s="37" t="n">
        <v>30000</v>
      </c>
      <c r="S27" s="37" t="n">
        <v>0</v>
      </c>
      <c r="T27" s="37" t="n">
        <v>0</v>
      </c>
      <c r="U27" s="37" t="n">
        <v>30000</v>
      </c>
      <c r="V27" s="37" t="n">
        <v>30000</v>
      </c>
      <c r="W27" s="37" t="n">
        <v>30000</v>
      </c>
      <c r="X27" s="37" t="n">
        <v>30000</v>
      </c>
      <c r="Y27" s="37" t="n">
        <v>30000</v>
      </c>
      <c r="Z27" s="17" t="n">
        <f aca="false">IFERROR(AVERAGEIF(D27:H27,"&lt;&gt;0"),"")</f>
        <v>29800</v>
      </c>
      <c r="AA27" s="17" t="n">
        <f aca="false">IFERROR(AVERAGEIF(I27:M27,"&lt;&gt;0"),"")</f>
        <v>29400</v>
      </c>
      <c r="AB27" s="17" t="n">
        <f aca="false">IFERROR(AVERAGEIF(N27:R27,"&lt;&gt;0"),"")</f>
        <v>29400</v>
      </c>
      <c r="AC27" s="17" t="n">
        <f aca="false">IFERROR(AVERAGEIF(S27:W27,"&lt;&gt;0"),"")</f>
        <v>30000</v>
      </c>
      <c r="AD27" s="17" t="n">
        <f aca="false">IFERROR(AVERAGEIF(X27:Y27,"&lt;&gt;0"),"")</f>
        <v>30000</v>
      </c>
      <c r="AE27" s="17" t="n">
        <f aca="false">IFERROR(AVERAGEIF(D27:Y27,"&lt;&gt;0"),"")</f>
        <v>29650</v>
      </c>
    </row>
    <row r="28" customFormat="false" ht="15" hidden="false" customHeight="true" outlineLevel="0" collapsed="false">
      <c r="A28" s="5" t="n">
        <v>24</v>
      </c>
      <c r="B28" s="6" t="s">
        <v>356</v>
      </c>
      <c r="C28" s="5" t="s">
        <v>407</v>
      </c>
      <c r="D28" s="37" t="n">
        <v>35000</v>
      </c>
      <c r="E28" s="37" t="n">
        <v>35000</v>
      </c>
      <c r="F28" s="37" t="n">
        <v>35000</v>
      </c>
      <c r="G28" s="37" t="n">
        <v>35000</v>
      </c>
      <c r="H28" s="37" t="n">
        <v>35000</v>
      </c>
      <c r="I28" s="37" t="n">
        <v>35000</v>
      </c>
      <c r="J28" s="37" t="n">
        <v>35000</v>
      </c>
      <c r="K28" s="37" t="n">
        <v>35000</v>
      </c>
      <c r="L28" s="37" t="n">
        <v>35000</v>
      </c>
      <c r="M28" s="37" t="n">
        <v>35000</v>
      </c>
      <c r="N28" s="37" t="n">
        <v>35000</v>
      </c>
      <c r="O28" s="37" t="n">
        <v>35000</v>
      </c>
      <c r="P28" s="37" t="n">
        <v>35000</v>
      </c>
      <c r="Q28" s="37" t="n">
        <v>38000</v>
      </c>
      <c r="R28" s="37" t="n">
        <v>38000</v>
      </c>
      <c r="S28" s="37" t="n">
        <v>0</v>
      </c>
      <c r="T28" s="37" t="n">
        <v>0</v>
      </c>
      <c r="U28" s="37" t="n">
        <v>38000</v>
      </c>
      <c r="V28" s="37" t="n">
        <v>38000</v>
      </c>
      <c r="W28" s="37" t="n">
        <v>38000</v>
      </c>
      <c r="X28" s="37" t="n">
        <v>38000</v>
      </c>
      <c r="Y28" s="37" t="n">
        <v>38000</v>
      </c>
      <c r="Z28" s="17" t="n">
        <f aca="false">IFERROR(AVERAGEIF(D28:H28,"&lt;&gt;0"),"")</f>
        <v>35000</v>
      </c>
      <c r="AA28" s="17" t="n">
        <f aca="false">IFERROR(AVERAGEIF(I28:M28,"&lt;&gt;0"),"")</f>
        <v>35000</v>
      </c>
      <c r="AB28" s="17" t="n">
        <f aca="false">IFERROR(AVERAGEIF(N28:R28,"&lt;&gt;0"),"")</f>
        <v>36200</v>
      </c>
      <c r="AC28" s="17" t="n">
        <f aca="false">IFERROR(AVERAGEIF(S28:W28,"&lt;&gt;0"),"")</f>
        <v>38000</v>
      </c>
      <c r="AD28" s="17" t="n">
        <f aca="false">IFERROR(AVERAGEIF(X28:Y28,"&lt;&gt;0"),"")</f>
        <v>38000</v>
      </c>
      <c r="AE28" s="17" t="n">
        <f aca="false">IFERROR(AVERAGEIF(D28:Y28,"&lt;&gt;0"),"")</f>
        <v>36050</v>
      </c>
    </row>
    <row r="29" customFormat="false" ht="15" hidden="false" customHeight="true" outlineLevel="0" collapsed="false">
      <c r="A29" s="5" t="n">
        <v>25</v>
      </c>
      <c r="B29" s="6" t="s">
        <v>411</v>
      </c>
      <c r="C29" s="5" t="s">
        <v>407</v>
      </c>
      <c r="D29" s="37" t="n">
        <v>34000</v>
      </c>
      <c r="E29" s="37" t="n">
        <v>34000</v>
      </c>
      <c r="F29" s="37" t="n">
        <v>34000</v>
      </c>
      <c r="G29" s="37" t="n">
        <v>34000</v>
      </c>
      <c r="H29" s="37" t="n">
        <v>34000</v>
      </c>
      <c r="I29" s="37" t="n">
        <v>34000</v>
      </c>
      <c r="J29" s="37" t="n">
        <v>34000</v>
      </c>
      <c r="K29" s="37" t="n">
        <v>34000</v>
      </c>
      <c r="L29" s="37" t="n">
        <v>34000</v>
      </c>
      <c r="M29" s="37" t="n">
        <v>34000</v>
      </c>
      <c r="N29" s="37" t="n">
        <v>35000</v>
      </c>
      <c r="O29" s="37" t="n">
        <v>35000</v>
      </c>
      <c r="P29" s="37" t="n">
        <v>35000</v>
      </c>
      <c r="Q29" s="37" t="n">
        <v>36000</v>
      </c>
      <c r="R29" s="37" t="n">
        <v>36000</v>
      </c>
      <c r="S29" s="37" t="n">
        <v>0</v>
      </c>
      <c r="T29" s="37" t="n">
        <v>0</v>
      </c>
      <c r="U29" s="37" t="n">
        <v>33000</v>
      </c>
      <c r="V29" s="37" t="n">
        <v>33000</v>
      </c>
      <c r="W29" s="37" t="n">
        <v>30000</v>
      </c>
      <c r="X29" s="37" t="n">
        <v>32000</v>
      </c>
      <c r="Y29" s="37" t="n">
        <v>32000</v>
      </c>
      <c r="Z29" s="17" t="n">
        <f aca="false">IFERROR(AVERAGEIF(D29:H29,"&lt;&gt;0"),"")</f>
        <v>34000</v>
      </c>
      <c r="AA29" s="17" t="n">
        <f aca="false">IFERROR(AVERAGEIF(I29:M29,"&lt;&gt;0"),"")</f>
        <v>34000</v>
      </c>
      <c r="AB29" s="17" t="n">
        <f aca="false">IFERROR(AVERAGEIF(N29:R29,"&lt;&gt;0"),"")</f>
        <v>35400</v>
      </c>
      <c r="AC29" s="17" t="n">
        <f aca="false">IFERROR(AVERAGEIF(S29:W29,"&lt;&gt;0"),"")</f>
        <v>32000</v>
      </c>
      <c r="AD29" s="17" t="n">
        <f aca="false">IFERROR(AVERAGEIF(X29:Y29,"&lt;&gt;0"),"")</f>
        <v>32000</v>
      </c>
      <c r="AE29" s="17" t="n">
        <f aca="false">IFERROR(AVERAGEIF(D29:Y29,"&lt;&gt;0"),"")</f>
        <v>33850</v>
      </c>
    </row>
    <row r="30" customFormat="false" ht="15" hidden="false" customHeight="true" outlineLevel="0" collapsed="false">
      <c r="A30" s="5" t="n">
        <v>26</v>
      </c>
      <c r="B30" s="6" t="s">
        <v>412</v>
      </c>
      <c r="C30" s="5" t="s">
        <v>407</v>
      </c>
      <c r="D30" s="37" t="n">
        <v>8000</v>
      </c>
      <c r="E30" s="37" t="n">
        <v>8000</v>
      </c>
      <c r="F30" s="37" t="n">
        <v>8000</v>
      </c>
      <c r="G30" s="37" t="n">
        <v>8000</v>
      </c>
      <c r="H30" s="37" t="n">
        <v>8000</v>
      </c>
      <c r="I30" s="37" t="n">
        <v>8000</v>
      </c>
      <c r="J30" s="37" t="n">
        <v>8000</v>
      </c>
      <c r="K30" s="37" t="n">
        <v>8000</v>
      </c>
      <c r="L30" s="37" t="n">
        <v>8000</v>
      </c>
      <c r="M30" s="37" t="n">
        <v>8000</v>
      </c>
      <c r="N30" s="37" t="n">
        <v>8000</v>
      </c>
      <c r="O30" s="37" t="n">
        <v>8000</v>
      </c>
      <c r="P30" s="37" t="n">
        <v>8000</v>
      </c>
      <c r="Q30" s="37" t="n">
        <v>8000</v>
      </c>
      <c r="R30" s="37" t="n">
        <v>8000</v>
      </c>
      <c r="S30" s="37" t="n">
        <v>0</v>
      </c>
      <c r="T30" s="37" t="n">
        <v>0</v>
      </c>
      <c r="U30" s="37" t="n">
        <v>8000</v>
      </c>
      <c r="V30" s="37" t="n">
        <v>8000</v>
      </c>
      <c r="W30" s="37" t="n">
        <v>8000</v>
      </c>
      <c r="X30" s="37" t="n">
        <v>8000</v>
      </c>
      <c r="Y30" s="37" t="n">
        <v>8000</v>
      </c>
      <c r="Z30" s="17" t="n">
        <f aca="false">IFERROR(AVERAGEIF(D30:H30,"&lt;&gt;0"),"")</f>
        <v>8000</v>
      </c>
      <c r="AA30" s="17" t="n">
        <f aca="false">IFERROR(AVERAGEIF(I30:M30,"&lt;&gt;0"),"")</f>
        <v>8000</v>
      </c>
      <c r="AB30" s="17" t="n">
        <f aca="false">IFERROR(AVERAGEIF(N30:R30,"&lt;&gt;0"),"")</f>
        <v>8000</v>
      </c>
      <c r="AC30" s="17" t="n">
        <f aca="false">IFERROR(AVERAGEIF(S30:W30,"&lt;&gt;0"),"")</f>
        <v>8000</v>
      </c>
      <c r="AD30" s="17" t="n">
        <f aca="false">IFERROR(AVERAGEIF(X30:Y30,"&lt;&gt;0"),"")</f>
        <v>8000</v>
      </c>
      <c r="AE30" s="17" t="n">
        <f aca="false">IFERROR(AVERAGEIF(D30:Y30,"&lt;&gt;0"),"")</f>
        <v>8000</v>
      </c>
    </row>
    <row r="31" customFormat="false" ht="15" hidden="false" customHeight="true" outlineLevel="0" collapsed="false">
      <c r="A31" s="5" t="n">
        <v>27</v>
      </c>
      <c r="B31" s="6" t="s">
        <v>358</v>
      </c>
      <c r="C31" s="5" t="s">
        <v>455</v>
      </c>
      <c r="D31" s="37" t="n">
        <v>10500</v>
      </c>
      <c r="E31" s="37" t="n">
        <v>10500</v>
      </c>
      <c r="F31" s="37" t="n">
        <v>10500</v>
      </c>
      <c r="G31" s="37" t="n">
        <v>10500</v>
      </c>
      <c r="H31" s="37" t="n">
        <v>10500</v>
      </c>
      <c r="I31" s="37" t="n">
        <v>10500</v>
      </c>
      <c r="J31" s="37" t="n">
        <v>10500</v>
      </c>
      <c r="K31" s="37" t="n">
        <v>10500</v>
      </c>
      <c r="L31" s="37" t="n">
        <v>10500</v>
      </c>
      <c r="M31" s="37" t="n">
        <v>10500</v>
      </c>
      <c r="N31" s="37" t="n">
        <v>10500</v>
      </c>
      <c r="O31" s="37" t="n">
        <v>10500</v>
      </c>
      <c r="P31" s="37" t="n">
        <v>10500</v>
      </c>
      <c r="Q31" s="37" t="n">
        <v>10500</v>
      </c>
      <c r="R31" s="37" t="n">
        <v>10500</v>
      </c>
      <c r="S31" s="37" t="n">
        <v>0</v>
      </c>
      <c r="T31" s="37" t="n">
        <v>0</v>
      </c>
      <c r="U31" s="37" t="n">
        <v>10500</v>
      </c>
      <c r="V31" s="37" t="n">
        <v>10500</v>
      </c>
      <c r="W31" s="37" t="n">
        <v>10500</v>
      </c>
      <c r="X31" s="37" t="n">
        <v>10500</v>
      </c>
      <c r="Y31" s="37" t="n">
        <v>10500</v>
      </c>
      <c r="Z31" s="17" t="n">
        <f aca="false">IFERROR(AVERAGEIF(D31:H31,"&lt;&gt;0"),"")</f>
        <v>10500</v>
      </c>
      <c r="AA31" s="17" t="n">
        <f aca="false">IFERROR(AVERAGEIF(I31:M31,"&lt;&gt;0"),"")</f>
        <v>10500</v>
      </c>
      <c r="AB31" s="17" t="n">
        <f aca="false">IFERROR(AVERAGEIF(N31:R31,"&lt;&gt;0"),"")</f>
        <v>10500</v>
      </c>
      <c r="AC31" s="17" t="n">
        <f aca="false">IFERROR(AVERAGEIF(S31:W31,"&lt;&gt;0"),"")</f>
        <v>10500</v>
      </c>
      <c r="AD31" s="17" t="n">
        <f aca="false">IFERROR(AVERAGEIF(X31:Y31,"&lt;&gt;0"),"")</f>
        <v>10500</v>
      </c>
      <c r="AE31" s="17" t="n">
        <f aca="false">IFERROR(AVERAGEIF(D31:Y31,"&lt;&gt;0"),"")</f>
        <v>10500</v>
      </c>
    </row>
    <row r="32" customFormat="false" ht="15" hidden="false" customHeight="true" outlineLevel="0" collapsed="false">
      <c r="A32" s="5" t="n">
        <v>28</v>
      </c>
      <c r="B32" s="6" t="s">
        <v>352</v>
      </c>
      <c r="C32" s="5" t="s">
        <v>456</v>
      </c>
      <c r="D32" s="37" t="n">
        <v>42000</v>
      </c>
      <c r="E32" s="37" t="n">
        <v>42000</v>
      </c>
      <c r="F32" s="37" t="n">
        <v>42000</v>
      </c>
      <c r="G32" s="37" t="n">
        <v>42000</v>
      </c>
      <c r="H32" s="37" t="n">
        <v>42000</v>
      </c>
      <c r="I32" s="37" t="n">
        <v>42000</v>
      </c>
      <c r="J32" s="37" t="n">
        <v>42000</v>
      </c>
      <c r="K32" s="37" t="n">
        <v>42000</v>
      </c>
      <c r="L32" s="37" t="n">
        <v>42000</v>
      </c>
      <c r="M32" s="37" t="n">
        <v>42000</v>
      </c>
      <c r="N32" s="37" t="n">
        <v>42000</v>
      </c>
      <c r="O32" s="37" t="n">
        <v>42000</v>
      </c>
      <c r="P32" s="37" t="n">
        <v>42000</v>
      </c>
      <c r="Q32" s="37" t="n">
        <v>42000</v>
      </c>
      <c r="R32" s="37" t="n">
        <v>42000</v>
      </c>
      <c r="S32" s="37" t="n">
        <v>0</v>
      </c>
      <c r="T32" s="37" t="n">
        <v>0</v>
      </c>
      <c r="U32" s="37" t="n">
        <v>42000</v>
      </c>
      <c r="V32" s="37" t="n">
        <v>42000</v>
      </c>
      <c r="W32" s="37" t="n">
        <v>42000</v>
      </c>
      <c r="X32" s="37" t="n">
        <v>42000</v>
      </c>
      <c r="Y32" s="37" t="n">
        <v>42000</v>
      </c>
      <c r="Z32" s="17" t="n">
        <f aca="false">IFERROR(AVERAGEIF(D32:H32,"&lt;&gt;0"),"")</f>
        <v>42000</v>
      </c>
      <c r="AA32" s="17" t="n">
        <f aca="false">IFERROR(AVERAGEIF(I32:M32,"&lt;&gt;0"),"")</f>
        <v>42000</v>
      </c>
      <c r="AB32" s="17" t="n">
        <f aca="false">IFERROR(AVERAGEIF(N32:R32,"&lt;&gt;0"),"")</f>
        <v>42000</v>
      </c>
      <c r="AC32" s="17" t="n">
        <f aca="false">IFERROR(AVERAGEIF(S32:W32,"&lt;&gt;0"),"")</f>
        <v>42000</v>
      </c>
      <c r="AD32" s="17" t="n">
        <f aca="false">IFERROR(AVERAGEIF(X32:Y32,"&lt;&gt;0"),"")</f>
        <v>42000</v>
      </c>
      <c r="AE32" s="17" t="n">
        <f aca="false">IFERROR(AVERAGEIF(D32:Y32,"&lt;&gt;0"),"")</f>
        <v>42000</v>
      </c>
    </row>
    <row r="33" customFormat="false" ht="15" hidden="false" customHeight="true" outlineLevel="0" collapsed="false">
      <c r="A33" s="5" t="n">
        <v>29</v>
      </c>
      <c r="B33" s="6" t="s">
        <v>365</v>
      </c>
      <c r="C33" s="5" t="s">
        <v>407</v>
      </c>
      <c r="D33" s="37" t="n">
        <v>10000</v>
      </c>
      <c r="E33" s="37" t="n">
        <v>10000</v>
      </c>
      <c r="F33" s="37" t="n">
        <v>10000</v>
      </c>
      <c r="G33" s="37" t="n">
        <v>10000</v>
      </c>
      <c r="H33" s="37" t="n">
        <v>10000</v>
      </c>
      <c r="I33" s="37" t="n">
        <v>11000</v>
      </c>
      <c r="J33" s="37" t="n">
        <v>11000</v>
      </c>
      <c r="K33" s="37" t="n">
        <v>11000</v>
      </c>
      <c r="L33" s="37" t="n">
        <v>11000</v>
      </c>
      <c r="M33" s="37" t="n">
        <v>11000</v>
      </c>
      <c r="N33" s="37" t="n">
        <v>11000</v>
      </c>
      <c r="O33" s="37" t="n">
        <v>11000</v>
      </c>
      <c r="P33" s="37" t="n">
        <v>11000</v>
      </c>
      <c r="Q33" s="37" t="n">
        <v>11000</v>
      </c>
      <c r="R33" s="37" t="n">
        <v>11000</v>
      </c>
      <c r="S33" s="37" t="n">
        <v>0</v>
      </c>
      <c r="T33" s="37" t="n">
        <v>0</v>
      </c>
      <c r="U33" s="37" t="n">
        <v>11000</v>
      </c>
      <c r="V33" s="37" t="n">
        <v>11000</v>
      </c>
      <c r="W33" s="37" t="n">
        <v>11000</v>
      </c>
      <c r="X33" s="37" t="n">
        <v>11000</v>
      </c>
      <c r="Y33" s="37" t="n">
        <v>11000</v>
      </c>
      <c r="Z33" s="17" t="n">
        <f aca="false">IFERROR(AVERAGEIF(D33:H33,"&lt;&gt;0"),"")</f>
        <v>10000</v>
      </c>
      <c r="AA33" s="17" t="n">
        <f aca="false">IFERROR(AVERAGEIF(I33:M33,"&lt;&gt;0"),"")</f>
        <v>11000</v>
      </c>
      <c r="AB33" s="17" t="n">
        <f aca="false">IFERROR(AVERAGEIF(N33:R33,"&lt;&gt;0"),"")</f>
        <v>11000</v>
      </c>
      <c r="AC33" s="17" t="n">
        <f aca="false">IFERROR(AVERAGEIF(S33:W33,"&lt;&gt;0"),"")</f>
        <v>11000</v>
      </c>
      <c r="AD33" s="17" t="n">
        <f aca="false">IFERROR(AVERAGEIF(X33:Y33,"&lt;&gt;0"),"")</f>
        <v>11000</v>
      </c>
      <c r="AE33" s="17" t="n">
        <f aca="false">IFERROR(AVERAGEIF(D33:Y33,"&lt;&gt;0"),"")</f>
        <v>10750</v>
      </c>
    </row>
    <row r="34" customFormat="false" ht="15" hidden="false" customHeight="true" outlineLevel="0" collapsed="false">
      <c r="A34" s="5" t="n">
        <v>30</v>
      </c>
      <c r="B34" s="6" t="s">
        <v>338</v>
      </c>
      <c r="C34" s="5" t="s">
        <v>407</v>
      </c>
      <c r="D34" s="37" t="n">
        <v>6000</v>
      </c>
      <c r="E34" s="37" t="n">
        <v>6000</v>
      </c>
      <c r="F34" s="37" t="n">
        <v>6000</v>
      </c>
      <c r="G34" s="37" t="n">
        <v>6000</v>
      </c>
      <c r="H34" s="37" t="n">
        <v>6000</v>
      </c>
      <c r="I34" s="37" t="n">
        <v>6000</v>
      </c>
      <c r="J34" s="37" t="n">
        <v>6000</v>
      </c>
      <c r="K34" s="37" t="n">
        <v>6000</v>
      </c>
      <c r="L34" s="37" t="n">
        <v>6000</v>
      </c>
      <c r="M34" s="37" t="n">
        <v>6000</v>
      </c>
      <c r="N34" s="37" t="n">
        <v>6000</v>
      </c>
      <c r="O34" s="37" t="n">
        <v>6000</v>
      </c>
      <c r="P34" s="37" t="n">
        <v>6000</v>
      </c>
      <c r="Q34" s="37" t="n">
        <v>6000</v>
      </c>
      <c r="R34" s="37" t="n">
        <v>6000</v>
      </c>
      <c r="S34" s="37" t="n">
        <v>0</v>
      </c>
      <c r="T34" s="37" t="n">
        <v>0</v>
      </c>
      <c r="U34" s="37" t="n">
        <v>6000</v>
      </c>
      <c r="V34" s="37" t="n">
        <v>6000</v>
      </c>
      <c r="W34" s="37" t="n">
        <v>6000</v>
      </c>
      <c r="X34" s="37" t="n">
        <v>6000</v>
      </c>
      <c r="Y34" s="37" t="n">
        <v>6000</v>
      </c>
      <c r="Z34" s="17" t="n">
        <f aca="false">IFERROR(AVERAGEIF(D34:H34,"&lt;&gt;0"),"")</f>
        <v>6000</v>
      </c>
      <c r="AA34" s="17" t="n">
        <f aca="false">IFERROR(AVERAGEIF(I34:M34,"&lt;&gt;0"),"")</f>
        <v>6000</v>
      </c>
      <c r="AB34" s="17" t="n">
        <f aca="false">IFERROR(AVERAGEIF(N34:R34,"&lt;&gt;0"),"")</f>
        <v>6000</v>
      </c>
      <c r="AC34" s="17" t="n">
        <f aca="false">IFERROR(AVERAGEIF(S34:W34,"&lt;&gt;0"),"")</f>
        <v>6000</v>
      </c>
      <c r="AD34" s="17" t="n">
        <f aca="false">IFERROR(AVERAGEIF(X34:Y34,"&lt;&gt;0"),"")</f>
        <v>6000</v>
      </c>
      <c r="AE34" s="17" t="n">
        <f aca="false">IFERROR(AVERAGEIF(D34:Y34,"&lt;&gt;0"),"")</f>
        <v>6000</v>
      </c>
    </row>
    <row r="35" customFormat="false" ht="15" hidden="false" customHeight="true" outlineLevel="0" collapsed="false">
      <c r="A35" s="5" t="n">
        <v>31</v>
      </c>
      <c r="B35" s="6" t="s">
        <v>343</v>
      </c>
      <c r="C35" s="5" t="s">
        <v>407</v>
      </c>
      <c r="D35" s="37" t="n">
        <v>70000</v>
      </c>
      <c r="E35" s="37" t="n">
        <v>70000</v>
      </c>
      <c r="F35" s="37" t="n">
        <v>70000</v>
      </c>
      <c r="G35" s="37" t="n">
        <v>70000</v>
      </c>
      <c r="H35" s="37" t="n">
        <v>70000</v>
      </c>
      <c r="I35" s="37" t="n">
        <v>70000</v>
      </c>
      <c r="J35" s="37" t="n">
        <v>70000</v>
      </c>
      <c r="K35" s="37" t="n">
        <v>70000</v>
      </c>
      <c r="L35" s="37" t="n">
        <v>70000</v>
      </c>
      <c r="M35" s="37" t="n">
        <v>70000</v>
      </c>
      <c r="N35" s="37" t="n">
        <v>70000</v>
      </c>
      <c r="O35" s="37" t="n">
        <v>70000</v>
      </c>
      <c r="P35" s="37" t="n">
        <v>70000</v>
      </c>
      <c r="Q35" s="37" t="n">
        <v>70000</v>
      </c>
      <c r="R35" s="37" t="n">
        <v>70000</v>
      </c>
      <c r="S35" s="37" t="n">
        <v>0</v>
      </c>
      <c r="T35" s="37" t="n">
        <v>0</v>
      </c>
      <c r="U35" s="37" t="n">
        <v>70000</v>
      </c>
      <c r="V35" s="37" t="n">
        <v>70000</v>
      </c>
      <c r="W35" s="37" t="n">
        <v>70000</v>
      </c>
      <c r="X35" s="37" t="n">
        <v>70000</v>
      </c>
      <c r="Y35" s="37" t="n">
        <v>70000</v>
      </c>
      <c r="Z35" s="17" t="n">
        <f aca="false">IFERROR(AVERAGEIF(D35:H35,"&lt;&gt;0"),"")</f>
        <v>70000</v>
      </c>
      <c r="AA35" s="17" t="n">
        <f aca="false">IFERROR(AVERAGEIF(I35:M35,"&lt;&gt;0"),"")</f>
        <v>70000</v>
      </c>
      <c r="AB35" s="17" t="n">
        <f aca="false">IFERROR(AVERAGEIF(N35:R35,"&lt;&gt;0"),"")</f>
        <v>70000</v>
      </c>
      <c r="AC35" s="17" t="n">
        <f aca="false">IFERROR(AVERAGEIF(S35:W35,"&lt;&gt;0"),"")</f>
        <v>70000</v>
      </c>
      <c r="AD35" s="17" t="n">
        <f aca="false">IFERROR(AVERAGEIF(X35:Y35,"&lt;&gt;0"),"")</f>
        <v>70000</v>
      </c>
      <c r="AE35" s="17" t="n">
        <f aca="false">IFERROR(AVERAGEIF(D35:Y35,"&lt;&gt;0"),"")</f>
        <v>70000</v>
      </c>
    </row>
    <row r="36" customFormat="false" ht="15" hidden="false" customHeight="true" outlineLevel="0" collapsed="false">
      <c r="A36" s="5" t="n">
        <v>32</v>
      </c>
      <c r="B36" s="6" t="s">
        <v>345</v>
      </c>
      <c r="C36" s="5" t="s">
        <v>407</v>
      </c>
      <c r="D36" s="37" t="n">
        <v>12000</v>
      </c>
      <c r="E36" s="37" t="n">
        <v>12000</v>
      </c>
      <c r="F36" s="37" t="n">
        <v>12000</v>
      </c>
      <c r="G36" s="37" t="n">
        <v>12000</v>
      </c>
      <c r="H36" s="37" t="n">
        <v>12000</v>
      </c>
      <c r="I36" s="37" t="n">
        <v>12000</v>
      </c>
      <c r="J36" s="37" t="n">
        <v>12000</v>
      </c>
      <c r="K36" s="37" t="n">
        <v>12000</v>
      </c>
      <c r="L36" s="37" t="n">
        <v>12000</v>
      </c>
      <c r="M36" s="37" t="n">
        <v>12000</v>
      </c>
      <c r="N36" s="37" t="n">
        <v>12000</v>
      </c>
      <c r="O36" s="37" t="n">
        <v>12000</v>
      </c>
      <c r="P36" s="37" t="n">
        <v>12000</v>
      </c>
      <c r="Q36" s="37" t="n">
        <v>12000</v>
      </c>
      <c r="R36" s="37" t="n">
        <v>12000</v>
      </c>
      <c r="S36" s="37" t="n">
        <v>0</v>
      </c>
      <c r="T36" s="37" t="n">
        <v>0</v>
      </c>
      <c r="U36" s="37" t="n">
        <v>12000</v>
      </c>
      <c r="V36" s="37" t="n">
        <v>12000</v>
      </c>
      <c r="W36" s="37" t="n">
        <v>12000</v>
      </c>
      <c r="X36" s="37" t="n">
        <v>12000</v>
      </c>
      <c r="Y36" s="37" t="n">
        <v>12000</v>
      </c>
      <c r="Z36" s="17" t="n">
        <f aca="false">IFERROR(AVERAGEIF(D36:H36,"&lt;&gt;0"),"")</f>
        <v>12000</v>
      </c>
      <c r="AA36" s="17" t="n">
        <f aca="false">IFERROR(AVERAGEIF(I36:M36,"&lt;&gt;0"),"")</f>
        <v>12000</v>
      </c>
      <c r="AB36" s="17" t="n">
        <f aca="false">IFERROR(AVERAGEIF(N36:R36,"&lt;&gt;0"),"")</f>
        <v>12000</v>
      </c>
      <c r="AC36" s="17" t="n">
        <f aca="false">IFERROR(AVERAGEIF(S36:W36,"&lt;&gt;0"),"")</f>
        <v>12000</v>
      </c>
      <c r="AD36" s="17" t="n">
        <f aca="false">IFERROR(AVERAGEIF(X36:Y36,"&lt;&gt;0"),"")</f>
        <v>12000</v>
      </c>
      <c r="AE36" s="17" t="n">
        <f aca="false">IFERROR(AVERAGEIF(D36:Y36,"&lt;&gt;0"),"")</f>
        <v>12000</v>
      </c>
    </row>
    <row r="37" customFormat="false" ht="15" hidden="false" customHeight="true" outlineLevel="0" collapsed="false">
      <c r="A37" s="5" t="n">
        <v>33</v>
      </c>
      <c r="B37" s="6" t="s">
        <v>366</v>
      </c>
      <c r="C37" s="5" t="s">
        <v>407</v>
      </c>
      <c r="D37" s="37" t="n">
        <v>8000</v>
      </c>
      <c r="E37" s="37" t="n">
        <v>8000</v>
      </c>
      <c r="F37" s="37" t="n">
        <v>8000</v>
      </c>
      <c r="G37" s="37" t="n">
        <v>8000</v>
      </c>
      <c r="H37" s="37" t="n">
        <v>8000</v>
      </c>
      <c r="I37" s="37" t="n">
        <v>8000</v>
      </c>
      <c r="J37" s="37" t="n">
        <v>8000</v>
      </c>
      <c r="K37" s="37" t="n">
        <v>8000</v>
      </c>
      <c r="L37" s="37" t="n">
        <v>8000</v>
      </c>
      <c r="M37" s="37" t="n">
        <v>8000</v>
      </c>
      <c r="N37" s="37" t="n">
        <v>8000</v>
      </c>
      <c r="O37" s="37" t="n">
        <v>8000</v>
      </c>
      <c r="P37" s="37" t="n">
        <v>8000</v>
      </c>
      <c r="Q37" s="37" t="n">
        <v>8000</v>
      </c>
      <c r="R37" s="37" t="n">
        <v>8000</v>
      </c>
      <c r="S37" s="37" t="n">
        <v>0</v>
      </c>
      <c r="T37" s="37" t="n">
        <v>0</v>
      </c>
      <c r="U37" s="37" t="n">
        <v>8000</v>
      </c>
      <c r="V37" s="37" t="n">
        <v>8000</v>
      </c>
      <c r="W37" s="37" t="n">
        <v>8000</v>
      </c>
      <c r="X37" s="37" t="n">
        <v>8000</v>
      </c>
      <c r="Y37" s="37" t="n">
        <v>8000</v>
      </c>
      <c r="Z37" s="17" t="n">
        <f aca="false">IFERROR(AVERAGEIF(D37:H37,"&lt;&gt;0"),"")</f>
        <v>8000</v>
      </c>
      <c r="AA37" s="17" t="n">
        <f aca="false">IFERROR(AVERAGEIF(I37:M37,"&lt;&gt;0"),"")</f>
        <v>8000</v>
      </c>
      <c r="AB37" s="17" t="n">
        <f aca="false">IFERROR(AVERAGEIF(N37:R37,"&lt;&gt;0"),"")</f>
        <v>8000</v>
      </c>
      <c r="AC37" s="17" t="n">
        <f aca="false">IFERROR(AVERAGEIF(S37:W37,"&lt;&gt;0"),"")</f>
        <v>8000</v>
      </c>
      <c r="AD37" s="17" t="n">
        <f aca="false">IFERROR(AVERAGEIF(X37:Y37,"&lt;&gt;0"),"")</f>
        <v>8000</v>
      </c>
      <c r="AE37" s="17" t="n">
        <f aca="false">IFERROR(AVERAGEIF(D37:Y37,"&lt;&gt;0"),"")</f>
        <v>8000</v>
      </c>
    </row>
    <row r="38" customFormat="false" ht="15" hidden="false" customHeight="true" outlineLevel="0" collapsed="false">
      <c r="A38" s="5" t="n">
        <v>34</v>
      </c>
      <c r="B38" s="6" t="s">
        <v>413</v>
      </c>
      <c r="C38" s="5" t="s">
        <v>407</v>
      </c>
      <c r="D38" s="37" t="n">
        <v>7000</v>
      </c>
      <c r="E38" s="37" t="n">
        <v>7000</v>
      </c>
      <c r="F38" s="37" t="n">
        <v>7000</v>
      </c>
      <c r="G38" s="37" t="n">
        <v>7000</v>
      </c>
      <c r="H38" s="37" t="n">
        <v>7000</v>
      </c>
      <c r="I38" s="37" t="n">
        <v>7000</v>
      </c>
      <c r="J38" s="37" t="n">
        <v>7000</v>
      </c>
      <c r="K38" s="37" t="n">
        <v>7000</v>
      </c>
      <c r="L38" s="37" t="n">
        <v>7000</v>
      </c>
      <c r="M38" s="37" t="n">
        <v>7000</v>
      </c>
      <c r="N38" s="37" t="n">
        <v>9000</v>
      </c>
      <c r="O38" s="37" t="n">
        <v>9000</v>
      </c>
      <c r="P38" s="37" t="n">
        <v>9000</v>
      </c>
      <c r="Q38" s="37" t="n">
        <v>9000</v>
      </c>
      <c r="R38" s="37" t="n">
        <v>9000</v>
      </c>
      <c r="S38" s="37" t="n">
        <v>0</v>
      </c>
      <c r="T38" s="37" t="n">
        <v>0</v>
      </c>
      <c r="U38" s="37" t="n">
        <v>9000</v>
      </c>
      <c r="V38" s="37" t="n">
        <v>9000</v>
      </c>
      <c r="W38" s="37" t="n">
        <v>9000</v>
      </c>
      <c r="X38" s="37" t="n">
        <v>9000</v>
      </c>
      <c r="Y38" s="37" t="n">
        <v>9000</v>
      </c>
      <c r="Z38" s="17" t="n">
        <f aca="false">IFERROR(AVERAGEIF(D38:H38,"&lt;&gt;0"),"")</f>
        <v>7000</v>
      </c>
      <c r="AA38" s="17" t="n">
        <f aca="false">IFERROR(AVERAGEIF(I38:M38,"&lt;&gt;0"),"")</f>
        <v>7000</v>
      </c>
      <c r="AB38" s="17" t="n">
        <f aca="false">IFERROR(AVERAGEIF(N38:R38,"&lt;&gt;0"),"")</f>
        <v>9000</v>
      </c>
      <c r="AC38" s="17" t="n">
        <f aca="false">IFERROR(AVERAGEIF(S38:W38,"&lt;&gt;0"),"")</f>
        <v>9000</v>
      </c>
      <c r="AD38" s="17" t="n">
        <f aca="false">IFERROR(AVERAGEIF(X38:Y38,"&lt;&gt;0"),"")</f>
        <v>9000</v>
      </c>
      <c r="AE38" s="17" t="n">
        <f aca="false">IFERROR(AVERAGEIF(D38:Y38,"&lt;&gt;0"),"")</f>
        <v>8000</v>
      </c>
    </row>
    <row r="39" customFormat="false" ht="15" hidden="false" customHeight="true" outlineLevel="0" collapsed="false">
      <c r="A39" s="5" t="n">
        <v>35</v>
      </c>
      <c r="B39" s="6" t="s">
        <v>414</v>
      </c>
      <c r="C39" s="5" t="s">
        <v>407</v>
      </c>
      <c r="D39" s="37" t="n">
        <v>12000</v>
      </c>
      <c r="E39" s="37" t="n">
        <v>12000</v>
      </c>
      <c r="F39" s="37" t="n">
        <v>15000</v>
      </c>
      <c r="G39" s="37" t="n">
        <v>15000</v>
      </c>
      <c r="H39" s="37" t="n">
        <v>15000</v>
      </c>
      <c r="I39" s="37" t="n">
        <v>15000</v>
      </c>
      <c r="J39" s="37" t="n">
        <v>15000</v>
      </c>
      <c r="K39" s="37" t="n">
        <v>15000</v>
      </c>
      <c r="L39" s="37" t="n">
        <v>15000</v>
      </c>
      <c r="M39" s="37" t="n">
        <v>15000</v>
      </c>
      <c r="N39" s="37" t="n">
        <v>15000</v>
      </c>
      <c r="O39" s="37" t="n">
        <v>15000</v>
      </c>
      <c r="P39" s="37" t="n">
        <v>15000</v>
      </c>
      <c r="Q39" s="37" t="n">
        <v>15000</v>
      </c>
      <c r="R39" s="37" t="n">
        <v>15000</v>
      </c>
      <c r="S39" s="37" t="n">
        <v>0</v>
      </c>
      <c r="T39" s="37" t="n">
        <v>0</v>
      </c>
      <c r="U39" s="37" t="n">
        <v>15000</v>
      </c>
      <c r="V39" s="37" t="n">
        <v>15000</v>
      </c>
      <c r="W39" s="37" t="n">
        <v>15000</v>
      </c>
      <c r="X39" s="37" t="n">
        <v>15000</v>
      </c>
      <c r="Y39" s="37" t="n">
        <v>15000</v>
      </c>
      <c r="Z39" s="17" t="n">
        <f aca="false">IFERROR(AVERAGEIF(D39:H39,"&lt;&gt;0"),"")</f>
        <v>13800</v>
      </c>
      <c r="AA39" s="17" t="n">
        <f aca="false">IFERROR(AVERAGEIF(I39:M39,"&lt;&gt;0"),"")</f>
        <v>15000</v>
      </c>
      <c r="AB39" s="17" t="n">
        <f aca="false">IFERROR(AVERAGEIF(N39:R39,"&lt;&gt;0"),"")</f>
        <v>15000</v>
      </c>
      <c r="AC39" s="17" t="n">
        <f aca="false">IFERROR(AVERAGEIF(S39:W39,"&lt;&gt;0"),"")</f>
        <v>15000</v>
      </c>
      <c r="AD39" s="17" t="n">
        <f aca="false">IFERROR(AVERAGEIF(X39:Y39,"&lt;&gt;0"),"")</f>
        <v>15000</v>
      </c>
      <c r="AE39" s="17" t="n">
        <f aca="false">IFERROR(AVERAGEIF(D39:Y39,"&lt;&gt;0"),"")</f>
        <v>14700</v>
      </c>
    </row>
    <row r="40" customFormat="false" ht="15" hidden="false" customHeight="true" outlineLevel="0" collapsed="false">
      <c r="A40" s="5" t="n">
        <v>36</v>
      </c>
      <c r="B40" s="6" t="s">
        <v>415</v>
      </c>
      <c r="C40" s="5" t="s">
        <v>407</v>
      </c>
      <c r="D40" s="37" t="n">
        <v>4000</v>
      </c>
      <c r="E40" s="37" t="n">
        <v>4000</v>
      </c>
      <c r="F40" s="37" t="n">
        <v>4000</v>
      </c>
      <c r="G40" s="37" t="n">
        <v>4000</v>
      </c>
      <c r="H40" s="37" t="n">
        <v>4000</v>
      </c>
      <c r="I40" s="37" t="n">
        <v>4000</v>
      </c>
      <c r="J40" s="37" t="n">
        <v>4000</v>
      </c>
      <c r="K40" s="37" t="n">
        <v>4000</v>
      </c>
      <c r="L40" s="37" t="n">
        <v>4000</v>
      </c>
      <c r="M40" s="37" t="n">
        <v>4000</v>
      </c>
      <c r="N40" s="37" t="n">
        <v>7000</v>
      </c>
      <c r="O40" s="37" t="n">
        <v>7000</v>
      </c>
      <c r="P40" s="37" t="n">
        <v>7000</v>
      </c>
      <c r="Q40" s="37" t="n">
        <v>7000</v>
      </c>
      <c r="R40" s="37" t="n">
        <v>7000</v>
      </c>
      <c r="S40" s="37" t="n">
        <v>0</v>
      </c>
      <c r="T40" s="37" t="n">
        <v>0</v>
      </c>
      <c r="U40" s="37" t="n">
        <v>7000</v>
      </c>
      <c r="V40" s="37" t="n">
        <v>7000</v>
      </c>
      <c r="W40" s="37" t="n">
        <v>7000</v>
      </c>
      <c r="X40" s="37" t="n">
        <v>7000</v>
      </c>
      <c r="Y40" s="37" t="n">
        <v>7000</v>
      </c>
      <c r="Z40" s="17" t="n">
        <f aca="false">IFERROR(AVERAGEIF(D40:H40,"&lt;&gt;0"),"")</f>
        <v>4000</v>
      </c>
      <c r="AA40" s="17" t="n">
        <f aca="false">IFERROR(AVERAGEIF(I40:M40,"&lt;&gt;0"),"")</f>
        <v>4000</v>
      </c>
      <c r="AB40" s="17" t="n">
        <f aca="false">IFERROR(AVERAGEIF(N40:R40,"&lt;&gt;0"),"")</f>
        <v>7000</v>
      </c>
      <c r="AC40" s="17" t="n">
        <f aca="false">IFERROR(AVERAGEIF(S40:W40,"&lt;&gt;0"),"")</f>
        <v>7000</v>
      </c>
      <c r="AD40" s="17" t="n">
        <f aca="false">IFERROR(AVERAGEIF(X40:Y40,"&lt;&gt;0"),"")</f>
        <v>7000</v>
      </c>
      <c r="AE40" s="17" t="n">
        <f aca="false">IFERROR(AVERAGEIF(D40:Y40,"&lt;&gt;0"),"")</f>
        <v>5500</v>
      </c>
    </row>
    <row r="41" customFormat="false" ht="15" hidden="false" customHeight="true" outlineLevel="0" collapsed="false">
      <c r="A41" s="5" t="n">
        <v>37</v>
      </c>
      <c r="B41" s="6" t="s">
        <v>416</v>
      </c>
      <c r="C41" s="5" t="s">
        <v>407</v>
      </c>
      <c r="D41" s="37" t="n">
        <v>4000</v>
      </c>
      <c r="E41" s="37" t="n">
        <v>4000</v>
      </c>
      <c r="F41" s="37" t="n">
        <v>4000</v>
      </c>
      <c r="G41" s="37" t="n">
        <v>4000</v>
      </c>
      <c r="H41" s="37" t="n">
        <v>4000</v>
      </c>
      <c r="I41" s="37" t="n">
        <v>4000</v>
      </c>
      <c r="J41" s="37" t="n">
        <v>4000</v>
      </c>
      <c r="K41" s="37" t="n">
        <v>4000</v>
      </c>
      <c r="L41" s="37" t="n">
        <v>4000</v>
      </c>
      <c r="M41" s="37" t="n">
        <v>4000</v>
      </c>
      <c r="N41" s="37" t="n">
        <v>4000</v>
      </c>
      <c r="O41" s="37" t="n">
        <v>4000</v>
      </c>
      <c r="P41" s="37" t="n">
        <v>4000</v>
      </c>
      <c r="Q41" s="37" t="n">
        <v>4000</v>
      </c>
      <c r="R41" s="37" t="n">
        <v>5000</v>
      </c>
      <c r="S41" s="37" t="n">
        <v>0</v>
      </c>
      <c r="T41" s="37" t="n">
        <v>0</v>
      </c>
      <c r="U41" s="37" t="n">
        <v>5000</v>
      </c>
      <c r="V41" s="37" t="n">
        <v>5000</v>
      </c>
      <c r="W41" s="37" t="n">
        <v>5000</v>
      </c>
      <c r="X41" s="37" t="n">
        <v>5000</v>
      </c>
      <c r="Y41" s="37" t="n">
        <v>5000</v>
      </c>
      <c r="Z41" s="17" t="n">
        <f aca="false">IFERROR(AVERAGEIF(D41:H41,"&lt;&gt;0"),"")</f>
        <v>4000</v>
      </c>
      <c r="AA41" s="17" t="n">
        <f aca="false">IFERROR(AVERAGEIF(I41:M41,"&lt;&gt;0"),"")</f>
        <v>4000</v>
      </c>
      <c r="AB41" s="17" t="n">
        <f aca="false">IFERROR(AVERAGEIF(N41:R41,"&lt;&gt;0"),"")</f>
        <v>4200</v>
      </c>
      <c r="AC41" s="17" t="n">
        <f aca="false">IFERROR(AVERAGEIF(S41:W41,"&lt;&gt;0"),"")</f>
        <v>5000</v>
      </c>
      <c r="AD41" s="17" t="n">
        <f aca="false">IFERROR(AVERAGEIF(X41:Y41,"&lt;&gt;0"),"")</f>
        <v>5000</v>
      </c>
      <c r="AE41" s="17" t="n">
        <f aca="false">IFERROR(AVERAGEIF(D41:Y41,"&lt;&gt;0"),"")</f>
        <v>4300</v>
      </c>
    </row>
    <row r="42" customFormat="false" ht="15" hidden="false" customHeight="true" outlineLevel="0" collapsed="false">
      <c r="A42" s="5" t="n">
        <v>38</v>
      </c>
      <c r="B42" s="6" t="s">
        <v>417</v>
      </c>
      <c r="C42" s="5" t="s">
        <v>407</v>
      </c>
      <c r="D42" s="37" t="n">
        <v>5000</v>
      </c>
      <c r="E42" s="37" t="n">
        <v>5000</v>
      </c>
      <c r="F42" s="37" t="n">
        <v>5000</v>
      </c>
      <c r="G42" s="37" t="n">
        <v>5000</v>
      </c>
      <c r="H42" s="37" t="n">
        <v>5000</v>
      </c>
      <c r="I42" s="37" t="n">
        <v>5000</v>
      </c>
      <c r="J42" s="37" t="n">
        <v>5000</v>
      </c>
      <c r="K42" s="37" t="n">
        <v>5000</v>
      </c>
      <c r="L42" s="37" t="n">
        <v>5000</v>
      </c>
      <c r="M42" s="37" t="n">
        <v>5000</v>
      </c>
      <c r="N42" s="37" t="n">
        <v>4000</v>
      </c>
      <c r="O42" s="37" t="n">
        <v>4000</v>
      </c>
      <c r="P42" s="37" t="n">
        <v>4000</v>
      </c>
      <c r="Q42" s="37" t="n">
        <v>4000</v>
      </c>
      <c r="R42" s="37" t="n">
        <v>5000</v>
      </c>
      <c r="S42" s="37" t="n">
        <v>0</v>
      </c>
      <c r="T42" s="37" t="n">
        <v>0</v>
      </c>
      <c r="U42" s="37" t="n">
        <v>5000</v>
      </c>
      <c r="V42" s="37" t="n">
        <v>5000</v>
      </c>
      <c r="W42" s="37" t="n">
        <v>5000</v>
      </c>
      <c r="X42" s="37" t="n">
        <v>5000</v>
      </c>
      <c r="Y42" s="37" t="n">
        <v>5000</v>
      </c>
      <c r="Z42" s="17" t="n">
        <f aca="false">IFERROR(AVERAGEIF(D42:H42,"&lt;&gt;0"),"")</f>
        <v>5000</v>
      </c>
      <c r="AA42" s="17" t="n">
        <f aca="false">IFERROR(AVERAGEIF(I42:M42,"&lt;&gt;0"),"")</f>
        <v>5000</v>
      </c>
      <c r="AB42" s="17" t="n">
        <f aca="false">IFERROR(AVERAGEIF(N42:R42,"&lt;&gt;0"),"")</f>
        <v>4200</v>
      </c>
      <c r="AC42" s="17" t="n">
        <f aca="false">IFERROR(AVERAGEIF(S42:W42,"&lt;&gt;0"),"")</f>
        <v>5000</v>
      </c>
      <c r="AD42" s="17" t="n">
        <f aca="false">IFERROR(AVERAGEIF(X42:Y42,"&lt;&gt;0"),"")</f>
        <v>5000</v>
      </c>
      <c r="AE42" s="17" t="n">
        <f aca="false">IFERROR(AVERAGEIF(D42:Y42,"&lt;&gt;0"),"")</f>
        <v>4800</v>
      </c>
    </row>
    <row r="43" customFormat="false" ht="15" hidden="false" customHeight="true" outlineLevel="0" collapsed="false">
      <c r="A43" s="5" t="n">
        <v>39</v>
      </c>
      <c r="B43" s="6" t="s">
        <v>418</v>
      </c>
      <c r="C43" s="5" t="s">
        <v>407</v>
      </c>
      <c r="D43" s="37" t="n">
        <v>5000</v>
      </c>
      <c r="E43" s="37" t="n">
        <v>5000</v>
      </c>
      <c r="F43" s="37" t="n">
        <v>7000</v>
      </c>
      <c r="G43" s="37" t="n">
        <v>7000</v>
      </c>
      <c r="H43" s="37" t="n">
        <v>7000</v>
      </c>
      <c r="I43" s="37" t="n">
        <v>7000</v>
      </c>
      <c r="J43" s="37" t="n">
        <v>7000</v>
      </c>
      <c r="K43" s="37" t="n">
        <v>7000</v>
      </c>
      <c r="L43" s="37" t="n">
        <v>7000</v>
      </c>
      <c r="M43" s="37" t="n">
        <v>7000</v>
      </c>
      <c r="N43" s="37" t="n">
        <v>7000</v>
      </c>
      <c r="O43" s="37" t="n">
        <v>7000</v>
      </c>
      <c r="P43" s="37" t="n">
        <v>7000</v>
      </c>
      <c r="Q43" s="37" t="n">
        <v>7000</v>
      </c>
      <c r="R43" s="37" t="n">
        <v>7000</v>
      </c>
      <c r="S43" s="37" t="n">
        <v>0</v>
      </c>
      <c r="T43" s="37" t="n">
        <v>0</v>
      </c>
      <c r="U43" s="37" t="n">
        <v>7000</v>
      </c>
      <c r="V43" s="37" t="n">
        <v>7000</v>
      </c>
      <c r="W43" s="37" t="n">
        <v>7000</v>
      </c>
      <c r="X43" s="37" t="n">
        <v>7000</v>
      </c>
      <c r="Y43" s="37" t="n">
        <v>7000</v>
      </c>
      <c r="Z43" s="17" t="n">
        <f aca="false">IFERROR(AVERAGEIF(D43:H43,"&lt;&gt;0"),"")</f>
        <v>6200</v>
      </c>
      <c r="AA43" s="17" t="n">
        <f aca="false">IFERROR(AVERAGEIF(I43:M43,"&lt;&gt;0"),"")</f>
        <v>7000</v>
      </c>
      <c r="AB43" s="17" t="n">
        <f aca="false">IFERROR(AVERAGEIF(N43:R43,"&lt;&gt;0"),"")</f>
        <v>7000</v>
      </c>
      <c r="AC43" s="17" t="n">
        <f aca="false">IFERROR(AVERAGEIF(S43:W43,"&lt;&gt;0"),"")</f>
        <v>7000</v>
      </c>
      <c r="AD43" s="17" t="n">
        <f aca="false">IFERROR(AVERAGEIF(X43:Y43,"&lt;&gt;0"),"")</f>
        <v>7000</v>
      </c>
      <c r="AE43" s="17" t="n">
        <f aca="false">IFERROR(AVERAGEIF(D43:Y43,"&lt;&gt;0"),"")</f>
        <v>6800</v>
      </c>
    </row>
    <row r="44" customFormat="false" ht="15" hidden="false" customHeight="true" outlineLevel="0" collapsed="false">
      <c r="A44" s="5" t="n">
        <v>40</v>
      </c>
      <c r="B44" s="6" t="s">
        <v>419</v>
      </c>
      <c r="C44" s="5" t="s">
        <v>407</v>
      </c>
      <c r="D44" s="37" t="n">
        <v>4000</v>
      </c>
      <c r="E44" s="37" t="n">
        <v>4000</v>
      </c>
      <c r="F44" s="37" t="n">
        <v>4000</v>
      </c>
      <c r="G44" s="37" t="n">
        <v>4000</v>
      </c>
      <c r="H44" s="37" t="n">
        <v>4000</v>
      </c>
      <c r="I44" s="37" t="n">
        <v>4000</v>
      </c>
      <c r="J44" s="37" t="n">
        <v>4000</v>
      </c>
      <c r="K44" s="37" t="n">
        <v>4000</v>
      </c>
      <c r="L44" s="37" t="n">
        <v>4000</v>
      </c>
      <c r="M44" s="37" t="n">
        <v>4000</v>
      </c>
      <c r="N44" s="37" t="n">
        <v>4000</v>
      </c>
      <c r="O44" s="37" t="n">
        <v>4000</v>
      </c>
      <c r="P44" s="37" t="n">
        <v>4000</v>
      </c>
      <c r="Q44" s="37" t="n">
        <v>4000</v>
      </c>
      <c r="R44" s="37" t="n">
        <v>5000</v>
      </c>
      <c r="S44" s="37" t="n">
        <v>0</v>
      </c>
      <c r="T44" s="37" t="n">
        <v>0</v>
      </c>
      <c r="U44" s="37" t="n">
        <v>5000</v>
      </c>
      <c r="V44" s="37" t="n">
        <v>5000</v>
      </c>
      <c r="W44" s="37" t="n">
        <v>5000</v>
      </c>
      <c r="X44" s="37" t="n">
        <v>5000</v>
      </c>
      <c r="Y44" s="37" t="n">
        <v>5000</v>
      </c>
      <c r="Z44" s="17" t="n">
        <f aca="false">IFERROR(AVERAGEIF(D44:H44,"&lt;&gt;0"),"")</f>
        <v>4000</v>
      </c>
      <c r="AA44" s="17" t="n">
        <f aca="false">IFERROR(AVERAGEIF(I44:M44,"&lt;&gt;0"),"")</f>
        <v>4000</v>
      </c>
      <c r="AB44" s="17" t="n">
        <f aca="false">IFERROR(AVERAGEIF(N44:R44,"&lt;&gt;0"),"")</f>
        <v>4200</v>
      </c>
      <c r="AC44" s="17" t="n">
        <f aca="false">IFERROR(AVERAGEIF(S44:W44,"&lt;&gt;0"),"")</f>
        <v>5000</v>
      </c>
      <c r="AD44" s="17" t="n">
        <f aca="false">IFERROR(AVERAGEIF(X44:Y44,"&lt;&gt;0"),"")</f>
        <v>5000</v>
      </c>
      <c r="AE44" s="17" t="n">
        <f aca="false">IFERROR(AVERAGEIF(D44:Y44,"&lt;&gt;0"),"")</f>
        <v>4300</v>
      </c>
    </row>
    <row r="45" customFormat="false" ht="15" hidden="false" customHeight="true" outlineLevel="0" collapsed="false">
      <c r="A45" s="5" t="n">
        <v>41</v>
      </c>
      <c r="B45" s="6" t="s">
        <v>420</v>
      </c>
      <c r="C45" s="5" t="s">
        <v>457</v>
      </c>
      <c r="D45" s="37" t="n">
        <v>60000</v>
      </c>
      <c r="E45" s="37" t="n">
        <v>60000</v>
      </c>
      <c r="F45" s="37" t="n">
        <v>60000</v>
      </c>
      <c r="G45" s="37" t="n">
        <v>60000</v>
      </c>
      <c r="H45" s="37" t="n">
        <v>60000</v>
      </c>
      <c r="I45" s="37" t="n">
        <v>60000</v>
      </c>
      <c r="J45" s="37" t="n">
        <v>60000</v>
      </c>
      <c r="K45" s="37" t="n">
        <v>60000</v>
      </c>
      <c r="L45" s="37" t="n">
        <v>60000</v>
      </c>
      <c r="M45" s="37" t="n">
        <v>60000</v>
      </c>
      <c r="N45" s="37" t="n">
        <v>60000</v>
      </c>
      <c r="O45" s="37" t="n">
        <v>60000</v>
      </c>
      <c r="P45" s="37" t="n">
        <v>60000</v>
      </c>
      <c r="Q45" s="37" t="n">
        <v>65000</v>
      </c>
      <c r="R45" s="37" t="n">
        <v>65000</v>
      </c>
      <c r="S45" s="37" t="n">
        <v>0</v>
      </c>
      <c r="T45" s="37" t="n">
        <v>0</v>
      </c>
      <c r="U45" s="37" t="n">
        <v>65000</v>
      </c>
      <c r="V45" s="37" t="n">
        <v>65000</v>
      </c>
      <c r="W45" s="37" t="n">
        <v>65000</v>
      </c>
      <c r="X45" s="37" t="n">
        <v>65000</v>
      </c>
      <c r="Y45" s="37" t="n">
        <v>65000</v>
      </c>
      <c r="Z45" s="17" t="n">
        <f aca="false">IFERROR(AVERAGEIF(D45:H45,"&lt;&gt;0"),"")</f>
        <v>60000</v>
      </c>
      <c r="AA45" s="17" t="n">
        <f aca="false">IFERROR(AVERAGEIF(I45:M45,"&lt;&gt;0"),"")</f>
        <v>60000</v>
      </c>
      <c r="AB45" s="17" t="n">
        <f aca="false">IFERROR(AVERAGEIF(N45:R45,"&lt;&gt;0"),"")</f>
        <v>62000</v>
      </c>
      <c r="AC45" s="17" t="n">
        <f aca="false">IFERROR(AVERAGEIF(S45:W45,"&lt;&gt;0"),"")</f>
        <v>65000</v>
      </c>
      <c r="AD45" s="17" t="n">
        <f aca="false">IFERROR(AVERAGEIF(X45:Y45,"&lt;&gt;0"),"")</f>
        <v>65000</v>
      </c>
      <c r="AE45" s="17" t="n">
        <f aca="false">IFERROR(AVERAGEIF(D45:Y45,"&lt;&gt;0"),"")</f>
        <v>61750</v>
      </c>
    </row>
    <row r="46" customFormat="false" ht="15" hidden="false" customHeight="true" outlineLevel="0" collapsed="false">
      <c r="A46" s="5" t="n">
        <v>42</v>
      </c>
      <c r="B46" s="6" t="s">
        <v>421</v>
      </c>
      <c r="C46" s="5" t="s">
        <v>407</v>
      </c>
      <c r="D46" s="37" t="n">
        <v>35000</v>
      </c>
      <c r="E46" s="37" t="n">
        <v>35000</v>
      </c>
      <c r="F46" s="37" t="n">
        <v>35000</v>
      </c>
      <c r="G46" s="37" t="n">
        <v>35000</v>
      </c>
      <c r="H46" s="37" t="n">
        <v>35000</v>
      </c>
      <c r="I46" s="37" t="n">
        <v>35000</v>
      </c>
      <c r="J46" s="37" t="n">
        <v>35000</v>
      </c>
      <c r="K46" s="37" t="n">
        <v>35000</v>
      </c>
      <c r="L46" s="37" t="n">
        <v>35000</v>
      </c>
      <c r="M46" s="37" t="n">
        <v>35000</v>
      </c>
      <c r="N46" s="37" t="n">
        <v>35000</v>
      </c>
      <c r="O46" s="37" t="n">
        <v>35000</v>
      </c>
      <c r="P46" s="37" t="n">
        <v>40000</v>
      </c>
      <c r="Q46" s="37" t="n">
        <v>40000</v>
      </c>
      <c r="R46" s="37" t="n">
        <v>40000</v>
      </c>
      <c r="S46" s="37" t="n">
        <v>0</v>
      </c>
      <c r="T46" s="37" t="n">
        <v>0</v>
      </c>
      <c r="U46" s="37" t="n">
        <v>40000</v>
      </c>
      <c r="V46" s="37" t="n">
        <v>40000</v>
      </c>
      <c r="W46" s="37" t="n">
        <v>40000</v>
      </c>
      <c r="X46" s="37" t="n">
        <v>40000</v>
      </c>
      <c r="Y46" s="37" t="n">
        <v>40000</v>
      </c>
      <c r="Z46" s="17" t="n">
        <f aca="false">IFERROR(AVERAGEIF(D46:H46,"&lt;&gt;0"),"")</f>
        <v>35000</v>
      </c>
      <c r="AA46" s="17" t="n">
        <f aca="false">IFERROR(AVERAGEIF(I46:M46,"&lt;&gt;0"),"")</f>
        <v>35000</v>
      </c>
      <c r="AB46" s="17" t="n">
        <f aca="false">IFERROR(AVERAGEIF(N46:R46,"&lt;&gt;0"),"")</f>
        <v>38000</v>
      </c>
      <c r="AC46" s="17" t="n">
        <f aca="false">IFERROR(AVERAGEIF(S46:W46,"&lt;&gt;0"),"")</f>
        <v>40000</v>
      </c>
      <c r="AD46" s="17" t="n">
        <f aca="false">IFERROR(AVERAGEIF(X46:Y46,"&lt;&gt;0"),"")</f>
        <v>40000</v>
      </c>
      <c r="AE46" s="17" t="n">
        <f aca="false">IFERROR(AVERAGEIF(D46:Y46,"&lt;&gt;0"),"")</f>
        <v>37000</v>
      </c>
    </row>
    <row r="47" customFormat="false" ht="15" hidden="false" customHeight="true" outlineLevel="0" collapsed="false">
      <c r="A47" s="5" t="n">
        <v>43</v>
      </c>
      <c r="B47" s="6" t="s">
        <v>422</v>
      </c>
      <c r="C47" s="5" t="s">
        <v>407</v>
      </c>
      <c r="D47" s="37" t="n">
        <v>30000</v>
      </c>
      <c r="E47" s="37" t="n">
        <v>30000</v>
      </c>
      <c r="F47" s="37" t="n">
        <v>30000</v>
      </c>
      <c r="G47" s="37" t="n">
        <v>30000</v>
      </c>
      <c r="H47" s="37" t="n">
        <v>30000</v>
      </c>
      <c r="I47" s="37" t="n">
        <v>30000</v>
      </c>
      <c r="J47" s="37" t="n">
        <v>30000</v>
      </c>
      <c r="K47" s="37" t="n">
        <v>30000</v>
      </c>
      <c r="L47" s="37" t="n">
        <v>30000</v>
      </c>
      <c r="M47" s="37" t="n">
        <v>30000</v>
      </c>
      <c r="N47" s="37" t="n">
        <v>36000</v>
      </c>
      <c r="O47" s="37" t="n">
        <v>36000</v>
      </c>
      <c r="P47" s="37" t="n">
        <v>36000</v>
      </c>
      <c r="Q47" s="37" t="n">
        <v>35000</v>
      </c>
      <c r="R47" s="37" t="n">
        <v>35000</v>
      </c>
      <c r="S47" s="37" t="n">
        <v>0</v>
      </c>
      <c r="T47" s="37" t="n">
        <v>0</v>
      </c>
      <c r="U47" s="37" t="n">
        <v>35000</v>
      </c>
      <c r="V47" s="37" t="n">
        <v>35000</v>
      </c>
      <c r="W47" s="37" t="n">
        <v>35000</v>
      </c>
      <c r="X47" s="37" t="n">
        <v>35000</v>
      </c>
      <c r="Y47" s="37" t="n">
        <v>35000</v>
      </c>
      <c r="Z47" s="17" t="n">
        <f aca="false">IFERROR(AVERAGEIF(D47:H47,"&lt;&gt;0"),"")</f>
        <v>30000</v>
      </c>
      <c r="AA47" s="17" t="n">
        <f aca="false">IFERROR(AVERAGEIF(I47:M47,"&lt;&gt;0"),"")</f>
        <v>30000</v>
      </c>
      <c r="AB47" s="17" t="n">
        <f aca="false">IFERROR(AVERAGEIF(N47:R47,"&lt;&gt;0"),"")</f>
        <v>35600</v>
      </c>
      <c r="AC47" s="17" t="n">
        <f aca="false">IFERROR(AVERAGEIF(S47:W47,"&lt;&gt;0"),"")</f>
        <v>35000</v>
      </c>
      <c r="AD47" s="17" t="n">
        <f aca="false">IFERROR(AVERAGEIF(X47:Y47,"&lt;&gt;0"),"")</f>
        <v>35000</v>
      </c>
      <c r="AE47" s="17" t="n">
        <f aca="false">IFERROR(AVERAGEIF(D47:Y47,"&lt;&gt;0"),"")</f>
        <v>32650</v>
      </c>
    </row>
    <row r="48" customFormat="false" ht="15" hidden="false" customHeight="true" outlineLevel="0" collapsed="false">
      <c r="A48" s="5" t="n">
        <v>44</v>
      </c>
      <c r="B48" s="6" t="s">
        <v>423</v>
      </c>
      <c r="C48" s="5" t="s">
        <v>407</v>
      </c>
      <c r="D48" s="37" t="n">
        <v>16000</v>
      </c>
      <c r="E48" s="37" t="n">
        <v>16000</v>
      </c>
      <c r="F48" s="37" t="n">
        <v>18000</v>
      </c>
      <c r="G48" s="37" t="n">
        <v>18000</v>
      </c>
      <c r="H48" s="37" t="n">
        <v>18000</v>
      </c>
      <c r="I48" s="37" t="n">
        <v>20000</v>
      </c>
      <c r="J48" s="37" t="n">
        <v>20000</v>
      </c>
      <c r="K48" s="37" t="n">
        <v>20000</v>
      </c>
      <c r="L48" s="37" t="n">
        <v>20000</v>
      </c>
      <c r="M48" s="37" t="n">
        <v>20000</v>
      </c>
      <c r="N48" s="37" t="n">
        <v>22000</v>
      </c>
      <c r="O48" s="37" t="n">
        <v>22000</v>
      </c>
      <c r="P48" s="37" t="n">
        <v>24000</v>
      </c>
      <c r="Q48" s="37" t="n">
        <v>28000</v>
      </c>
      <c r="R48" s="37" t="n">
        <v>28000</v>
      </c>
      <c r="S48" s="37" t="n">
        <v>0</v>
      </c>
      <c r="T48" s="37" t="n">
        <v>0</v>
      </c>
      <c r="U48" s="37" t="n">
        <v>28000</v>
      </c>
      <c r="V48" s="37" t="n">
        <v>28000</v>
      </c>
      <c r="W48" s="37" t="n">
        <v>28000</v>
      </c>
      <c r="X48" s="37" t="n">
        <v>28000</v>
      </c>
      <c r="Y48" s="37" t="n">
        <v>28000</v>
      </c>
      <c r="Z48" s="17" t="n">
        <f aca="false">IFERROR(AVERAGEIF(D48:H48,"&lt;&gt;0"),"")</f>
        <v>17200</v>
      </c>
      <c r="AA48" s="17" t="n">
        <f aca="false">IFERROR(AVERAGEIF(I48:M48,"&lt;&gt;0"),"")</f>
        <v>20000</v>
      </c>
      <c r="AB48" s="17" t="n">
        <f aca="false">IFERROR(AVERAGEIF(N48:R48,"&lt;&gt;0"),"")</f>
        <v>24800</v>
      </c>
      <c r="AC48" s="17" t="n">
        <f aca="false">IFERROR(AVERAGEIF(S48:W48,"&lt;&gt;0"),"")</f>
        <v>28000</v>
      </c>
      <c r="AD48" s="17" t="n">
        <f aca="false">IFERROR(AVERAGEIF(X48:Y48,"&lt;&gt;0"),"")</f>
        <v>28000</v>
      </c>
      <c r="AE48" s="17" t="n">
        <f aca="false">IFERROR(AVERAGEIF(D48:Y48,"&lt;&gt;0"),"")</f>
        <v>22500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6"/>
    <col collapsed="false" customWidth="true" hidden="false" outlineLevel="0" max="25" min="4" style="1" width="11"/>
    <col collapsed="false" customWidth="true" hidden="false" outlineLevel="0" max="30" min="26" style="1" width="13"/>
    <col collapsed="false" customWidth="true" hidden="false" outlineLevel="0" max="31" min="31" style="1" width="14"/>
  </cols>
  <sheetData>
    <row r="1" customFormat="false" ht="26.25" hidden="false" customHeight="true" outlineLevel="0" collapsed="false">
      <c r="A1" s="2" t="s">
        <v>509</v>
      </c>
      <c r="B1" s="2"/>
      <c r="C1" s="2"/>
      <c r="D1" s="2"/>
    </row>
    <row r="2" customFormat="false" ht="18.75" hidden="false" customHeight="true" outlineLevel="0" collapsed="false">
      <c r="A2" s="12" t="s">
        <v>375</v>
      </c>
      <c r="B2" s="12"/>
      <c r="C2" s="12"/>
      <c r="D2" s="12"/>
    </row>
    <row r="4" customFormat="false" ht="25.5" hidden="false" customHeight="true" outlineLevel="0" collapsed="false">
      <c r="A4" s="3" t="s">
        <v>1</v>
      </c>
      <c r="B4" s="3" t="s">
        <v>376</v>
      </c>
      <c r="C4" s="3" t="s">
        <v>377</v>
      </c>
      <c r="D4" s="3" t="s">
        <v>510</v>
      </c>
      <c r="E4" s="3" t="s">
        <v>511</v>
      </c>
      <c r="F4" s="3" t="s">
        <v>512</v>
      </c>
      <c r="G4" s="3" t="s">
        <v>513</v>
      </c>
      <c r="H4" s="3" t="s">
        <v>514</v>
      </c>
      <c r="I4" s="3" t="s">
        <v>515</v>
      </c>
      <c r="J4" s="3" t="s">
        <v>516</v>
      </c>
      <c r="K4" s="3" t="s">
        <v>517</v>
      </c>
      <c r="L4" s="3" t="s">
        <v>518</v>
      </c>
      <c r="M4" s="3" t="s">
        <v>519</v>
      </c>
      <c r="N4" s="3" t="s">
        <v>520</v>
      </c>
      <c r="O4" s="3" t="s">
        <v>521</v>
      </c>
      <c r="P4" s="3" t="s">
        <v>522</v>
      </c>
      <c r="Q4" s="3" t="s">
        <v>523</v>
      </c>
      <c r="R4" s="3" t="s">
        <v>524</v>
      </c>
      <c r="S4" s="3" t="s">
        <v>525</v>
      </c>
      <c r="T4" s="3" t="s">
        <v>526</v>
      </c>
      <c r="U4" s="3" t="s">
        <v>527</v>
      </c>
      <c r="V4" s="3" t="s">
        <v>528</v>
      </c>
      <c r="W4" s="3" t="s">
        <v>529</v>
      </c>
      <c r="X4" s="3" t="s">
        <v>530</v>
      </c>
      <c r="Y4" s="3" t="s">
        <v>531</v>
      </c>
      <c r="Z4" s="35" t="s">
        <v>532</v>
      </c>
      <c r="AA4" s="35" t="s">
        <v>533</v>
      </c>
      <c r="AB4" s="35" t="s">
        <v>534</v>
      </c>
      <c r="AC4" s="35" t="s">
        <v>535</v>
      </c>
      <c r="AD4" s="35" t="s">
        <v>536</v>
      </c>
      <c r="AE4" s="36" t="s">
        <v>537</v>
      </c>
    </row>
    <row r="5" customFormat="false" ht="15" hidden="false" customHeight="true" outlineLevel="0" collapsed="false">
      <c r="A5" s="5" t="n">
        <v>1</v>
      </c>
      <c r="B5" s="6" t="s">
        <v>334</v>
      </c>
      <c r="C5" s="5" t="s">
        <v>407</v>
      </c>
      <c r="D5" s="37" t="n">
        <v>12500</v>
      </c>
      <c r="E5" s="37" t="n">
        <v>12500</v>
      </c>
      <c r="F5" s="37" t="n">
        <v>0</v>
      </c>
      <c r="G5" s="37" t="n">
        <v>12500</v>
      </c>
      <c r="H5" s="37" t="n">
        <v>12500</v>
      </c>
      <c r="I5" s="37" t="n">
        <v>12500</v>
      </c>
      <c r="J5" s="37" t="n">
        <v>12500</v>
      </c>
      <c r="K5" s="37" t="n">
        <v>12500</v>
      </c>
      <c r="L5" s="37" t="n">
        <v>12500</v>
      </c>
      <c r="M5" s="37" t="n">
        <v>12500</v>
      </c>
      <c r="N5" s="37" t="n">
        <v>12500</v>
      </c>
      <c r="O5" s="37" t="n">
        <v>12500</v>
      </c>
      <c r="P5" s="37" t="n">
        <v>12500</v>
      </c>
      <c r="Q5" s="37" t="n">
        <v>13500</v>
      </c>
      <c r="R5" s="37" t="n">
        <v>13500</v>
      </c>
      <c r="S5" s="37" t="n">
        <v>13500</v>
      </c>
      <c r="T5" s="37" t="n">
        <v>13500</v>
      </c>
      <c r="U5" s="37" t="n">
        <v>13500</v>
      </c>
      <c r="V5" s="37" t="n">
        <v>13500</v>
      </c>
      <c r="W5" s="37" t="n">
        <v>13500</v>
      </c>
      <c r="X5" s="37" t="n">
        <v>13500</v>
      </c>
      <c r="Y5" s="37" t="n">
        <v>13500</v>
      </c>
      <c r="Z5" s="17" t="n">
        <f aca="false">IFERROR(AVERAGEIF(D5:F5,"&lt;&gt;0"),"")</f>
        <v>12500</v>
      </c>
      <c r="AA5" s="17" t="n">
        <f aca="false">IFERROR(AVERAGEIF(G5:K5,"&lt;&gt;0"),"")</f>
        <v>12500</v>
      </c>
      <c r="AB5" s="17" t="n">
        <f aca="false">IFERROR(AVERAGEIF(L5:P5,"&lt;&gt;0"),"")</f>
        <v>12500</v>
      </c>
      <c r="AC5" s="17" t="n">
        <f aca="false">IFERROR(AVERAGEIF(Q5:U5,"&lt;&gt;0"),"")</f>
        <v>13500</v>
      </c>
      <c r="AD5" s="17" t="n">
        <f aca="false">IFERROR(AVERAGEIF(V5:Y5,"&lt;&gt;0"),"")</f>
        <v>13500</v>
      </c>
      <c r="AE5" s="17" t="n">
        <f aca="false">IFERROR(AVERAGEIF(D5:Y5,"&lt;&gt;0"),"")</f>
        <v>12928.5714285714</v>
      </c>
    </row>
    <row r="6" customFormat="false" ht="15" hidden="false" customHeight="true" outlineLevel="0" collapsed="false">
      <c r="A6" s="5" t="n">
        <v>2</v>
      </c>
      <c r="B6" s="6" t="s">
        <v>335</v>
      </c>
      <c r="C6" s="5" t="s">
        <v>407</v>
      </c>
      <c r="D6" s="37" t="n">
        <v>14000</v>
      </c>
      <c r="E6" s="37" t="n">
        <v>14000</v>
      </c>
      <c r="F6" s="37" t="n">
        <v>0</v>
      </c>
      <c r="G6" s="37" t="n">
        <v>14000</v>
      </c>
      <c r="H6" s="37" t="n">
        <v>14000</v>
      </c>
      <c r="I6" s="37" t="n">
        <v>14000</v>
      </c>
      <c r="J6" s="37" t="n">
        <v>14000</v>
      </c>
      <c r="K6" s="37" t="n">
        <v>14000</v>
      </c>
      <c r="L6" s="37" t="n">
        <v>14000</v>
      </c>
      <c r="M6" s="37" t="n">
        <v>14000</v>
      </c>
      <c r="N6" s="37" t="n">
        <v>14000</v>
      </c>
      <c r="O6" s="37" t="n">
        <v>14000</v>
      </c>
      <c r="P6" s="37" t="n">
        <v>14000</v>
      </c>
      <c r="Q6" s="37" t="n">
        <v>14900</v>
      </c>
      <c r="R6" s="37" t="n">
        <v>14900</v>
      </c>
      <c r="S6" s="37" t="n">
        <v>14900</v>
      </c>
      <c r="T6" s="37" t="n">
        <v>14900</v>
      </c>
      <c r="U6" s="37" t="n">
        <v>14900</v>
      </c>
      <c r="V6" s="37" t="n">
        <v>14900</v>
      </c>
      <c r="W6" s="37" t="n">
        <v>14900</v>
      </c>
      <c r="X6" s="37" t="n">
        <v>14900</v>
      </c>
      <c r="Y6" s="37" t="n">
        <v>14900</v>
      </c>
      <c r="Z6" s="17" t="n">
        <f aca="false">IFERROR(AVERAGEIF(D6:F6,"&lt;&gt;0"),"")</f>
        <v>14000</v>
      </c>
      <c r="AA6" s="17" t="n">
        <f aca="false">IFERROR(AVERAGEIF(G6:K6,"&lt;&gt;0"),"")</f>
        <v>14000</v>
      </c>
      <c r="AB6" s="17" t="n">
        <f aca="false">IFERROR(AVERAGEIF(L6:P6,"&lt;&gt;0"),"")</f>
        <v>14000</v>
      </c>
      <c r="AC6" s="17" t="n">
        <f aca="false">IFERROR(AVERAGEIF(Q6:U6,"&lt;&gt;0"),"")</f>
        <v>14900</v>
      </c>
      <c r="AD6" s="17" t="n">
        <f aca="false">IFERROR(AVERAGEIF(V6:Y6,"&lt;&gt;0"),"")</f>
        <v>14900</v>
      </c>
      <c r="AE6" s="17" t="n">
        <f aca="false">IFERROR(AVERAGEIF(D6:Y6,"&lt;&gt;0"),"")</f>
        <v>14385.7142857143</v>
      </c>
    </row>
    <row r="7" customFormat="false" ht="15" hidden="false" customHeight="true" outlineLevel="0" collapsed="false">
      <c r="A7" s="5" t="n">
        <v>3</v>
      </c>
      <c r="B7" s="6" t="s">
        <v>336</v>
      </c>
      <c r="C7" s="5" t="s">
        <v>407</v>
      </c>
      <c r="D7" s="37" t="n">
        <v>12500</v>
      </c>
      <c r="E7" s="37" t="n">
        <v>12500</v>
      </c>
      <c r="F7" s="37" t="n">
        <v>0</v>
      </c>
      <c r="G7" s="37" t="n">
        <v>12500</v>
      </c>
      <c r="H7" s="37" t="n">
        <v>12500</v>
      </c>
      <c r="I7" s="37" t="n">
        <v>12500</v>
      </c>
      <c r="J7" s="37" t="n">
        <v>12500</v>
      </c>
      <c r="K7" s="37" t="n">
        <v>12500</v>
      </c>
      <c r="L7" s="37" t="n">
        <v>12500</v>
      </c>
      <c r="M7" s="37" t="n">
        <v>12500</v>
      </c>
      <c r="N7" s="37" t="n">
        <v>12500</v>
      </c>
      <c r="O7" s="37" t="n">
        <v>12500</v>
      </c>
      <c r="P7" s="37" t="n">
        <v>12500</v>
      </c>
      <c r="Q7" s="37" t="n">
        <v>12500</v>
      </c>
      <c r="R7" s="37" t="n">
        <v>12500</v>
      </c>
      <c r="S7" s="37" t="n">
        <v>12500</v>
      </c>
      <c r="T7" s="37" t="n">
        <v>12500</v>
      </c>
      <c r="U7" s="37" t="n">
        <v>12500</v>
      </c>
      <c r="V7" s="37" t="n">
        <v>12500</v>
      </c>
      <c r="W7" s="37" t="n">
        <v>12500</v>
      </c>
      <c r="X7" s="37" t="n">
        <v>12500</v>
      </c>
      <c r="Y7" s="37" t="n">
        <v>12500</v>
      </c>
      <c r="Z7" s="17" t="n">
        <f aca="false">IFERROR(AVERAGEIF(D7:F7,"&lt;&gt;0"),"")</f>
        <v>12500</v>
      </c>
      <c r="AA7" s="17" t="n">
        <f aca="false">IFERROR(AVERAGEIF(G7:K7,"&lt;&gt;0"),"")</f>
        <v>12500</v>
      </c>
      <c r="AB7" s="17" t="n">
        <f aca="false">IFERROR(AVERAGEIF(L7:P7,"&lt;&gt;0"),"")</f>
        <v>12500</v>
      </c>
      <c r="AC7" s="17" t="n">
        <f aca="false">IFERROR(AVERAGEIF(Q7:U7,"&lt;&gt;0"),"")</f>
        <v>12500</v>
      </c>
      <c r="AD7" s="17" t="n">
        <f aca="false">IFERROR(AVERAGEIF(V7:Y7,"&lt;&gt;0"),"")</f>
        <v>12500</v>
      </c>
      <c r="AE7" s="17" t="n">
        <f aca="false">IFERROR(AVERAGEIF(D7:Y7,"&lt;&gt;0"),"")</f>
        <v>12500</v>
      </c>
    </row>
    <row r="8" customFormat="false" ht="15" hidden="false" customHeight="true" outlineLevel="0" collapsed="false">
      <c r="A8" s="5" t="n">
        <v>4</v>
      </c>
      <c r="B8" s="6" t="s">
        <v>408</v>
      </c>
      <c r="C8" s="5" t="s">
        <v>407</v>
      </c>
      <c r="D8" s="37" t="n">
        <v>11000</v>
      </c>
      <c r="E8" s="37" t="n">
        <v>11000</v>
      </c>
      <c r="F8" s="37" t="n">
        <v>0</v>
      </c>
      <c r="G8" s="37" t="n">
        <v>11000</v>
      </c>
      <c r="H8" s="37" t="n">
        <v>11000</v>
      </c>
      <c r="I8" s="37" t="n">
        <v>11000</v>
      </c>
      <c r="J8" s="37" t="n">
        <v>11000</v>
      </c>
      <c r="K8" s="37" t="n">
        <v>11000</v>
      </c>
      <c r="L8" s="37" t="n">
        <v>11000</v>
      </c>
      <c r="M8" s="37" t="n">
        <v>11000</v>
      </c>
      <c r="N8" s="37" t="n">
        <v>11000</v>
      </c>
      <c r="O8" s="37" t="n">
        <v>11000</v>
      </c>
      <c r="P8" s="37" t="n">
        <v>11000</v>
      </c>
      <c r="Q8" s="37" t="n">
        <v>11000</v>
      </c>
      <c r="R8" s="37" t="n">
        <v>11000</v>
      </c>
      <c r="S8" s="37" t="n">
        <v>11000</v>
      </c>
      <c r="T8" s="37" t="n">
        <v>11000</v>
      </c>
      <c r="U8" s="37" t="n">
        <v>11000</v>
      </c>
      <c r="V8" s="37" t="n">
        <v>11000</v>
      </c>
      <c r="W8" s="37" t="n">
        <v>11000</v>
      </c>
      <c r="X8" s="37" t="n">
        <v>11000</v>
      </c>
      <c r="Y8" s="37" t="n">
        <v>11000</v>
      </c>
      <c r="Z8" s="17" t="n">
        <f aca="false">IFERROR(AVERAGEIF(D8:F8,"&lt;&gt;0"),"")</f>
        <v>11000</v>
      </c>
      <c r="AA8" s="17" t="n">
        <f aca="false">IFERROR(AVERAGEIF(G8:K8,"&lt;&gt;0"),"")</f>
        <v>11000</v>
      </c>
      <c r="AB8" s="17" t="n">
        <f aca="false">IFERROR(AVERAGEIF(L8:P8,"&lt;&gt;0"),"")</f>
        <v>11000</v>
      </c>
      <c r="AC8" s="17" t="n">
        <f aca="false">IFERROR(AVERAGEIF(Q8:U8,"&lt;&gt;0"),"")</f>
        <v>11000</v>
      </c>
      <c r="AD8" s="17" t="n">
        <f aca="false">IFERROR(AVERAGEIF(V8:Y8,"&lt;&gt;0"),"")</f>
        <v>11000</v>
      </c>
      <c r="AE8" s="17" t="n">
        <f aca="false">IFERROR(AVERAGEIF(D8:Y8,"&lt;&gt;0"),"")</f>
        <v>11000</v>
      </c>
    </row>
    <row r="9" customFormat="false" ht="15" hidden="false" customHeight="true" outlineLevel="0" collapsed="false">
      <c r="A9" s="5" t="n">
        <v>5</v>
      </c>
      <c r="B9" s="6" t="s">
        <v>360</v>
      </c>
      <c r="C9" s="5" t="s">
        <v>407</v>
      </c>
      <c r="D9" s="37" t="n">
        <v>31000</v>
      </c>
      <c r="E9" s="37" t="n">
        <v>30000</v>
      </c>
      <c r="F9" s="37" t="n">
        <v>0</v>
      </c>
      <c r="G9" s="37" t="n">
        <v>28000</v>
      </c>
      <c r="H9" s="37" t="n">
        <v>28000</v>
      </c>
      <c r="I9" s="37" t="n">
        <v>32000</v>
      </c>
      <c r="J9" s="37" t="n">
        <v>32000</v>
      </c>
      <c r="K9" s="37" t="n">
        <v>32000</v>
      </c>
      <c r="L9" s="37" t="n">
        <v>32000</v>
      </c>
      <c r="M9" s="37" t="n">
        <v>32000</v>
      </c>
      <c r="N9" s="37" t="n">
        <v>34000</v>
      </c>
      <c r="O9" s="37" t="n">
        <v>34000</v>
      </c>
      <c r="P9" s="37" t="n">
        <v>32000</v>
      </c>
      <c r="Q9" s="37" t="n">
        <v>34000</v>
      </c>
      <c r="R9" s="37" t="n">
        <v>34000</v>
      </c>
      <c r="S9" s="37" t="n">
        <v>34000</v>
      </c>
      <c r="T9" s="37" t="n">
        <v>34000</v>
      </c>
      <c r="U9" s="37" t="n">
        <v>34000</v>
      </c>
      <c r="V9" s="37" t="n">
        <v>36000</v>
      </c>
      <c r="W9" s="37" t="n">
        <v>36000</v>
      </c>
      <c r="X9" s="37" t="n">
        <v>36000</v>
      </c>
      <c r="Y9" s="37" t="n">
        <v>36000</v>
      </c>
      <c r="Z9" s="17" t="n">
        <f aca="false">IFERROR(AVERAGEIF(D9:F9,"&lt;&gt;0"),"")</f>
        <v>30500</v>
      </c>
      <c r="AA9" s="17" t="n">
        <f aca="false">IFERROR(AVERAGEIF(G9:K9,"&lt;&gt;0"),"")</f>
        <v>30400</v>
      </c>
      <c r="AB9" s="17" t="n">
        <f aca="false">IFERROR(AVERAGEIF(L9:P9,"&lt;&gt;0"),"")</f>
        <v>32800</v>
      </c>
      <c r="AC9" s="17" t="n">
        <f aca="false">IFERROR(AVERAGEIF(Q9:U9,"&lt;&gt;0"),"")</f>
        <v>34000</v>
      </c>
      <c r="AD9" s="17" t="n">
        <f aca="false">IFERROR(AVERAGEIF(V9:Y9,"&lt;&gt;0"),"")</f>
        <v>36000</v>
      </c>
      <c r="AE9" s="17" t="n">
        <f aca="false">IFERROR(AVERAGEIF(D9:Y9,"&lt;&gt;0"),"")</f>
        <v>32904.7619047619</v>
      </c>
    </row>
    <row r="10" customFormat="false" ht="15" hidden="false" customHeight="true" outlineLevel="0" collapsed="false">
      <c r="A10" s="5" t="n">
        <v>6</v>
      </c>
      <c r="B10" s="6" t="s">
        <v>361</v>
      </c>
      <c r="C10" s="5" t="s">
        <v>407</v>
      </c>
      <c r="D10" s="37" t="n">
        <v>30000</v>
      </c>
      <c r="E10" s="37" t="n">
        <v>30000</v>
      </c>
      <c r="F10" s="37" t="n">
        <v>0</v>
      </c>
      <c r="G10" s="37" t="n">
        <v>30000</v>
      </c>
      <c r="H10" s="37" t="n">
        <v>30000</v>
      </c>
      <c r="I10" s="37" t="n">
        <v>32000</v>
      </c>
      <c r="J10" s="37" t="n">
        <v>32000</v>
      </c>
      <c r="K10" s="37" t="n">
        <v>32000</v>
      </c>
      <c r="L10" s="37" t="n">
        <v>33000</v>
      </c>
      <c r="M10" s="37" t="n">
        <v>33000</v>
      </c>
      <c r="N10" s="37" t="n">
        <v>32000</v>
      </c>
      <c r="O10" s="37" t="n">
        <v>32000</v>
      </c>
      <c r="P10" s="37" t="n">
        <v>32000</v>
      </c>
      <c r="Q10" s="37" t="n">
        <v>36000</v>
      </c>
      <c r="R10" s="37" t="n">
        <v>36000</v>
      </c>
      <c r="S10" s="37" t="n">
        <v>36000</v>
      </c>
      <c r="T10" s="37" t="n">
        <v>36000</v>
      </c>
      <c r="U10" s="37" t="n">
        <v>36000</v>
      </c>
      <c r="V10" s="37" t="n">
        <v>40000</v>
      </c>
      <c r="W10" s="37" t="n">
        <v>40000</v>
      </c>
      <c r="X10" s="37" t="n">
        <v>40000</v>
      </c>
      <c r="Y10" s="37" t="n">
        <v>40000</v>
      </c>
      <c r="Z10" s="17" t="n">
        <f aca="false">IFERROR(AVERAGEIF(D10:F10,"&lt;&gt;0"),"")</f>
        <v>30000</v>
      </c>
      <c r="AA10" s="17" t="n">
        <f aca="false">IFERROR(AVERAGEIF(G10:K10,"&lt;&gt;0"),"")</f>
        <v>31200</v>
      </c>
      <c r="AB10" s="17" t="n">
        <f aca="false">IFERROR(AVERAGEIF(L10:P10,"&lt;&gt;0"),"")</f>
        <v>32400</v>
      </c>
      <c r="AC10" s="17" t="n">
        <f aca="false">IFERROR(AVERAGEIF(Q10:U10,"&lt;&gt;0"),"")</f>
        <v>36000</v>
      </c>
      <c r="AD10" s="17" t="n">
        <f aca="false">IFERROR(AVERAGEIF(V10:Y10,"&lt;&gt;0"),"")</f>
        <v>40000</v>
      </c>
      <c r="AE10" s="17" t="n">
        <f aca="false">IFERROR(AVERAGEIF(D10:Y10,"&lt;&gt;0"),"")</f>
        <v>34190.4761904762</v>
      </c>
    </row>
    <row r="11" customFormat="false" ht="15" hidden="false" customHeight="true" outlineLevel="0" collapsed="false">
      <c r="A11" s="5" t="n">
        <v>7</v>
      </c>
      <c r="B11" s="6" t="s">
        <v>347</v>
      </c>
      <c r="C11" s="5" t="s">
        <v>407</v>
      </c>
      <c r="D11" s="37" t="n">
        <v>70000</v>
      </c>
      <c r="E11" s="37" t="n">
        <v>65000</v>
      </c>
      <c r="F11" s="37" t="n">
        <v>0</v>
      </c>
      <c r="G11" s="37" t="n">
        <v>60000</v>
      </c>
      <c r="H11" s="37" t="n">
        <v>60000</v>
      </c>
      <c r="I11" s="37" t="n">
        <v>62000</v>
      </c>
      <c r="J11" s="37" t="n">
        <v>62000</v>
      </c>
      <c r="K11" s="37" t="n">
        <v>62000</v>
      </c>
      <c r="L11" s="37" t="n">
        <v>60000</v>
      </c>
      <c r="M11" s="37" t="n">
        <v>60000</v>
      </c>
      <c r="N11" s="37" t="n">
        <v>50000</v>
      </c>
      <c r="O11" s="37" t="n">
        <v>50000</v>
      </c>
      <c r="P11" s="37" t="n">
        <v>50000</v>
      </c>
      <c r="Q11" s="37" t="n">
        <v>50000</v>
      </c>
      <c r="R11" s="37" t="n">
        <v>50000</v>
      </c>
      <c r="S11" s="37" t="n">
        <v>50000</v>
      </c>
      <c r="T11" s="37" t="n">
        <v>48000</v>
      </c>
      <c r="U11" s="37" t="n">
        <v>48000</v>
      </c>
      <c r="V11" s="37" t="n">
        <v>44000</v>
      </c>
      <c r="W11" s="37" t="n">
        <v>44000</v>
      </c>
      <c r="X11" s="37" t="n">
        <v>44000</v>
      </c>
      <c r="Y11" s="37" t="n">
        <v>38000</v>
      </c>
      <c r="Z11" s="17" t="n">
        <f aca="false">IFERROR(AVERAGEIF(D11:F11,"&lt;&gt;0"),"")</f>
        <v>67500</v>
      </c>
      <c r="AA11" s="17" t="n">
        <f aca="false">IFERROR(AVERAGEIF(G11:K11,"&lt;&gt;0"),"")</f>
        <v>61200</v>
      </c>
      <c r="AB11" s="17" t="n">
        <f aca="false">IFERROR(AVERAGEIF(L11:P11,"&lt;&gt;0"),"")</f>
        <v>54000</v>
      </c>
      <c r="AC11" s="17" t="n">
        <f aca="false">IFERROR(AVERAGEIF(Q11:U11,"&lt;&gt;0"),"")</f>
        <v>49200</v>
      </c>
      <c r="AD11" s="17" t="n">
        <f aca="false">IFERROR(AVERAGEIF(V11:Y11,"&lt;&gt;0"),"")</f>
        <v>42500</v>
      </c>
      <c r="AE11" s="17" t="n">
        <f aca="false">IFERROR(AVERAGEIF(D11:Y11,"&lt;&gt;0"),"")</f>
        <v>53666.6666666667</v>
      </c>
    </row>
    <row r="12" customFormat="false" ht="15" hidden="false" customHeight="true" outlineLevel="0" collapsed="false">
      <c r="A12" s="5" t="n">
        <v>8</v>
      </c>
      <c r="B12" s="6" t="s">
        <v>354</v>
      </c>
      <c r="C12" s="5" t="s">
        <v>407</v>
      </c>
      <c r="D12" s="37" t="n">
        <v>28000</v>
      </c>
      <c r="E12" s="37" t="n">
        <v>28000</v>
      </c>
      <c r="F12" s="37" t="n">
        <v>0</v>
      </c>
      <c r="G12" s="37" t="n">
        <v>30000</v>
      </c>
      <c r="H12" s="37" t="n">
        <v>30000</v>
      </c>
      <c r="I12" s="37" t="n">
        <v>30000</v>
      </c>
      <c r="J12" s="37" t="n">
        <v>30000</v>
      </c>
      <c r="K12" s="37" t="n">
        <v>30000</v>
      </c>
      <c r="L12" s="37" t="n">
        <v>28000</v>
      </c>
      <c r="M12" s="37" t="n">
        <v>28000</v>
      </c>
      <c r="N12" s="37" t="n">
        <v>28000</v>
      </c>
      <c r="O12" s="37" t="n">
        <v>28000</v>
      </c>
      <c r="P12" s="37" t="n">
        <v>28000</v>
      </c>
      <c r="Q12" s="37" t="n">
        <v>28000</v>
      </c>
      <c r="R12" s="37" t="n">
        <v>28000</v>
      </c>
      <c r="S12" s="37" t="n">
        <v>28000</v>
      </c>
      <c r="T12" s="37" t="n">
        <v>32000</v>
      </c>
      <c r="U12" s="37" t="n">
        <v>32000</v>
      </c>
      <c r="V12" s="37" t="n">
        <v>32000</v>
      </c>
      <c r="W12" s="37" t="n">
        <v>32000</v>
      </c>
      <c r="X12" s="37" t="n">
        <v>32000</v>
      </c>
      <c r="Y12" s="37" t="n">
        <v>36000</v>
      </c>
      <c r="Z12" s="17" t="n">
        <f aca="false">IFERROR(AVERAGEIF(D12:F12,"&lt;&gt;0"),"")</f>
        <v>28000</v>
      </c>
      <c r="AA12" s="17" t="n">
        <f aca="false">IFERROR(AVERAGEIF(G12:K12,"&lt;&gt;0"),"")</f>
        <v>30000</v>
      </c>
      <c r="AB12" s="17" t="n">
        <f aca="false">IFERROR(AVERAGEIF(L12:P12,"&lt;&gt;0"),"")</f>
        <v>28000</v>
      </c>
      <c r="AC12" s="17" t="n">
        <f aca="false">IFERROR(AVERAGEIF(Q12:U12,"&lt;&gt;0"),"")</f>
        <v>29600</v>
      </c>
      <c r="AD12" s="17" t="n">
        <f aca="false">IFERROR(AVERAGEIF(V12:Y12,"&lt;&gt;0"),"")</f>
        <v>33000</v>
      </c>
      <c r="AE12" s="17" t="n">
        <f aca="false">IFERROR(AVERAGEIF(D12:Y12,"&lt;&gt;0"),"")</f>
        <v>29809.5238095238</v>
      </c>
    </row>
    <row r="13" customFormat="false" ht="15" hidden="false" customHeight="true" outlineLevel="0" collapsed="false">
      <c r="A13" s="5" t="n">
        <v>9</v>
      </c>
      <c r="B13" s="6" t="s">
        <v>349</v>
      </c>
      <c r="C13" s="5" t="s">
        <v>407</v>
      </c>
      <c r="D13" s="37" t="n">
        <v>17300</v>
      </c>
      <c r="E13" s="37" t="n">
        <v>17300</v>
      </c>
      <c r="F13" s="37" t="n">
        <v>0</v>
      </c>
      <c r="G13" s="37" t="n">
        <v>17300</v>
      </c>
      <c r="H13" s="37" t="n">
        <v>17300</v>
      </c>
      <c r="I13" s="37" t="n">
        <v>17300</v>
      </c>
      <c r="J13" s="37" t="n">
        <v>17300</v>
      </c>
      <c r="K13" s="37" t="n">
        <v>17300</v>
      </c>
      <c r="L13" s="37" t="n">
        <v>17300</v>
      </c>
      <c r="M13" s="37" t="n">
        <v>17300</v>
      </c>
      <c r="N13" s="37" t="n">
        <v>17300</v>
      </c>
      <c r="O13" s="37" t="n">
        <v>17300</v>
      </c>
      <c r="P13" s="37" t="n">
        <v>17300</v>
      </c>
      <c r="Q13" s="37" t="n">
        <v>17300</v>
      </c>
      <c r="R13" s="37" t="n">
        <v>17300</v>
      </c>
      <c r="S13" s="37" t="n">
        <v>17300</v>
      </c>
      <c r="T13" s="37" t="n">
        <v>17300</v>
      </c>
      <c r="U13" s="37" t="n">
        <v>17300</v>
      </c>
      <c r="V13" s="37" t="n">
        <v>17300</v>
      </c>
      <c r="W13" s="37" t="n">
        <v>17300</v>
      </c>
      <c r="X13" s="37" t="n">
        <v>17300</v>
      </c>
      <c r="Y13" s="37" t="n">
        <v>16500</v>
      </c>
      <c r="Z13" s="17" t="n">
        <f aca="false">IFERROR(AVERAGEIF(D13:F13,"&lt;&gt;0"),"")</f>
        <v>17300</v>
      </c>
      <c r="AA13" s="17" t="n">
        <f aca="false">IFERROR(AVERAGEIF(G13:K13,"&lt;&gt;0"),"")</f>
        <v>17300</v>
      </c>
      <c r="AB13" s="17" t="n">
        <f aca="false">IFERROR(AVERAGEIF(L13:P13,"&lt;&gt;0"),"")</f>
        <v>17300</v>
      </c>
      <c r="AC13" s="17" t="n">
        <f aca="false">IFERROR(AVERAGEIF(Q13:U13,"&lt;&gt;0"),"")</f>
        <v>17300</v>
      </c>
      <c r="AD13" s="17" t="n">
        <f aca="false">IFERROR(AVERAGEIF(V13:Y13,"&lt;&gt;0"),"")</f>
        <v>17100</v>
      </c>
      <c r="AE13" s="17" t="n">
        <f aca="false">IFERROR(AVERAGEIF(D13:Y13,"&lt;&gt;0"),"")</f>
        <v>17261.9047619048</v>
      </c>
    </row>
    <row r="14" customFormat="false" ht="15" hidden="false" customHeight="true" outlineLevel="0" collapsed="false">
      <c r="A14" s="5" t="n">
        <v>10</v>
      </c>
      <c r="B14" s="6" t="s">
        <v>340</v>
      </c>
      <c r="C14" s="5" t="s">
        <v>453</v>
      </c>
      <c r="D14" s="37" t="n">
        <v>19350</v>
      </c>
      <c r="E14" s="37" t="n">
        <v>19350</v>
      </c>
      <c r="F14" s="37" t="n">
        <v>0</v>
      </c>
      <c r="G14" s="37" t="n">
        <v>19350</v>
      </c>
      <c r="H14" s="37" t="n">
        <v>19350</v>
      </c>
      <c r="I14" s="37" t="n">
        <v>19350</v>
      </c>
      <c r="J14" s="37" t="n">
        <v>19350</v>
      </c>
      <c r="K14" s="37" t="n">
        <v>19350</v>
      </c>
      <c r="L14" s="37" t="n">
        <v>19350</v>
      </c>
      <c r="M14" s="37" t="n">
        <v>19350</v>
      </c>
      <c r="N14" s="37" t="n">
        <v>19350</v>
      </c>
      <c r="O14" s="37" t="n">
        <v>19350</v>
      </c>
      <c r="P14" s="37" t="n">
        <v>19350</v>
      </c>
      <c r="Q14" s="37" t="n">
        <v>19350</v>
      </c>
      <c r="R14" s="37" t="n">
        <v>19350</v>
      </c>
      <c r="S14" s="37" t="n">
        <v>19350</v>
      </c>
      <c r="T14" s="37" t="n">
        <v>19350</v>
      </c>
      <c r="U14" s="37" t="n">
        <v>19350</v>
      </c>
      <c r="V14" s="37" t="n">
        <v>19350</v>
      </c>
      <c r="W14" s="37" t="n">
        <v>19350</v>
      </c>
      <c r="X14" s="37" t="n">
        <v>19350</v>
      </c>
      <c r="Y14" s="37" t="n">
        <v>18900</v>
      </c>
      <c r="Z14" s="17" t="n">
        <f aca="false">IFERROR(AVERAGEIF(D14:F14,"&lt;&gt;0"),"")</f>
        <v>19350</v>
      </c>
      <c r="AA14" s="17" t="n">
        <f aca="false">IFERROR(AVERAGEIF(G14:K14,"&lt;&gt;0"),"")</f>
        <v>19350</v>
      </c>
      <c r="AB14" s="17" t="n">
        <f aca="false">IFERROR(AVERAGEIF(L14:P14,"&lt;&gt;0"),"")</f>
        <v>19350</v>
      </c>
      <c r="AC14" s="17" t="n">
        <f aca="false">IFERROR(AVERAGEIF(Q14:U14,"&lt;&gt;0"),"")</f>
        <v>19350</v>
      </c>
      <c r="AD14" s="17" t="n">
        <f aca="false">IFERROR(AVERAGEIF(V14:Y14,"&lt;&gt;0"),"")</f>
        <v>19237.5</v>
      </c>
      <c r="AE14" s="17" t="n">
        <f aca="false">IFERROR(AVERAGEIF(D14:Y14,"&lt;&gt;0"),"")</f>
        <v>19328.5714285714</v>
      </c>
    </row>
    <row r="15" customFormat="false" ht="21.75" hidden="false" customHeight="true" outlineLevel="0" collapsed="false">
      <c r="A15" s="5" t="n">
        <v>11</v>
      </c>
      <c r="B15" s="6" t="s">
        <v>341</v>
      </c>
      <c r="C15" s="5" t="s">
        <v>453</v>
      </c>
      <c r="D15" s="37" t="n">
        <v>22000</v>
      </c>
      <c r="E15" s="37" t="n">
        <v>22000</v>
      </c>
      <c r="F15" s="37" t="n">
        <v>0</v>
      </c>
      <c r="G15" s="37" t="n">
        <v>22000</v>
      </c>
      <c r="H15" s="37" t="n">
        <v>22000</v>
      </c>
      <c r="I15" s="37" t="n">
        <v>22000</v>
      </c>
      <c r="J15" s="37" t="n">
        <v>22000</v>
      </c>
      <c r="K15" s="37" t="n">
        <v>22000</v>
      </c>
      <c r="L15" s="37" t="n">
        <v>22000</v>
      </c>
      <c r="M15" s="37" t="n">
        <v>22000</v>
      </c>
      <c r="N15" s="37" t="n">
        <v>22000</v>
      </c>
      <c r="O15" s="37" t="n">
        <v>22000</v>
      </c>
      <c r="P15" s="37" t="n">
        <v>22000</v>
      </c>
      <c r="Q15" s="37" t="n">
        <v>22000</v>
      </c>
      <c r="R15" s="37" t="n">
        <v>22000</v>
      </c>
      <c r="S15" s="37" t="n">
        <v>22000</v>
      </c>
      <c r="T15" s="37" t="n">
        <v>22000</v>
      </c>
      <c r="U15" s="37" t="n">
        <v>22000</v>
      </c>
      <c r="V15" s="37" t="n">
        <v>22000</v>
      </c>
      <c r="W15" s="37" t="n">
        <v>22000</v>
      </c>
      <c r="X15" s="37" t="n">
        <v>22000</v>
      </c>
      <c r="Y15" s="37" t="n">
        <v>22000</v>
      </c>
      <c r="Z15" s="17" t="n">
        <f aca="false">IFERROR(AVERAGEIF(D15:F15,"&lt;&gt;0"),"")</f>
        <v>22000</v>
      </c>
      <c r="AA15" s="17" t="n">
        <f aca="false">IFERROR(AVERAGEIF(G15:K15,"&lt;&gt;0"),"")</f>
        <v>22000</v>
      </c>
      <c r="AB15" s="17" t="n">
        <f aca="false">IFERROR(AVERAGEIF(L15:P15,"&lt;&gt;0"),"")</f>
        <v>22000</v>
      </c>
      <c r="AC15" s="17" t="n">
        <f aca="false">IFERROR(AVERAGEIF(Q15:U15,"&lt;&gt;0"),"")</f>
        <v>22000</v>
      </c>
      <c r="AD15" s="17" t="n">
        <f aca="false">IFERROR(AVERAGEIF(V15:Y15,"&lt;&gt;0"),"")</f>
        <v>22000</v>
      </c>
      <c r="AE15" s="17" t="n">
        <f aca="false">IFERROR(AVERAGEIF(D15:Y15,"&lt;&gt;0"),"")</f>
        <v>22000</v>
      </c>
    </row>
    <row r="16" customFormat="false" ht="15" hidden="false" customHeight="true" outlineLevel="0" collapsed="false">
      <c r="A16" s="5" t="n">
        <v>12</v>
      </c>
      <c r="B16" s="6" t="s">
        <v>342</v>
      </c>
      <c r="C16" s="5" t="s">
        <v>453</v>
      </c>
      <c r="D16" s="37" t="n">
        <v>15700</v>
      </c>
      <c r="E16" s="37" t="n">
        <v>15700</v>
      </c>
      <c r="F16" s="37" t="n">
        <v>0</v>
      </c>
      <c r="G16" s="37" t="n">
        <v>15700</v>
      </c>
      <c r="H16" s="37" t="n">
        <v>15700</v>
      </c>
      <c r="I16" s="37" t="n">
        <v>15700</v>
      </c>
      <c r="J16" s="37" t="n">
        <v>15700</v>
      </c>
      <c r="K16" s="37" t="n">
        <v>15700</v>
      </c>
      <c r="L16" s="37" t="n">
        <v>15700</v>
      </c>
      <c r="M16" s="37" t="n">
        <v>15700</v>
      </c>
      <c r="N16" s="37" t="n">
        <v>15700</v>
      </c>
      <c r="O16" s="37" t="n">
        <v>15700</v>
      </c>
      <c r="P16" s="37" t="n">
        <v>15700</v>
      </c>
      <c r="Q16" s="37" t="n">
        <v>15700</v>
      </c>
      <c r="R16" s="37" t="n">
        <v>15700</v>
      </c>
      <c r="S16" s="37" t="n">
        <v>15700</v>
      </c>
      <c r="T16" s="37" t="n">
        <v>15700</v>
      </c>
      <c r="U16" s="37" t="n">
        <v>15700</v>
      </c>
      <c r="V16" s="37" t="n">
        <v>15700</v>
      </c>
      <c r="W16" s="37" t="n">
        <v>15700</v>
      </c>
      <c r="X16" s="37" t="n">
        <v>15700</v>
      </c>
      <c r="Y16" s="37" t="n">
        <v>15700</v>
      </c>
      <c r="Z16" s="17" t="n">
        <f aca="false">IFERROR(AVERAGEIF(D16:F16,"&lt;&gt;0"),"")</f>
        <v>15700</v>
      </c>
      <c r="AA16" s="17" t="n">
        <f aca="false">IFERROR(AVERAGEIF(G16:K16,"&lt;&gt;0"),"")</f>
        <v>15700</v>
      </c>
      <c r="AB16" s="17" t="n">
        <f aca="false">IFERROR(AVERAGEIF(L16:P16,"&lt;&gt;0"),"")</f>
        <v>15700</v>
      </c>
      <c r="AC16" s="17" t="n">
        <f aca="false">IFERROR(AVERAGEIF(Q16:U16,"&lt;&gt;0"),"")</f>
        <v>15700</v>
      </c>
      <c r="AD16" s="17" t="n">
        <f aca="false">IFERROR(AVERAGEIF(V16:Y16,"&lt;&gt;0"),"")</f>
        <v>15700</v>
      </c>
      <c r="AE16" s="17" t="n">
        <f aca="false">IFERROR(AVERAGEIF(D16:Y16,"&lt;&gt;0"),"")</f>
        <v>15700</v>
      </c>
    </row>
    <row r="17" customFormat="false" ht="15" hidden="false" customHeight="true" outlineLevel="0" collapsed="false">
      <c r="A17" s="5" t="n">
        <v>13</v>
      </c>
      <c r="B17" s="6" t="s">
        <v>337</v>
      </c>
      <c r="C17" s="5" t="s">
        <v>407</v>
      </c>
      <c r="D17" s="37" t="n">
        <v>11000</v>
      </c>
      <c r="E17" s="37" t="n">
        <v>11000</v>
      </c>
      <c r="F17" s="37" t="n">
        <v>0</v>
      </c>
      <c r="G17" s="37" t="n">
        <v>11000</v>
      </c>
      <c r="H17" s="37" t="n">
        <v>11000</v>
      </c>
      <c r="I17" s="37" t="n">
        <v>11000</v>
      </c>
      <c r="J17" s="37" t="n">
        <v>11000</v>
      </c>
      <c r="K17" s="37" t="n">
        <v>11000</v>
      </c>
      <c r="L17" s="37" t="n">
        <v>11000</v>
      </c>
      <c r="M17" s="37" t="n">
        <v>11000</v>
      </c>
      <c r="N17" s="37" t="n">
        <v>11000</v>
      </c>
      <c r="O17" s="37" t="n">
        <v>11000</v>
      </c>
      <c r="P17" s="37" t="n">
        <v>11000</v>
      </c>
      <c r="Q17" s="37" t="n">
        <v>11000</v>
      </c>
      <c r="R17" s="37" t="n">
        <v>11000</v>
      </c>
      <c r="S17" s="37" t="n">
        <v>11000</v>
      </c>
      <c r="T17" s="37" t="n">
        <v>11000</v>
      </c>
      <c r="U17" s="37" t="n">
        <v>11000</v>
      </c>
      <c r="V17" s="37" t="n">
        <v>11000</v>
      </c>
      <c r="W17" s="37" t="n">
        <v>11000</v>
      </c>
      <c r="X17" s="37" t="n">
        <v>11000</v>
      </c>
      <c r="Y17" s="37" t="n">
        <v>11000</v>
      </c>
      <c r="Z17" s="17" t="n">
        <f aca="false">IFERROR(AVERAGEIF(D17:F17,"&lt;&gt;0"),"")</f>
        <v>11000</v>
      </c>
      <c r="AA17" s="17" t="n">
        <f aca="false">IFERROR(AVERAGEIF(G17:K17,"&lt;&gt;0"),"")</f>
        <v>11000</v>
      </c>
      <c r="AB17" s="17" t="n">
        <f aca="false">IFERROR(AVERAGEIF(L17:P17,"&lt;&gt;0"),"")</f>
        <v>11000</v>
      </c>
      <c r="AC17" s="17" t="n">
        <f aca="false">IFERROR(AVERAGEIF(Q17:U17,"&lt;&gt;0"),"")</f>
        <v>11000</v>
      </c>
      <c r="AD17" s="17" t="n">
        <f aca="false">IFERROR(AVERAGEIF(V17:Y17,"&lt;&gt;0"),"")</f>
        <v>11000</v>
      </c>
      <c r="AE17" s="17" t="n">
        <f aca="false">IFERROR(AVERAGEIF(D17:Y17,"&lt;&gt;0"),"")</f>
        <v>11000</v>
      </c>
    </row>
    <row r="18" customFormat="false" ht="15" hidden="false" customHeight="true" outlineLevel="0" collapsed="false">
      <c r="A18" s="5" t="n">
        <v>14</v>
      </c>
      <c r="B18" s="6" t="s">
        <v>339</v>
      </c>
      <c r="C18" s="5" t="s">
        <v>407</v>
      </c>
      <c r="D18" s="37" t="n">
        <v>35000</v>
      </c>
      <c r="E18" s="37" t="n">
        <v>35000</v>
      </c>
      <c r="F18" s="37" t="n">
        <v>0</v>
      </c>
      <c r="G18" s="37" t="n">
        <v>33000</v>
      </c>
      <c r="H18" s="37" t="n">
        <v>33000</v>
      </c>
      <c r="I18" s="37" t="n">
        <v>32000</v>
      </c>
      <c r="J18" s="37" t="n">
        <v>32000</v>
      </c>
      <c r="K18" s="37" t="n">
        <v>32000</v>
      </c>
      <c r="L18" s="37" t="n">
        <v>33000</v>
      </c>
      <c r="M18" s="37" t="n">
        <v>33000</v>
      </c>
      <c r="N18" s="37" t="n">
        <v>33000</v>
      </c>
      <c r="O18" s="37" t="n">
        <v>33000</v>
      </c>
      <c r="P18" s="37" t="n">
        <v>33000</v>
      </c>
      <c r="Q18" s="37" t="n">
        <v>33000</v>
      </c>
      <c r="R18" s="37" t="n">
        <v>33000</v>
      </c>
      <c r="S18" s="37" t="n">
        <v>33000</v>
      </c>
      <c r="T18" s="37" t="n">
        <v>32000</v>
      </c>
      <c r="U18" s="37" t="n">
        <v>32000</v>
      </c>
      <c r="V18" s="37" t="n">
        <v>32000</v>
      </c>
      <c r="W18" s="37" t="n">
        <v>32000</v>
      </c>
      <c r="X18" s="37" t="n">
        <v>32000</v>
      </c>
      <c r="Y18" s="37" t="n">
        <v>34000</v>
      </c>
      <c r="Z18" s="17" t="n">
        <f aca="false">IFERROR(AVERAGEIF(D18:F18,"&lt;&gt;0"),"")</f>
        <v>35000</v>
      </c>
      <c r="AA18" s="17" t="n">
        <f aca="false">IFERROR(AVERAGEIF(G18:K18,"&lt;&gt;0"),"")</f>
        <v>32400</v>
      </c>
      <c r="AB18" s="17" t="n">
        <f aca="false">IFERROR(AVERAGEIF(L18:P18,"&lt;&gt;0"),"")</f>
        <v>33000</v>
      </c>
      <c r="AC18" s="17" t="n">
        <f aca="false">IFERROR(AVERAGEIF(Q18:U18,"&lt;&gt;0"),"")</f>
        <v>32600</v>
      </c>
      <c r="AD18" s="17" t="n">
        <f aca="false">IFERROR(AVERAGEIF(V18:Y18,"&lt;&gt;0"),"")</f>
        <v>32500</v>
      </c>
      <c r="AE18" s="17" t="n">
        <f aca="false">IFERROR(AVERAGEIF(D18:Y18,"&lt;&gt;0"),"")</f>
        <v>32857.1428571429</v>
      </c>
    </row>
    <row r="19" customFormat="false" ht="15" hidden="false" customHeight="true" outlineLevel="0" collapsed="false">
      <c r="A19" s="5" t="n">
        <v>15</v>
      </c>
      <c r="B19" s="6" t="s">
        <v>348</v>
      </c>
      <c r="C19" s="5" t="s">
        <v>407</v>
      </c>
      <c r="D19" s="37" t="n">
        <v>26500</v>
      </c>
      <c r="E19" s="37" t="n">
        <v>26500</v>
      </c>
      <c r="F19" s="37" t="n">
        <v>0</v>
      </c>
      <c r="G19" s="37" t="n">
        <v>27000</v>
      </c>
      <c r="H19" s="37" t="n">
        <v>27000</v>
      </c>
      <c r="I19" s="37" t="n">
        <v>25000</v>
      </c>
      <c r="J19" s="37" t="n">
        <v>25000</v>
      </c>
      <c r="K19" s="37" t="n">
        <v>25000</v>
      </c>
      <c r="L19" s="37" t="n">
        <v>26000</v>
      </c>
      <c r="M19" s="37" t="n">
        <v>26000</v>
      </c>
      <c r="N19" s="37" t="n">
        <v>26000</v>
      </c>
      <c r="O19" s="37" t="n">
        <v>26000</v>
      </c>
      <c r="P19" s="37" t="n">
        <v>25500</v>
      </c>
      <c r="Q19" s="37" t="n">
        <v>26000</v>
      </c>
      <c r="R19" s="37" t="n">
        <v>26000</v>
      </c>
      <c r="S19" s="37" t="n">
        <v>26000</v>
      </c>
      <c r="T19" s="37" t="n">
        <v>25000</v>
      </c>
      <c r="U19" s="37" t="n">
        <v>25000</v>
      </c>
      <c r="V19" s="37" t="n">
        <v>25000</v>
      </c>
      <c r="W19" s="37" t="n">
        <v>25000</v>
      </c>
      <c r="X19" s="37" t="n">
        <v>25000</v>
      </c>
      <c r="Y19" s="37" t="n">
        <v>25000</v>
      </c>
      <c r="Z19" s="17" t="n">
        <f aca="false">IFERROR(AVERAGEIF(D19:F19,"&lt;&gt;0"),"")</f>
        <v>26500</v>
      </c>
      <c r="AA19" s="17" t="n">
        <f aca="false">IFERROR(AVERAGEIF(G19:K19,"&lt;&gt;0"),"")</f>
        <v>25800</v>
      </c>
      <c r="AB19" s="17" t="n">
        <f aca="false">IFERROR(AVERAGEIF(L19:P19,"&lt;&gt;0"),"")</f>
        <v>25900</v>
      </c>
      <c r="AC19" s="17" t="n">
        <f aca="false">IFERROR(AVERAGEIF(Q19:U19,"&lt;&gt;0"),"")</f>
        <v>25600</v>
      </c>
      <c r="AD19" s="17" t="n">
        <f aca="false">IFERROR(AVERAGEIF(V19:Y19,"&lt;&gt;0"),"")</f>
        <v>25000</v>
      </c>
      <c r="AE19" s="17" t="n">
        <f aca="false">IFERROR(AVERAGEIF(D19:Y19,"&lt;&gt;0"),"")</f>
        <v>25690.4761904762</v>
      </c>
    </row>
    <row r="20" customFormat="false" ht="15" hidden="false" customHeight="true" outlineLevel="0" collapsed="false">
      <c r="A20" s="5" t="n">
        <v>16</v>
      </c>
      <c r="B20" s="6" t="s">
        <v>362</v>
      </c>
      <c r="C20" s="5" t="s">
        <v>407</v>
      </c>
      <c r="D20" s="37" t="n">
        <v>114000</v>
      </c>
      <c r="E20" s="37" t="n">
        <v>114000</v>
      </c>
      <c r="F20" s="37" t="n">
        <v>0</v>
      </c>
      <c r="G20" s="37" t="n">
        <v>114000</v>
      </c>
      <c r="H20" s="37" t="n">
        <v>114000</v>
      </c>
      <c r="I20" s="37" t="n">
        <v>114000</v>
      </c>
      <c r="J20" s="37" t="n">
        <v>114000</v>
      </c>
      <c r="K20" s="37" t="n">
        <v>114000</v>
      </c>
      <c r="L20" s="37" t="n">
        <v>114000</v>
      </c>
      <c r="M20" s="37" t="n">
        <v>114000</v>
      </c>
      <c r="N20" s="37" t="n">
        <v>114000</v>
      </c>
      <c r="O20" s="37" t="n">
        <v>114000</v>
      </c>
      <c r="P20" s="37" t="n">
        <v>114000</v>
      </c>
      <c r="Q20" s="37" t="n">
        <v>114000</v>
      </c>
      <c r="R20" s="37" t="n">
        <v>114000</v>
      </c>
      <c r="S20" s="37" t="n">
        <v>114000</v>
      </c>
      <c r="T20" s="37" t="n">
        <v>114000</v>
      </c>
      <c r="U20" s="37" t="n">
        <v>114000</v>
      </c>
      <c r="V20" s="37" t="n">
        <v>114000</v>
      </c>
      <c r="W20" s="37" t="n">
        <v>114000</v>
      </c>
      <c r="X20" s="37" t="n">
        <v>114000</v>
      </c>
      <c r="Y20" s="37" t="n">
        <v>115000</v>
      </c>
      <c r="Z20" s="17" t="n">
        <f aca="false">IFERROR(AVERAGEIF(D20:F20,"&lt;&gt;0"),"")</f>
        <v>114000</v>
      </c>
      <c r="AA20" s="17" t="n">
        <f aca="false">IFERROR(AVERAGEIF(G20:K20,"&lt;&gt;0"),"")</f>
        <v>114000</v>
      </c>
      <c r="AB20" s="17" t="n">
        <f aca="false">IFERROR(AVERAGEIF(L20:P20,"&lt;&gt;0"),"")</f>
        <v>114000</v>
      </c>
      <c r="AC20" s="17" t="n">
        <f aca="false">IFERROR(AVERAGEIF(Q20:U20,"&lt;&gt;0"),"")</f>
        <v>114000</v>
      </c>
      <c r="AD20" s="17" t="n">
        <f aca="false">IFERROR(AVERAGEIF(V20:Y20,"&lt;&gt;0"),"")</f>
        <v>114250</v>
      </c>
      <c r="AE20" s="17" t="n">
        <f aca="false">IFERROR(AVERAGEIF(D20:Y20,"&lt;&gt;0"),"")</f>
        <v>114047.619047619</v>
      </c>
    </row>
    <row r="21" customFormat="false" ht="15" hidden="false" customHeight="true" outlineLevel="0" collapsed="false">
      <c r="A21" s="5" t="n">
        <v>17</v>
      </c>
      <c r="B21" s="6" t="s">
        <v>363</v>
      </c>
      <c r="C21" s="5" t="s">
        <v>407</v>
      </c>
      <c r="D21" s="37" t="n">
        <v>70000</v>
      </c>
      <c r="E21" s="37" t="n">
        <v>70000</v>
      </c>
      <c r="F21" s="37" t="n">
        <v>0</v>
      </c>
      <c r="G21" s="37" t="n">
        <v>70000</v>
      </c>
      <c r="H21" s="37" t="n">
        <v>70000</v>
      </c>
      <c r="I21" s="37" t="n">
        <v>70000</v>
      </c>
      <c r="J21" s="37" t="n">
        <v>70000</v>
      </c>
      <c r="K21" s="37" t="n">
        <v>70000</v>
      </c>
      <c r="L21" s="37" t="n">
        <v>70000</v>
      </c>
      <c r="M21" s="37" t="n">
        <v>70000</v>
      </c>
      <c r="N21" s="37" t="n">
        <v>70000</v>
      </c>
      <c r="O21" s="37" t="n">
        <v>70000</v>
      </c>
      <c r="P21" s="37" t="n">
        <v>70000</v>
      </c>
      <c r="Q21" s="37" t="n">
        <v>70000</v>
      </c>
      <c r="R21" s="37" t="n">
        <v>70000</v>
      </c>
      <c r="S21" s="37" t="n">
        <v>70000</v>
      </c>
      <c r="T21" s="37" t="n">
        <v>70000</v>
      </c>
      <c r="U21" s="37" t="n">
        <v>70000</v>
      </c>
      <c r="V21" s="37" t="n">
        <v>70000</v>
      </c>
      <c r="W21" s="37" t="n">
        <v>70000</v>
      </c>
      <c r="X21" s="37" t="n">
        <v>70000</v>
      </c>
      <c r="Y21" s="37" t="n">
        <v>70000</v>
      </c>
      <c r="Z21" s="17" t="n">
        <f aca="false">IFERROR(AVERAGEIF(D21:F21,"&lt;&gt;0"),"")</f>
        <v>70000</v>
      </c>
      <c r="AA21" s="17" t="n">
        <f aca="false">IFERROR(AVERAGEIF(G21:K21,"&lt;&gt;0"),"")</f>
        <v>70000</v>
      </c>
      <c r="AB21" s="17" t="n">
        <f aca="false">IFERROR(AVERAGEIF(L21:P21,"&lt;&gt;0"),"")</f>
        <v>70000</v>
      </c>
      <c r="AC21" s="17" t="n">
        <f aca="false">IFERROR(AVERAGEIF(Q21:U21,"&lt;&gt;0"),"")</f>
        <v>70000</v>
      </c>
      <c r="AD21" s="17" t="n">
        <f aca="false">IFERROR(AVERAGEIF(V21:Y21,"&lt;&gt;0"),"")</f>
        <v>70000</v>
      </c>
      <c r="AE21" s="17" t="n">
        <f aca="false">IFERROR(AVERAGEIF(D21:Y21,"&lt;&gt;0"),"")</f>
        <v>70000</v>
      </c>
    </row>
    <row r="22" customFormat="false" ht="15" hidden="false" customHeight="true" outlineLevel="0" collapsed="false">
      <c r="A22" s="5" t="n">
        <v>18</v>
      </c>
      <c r="B22" s="6" t="s">
        <v>364</v>
      </c>
      <c r="C22" s="5" t="s">
        <v>407</v>
      </c>
      <c r="D22" s="37" t="n">
        <v>80000</v>
      </c>
      <c r="E22" s="37" t="n">
        <v>80000</v>
      </c>
      <c r="F22" s="37" t="n">
        <v>0</v>
      </c>
      <c r="G22" s="37" t="n">
        <v>80000</v>
      </c>
      <c r="H22" s="37" t="n">
        <v>80000</v>
      </c>
      <c r="I22" s="37" t="n">
        <v>80000</v>
      </c>
      <c r="J22" s="37" t="n">
        <v>80000</v>
      </c>
      <c r="K22" s="37" t="n">
        <v>80000</v>
      </c>
      <c r="L22" s="37" t="n">
        <v>80000</v>
      </c>
      <c r="M22" s="37" t="n">
        <v>80000</v>
      </c>
      <c r="N22" s="37" t="n">
        <v>80000</v>
      </c>
      <c r="O22" s="37" t="n">
        <v>80000</v>
      </c>
      <c r="P22" s="37" t="n">
        <v>80000</v>
      </c>
      <c r="Q22" s="37" t="n">
        <v>80000</v>
      </c>
      <c r="R22" s="37" t="n">
        <v>80000</v>
      </c>
      <c r="S22" s="37" t="n">
        <v>80000</v>
      </c>
      <c r="T22" s="37" t="n">
        <v>80000</v>
      </c>
      <c r="U22" s="37" t="n">
        <v>80000</v>
      </c>
      <c r="V22" s="37" t="n">
        <v>80000</v>
      </c>
      <c r="W22" s="37" t="n">
        <v>80000</v>
      </c>
      <c r="X22" s="37" t="n">
        <v>80000</v>
      </c>
      <c r="Y22" s="37" t="n">
        <v>80000</v>
      </c>
      <c r="Z22" s="17" t="n">
        <f aca="false">IFERROR(AVERAGEIF(D22:F22,"&lt;&gt;0"),"")</f>
        <v>80000</v>
      </c>
      <c r="AA22" s="17" t="n">
        <f aca="false">IFERROR(AVERAGEIF(G22:K22,"&lt;&gt;0"),"")</f>
        <v>80000</v>
      </c>
      <c r="AB22" s="17" t="n">
        <f aca="false">IFERROR(AVERAGEIF(L22:P22,"&lt;&gt;0"),"")</f>
        <v>80000</v>
      </c>
      <c r="AC22" s="17" t="n">
        <f aca="false">IFERROR(AVERAGEIF(Q22:U22,"&lt;&gt;0"),"")</f>
        <v>80000</v>
      </c>
      <c r="AD22" s="17" t="n">
        <f aca="false">IFERROR(AVERAGEIF(V22:Y22,"&lt;&gt;0"),"")</f>
        <v>80000</v>
      </c>
      <c r="AE22" s="17" t="n">
        <f aca="false">IFERROR(AVERAGEIF(D22:Y22,"&lt;&gt;0"),"")</f>
        <v>80000</v>
      </c>
    </row>
    <row r="23" customFormat="false" ht="15" hidden="false" customHeight="true" outlineLevel="0" collapsed="false">
      <c r="A23" s="5" t="n">
        <v>19</v>
      </c>
      <c r="B23" s="6" t="s">
        <v>409</v>
      </c>
      <c r="C23" s="5" t="s">
        <v>407</v>
      </c>
      <c r="D23" s="37" t="n">
        <v>45000</v>
      </c>
      <c r="E23" s="37" t="n">
        <v>45000</v>
      </c>
      <c r="F23" s="37" t="n">
        <v>0</v>
      </c>
      <c r="G23" s="37" t="n">
        <v>45000</v>
      </c>
      <c r="H23" s="37" t="n">
        <v>45000</v>
      </c>
      <c r="I23" s="37" t="n">
        <v>45000</v>
      </c>
      <c r="J23" s="37" t="n">
        <v>45000</v>
      </c>
      <c r="K23" s="37" t="n">
        <v>45000</v>
      </c>
      <c r="L23" s="37" t="n">
        <v>45000</v>
      </c>
      <c r="M23" s="37" t="n">
        <v>45000</v>
      </c>
      <c r="N23" s="37" t="n">
        <v>45000</v>
      </c>
      <c r="O23" s="37" t="n">
        <v>45000</v>
      </c>
      <c r="P23" s="37" t="n">
        <v>45000</v>
      </c>
      <c r="Q23" s="37" t="n">
        <v>45000</v>
      </c>
      <c r="R23" s="37" t="n">
        <v>45000</v>
      </c>
      <c r="S23" s="37" t="n">
        <v>45000</v>
      </c>
      <c r="T23" s="37" t="n">
        <v>45000</v>
      </c>
      <c r="U23" s="37" t="n">
        <v>45000</v>
      </c>
      <c r="V23" s="37" t="n">
        <v>45000</v>
      </c>
      <c r="W23" s="37" t="n">
        <v>45000</v>
      </c>
      <c r="X23" s="37" t="n">
        <v>45000</v>
      </c>
      <c r="Y23" s="37" t="n">
        <v>45000</v>
      </c>
      <c r="Z23" s="17" t="n">
        <f aca="false">IFERROR(AVERAGEIF(D23:F23,"&lt;&gt;0"),"")</f>
        <v>45000</v>
      </c>
      <c r="AA23" s="17" t="n">
        <f aca="false">IFERROR(AVERAGEIF(G23:K23,"&lt;&gt;0"),"")</f>
        <v>45000</v>
      </c>
      <c r="AB23" s="17" t="n">
        <f aca="false">IFERROR(AVERAGEIF(L23:P23,"&lt;&gt;0"),"")</f>
        <v>45000</v>
      </c>
      <c r="AC23" s="17" t="n">
        <f aca="false">IFERROR(AVERAGEIF(Q23:U23,"&lt;&gt;0"),"")</f>
        <v>45000</v>
      </c>
      <c r="AD23" s="17" t="n">
        <f aca="false">IFERROR(AVERAGEIF(V23:Y23,"&lt;&gt;0"),"")</f>
        <v>45000</v>
      </c>
      <c r="AE23" s="17" t="n">
        <f aca="false">IFERROR(AVERAGEIF(D23:Y23,"&lt;&gt;0"),"")</f>
        <v>45000</v>
      </c>
    </row>
    <row r="24" customFormat="false" ht="15" hidden="false" customHeight="true" outlineLevel="0" collapsed="false">
      <c r="A24" s="5" t="n">
        <v>20</v>
      </c>
      <c r="B24" s="6" t="s">
        <v>350</v>
      </c>
      <c r="C24" s="5" t="s">
        <v>407</v>
      </c>
      <c r="D24" s="37" t="n">
        <v>45000</v>
      </c>
      <c r="E24" s="37" t="n">
        <v>45000</v>
      </c>
      <c r="F24" s="37" t="n">
        <v>0</v>
      </c>
      <c r="G24" s="37" t="n">
        <v>45000</v>
      </c>
      <c r="H24" s="37" t="n">
        <v>45000</v>
      </c>
      <c r="I24" s="37" t="n">
        <v>45000</v>
      </c>
      <c r="J24" s="37" t="n">
        <v>45000</v>
      </c>
      <c r="K24" s="37" t="n">
        <v>45000</v>
      </c>
      <c r="L24" s="37" t="n">
        <v>45000</v>
      </c>
      <c r="M24" s="37" t="n">
        <v>45000</v>
      </c>
      <c r="N24" s="37" t="n">
        <v>45000</v>
      </c>
      <c r="O24" s="37" t="n">
        <v>45000</v>
      </c>
      <c r="P24" s="37" t="n">
        <v>45000</v>
      </c>
      <c r="Q24" s="37" t="n">
        <v>45000</v>
      </c>
      <c r="R24" s="37" t="n">
        <v>45000</v>
      </c>
      <c r="S24" s="37" t="n">
        <v>45000</v>
      </c>
      <c r="T24" s="37" t="n">
        <v>45000</v>
      </c>
      <c r="U24" s="37" t="n">
        <v>45000</v>
      </c>
      <c r="V24" s="37" t="n">
        <v>45000</v>
      </c>
      <c r="W24" s="37" t="n">
        <v>45000</v>
      </c>
      <c r="X24" s="37" t="n">
        <v>45000</v>
      </c>
      <c r="Y24" s="37" t="n">
        <v>45000</v>
      </c>
      <c r="Z24" s="17" t="n">
        <f aca="false">IFERROR(AVERAGEIF(D24:F24,"&lt;&gt;0"),"")</f>
        <v>45000</v>
      </c>
      <c r="AA24" s="17" t="n">
        <f aca="false">IFERROR(AVERAGEIF(G24:K24,"&lt;&gt;0"),"")</f>
        <v>45000</v>
      </c>
      <c r="AB24" s="17" t="n">
        <f aca="false">IFERROR(AVERAGEIF(L24:P24,"&lt;&gt;0"),"")</f>
        <v>45000</v>
      </c>
      <c r="AC24" s="17" t="n">
        <f aca="false">IFERROR(AVERAGEIF(Q24:U24,"&lt;&gt;0"),"")</f>
        <v>45000</v>
      </c>
      <c r="AD24" s="17" t="n">
        <f aca="false">IFERROR(AVERAGEIF(V24:Y24,"&lt;&gt;0"),"")</f>
        <v>45000</v>
      </c>
      <c r="AE24" s="17" t="n">
        <f aca="false">IFERROR(AVERAGEIF(D24:Y24,"&lt;&gt;0"),"")</f>
        <v>45000</v>
      </c>
    </row>
    <row r="25" customFormat="false" ht="15" hidden="false" customHeight="true" outlineLevel="0" collapsed="false">
      <c r="A25" s="5" t="n">
        <v>21</v>
      </c>
      <c r="B25" s="6" t="s">
        <v>410</v>
      </c>
      <c r="C25" s="5" t="s">
        <v>407</v>
      </c>
      <c r="D25" s="37" t="n">
        <v>80000</v>
      </c>
      <c r="E25" s="37" t="n">
        <v>80000</v>
      </c>
      <c r="F25" s="37" t="n">
        <v>0</v>
      </c>
      <c r="G25" s="37" t="n">
        <v>80000</v>
      </c>
      <c r="H25" s="37" t="n">
        <v>80000</v>
      </c>
      <c r="I25" s="37" t="n">
        <v>80000</v>
      </c>
      <c r="J25" s="37" t="n">
        <v>80000</v>
      </c>
      <c r="K25" s="37" t="n">
        <v>80000</v>
      </c>
      <c r="L25" s="37" t="n">
        <v>80000</v>
      </c>
      <c r="M25" s="37" t="n">
        <v>80000</v>
      </c>
      <c r="N25" s="37" t="n">
        <v>80000</v>
      </c>
      <c r="O25" s="37" t="n">
        <v>80000</v>
      </c>
      <c r="P25" s="37" t="n">
        <v>80000</v>
      </c>
      <c r="Q25" s="37" t="n">
        <v>80000</v>
      </c>
      <c r="R25" s="37" t="n">
        <v>80000</v>
      </c>
      <c r="S25" s="37" t="n">
        <v>80000</v>
      </c>
      <c r="T25" s="37" t="n">
        <v>80000</v>
      </c>
      <c r="U25" s="37" t="n">
        <v>80000</v>
      </c>
      <c r="V25" s="37" t="n">
        <v>80000</v>
      </c>
      <c r="W25" s="37" t="n">
        <v>80000</v>
      </c>
      <c r="X25" s="37" t="n">
        <v>80000</v>
      </c>
      <c r="Y25" s="37" t="n">
        <v>80000</v>
      </c>
      <c r="Z25" s="17" t="n">
        <f aca="false">IFERROR(AVERAGEIF(D25:F25,"&lt;&gt;0"),"")</f>
        <v>80000</v>
      </c>
      <c r="AA25" s="17" t="n">
        <f aca="false">IFERROR(AVERAGEIF(G25:K25,"&lt;&gt;0"),"")</f>
        <v>80000</v>
      </c>
      <c r="AB25" s="17" t="n">
        <f aca="false">IFERROR(AVERAGEIF(L25:P25,"&lt;&gt;0"),"")</f>
        <v>80000</v>
      </c>
      <c r="AC25" s="17" t="n">
        <f aca="false">IFERROR(AVERAGEIF(Q25:U25,"&lt;&gt;0"),"")</f>
        <v>80000</v>
      </c>
      <c r="AD25" s="17" t="n">
        <f aca="false">IFERROR(AVERAGEIF(V25:Y25,"&lt;&gt;0"),"")</f>
        <v>80000</v>
      </c>
      <c r="AE25" s="17" t="n">
        <f aca="false">IFERROR(AVERAGEIF(D25:Y25,"&lt;&gt;0"),"")</f>
        <v>80000</v>
      </c>
    </row>
    <row r="26" customFormat="false" ht="21.75" hidden="false" customHeight="true" outlineLevel="0" collapsed="false">
      <c r="A26" s="5" t="n">
        <v>22</v>
      </c>
      <c r="B26" s="6" t="s">
        <v>357</v>
      </c>
      <c r="C26" s="5" t="s">
        <v>454</v>
      </c>
      <c r="D26" s="37" t="n">
        <v>2800</v>
      </c>
      <c r="E26" s="37" t="n">
        <v>2800</v>
      </c>
      <c r="F26" s="37" t="n">
        <v>0</v>
      </c>
      <c r="G26" s="37" t="n">
        <v>2800</v>
      </c>
      <c r="H26" s="37" t="n">
        <v>2800</v>
      </c>
      <c r="I26" s="37" t="n">
        <v>2800</v>
      </c>
      <c r="J26" s="37" t="n">
        <v>2800</v>
      </c>
      <c r="K26" s="37" t="n">
        <v>2800</v>
      </c>
      <c r="L26" s="37" t="n">
        <v>2800</v>
      </c>
      <c r="M26" s="37" t="n">
        <v>2800</v>
      </c>
      <c r="N26" s="37" t="n">
        <v>2800</v>
      </c>
      <c r="O26" s="37" t="n">
        <v>2800</v>
      </c>
      <c r="P26" s="37" t="n">
        <v>2800</v>
      </c>
      <c r="Q26" s="37" t="n">
        <v>2800</v>
      </c>
      <c r="R26" s="37" t="n">
        <v>2800</v>
      </c>
      <c r="S26" s="37" t="n">
        <v>2800</v>
      </c>
      <c r="T26" s="37" t="n">
        <v>2800</v>
      </c>
      <c r="U26" s="37" t="n">
        <v>2800</v>
      </c>
      <c r="V26" s="37" t="n">
        <v>2800</v>
      </c>
      <c r="W26" s="37" t="n">
        <v>2800</v>
      </c>
      <c r="X26" s="37" t="n">
        <v>2800</v>
      </c>
      <c r="Y26" s="37" t="n">
        <v>2800</v>
      </c>
      <c r="Z26" s="17" t="n">
        <f aca="false">IFERROR(AVERAGEIF(D26:F26,"&lt;&gt;0"),"")</f>
        <v>2800</v>
      </c>
      <c r="AA26" s="17" t="n">
        <f aca="false">IFERROR(AVERAGEIF(G26:K26,"&lt;&gt;0"),"")</f>
        <v>2800</v>
      </c>
      <c r="AB26" s="17" t="n">
        <f aca="false">IFERROR(AVERAGEIF(L26:P26,"&lt;&gt;0"),"")</f>
        <v>2800</v>
      </c>
      <c r="AC26" s="17" t="n">
        <f aca="false">IFERROR(AVERAGEIF(Q26:U26,"&lt;&gt;0"),"")</f>
        <v>2800</v>
      </c>
      <c r="AD26" s="17" t="n">
        <f aca="false">IFERROR(AVERAGEIF(V26:Y26,"&lt;&gt;0"),"")</f>
        <v>2800</v>
      </c>
      <c r="AE26" s="17" t="n">
        <f aca="false">IFERROR(AVERAGEIF(D26:Y26,"&lt;&gt;0"),"")</f>
        <v>2800</v>
      </c>
    </row>
    <row r="27" customFormat="false" ht="15" hidden="false" customHeight="true" outlineLevel="0" collapsed="false">
      <c r="A27" s="5" t="n">
        <v>23</v>
      </c>
      <c r="B27" s="6" t="s">
        <v>355</v>
      </c>
      <c r="C27" s="5" t="s">
        <v>407</v>
      </c>
      <c r="D27" s="37" t="n">
        <v>28000</v>
      </c>
      <c r="E27" s="37" t="n">
        <v>28000</v>
      </c>
      <c r="F27" s="37" t="n">
        <v>0</v>
      </c>
      <c r="G27" s="37" t="n">
        <v>28000</v>
      </c>
      <c r="H27" s="37" t="n">
        <v>28000</v>
      </c>
      <c r="I27" s="37" t="n">
        <v>30000</v>
      </c>
      <c r="J27" s="37" t="n">
        <v>30000</v>
      </c>
      <c r="K27" s="37" t="n">
        <v>30000</v>
      </c>
      <c r="L27" s="37" t="n">
        <v>28000</v>
      </c>
      <c r="M27" s="37" t="n">
        <v>28000</v>
      </c>
      <c r="N27" s="37" t="n">
        <v>28000</v>
      </c>
      <c r="O27" s="37" t="n">
        <v>28000</v>
      </c>
      <c r="P27" s="37" t="n">
        <v>28000</v>
      </c>
      <c r="Q27" s="37" t="n">
        <v>28000</v>
      </c>
      <c r="R27" s="37" t="n">
        <v>28000</v>
      </c>
      <c r="S27" s="37" t="n">
        <v>28000</v>
      </c>
      <c r="T27" s="37" t="n">
        <v>27000</v>
      </c>
      <c r="U27" s="37" t="n">
        <v>27000</v>
      </c>
      <c r="V27" s="37" t="n">
        <v>27000</v>
      </c>
      <c r="W27" s="37" t="n">
        <v>27000</v>
      </c>
      <c r="X27" s="37" t="n">
        <v>27000</v>
      </c>
      <c r="Y27" s="37" t="n">
        <v>27000</v>
      </c>
      <c r="Z27" s="17" t="n">
        <f aca="false">IFERROR(AVERAGEIF(D27:F27,"&lt;&gt;0"),"")</f>
        <v>28000</v>
      </c>
      <c r="AA27" s="17" t="n">
        <f aca="false">IFERROR(AVERAGEIF(G27:K27,"&lt;&gt;0"),"")</f>
        <v>29200</v>
      </c>
      <c r="AB27" s="17" t="n">
        <f aca="false">IFERROR(AVERAGEIF(L27:P27,"&lt;&gt;0"),"")</f>
        <v>28000</v>
      </c>
      <c r="AC27" s="17" t="n">
        <f aca="false">IFERROR(AVERAGEIF(Q27:U27,"&lt;&gt;0"),"")</f>
        <v>27600</v>
      </c>
      <c r="AD27" s="17" t="n">
        <f aca="false">IFERROR(AVERAGEIF(V27:Y27,"&lt;&gt;0"),"")</f>
        <v>27000</v>
      </c>
      <c r="AE27" s="17" t="n">
        <f aca="false">IFERROR(AVERAGEIF(D27:Y27,"&lt;&gt;0"),"")</f>
        <v>28000</v>
      </c>
    </row>
    <row r="28" customFormat="false" ht="15" hidden="false" customHeight="true" outlineLevel="0" collapsed="false">
      <c r="A28" s="5" t="n">
        <v>24</v>
      </c>
      <c r="B28" s="6" t="s">
        <v>356</v>
      </c>
      <c r="C28" s="5" t="s">
        <v>407</v>
      </c>
      <c r="D28" s="37" t="n">
        <v>38000</v>
      </c>
      <c r="E28" s="37" t="n">
        <v>38000</v>
      </c>
      <c r="F28" s="37" t="n">
        <v>0</v>
      </c>
      <c r="G28" s="37" t="n">
        <v>38000</v>
      </c>
      <c r="H28" s="37" t="n">
        <v>38000</v>
      </c>
      <c r="I28" s="37" t="n">
        <v>38000</v>
      </c>
      <c r="J28" s="37" t="n">
        <v>38000</v>
      </c>
      <c r="K28" s="37" t="n">
        <v>38000</v>
      </c>
      <c r="L28" s="37" t="n">
        <v>38000</v>
      </c>
      <c r="M28" s="37" t="n">
        <v>38000</v>
      </c>
      <c r="N28" s="37" t="n">
        <v>38000</v>
      </c>
      <c r="O28" s="37" t="n">
        <v>38000</v>
      </c>
      <c r="P28" s="37" t="n">
        <v>38000</v>
      </c>
      <c r="Q28" s="37" t="n">
        <v>38000</v>
      </c>
      <c r="R28" s="37" t="n">
        <v>38000</v>
      </c>
      <c r="S28" s="37" t="n">
        <v>38000</v>
      </c>
      <c r="T28" s="37" t="n">
        <v>38000</v>
      </c>
      <c r="U28" s="37" t="n">
        <v>38000</v>
      </c>
      <c r="V28" s="37" t="n">
        <v>38000</v>
      </c>
      <c r="W28" s="37" t="n">
        <v>38000</v>
      </c>
      <c r="X28" s="37" t="n">
        <v>38000</v>
      </c>
      <c r="Y28" s="37" t="n">
        <v>38000</v>
      </c>
      <c r="Z28" s="17" t="n">
        <f aca="false">IFERROR(AVERAGEIF(D28:F28,"&lt;&gt;0"),"")</f>
        <v>38000</v>
      </c>
      <c r="AA28" s="17" t="n">
        <f aca="false">IFERROR(AVERAGEIF(G28:K28,"&lt;&gt;0"),"")</f>
        <v>38000</v>
      </c>
      <c r="AB28" s="17" t="n">
        <f aca="false">IFERROR(AVERAGEIF(L28:P28,"&lt;&gt;0"),"")</f>
        <v>38000</v>
      </c>
      <c r="AC28" s="17" t="n">
        <f aca="false">IFERROR(AVERAGEIF(Q28:U28,"&lt;&gt;0"),"")</f>
        <v>38000</v>
      </c>
      <c r="AD28" s="17" t="n">
        <f aca="false">IFERROR(AVERAGEIF(V28:Y28,"&lt;&gt;0"),"")</f>
        <v>38000</v>
      </c>
      <c r="AE28" s="17" t="n">
        <f aca="false">IFERROR(AVERAGEIF(D28:Y28,"&lt;&gt;0"),"")</f>
        <v>38000</v>
      </c>
    </row>
    <row r="29" customFormat="false" ht="15" hidden="false" customHeight="true" outlineLevel="0" collapsed="false">
      <c r="A29" s="5" t="n">
        <v>25</v>
      </c>
      <c r="B29" s="6" t="s">
        <v>411</v>
      </c>
      <c r="C29" s="5" t="s">
        <v>407</v>
      </c>
      <c r="D29" s="37" t="n">
        <v>30000</v>
      </c>
      <c r="E29" s="37" t="n">
        <v>30000</v>
      </c>
      <c r="F29" s="37" t="n">
        <v>0</v>
      </c>
      <c r="G29" s="37" t="n">
        <v>32000</v>
      </c>
      <c r="H29" s="37" t="n">
        <v>32000</v>
      </c>
      <c r="I29" s="37" t="n">
        <v>32000</v>
      </c>
      <c r="J29" s="37" t="n">
        <v>32000</v>
      </c>
      <c r="K29" s="37" t="n">
        <v>32000</v>
      </c>
      <c r="L29" s="37" t="n">
        <v>32000</v>
      </c>
      <c r="M29" s="37" t="n">
        <v>32000</v>
      </c>
      <c r="N29" s="37" t="n">
        <v>32000</v>
      </c>
      <c r="O29" s="37" t="n">
        <v>32000</v>
      </c>
      <c r="P29" s="37" t="n">
        <v>30000</v>
      </c>
      <c r="Q29" s="37" t="n">
        <v>30000</v>
      </c>
      <c r="R29" s="37" t="n">
        <v>30000</v>
      </c>
      <c r="S29" s="37" t="n">
        <v>30000</v>
      </c>
      <c r="T29" s="37" t="n">
        <v>30000</v>
      </c>
      <c r="U29" s="37" t="n">
        <v>30000</v>
      </c>
      <c r="V29" s="37" t="n">
        <v>30000</v>
      </c>
      <c r="W29" s="37" t="n">
        <v>30000</v>
      </c>
      <c r="X29" s="37" t="n">
        <v>30000</v>
      </c>
      <c r="Y29" s="37" t="n">
        <v>32000</v>
      </c>
      <c r="Z29" s="17" t="n">
        <f aca="false">IFERROR(AVERAGEIF(D29:F29,"&lt;&gt;0"),"")</f>
        <v>30000</v>
      </c>
      <c r="AA29" s="17" t="n">
        <f aca="false">IFERROR(AVERAGEIF(G29:K29,"&lt;&gt;0"),"")</f>
        <v>32000</v>
      </c>
      <c r="AB29" s="17" t="n">
        <f aca="false">IFERROR(AVERAGEIF(L29:P29,"&lt;&gt;0"),"")</f>
        <v>31600</v>
      </c>
      <c r="AC29" s="17" t="n">
        <f aca="false">IFERROR(AVERAGEIF(Q29:U29,"&lt;&gt;0"),"")</f>
        <v>30000</v>
      </c>
      <c r="AD29" s="17" t="n">
        <f aca="false">IFERROR(AVERAGEIF(V29:Y29,"&lt;&gt;0"),"")</f>
        <v>30500</v>
      </c>
      <c r="AE29" s="17" t="n">
        <f aca="false">IFERROR(AVERAGEIF(D29:Y29,"&lt;&gt;0"),"")</f>
        <v>30952.380952381</v>
      </c>
    </row>
    <row r="30" customFormat="false" ht="15" hidden="false" customHeight="true" outlineLevel="0" collapsed="false">
      <c r="A30" s="5" t="n">
        <v>26</v>
      </c>
      <c r="B30" s="6" t="s">
        <v>412</v>
      </c>
      <c r="C30" s="5" t="s">
        <v>407</v>
      </c>
      <c r="D30" s="37" t="n">
        <v>8000</v>
      </c>
      <c r="E30" s="37" t="n">
        <v>8000</v>
      </c>
      <c r="F30" s="37" t="n">
        <v>0</v>
      </c>
      <c r="G30" s="37" t="n">
        <v>8000</v>
      </c>
      <c r="H30" s="37" t="n">
        <v>8000</v>
      </c>
      <c r="I30" s="37" t="n">
        <v>8000</v>
      </c>
      <c r="J30" s="37" t="n">
        <v>8000</v>
      </c>
      <c r="K30" s="37" t="n">
        <v>8000</v>
      </c>
      <c r="L30" s="37" t="n">
        <v>8000</v>
      </c>
      <c r="M30" s="37" t="n">
        <v>8000</v>
      </c>
      <c r="N30" s="37" t="n">
        <v>8000</v>
      </c>
      <c r="O30" s="37" t="n">
        <v>8000</v>
      </c>
      <c r="P30" s="37" t="n">
        <v>8000</v>
      </c>
      <c r="Q30" s="37" t="n">
        <v>8000</v>
      </c>
      <c r="R30" s="37" t="n">
        <v>8000</v>
      </c>
      <c r="S30" s="37" t="n">
        <v>8000</v>
      </c>
      <c r="T30" s="37" t="n">
        <v>8000</v>
      </c>
      <c r="U30" s="37" t="n">
        <v>8000</v>
      </c>
      <c r="V30" s="37" t="n">
        <v>8000</v>
      </c>
      <c r="W30" s="37" t="n">
        <v>8000</v>
      </c>
      <c r="X30" s="37" t="n">
        <v>8000</v>
      </c>
      <c r="Y30" s="37" t="n">
        <v>8000</v>
      </c>
      <c r="Z30" s="17" t="n">
        <f aca="false">IFERROR(AVERAGEIF(D30:F30,"&lt;&gt;0"),"")</f>
        <v>8000</v>
      </c>
      <c r="AA30" s="17" t="n">
        <f aca="false">IFERROR(AVERAGEIF(G30:K30,"&lt;&gt;0"),"")</f>
        <v>8000</v>
      </c>
      <c r="AB30" s="17" t="n">
        <f aca="false">IFERROR(AVERAGEIF(L30:P30,"&lt;&gt;0"),"")</f>
        <v>8000</v>
      </c>
      <c r="AC30" s="17" t="n">
        <f aca="false">IFERROR(AVERAGEIF(Q30:U30,"&lt;&gt;0"),"")</f>
        <v>8000</v>
      </c>
      <c r="AD30" s="17" t="n">
        <f aca="false">IFERROR(AVERAGEIF(V30:Y30,"&lt;&gt;0"),"")</f>
        <v>8000</v>
      </c>
      <c r="AE30" s="17" t="n">
        <f aca="false">IFERROR(AVERAGEIF(D30:Y30,"&lt;&gt;0"),"")</f>
        <v>8000</v>
      </c>
    </row>
    <row r="31" customFormat="false" ht="15" hidden="false" customHeight="true" outlineLevel="0" collapsed="false">
      <c r="A31" s="5" t="n">
        <v>27</v>
      </c>
      <c r="B31" s="6" t="s">
        <v>358</v>
      </c>
      <c r="C31" s="5" t="s">
        <v>455</v>
      </c>
      <c r="D31" s="37" t="n">
        <v>10500</v>
      </c>
      <c r="E31" s="37" t="n">
        <v>10500</v>
      </c>
      <c r="F31" s="37" t="n">
        <v>0</v>
      </c>
      <c r="G31" s="37" t="n">
        <v>10500</v>
      </c>
      <c r="H31" s="37" t="n">
        <v>10500</v>
      </c>
      <c r="I31" s="37" t="n">
        <v>10500</v>
      </c>
      <c r="J31" s="37" t="n">
        <v>10500</v>
      </c>
      <c r="K31" s="37" t="n">
        <v>10500</v>
      </c>
      <c r="L31" s="37" t="n">
        <v>10500</v>
      </c>
      <c r="M31" s="37" t="n">
        <v>10500</v>
      </c>
      <c r="N31" s="37" t="n">
        <v>10500</v>
      </c>
      <c r="O31" s="37" t="n">
        <v>10500</v>
      </c>
      <c r="P31" s="37" t="n">
        <v>10500</v>
      </c>
      <c r="Q31" s="37" t="n">
        <v>10500</v>
      </c>
      <c r="R31" s="37" t="n">
        <v>10500</v>
      </c>
      <c r="S31" s="37" t="n">
        <v>10500</v>
      </c>
      <c r="T31" s="37" t="n">
        <v>10500</v>
      </c>
      <c r="U31" s="37" t="n">
        <v>10500</v>
      </c>
      <c r="V31" s="37" t="n">
        <v>10500</v>
      </c>
      <c r="W31" s="37" t="n">
        <v>10500</v>
      </c>
      <c r="X31" s="37" t="n">
        <v>10500</v>
      </c>
      <c r="Y31" s="37" t="n">
        <v>10500</v>
      </c>
      <c r="Z31" s="17" t="n">
        <f aca="false">IFERROR(AVERAGEIF(D31:F31,"&lt;&gt;0"),"")</f>
        <v>10500</v>
      </c>
      <c r="AA31" s="17" t="n">
        <f aca="false">IFERROR(AVERAGEIF(G31:K31,"&lt;&gt;0"),"")</f>
        <v>10500</v>
      </c>
      <c r="AB31" s="17" t="n">
        <f aca="false">IFERROR(AVERAGEIF(L31:P31,"&lt;&gt;0"),"")</f>
        <v>10500</v>
      </c>
      <c r="AC31" s="17" t="n">
        <f aca="false">IFERROR(AVERAGEIF(Q31:U31,"&lt;&gt;0"),"")</f>
        <v>10500</v>
      </c>
      <c r="AD31" s="17" t="n">
        <f aca="false">IFERROR(AVERAGEIF(V31:Y31,"&lt;&gt;0"),"")</f>
        <v>10500</v>
      </c>
      <c r="AE31" s="17" t="n">
        <f aca="false">IFERROR(AVERAGEIF(D31:Y31,"&lt;&gt;0"),"")</f>
        <v>10500</v>
      </c>
    </row>
    <row r="32" customFormat="false" ht="15" hidden="false" customHeight="true" outlineLevel="0" collapsed="false">
      <c r="A32" s="5" t="n">
        <v>28</v>
      </c>
      <c r="B32" s="6" t="s">
        <v>352</v>
      </c>
      <c r="C32" s="5" t="s">
        <v>456</v>
      </c>
      <c r="D32" s="37" t="n">
        <v>42000</v>
      </c>
      <c r="E32" s="37" t="n">
        <v>42000</v>
      </c>
      <c r="F32" s="37" t="n">
        <v>0</v>
      </c>
      <c r="G32" s="37" t="n">
        <v>42000</v>
      </c>
      <c r="H32" s="37" t="n">
        <v>42000</v>
      </c>
      <c r="I32" s="37" t="n">
        <v>42000</v>
      </c>
      <c r="J32" s="37" t="n">
        <v>42000</v>
      </c>
      <c r="K32" s="37" t="n">
        <v>42000</v>
      </c>
      <c r="L32" s="37" t="n">
        <v>42000</v>
      </c>
      <c r="M32" s="37" t="n">
        <v>42000</v>
      </c>
      <c r="N32" s="37" t="n">
        <v>42000</v>
      </c>
      <c r="O32" s="37" t="n">
        <v>42000</v>
      </c>
      <c r="P32" s="37" t="n">
        <v>42000</v>
      </c>
      <c r="Q32" s="37" t="n">
        <v>42000</v>
      </c>
      <c r="R32" s="37" t="n">
        <v>42000</v>
      </c>
      <c r="S32" s="37" t="n">
        <v>42000</v>
      </c>
      <c r="T32" s="37" t="n">
        <v>42000</v>
      </c>
      <c r="U32" s="37" t="n">
        <v>42000</v>
      </c>
      <c r="V32" s="37" t="n">
        <v>42000</v>
      </c>
      <c r="W32" s="37" t="n">
        <v>42000</v>
      </c>
      <c r="X32" s="37" t="n">
        <v>42000</v>
      </c>
      <c r="Y32" s="37" t="n">
        <v>42000</v>
      </c>
      <c r="Z32" s="17" t="n">
        <f aca="false">IFERROR(AVERAGEIF(D32:F32,"&lt;&gt;0"),"")</f>
        <v>42000</v>
      </c>
      <c r="AA32" s="17" t="n">
        <f aca="false">IFERROR(AVERAGEIF(G32:K32,"&lt;&gt;0"),"")</f>
        <v>42000</v>
      </c>
      <c r="AB32" s="17" t="n">
        <f aca="false">IFERROR(AVERAGEIF(L32:P32,"&lt;&gt;0"),"")</f>
        <v>42000</v>
      </c>
      <c r="AC32" s="17" t="n">
        <f aca="false">IFERROR(AVERAGEIF(Q32:U32,"&lt;&gt;0"),"")</f>
        <v>42000</v>
      </c>
      <c r="AD32" s="17" t="n">
        <f aca="false">IFERROR(AVERAGEIF(V32:Y32,"&lt;&gt;0"),"")</f>
        <v>42000</v>
      </c>
      <c r="AE32" s="17" t="n">
        <f aca="false">IFERROR(AVERAGEIF(D32:Y32,"&lt;&gt;0"),"")</f>
        <v>42000</v>
      </c>
    </row>
    <row r="33" customFormat="false" ht="15" hidden="false" customHeight="true" outlineLevel="0" collapsed="false">
      <c r="A33" s="5" t="n">
        <v>29</v>
      </c>
      <c r="B33" s="6" t="s">
        <v>365</v>
      </c>
      <c r="C33" s="5" t="s">
        <v>407</v>
      </c>
      <c r="D33" s="37" t="n">
        <v>11000</v>
      </c>
      <c r="E33" s="37" t="n">
        <v>11000</v>
      </c>
      <c r="F33" s="37" t="n">
        <v>0</v>
      </c>
      <c r="G33" s="37" t="n">
        <v>11000</v>
      </c>
      <c r="H33" s="37" t="n">
        <v>11000</v>
      </c>
      <c r="I33" s="37" t="n">
        <v>11000</v>
      </c>
      <c r="J33" s="37" t="n">
        <v>11000</v>
      </c>
      <c r="K33" s="37" t="n">
        <v>11000</v>
      </c>
      <c r="L33" s="37" t="n">
        <v>11000</v>
      </c>
      <c r="M33" s="37" t="n">
        <v>11000</v>
      </c>
      <c r="N33" s="37" t="n">
        <v>11000</v>
      </c>
      <c r="O33" s="37" t="n">
        <v>11000</v>
      </c>
      <c r="P33" s="37" t="n">
        <v>11000</v>
      </c>
      <c r="Q33" s="37" t="n">
        <v>11000</v>
      </c>
      <c r="R33" s="37" t="n">
        <v>11000</v>
      </c>
      <c r="S33" s="37" t="n">
        <v>11000</v>
      </c>
      <c r="T33" s="37" t="n">
        <v>11000</v>
      </c>
      <c r="U33" s="37" t="n">
        <v>11000</v>
      </c>
      <c r="V33" s="37" t="n">
        <v>11000</v>
      </c>
      <c r="W33" s="37" t="n">
        <v>11000</v>
      </c>
      <c r="X33" s="37" t="n">
        <v>11000</v>
      </c>
      <c r="Y33" s="37" t="n">
        <v>11000</v>
      </c>
      <c r="Z33" s="17" t="n">
        <f aca="false">IFERROR(AVERAGEIF(D33:F33,"&lt;&gt;0"),"")</f>
        <v>11000</v>
      </c>
      <c r="AA33" s="17" t="n">
        <f aca="false">IFERROR(AVERAGEIF(G33:K33,"&lt;&gt;0"),"")</f>
        <v>11000</v>
      </c>
      <c r="AB33" s="17" t="n">
        <f aca="false">IFERROR(AVERAGEIF(L33:P33,"&lt;&gt;0"),"")</f>
        <v>11000</v>
      </c>
      <c r="AC33" s="17" t="n">
        <f aca="false">IFERROR(AVERAGEIF(Q33:U33,"&lt;&gt;0"),"")</f>
        <v>11000</v>
      </c>
      <c r="AD33" s="17" t="n">
        <f aca="false">IFERROR(AVERAGEIF(V33:Y33,"&lt;&gt;0"),"")</f>
        <v>11000</v>
      </c>
      <c r="AE33" s="17" t="n">
        <f aca="false">IFERROR(AVERAGEIF(D33:Y33,"&lt;&gt;0"),"")</f>
        <v>11000</v>
      </c>
    </row>
    <row r="34" customFormat="false" ht="15" hidden="false" customHeight="true" outlineLevel="0" collapsed="false">
      <c r="A34" s="5" t="n">
        <v>30</v>
      </c>
      <c r="B34" s="6" t="s">
        <v>338</v>
      </c>
      <c r="C34" s="5" t="s">
        <v>407</v>
      </c>
      <c r="D34" s="37" t="n">
        <v>6000</v>
      </c>
      <c r="E34" s="37" t="n">
        <v>6000</v>
      </c>
      <c r="F34" s="37" t="n">
        <v>0</v>
      </c>
      <c r="G34" s="37" t="n">
        <v>6000</v>
      </c>
      <c r="H34" s="37" t="n">
        <v>6000</v>
      </c>
      <c r="I34" s="37" t="n">
        <v>6000</v>
      </c>
      <c r="J34" s="37" t="n">
        <v>6000</v>
      </c>
      <c r="K34" s="37" t="n">
        <v>6000</v>
      </c>
      <c r="L34" s="37" t="n">
        <v>6000</v>
      </c>
      <c r="M34" s="37" t="n">
        <v>6000</v>
      </c>
      <c r="N34" s="37" t="n">
        <v>6000</v>
      </c>
      <c r="O34" s="37" t="n">
        <v>6000</v>
      </c>
      <c r="P34" s="37" t="n">
        <v>6000</v>
      </c>
      <c r="Q34" s="37" t="n">
        <v>6000</v>
      </c>
      <c r="R34" s="37" t="n">
        <v>6000</v>
      </c>
      <c r="S34" s="37" t="n">
        <v>6000</v>
      </c>
      <c r="T34" s="37" t="n">
        <v>6000</v>
      </c>
      <c r="U34" s="37" t="n">
        <v>6000</v>
      </c>
      <c r="V34" s="37" t="n">
        <v>6000</v>
      </c>
      <c r="W34" s="37" t="n">
        <v>6000</v>
      </c>
      <c r="X34" s="37" t="n">
        <v>6000</v>
      </c>
      <c r="Y34" s="37" t="n">
        <v>6000</v>
      </c>
      <c r="Z34" s="17" t="n">
        <f aca="false">IFERROR(AVERAGEIF(D34:F34,"&lt;&gt;0"),"")</f>
        <v>6000</v>
      </c>
      <c r="AA34" s="17" t="n">
        <f aca="false">IFERROR(AVERAGEIF(G34:K34,"&lt;&gt;0"),"")</f>
        <v>6000</v>
      </c>
      <c r="AB34" s="17" t="n">
        <f aca="false">IFERROR(AVERAGEIF(L34:P34,"&lt;&gt;0"),"")</f>
        <v>6000</v>
      </c>
      <c r="AC34" s="17" t="n">
        <f aca="false">IFERROR(AVERAGEIF(Q34:U34,"&lt;&gt;0"),"")</f>
        <v>6000</v>
      </c>
      <c r="AD34" s="17" t="n">
        <f aca="false">IFERROR(AVERAGEIF(V34:Y34,"&lt;&gt;0"),"")</f>
        <v>6000</v>
      </c>
      <c r="AE34" s="17" t="n">
        <f aca="false">IFERROR(AVERAGEIF(D34:Y34,"&lt;&gt;0"),"")</f>
        <v>6000</v>
      </c>
    </row>
    <row r="35" customFormat="false" ht="15" hidden="false" customHeight="true" outlineLevel="0" collapsed="false">
      <c r="A35" s="5" t="n">
        <v>31</v>
      </c>
      <c r="B35" s="6" t="s">
        <v>343</v>
      </c>
      <c r="C35" s="5" t="s">
        <v>407</v>
      </c>
      <c r="D35" s="37" t="n">
        <v>70000</v>
      </c>
      <c r="E35" s="37" t="n">
        <v>70000</v>
      </c>
      <c r="F35" s="37" t="n">
        <v>0</v>
      </c>
      <c r="G35" s="37" t="n">
        <v>70000</v>
      </c>
      <c r="H35" s="37" t="n">
        <v>70000</v>
      </c>
      <c r="I35" s="37" t="n">
        <v>70000</v>
      </c>
      <c r="J35" s="37" t="n">
        <v>70000</v>
      </c>
      <c r="K35" s="37" t="n">
        <v>70000</v>
      </c>
      <c r="L35" s="37" t="n">
        <v>70000</v>
      </c>
      <c r="M35" s="37" t="n">
        <v>70000</v>
      </c>
      <c r="N35" s="37" t="n">
        <v>70000</v>
      </c>
      <c r="O35" s="37" t="n">
        <v>70000</v>
      </c>
      <c r="P35" s="37" t="n">
        <v>70000</v>
      </c>
      <c r="Q35" s="37" t="n">
        <v>70000</v>
      </c>
      <c r="R35" s="37" t="n">
        <v>70000</v>
      </c>
      <c r="S35" s="37" t="n">
        <v>70000</v>
      </c>
      <c r="T35" s="37" t="n">
        <v>70000</v>
      </c>
      <c r="U35" s="37" t="n">
        <v>70000</v>
      </c>
      <c r="V35" s="37" t="n">
        <v>70000</v>
      </c>
      <c r="W35" s="37" t="n">
        <v>70000</v>
      </c>
      <c r="X35" s="37" t="n">
        <v>70000</v>
      </c>
      <c r="Y35" s="37" t="n">
        <v>70000</v>
      </c>
      <c r="Z35" s="17" t="n">
        <f aca="false">IFERROR(AVERAGEIF(D35:F35,"&lt;&gt;0"),"")</f>
        <v>70000</v>
      </c>
      <c r="AA35" s="17" t="n">
        <f aca="false">IFERROR(AVERAGEIF(G35:K35,"&lt;&gt;0"),"")</f>
        <v>70000</v>
      </c>
      <c r="AB35" s="17" t="n">
        <f aca="false">IFERROR(AVERAGEIF(L35:P35,"&lt;&gt;0"),"")</f>
        <v>70000</v>
      </c>
      <c r="AC35" s="17" t="n">
        <f aca="false">IFERROR(AVERAGEIF(Q35:U35,"&lt;&gt;0"),"")</f>
        <v>70000</v>
      </c>
      <c r="AD35" s="17" t="n">
        <f aca="false">IFERROR(AVERAGEIF(V35:Y35,"&lt;&gt;0"),"")</f>
        <v>70000</v>
      </c>
      <c r="AE35" s="17" t="n">
        <f aca="false">IFERROR(AVERAGEIF(D35:Y35,"&lt;&gt;0"),"")</f>
        <v>70000</v>
      </c>
    </row>
    <row r="36" customFormat="false" ht="15" hidden="false" customHeight="true" outlineLevel="0" collapsed="false">
      <c r="A36" s="5" t="n">
        <v>32</v>
      </c>
      <c r="B36" s="6" t="s">
        <v>345</v>
      </c>
      <c r="C36" s="5" t="s">
        <v>407</v>
      </c>
      <c r="D36" s="37" t="n">
        <v>12000</v>
      </c>
      <c r="E36" s="37" t="n">
        <v>12000</v>
      </c>
      <c r="F36" s="37" t="n">
        <v>0</v>
      </c>
      <c r="G36" s="37" t="n">
        <v>12000</v>
      </c>
      <c r="H36" s="37" t="n">
        <v>12000</v>
      </c>
      <c r="I36" s="37" t="n">
        <v>12000</v>
      </c>
      <c r="J36" s="37" t="n">
        <v>12000</v>
      </c>
      <c r="K36" s="37" t="n">
        <v>12000</v>
      </c>
      <c r="L36" s="37" t="n">
        <v>12000</v>
      </c>
      <c r="M36" s="37" t="n">
        <v>12000</v>
      </c>
      <c r="N36" s="37" t="n">
        <v>12000</v>
      </c>
      <c r="O36" s="37" t="n">
        <v>12000</v>
      </c>
      <c r="P36" s="37" t="n">
        <v>12000</v>
      </c>
      <c r="Q36" s="37" t="n">
        <v>12000</v>
      </c>
      <c r="R36" s="37" t="n">
        <v>12000</v>
      </c>
      <c r="S36" s="37" t="n">
        <v>12000</v>
      </c>
      <c r="T36" s="37" t="n">
        <v>12000</v>
      </c>
      <c r="U36" s="37" t="n">
        <v>12000</v>
      </c>
      <c r="V36" s="37" t="n">
        <v>12000</v>
      </c>
      <c r="W36" s="37" t="n">
        <v>12000</v>
      </c>
      <c r="X36" s="37" t="n">
        <v>12000</v>
      </c>
      <c r="Y36" s="37" t="n">
        <v>12000</v>
      </c>
      <c r="Z36" s="17" t="n">
        <f aca="false">IFERROR(AVERAGEIF(D36:F36,"&lt;&gt;0"),"")</f>
        <v>12000</v>
      </c>
      <c r="AA36" s="17" t="n">
        <f aca="false">IFERROR(AVERAGEIF(G36:K36,"&lt;&gt;0"),"")</f>
        <v>12000</v>
      </c>
      <c r="AB36" s="17" t="n">
        <f aca="false">IFERROR(AVERAGEIF(L36:P36,"&lt;&gt;0"),"")</f>
        <v>12000</v>
      </c>
      <c r="AC36" s="17" t="n">
        <f aca="false">IFERROR(AVERAGEIF(Q36:U36,"&lt;&gt;0"),"")</f>
        <v>12000</v>
      </c>
      <c r="AD36" s="17" t="n">
        <f aca="false">IFERROR(AVERAGEIF(V36:Y36,"&lt;&gt;0"),"")</f>
        <v>12000</v>
      </c>
      <c r="AE36" s="17" t="n">
        <f aca="false">IFERROR(AVERAGEIF(D36:Y36,"&lt;&gt;0"),"")</f>
        <v>12000</v>
      </c>
    </row>
    <row r="37" customFormat="false" ht="15" hidden="false" customHeight="true" outlineLevel="0" collapsed="false">
      <c r="A37" s="5" t="n">
        <v>33</v>
      </c>
      <c r="B37" s="6" t="s">
        <v>366</v>
      </c>
      <c r="C37" s="5" t="s">
        <v>407</v>
      </c>
      <c r="D37" s="37" t="n">
        <v>8000</v>
      </c>
      <c r="E37" s="37" t="n">
        <v>8000</v>
      </c>
      <c r="F37" s="37" t="n">
        <v>0</v>
      </c>
      <c r="G37" s="37" t="n">
        <v>8000</v>
      </c>
      <c r="H37" s="37" t="n">
        <v>8000</v>
      </c>
      <c r="I37" s="37" t="n">
        <v>8000</v>
      </c>
      <c r="J37" s="37" t="n">
        <v>8000</v>
      </c>
      <c r="K37" s="37" t="n">
        <v>8000</v>
      </c>
      <c r="L37" s="37" t="n">
        <v>8000</v>
      </c>
      <c r="M37" s="37" t="n">
        <v>8000</v>
      </c>
      <c r="N37" s="37" t="n">
        <v>8000</v>
      </c>
      <c r="O37" s="37" t="n">
        <v>8000</v>
      </c>
      <c r="P37" s="37" t="n">
        <v>8000</v>
      </c>
      <c r="Q37" s="37" t="n">
        <v>8000</v>
      </c>
      <c r="R37" s="37" t="n">
        <v>8000</v>
      </c>
      <c r="S37" s="37" t="n">
        <v>8000</v>
      </c>
      <c r="T37" s="37" t="n">
        <v>8000</v>
      </c>
      <c r="U37" s="37" t="n">
        <v>8000</v>
      </c>
      <c r="V37" s="37" t="n">
        <v>8000</v>
      </c>
      <c r="W37" s="37" t="n">
        <v>8000</v>
      </c>
      <c r="X37" s="37" t="n">
        <v>8000</v>
      </c>
      <c r="Y37" s="37" t="n">
        <v>8000</v>
      </c>
      <c r="Z37" s="17" t="n">
        <f aca="false">IFERROR(AVERAGEIF(D37:F37,"&lt;&gt;0"),"")</f>
        <v>8000</v>
      </c>
      <c r="AA37" s="17" t="n">
        <f aca="false">IFERROR(AVERAGEIF(G37:K37,"&lt;&gt;0"),"")</f>
        <v>8000</v>
      </c>
      <c r="AB37" s="17" t="n">
        <f aca="false">IFERROR(AVERAGEIF(L37:P37,"&lt;&gt;0"),"")</f>
        <v>8000</v>
      </c>
      <c r="AC37" s="17" t="n">
        <f aca="false">IFERROR(AVERAGEIF(Q37:U37,"&lt;&gt;0"),"")</f>
        <v>8000</v>
      </c>
      <c r="AD37" s="17" t="n">
        <f aca="false">IFERROR(AVERAGEIF(V37:Y37,"&lt;&gt;0"),"")</f>
        <v>8000</v>
      </c>
      <c r="AE37" s="17" t="n">
        <f aca="false">IFERROR(AVERAGEIF(D37:Y37,"&lt;&gt;0"),"")</f>
        <v>8000</v>
      </c>
    </row>
    <row r="38" customFormat="false" ht="15" hidden="false" customHeight="true" outlineLevel="0" collapsed="false">
      <c r="A38" s="5" t="n">
        <v>34</v>
      </c>
      <c r="B38" s="6" t="s">
        <v>413</v>
      </c>
      <c r="C38" s="5" t="s">
        <v>407</v>
      </c>
      <c r="D38" s="37" t="n">
        <v>9000</v>
      </c>
      <c r="E38" s="37" t="n">
        <v>9000</v>
      </c>
      <c r="F38" s="37" t="n">
        <v>0</v>
      </c>
      <c r="G38" s="37" t="n">
        <v>9000</v>
      </c>
      <c r="H38" s="37" t="n">
        <v>9000</v>
      </c>
      <c r="I38" s="37" t="n">
        <v>10000</v>
      </c>
      <c r="J38" s="37" t="n">
        <v>10000</v>
      </c>
      <c r="K38" s="37" t="n">
        <v>10000</v>
      </c>
      <c r="L38" s="37" t="n">
        <v>10000</v>
      </c>
      <c r="M38" s="37" t="n">
        <v>10000</v>
      </c>
      <c r="N38" s="37" t="n">
        <v>10000</v>
      </c>
      <c r="O38" s="37" t="n">
        <v>10000</v>
      </c>
      <c r="P38" s="37" t="n">
        <v>10000</v>
      </c>
      <c r="Q38" s="37" t="n">
        <v>10000</v>
      </c>
      <c r="R38" s="37" t="n">
        <v>10000</v>
      </c>
      <c r="S38" s="37" t="n">
        <v>10000</v>
      </c>
      <c r="T38" s="37" t="n">
        <v>10000</v>
      </c>
      <c r="U38" s="37" t="n">
        <v>10000</v>
      </c>
      <c r="V38" s="37" t="n">
        <v>10000</v>
      </c>
      <c r="W38" s="37" t="n">
        <v>10000</v>
      </c>
      <c r="X38" s="37" t="n">
        <v>10000</v>
      </c>
      <c r="Y38" s="37" t="n">
        <v>10000</v>
      </c>
      <c r="Z38" s="17" t="n">
        <f aca="false">IFERROR(AVERAGEIF(D38:F38,"&lt;&gt;0"),"")</f>
        <v>9000</v>
      </c>
      <c r="AA38" s="17" t="n">
        <f aca="false">IFERROR(AVERAGEIF(G38:K38,"&lt;&gt;0"),"")</f>
        <v>9600</v>
      </c>
      <c r="AB38" s="17" t="n">
        <f aca="false">IFERROR(AVERAGEIF(L38:P38,"&lt;&gt;0"),"")</f>
        <v>10000</v>
      </c>
      <c r="AC38" s="17" t="n">
        <f aca="false">IFERROR(AVERAGEIF(Q38:U38,"&lt;&gt;0"),"")</f>
        <v>10000</v>
      </c>
      <c r="AD38" s="17" t="n">
        <f aca="false">IFERROR(AVERAGEIF(V38:Y38,"&lt;&gt;0"),"")</f>
        <v>10000</v>
      </c>
      <c r="AE38" s="17" t="n">
        <f aca="false">IFERROR(AVERAGEIF(D38:Y38,"&lt;&gt;0"),"")</f>
        <v>9809.52380952381</v>
      </c>
    </row>
    <row r="39" customFormat="false" ht="15" hidden="false" customHeight="true" outlineLevel="0" collapsed="false">
      <c r="A39" s="5" t="n">
        <v>35</v>
      </c>
      <c r="B39" s="6" t="s">
        <v>414</v>
      </c>
      <c r="C39" s="5" t="s">
        <v>407</v>
      </c>
      <c r="D39" s="37" t="n">
        <v>15000</v>
      </c>
      <c r="E39" s="37" t="n">
        <v>15000</v>
      </c>
      <c r="F39" s="37" t="n">
        <v>0</v>
      </c>
      <c r="G39" s="37" t="n">
        <v>15000</v>
      </c>
      <c r="H39" s="37" t="n">
        <v>15000</v>
      </c>
      <c r="I39" s="37" t="n">
        <v>15000</v>
      </c>
      <c r="J39" s="37" t="n">
        <v>15000</v>
      </c>
      <c r="K39" s="37" t="n">
        <v>15000</v>
      </c>
      <c r="L39" s="37" t="n">
        <v>15000</v>
      </c>
      <c r="M39" s="37" t="n">
        <v>15000</v>
      </c>
      <c r="N39" s="37" t="n">
        <v>15000</v>
      </c>
      <c r="O39" s="37" t="n">
        <v>15000</v>
      </c>
      <c r="P39" s="37" t="n">
        <v>15000</v>
      </c>
      <c r="Q39" s="37" t="n">
        <v>15000</v>
      </c>
      <c r="R39" s="37" t="n">
        <v>15000</v>
      </c>
      <c r="S39" s="37" t="n">
        <v>15000</v>
      </c>
      <c r="T39" s="37" t="n">
        <v>15000</v>
      </c>
      <c r="U39" s="37" t="n">
        <v>15000</v>
      </c>
      <c r="V39" s="37" t="n">
        <v>15000</v>
      </c>
      <c r="W39" s="37" t="n">
        <v>15000</v>
      </c>
      <c r="X39" s="37" t="n">
        <v>15000</v>
      </c>
      <c r="Y39" s="37" t="n">
        <v>15000</v>
      </c>
      <c r="Z39" s="17" t="n">
        <f aca="false">IFERROR(AVERAGEIF(D39:F39,"&lt;&gt;0"),"")</f>
        <v>15000</v>
      </c>
      <c r="AA39" s="17" t="n">
        <f aca="false">IFERROR(AVERAGEIF(G39:K39,"&lt;&gt;0"),"")</f>
        <v>15000</v>
      </c>
      <c r="AB39" s="17" t="n">
        <f aca="false">IFERROR(AVERAGEIF(L39:P39,"&lt;&gt;0"),"")</f>
        <v>15000</v>
      </c>
      <c r="AC39" s="17" t="n">
        <f aca="false">IFERROR(AVERAGEIF(Q39:U39,"&lt;&gt;0"),"")</f>
        <v>15000</v>
      </c>
      <c r="AD39" s="17" t="n">
        <f aca="false">IFERROR(AVERAGEIF(V39:Y39,"&lt;&gt;0"),"")</f>
        <v>15000</v>
      </c>
      <c r="AE39" s="17" t="n">
        <f aca="false">IFERROR(AVERAGEIF(D39:Y39,"&lt;&gt;0"),"")</f>
        <v>15000</v>
      </c>
    </row>
    <row r="40" customFormat="false" ht="15" hidden="false" customHeight="true" outlineLevel="0" collapsed="false">
      <c r="A40" s="5" t="n">
        <v>36</v>
      </c>
      <c r="B40" s="6" t="s">
        <v>415</v>
      </c>
      <c r="C40" s="5" t="s">
        <v>407</v>
      </c>
      <c r="D40" s="37" t="n">
        <v>7000</v>
      </c>
      <c r="E40" s="37" t="n">
        <v>7000</v>
      </c>
      <c r="F40" s="37" t="n">
        <v>0</v>
      </c>
      <c r="G40" s="37" t="n">
        <v>7000</v>
      </c>
      <c r="H40" s="37" t="n">
        <v>7000</v>
      </c>
      <c r="I40" s="37" t="n">
        <v>6000</v>
      </c>
      <c r="J40" s="37" t="n">
        <v>6000</v>
      </c>
      <c r="K40" s="37" t="n">
        <v>6000</v>
      </c>
      <c r="L40" s="37" t="n">
        <v>6000</v>
      </c>
      <c r="M40" s="37" t="n">
        <v>6000</v>
      </c>
      <c r="N40" s="37" t="n">
        <v>6000</v>
      </c>
      <c r="O40" s="37" t="n">
        <v>6000</v>
      </c>
      <c r="P40" s="37" t="n">
        <v>6000</v>
      </c>
      <c r="Q40" s="37" t="n">
        <v>6000</v>
      </c>
      <c r="R40" s="37" t="n">
        <v>6000</v>
      </c>
      <c r="S40" s="37" t="n">
        <v>6000</v>
      </c>
      <c r="T40" s="37" t="n">
        <v>6000</v>
      </c>
      <c r="U40" s="37" t="n">
        <v>6000</v>
      </c>
      <c r="V40" s="37" t="n">
        <v>6000</v>
      </c>
      <c r="W40" s="37" t="n">
        <v>6000</v>
      </c>
      <c r="X40" s="37" t="n">
        <v>6000</v>
      </c>
      <c r="Y40" s="37" t="n">
        <v>6000</v>
      </c>
      <c r="Z40" s="17" t="n">
        <f aca="false">IFERROR(AVERAGEIF(D40:F40,"&lt;&gt;0"),"")</f>
        <v>7000</v>
      </c>
      <c r="AA40" s="17" t="n">
        <f aca="false">IFERROR(AVERAGEIF(G40:K40,"&lt;&gt;0"),"")</f>
        <v>6400</v>
      </c>
      <c r="AB40" s="17" t="n">
        <f aca="false">IFERROR(AVERAGEIF(L40:P40,"&lt;&gt;0"),"")</f>
        <v>6000</v>
      </c>
      <c r="AC40" s="17" t="n">
        <f aca="false">IFERROR(AVERAGEIF(Q40:U40,"&lt;&gt;0"),"")</f>
        <v>6000</v>
      </c>
      <c r="AD40" s="17" t="n">
        <f aca="false">IFERROR(AVERAGEIF(V40:Y40,"&lt;&gt;0"),"")</f>
        <v>6000</v>
      </c>
      <c r="AE40" s="17" t="n">
        <f aca="false">IFERROR(AVERAGEIF(D40:Y40,"&lt;&gt;0"),"")</f>
        <v>6190.47619047619</v>
      </c>
    </row>
    <row r="41" customFormat="false" ht="15" hidden="false" customHeight="true" outlineLevel="0" collapsed="false">
      <c r="A41" s="5" t="n">
        <v>37</v>
      </c>
      <c r="B41" s="6" t="s">
        <v>416</v>
      </c>
      <c r="C41" s="5" t="s">
        <v>407</v>
      </c>
      <c r="D41" s="37" t="n">
        <v>5000</v>
      </c>
      <c r="E41" s="37" t="n">
        <v>5000</v>
      </c>
      <c r="F41" s="37" t="n">
        <v>0</v>
      </c>
      <c r="G41" s="37" t="n">
        <v>5000</v>
      </c>
      <c r="H41" s="37" t="n">
        <v>5000</v>
      </c>
      <c r="I41" s="37" t="n">
        <v>5000</v>
      </c>
      <c r="J41" s="37" t="n">
        <v>5000</v>
      </c>
      <c r="K41" s="37" t="n">
        <v>5000</v>
      </c>
      <c r="L41" s="37" t="n">
        <v>5000</v>
      </c>
      <c r="M41" s="37" t="n">
        <v>5000</v>
      </c>
      <c r="N41" s="37" t="n">
        <v>5000</v>
      </c>
      <c r="O41" s="37" t="n">
        <v>5000</v>
      </c>
      <c r="P41" s="37" t="n">
        <v>5000</v>
      </c>
      <c r="Q41" s="37" t="n">
        <v>5000</v>
      </c>
      <c r="R41" s="37" t="n">
        <v>5000</v>
      </c>
      <c r="S41" s="37" t="n">
        <v>5000</v>
      </c>
      <c r="T41" s="37" t="n">
        <v>5000</v>
      </c>
      <c r="U41" s="37" t="n">
        <v>5000</v>
      </c>
      <c r="V41" s="37" t="n">
        <v>5000</v>
      </c>
      <c r="W41" s="37" t="n">
        <v>5000</v>
      </c>
      <c r="X41" s="37" t="n">
        <v>5000</v>
      </c>
      <c r="Y41" s="37" t="n">
        <v>5000</v>
      </c>
      <c r="Z41" s="17" t="n">
        <f aca="false">IFERROR(AVERAGEIF(D41:F41,"&lt;&gt;0"),"")</f>
        <v>5000</v>
      </c>
      <c r="AA41" s="17" t="n">
        <f aca="false">IFERROR(AVERAGEIF(G41:K41,"&lt;&gt;0"),"")</f>
        <v>5000</v>
      </c>
      <c r="AB41" s="17" t="n">
        <f aca="false">IFERROR(AVERAGEIF(L41:P41,"&lt;&gt;0"),"")</f>
        <v>5000</v>
      </c>
      <c r="AC41" s="17" t="n">
        <f aca="false">IFERROR(AVERAGEIF(Q41:U41,"&lt;&gt;0"),"")</f>
        <v>5000</v>
      </c>
      <c r="AD41" s="17" t="n">
        <f aca="false">IFERROR(AVERAGEIF(V41:Y41,"&lt;&gt;0"),"")</f>
        <v>5000</v>
      </c>
      <c r="AE41" s="17" t="n">
        <f aca="false">IFERROR(AVERAGEIF(D41:Y41,"&lt;&gt;0"),"")</f>
        <v>5000</v>
      </c>
    </row>
    <row r="42" customFormat="false" ht="15" hidden="false" customHeight="true" outlineLevel="0" collapsed="false">
      <c r="A42" s="5" t="n">
        <v>38</v>
      </c>
      <c r="B42" s="6" t="s">
        <v>417</v>
      </c>
      <c r="C42" s="5" t="s">
        <v>407</v>
      </c>
      <c r="D42" s="37" t="n">
        <v>5000</v>
      </c>
      <c r="E42" s="37" t="n">
        <v>5000</v>
      </c>
      <c r="F42" s="37" t="n">
        <v>0</v>
      </c>
      <c r="G42" s="37" t="n">
        <v>5000</v>
      </c>
      <c r="H42" s="37" t="n">
        <v>5000</v>
      </c>
      <c r="I42" s="37" t="n">
        <v>5000</v>
      </c>
      <c r="J42" s="37" t="n">
        <v>5000</v>
      </c>
      <c r="K42" s="37" t="n">
        <v>5000</v>
      </c>
      <c r="L42" s="37" t="n">
        <v>5000</v>
      </c>
      <c r="M42" s="37" t="n">
        <v>5000</v>
      </c>
      <c r="N42" s="37" t="n">
        <v>5000</v>
      </c>
      <c r="O42" s="37" t="n">
        <v>5000</v>
      </c>
      <c r="P42" s="37" t="n">
        <v>5000</v>
      </c>
      <c r="Q42" s="37" t="n">
        <v>5000</v>
      </c>
      <c r="R42" s="37" t="n">
        <v>5000</v>
      </c>
      <c r="S42" s="37" t="n">
        <v>5000</v>
      </c>
      <c r="T42" s="37" t="n">
        <v>5000</v>
      </c>
      <c r="U42" s="37" t="n">
        <v>5000</v>
      </c>
      <c r="V42" s="37" t="n">
        <v>5000</v>
      </c>
      <c r="W42" s="37" t="n">
        <v>5000</v>
      </c>
      <c r="X42" s="37" t="n">
        <v>5000</v>
      </c>
      <c r="Y42" s="37" t="n">
        <v>5000</v>
      </c>
      <c r="Z42" s="17" t="n">
        <f aca="false">IFERROR(AVERAGEIF(D42:F42,"&lt;&gt;0"),"")</f>
        <v>5000</v>
      </c>
      <c r="AA42" s="17" t="n">
        <f aca="false">IFERROR(AVERAGEIF(G42:K42,"&lt;&gt;0"),"")</f>
        <v>5000</v>
      </c>
      <c r="AB42" s="17" t="n">
        <f aca="false">IFERROR(AVERAGEIF(L42:P42,"&lt;&gt;0"),"")</f>
        <v>5000</v>
      </c>
      <c r="AC42" s="17" t="n">
        <f aca="false">IFERROR(AVERAGEIF(Q42:U42,"&lt;&gt;0"),"")</f>
        <v>5000</v>
      </c>
      <c r="AD42" s="17" t="n">
        <f aca="false">IFERROR(AVERAGEIF(V42:Y42,"&lt;&gt;0"),"")</f>
        <v>5000</v>
      </c>
      <c r="AE42" s="17" t="n">
        <f aca="false">IFERROR(AVERAGEIF(D42:Y42,"&lt;&gt;0"),"")</f>
        <v>5000</v>
      </c>
    </row>
    <row r="43" customFormat="false" ht="15" hidden="false" customHeight="true" outlineLevel="0" collapsed="false">
      <c r="A43" s="5" t="n">
        <v>39</v>
      </c>
      <c r="B43" s="6" t="s">
        <v>418</v>
      </c>
      <c r="C43" s="5" t="s">
        <v>407</v>
      </c>
      <c r="D43" s="37" t="n">
        <v>7000</v>
      </c>
      <c r="E43" s="37" t="n">
        <v>7000</v>
      </c>
      <c r="F43" s="37" t="n">
        <v>0</v>
      </c>
      <c r="G43" s="37" t="n">
        <v>7000</v>
      </c>
      <c r="H43" s="37" t="n">
        <v>7000</v>
      </c>
      <c r="I43" s="37" t="n">
        <v>7000</v>
      </c>
      <c r="J43" s="37" t="n">
        <v>7000</v>
      </c>
      <c r="K43" s="37" t="n">
        <v>7000</v>
      </c>
      <c r="L43" s="37" t="n">
        <v>7000</v>
      </c>
      <c r="M43" s="37" t="n">
        <v>7000</v>
      </c>
      <c r="N43" s="37" t="n">
        <v>7000</v>
      </c>
      <c r="O43" s="37" t="n">
        <v>7000</v>
      </c>
      <c r="P43" s="37" t="n">
        <v>7000</v>
      </c>
      <c r="Q43" s="37" t="n">
        <v>7000</v>
      </c>
      <c r="R43" s="37" t="n">
        <v>7000</v>
      </c>
      <c r="S43" s="37" t="n">
        <v>7000</v>
      </c>
      <c r="T43" s="37" t="n">
        <v>7000</v>
      </c>
      <c r="U43" s="37" t="n">
        <v>7000</v>
      </c>
      <c r="V43" s="37" t="n">
        <v>7000</v>
      </c>
      <c r="W43" s="37" t="n">
        <v>7000</v>
      </c>
      <c r="X43" s="37" t="n">
        <v>7000</v>
      </c>
      <c r="Y43" s="37" t="n">
        <v>7000</v>
      </c>
      <c r="Z43" s="17" t="n">
        <f aca="false">IFERROR(AVERAGEIF(D43:F43,"&lt;&gt;0"),"")</f>
        <v>7000</v>
      </c>
      <c r="AA43" s="17" t="n">
        <f aca="false">IFERROR(AVERAGEIF(G43:K43,"&lt;&gt;0"),"")</f>
        <v>7000</v>
      </c>
      <c r="AB43" s="17" t="n">
        <f aca="false">IFERROR(AVERAGEIF(L43:P43,"&lt;&gt;0"),"")</f>
        <v>7000</v>
      </c>
      <c r="AC43" s="17" t="n">
        <f aca="false">IFERROR(AVERAGEIF(Q43:U43,"&lt;&gt;0"),"")</f>
        <v>7000</v>
      </c>
      <c r="AD43" s="17" t="n">
        <f aca="false">IFERROR(AVERAGEIF(V43:Y43,"&lt;&gt;0"),"")</f>
        <v>7000</v>
      </c>
      <c r="AE43" s="17" t="n">
        <f aca="false">IFERROR(AVERAGEIF(D43:Y43,"&lt;&gt;0"),"")</f>
        <v>7000</v>
      </c>
    </row>
    <row r="44" customFormat="false" ht="15" hidden="false" customHeight="true" outlineLevel="0" collapsed="false">
      <c r="A44" s="5" t="n">
        <v>40</v>
      </c>
      <c r="B44" s="6" t="s">
        <v>419</v>
      </c>
      <c r="C44" s="5" t="s">
        <v>407</v>
      </c>
      <c r="D44" s="37" t="n">
        <v>5000</v>
      </c>
      <c r="E44" s="37" t="n">
        <v>5000</v>
      </c>
      <c r="F44" s="37" t="n">
        <v>0</v>
      </c>
      <c r="G44" s="37" t="n">
        <v>5000</v>
      </c>
      <c r="H44" s="37" t="n">
        <v>5000</v>
      </c>
      <c r="I44" s="37" t="n">
        <v>5000</v>
      </c>
      <c r="J44" s="37" t="n">
        <v>5000</v>
      </c>
      <c r="K44" s="37" t="n">
        <v>5000</v>
      </c>
      <c r="L44" s="37" t="n">
        <v>5000</v>
      </c>
      <c r="M44" s="37" t="n">
        <v>5000</v>
      </c>
      <c r="N44" s="37" t="n">
        <v>5000</v>
      </c>
      <c r="O44" s="37" t="n">
        <v>5000</v>
      </c>
      <c r="P44" s="37" t="n">
        <v>5000</v>
      </c>
      <c r="Q44" s="37" t="n">
        <v>5000</v>
      </c>
      <c r="R44" s="37" t="n">
        <v>5000</v>
      </c>
      <c r="S44" s="37" t="n">
        <v>5000</v>
      </c>
      <c r="T44" s="37" t="n">
        <v>5000</v>
      </c>
      <c r="U44" s="37" t="n">
        <v>5000</v>
      </c>
      <c r="V44" s="37" t="n">
        <v>5000</v>
      </c>
      <c r="W44" s="37" t="n">
        <v>5000</v>
      </c>
      <c r="X44" s="37" t="n">
        <v>5000</v>
      </c>
      <c r="Y44" s="37" t="n">
        <v>5000</v>
      </c>
      <c r="Z44" s="17" t="n">
        <f aca="false">IFERROR(AVERAGEIF(D44:F44,"&lt;&gt;0"),"")</f>
        <v>5000</v>
      </c>
      <c r="AA44" s="17" t="n">
        <f aca="false">IFERROR(AVERAGEIF(G44:K44,"&lt;&gt;0"),"")</f>
        <v>5000</v>
      </c>
      <c r="AB44" s="17" t="n">
        <f aca="false">IFERROR(AVERAGEIF(L44:P44,"&lt;&gt;0"),"")</f>
        <v>5000</v>
      </c>
      <c r="AC44" s="17" t="n">
        <f aca="false">IFERROR(AVERAGEIF(Q44:U44,"&lt;&gt;0"),"")</f>
        <v>5000</v>
      </c>
      <c r="AD44" s="17" t="n">
        <f aca="false">IFERROR(AVERAGEIF(V44:Y44,"&lt;&gt;0"),"")</f>
        <v>5000</v>
      </c>
      <c r="AE44" s="17" t="n">
        <f aca="false">IFERROR(AVERAGEIF(D44:Y44,"&lt;&gt;0"),"")</f>
        <v>5000</v>
      </c>
    </row>
    <row r="45" customFormat="false" ht="15" hidden="false" customHeight="true" outlineLevel="0" collapsed="false">
      <c r="A45" s="5" t="n">
        <v>41</v>
      </c>
      <c r="B45" s="6" t="s">
        <v>420</v>
      </c>
      <c r="C45" s="5" t="s">
        <v>457</v>
      </c>
      <c r="D45" s="37" t="n">
        <v>65000</v>
      </c>
      <c r="E45" s="37" t="n">
        <v>65000</v>
      </c>
      <c r="F45" s="37" t="n">
        <v>0</v>
      </c>
      <c r="G45" s="37" t="n">
        <v>65000</v>
      </c>
      <c r="H45" s="37" t="n">
        <v>65000</v>
      </c>
      <c r="I45" s="37" t="n">
        <v>65000</v>
      </c>
      <c r="J45" s="37" t="n">
        <v>65000</v>
      </c>
      <c r="K45" s="37" t="n">
        <v>65000</v>
      </c>
      <c r="L45" s="37" t="n">
        <v>65000</v>
      </c>
      <c r="M45" s="37" t="n">
        <v>65000</v>
      </c>
      <c r="N45" s="37" t="n">
        <v>65000</v>
      </c>
      <c r="O45" s="37" t="n">
        <v>65000</v>
      </c>
      <c r="P45" s="37" t="n">
        <v>65000</v>
      </c>
      <c r="Q45" s="37" t="n">
        <v>65000</v>
      </c>
      <c r="R45" s="37" t="n">
        <v>65000</v>
      </c>
      <c r="S45" s="37" t="n">
        <v>65000</v>
      </c>
      <c r="T45" s="37" t="n">
        <v>65000</v>
      </c>
      <c r="U45" s="37" t="n">
        <v>65000</v>
      </c>
      <c r="V45" s="37" t="n">
        <v>65000</v>
      </c>
      <c r="W45" s="37" t="n">
        <v>65000</v>
      </c>
      <c r="X45" s="37" t="n">
        <v>65000</v>
      </c>
      <c r="Y45" s="37" t="n">
        <v>65000</v>
      </c>
      <c r="Z45" s="17" t="n">
        <f aca="false">IFERROR(AVERAGEIF(D45:F45,"&lt;&gt;0"),"")</f>
        <v>65000</v>
      </c>
      <c r="AA45" s="17" t="n">
        <f aca="false">IFERROR(AVERAGEIF(G45:K45,"&lt;&gt;0"),"")</f>
        <v>65000</v>
      </c>
      <c r="AB45" s="17" t="n">
        <f aca="false">IFERROR(AVERAGEIF(L45:P45,"&lt;&gt;0"),"")</f>
        <v>65000</v>
      </c>
      <c r="AC45" s="17" t="n">
        <f aca="false">IFERROR(AVERAGEIF(Q45:U45,"&lt;&gt;0"),"")</f>
        <v>65000</v>
      </c>
      <c r="AD45" s="17" t="n">
        <f aca="false">IFERROR(AVERAGEIF(V45:Y45,"&lt;&gt;0"),"")</f>
        <v>65000</v>
      </c>
      <c r="AE45" s="17" t="n">
        <f aca="false">IFERROR(AVERAGEIF(D45:Y45,"&lt;&gt;0"),"")</f>
        <v>65000</v>
      </c>
    </row>
    <row r="46" customFormat="false" ht="15" hidden="false" customHeight="true" outlineLevel="0" collapsed="false">
      <c r="A46" s="5" t="n">
        <v>42</v>
      </c>
      <c r="B46" s="6" t="s">
        <v>421</v>
      </c>
      <c r="C46" s="5" t="s">
        <v>407</v>
      </c>
      <c r="D46" s="37" t="n">
        <v>40000</v>
      </c>
      <c r="E46" s="37" t="n">
        <v>40000</v>
      </c>
      <c r="F46" s="37" t="n">
        <v>0</v>
      </c>
      <c r="G46" s="37" t="n">
        <v>40000</v>
      </c>
      <c r="H46" s="37" t="n">
        <v>40000</v>
      </c>
      <c r="I46" s="37" t="n">
        <v>40000</v>
      </c>
      <c r="J46" s="37" t="n">
        <v>40000</v>
      </c>
      <c r="K46" s="37" t="n">
        <v>40000</v>
      </c>
      <c r="L46" s="37" t="n">
        <v>40000</v>
      </c>
      <c r="M46" s="37" t="n">
        <v>40000</v>
      </c>
      <c r="N46" s="37" t="n">
        <v>40000</v>
      </c>
      <c r="O46" s="37" t="n">
        <v>40000</v>
      </c>
      <c r="P46" s="37" t="n">
        <v>40000</v>
      </c>
      <c r="Q46" s="37" t="n">
        <v>40000</v>
      </c>
      <c r="R46" s="37" t="n">
        <v>40000</v>
      </c>
      <c r="S46" s="37" t="n">
        <v>40000</v>
      </c>
      <c r="T46" s="37" t="n">
        <v>40000</v>
      </c>
      <c r="U46" s="37" t="n">
        <v>40000</v>
      </c>
      <c r="V46" s="37" t="n">
        <v>40000</v>
      </c>
      <c r="W46" s="37" t="n">
        <v>40000</v>
      </c>
      <c r="X46" s="37" t="n">
        <v>40000</v>
      </c>
      <c r="Y46" s="37" t="n">
        <v>40000</v>
      </c>
      <c r="Z46" s="17" t="n">
        <f aca="false">IFERROR(AVERAGEIF(D46:F46,"&lt;&gt;0"),"")</f>
        <v>40000</v>
      </c>
      <c r="AA46" s="17" t="n">
        <f aca="false">IFERROR(AVERAGEIF(G46:K46,"&lt;&gt;0"),"")</f>
        <v>40000</v>
      </c>
      <c r="AB46" s="17" t="n">
        <f aca="false">IFERROR(AVERAGEIF(L46:P46,"&lt;&gt;0"),"")</f>
        <v>40000</v>
      </c>
      <c r="AC46" s="17" t="n">
        <f aca="false">IFERROR(AVERAGEIF(Q46:U46,"&lt;&gt;0"),"")</f>
        <v>40000</v>
      </c>
      <c r="AD46" s="17" t="n">
        <f aca="false">IFERROR(AVERAGEIF(V46:Y46,"&lt;&gt;0"),"")</f>
        <v>40000</v>
      </c>
      <c r="AE46" s="17" t="n">
        <f aca="false">IFERROR(AVERAGEIF(D46:Y46,"&lt;&gt;0"),"")</f>
        <v>40000</v>
      </c>
    </row>
    <row r="47" customFormat="false" ht="15" hidden="false" customHeight="true" outlineLevel="0" collapsed="false">
      <c r="A47" s="5" t="n">
        <v>43</v>
      </c>
      <c r="B47" s="6" t="s">
        <v>422</v>
      </c>
      <c r="C47" s="5" t="s">
        <v>407</v>
      </c>
      <c r="D47" s="37" t="n">
        <v>35000</v>
      </c>
      <c r="E47" s="37" t="n">
        <v>35000</v>
      </c>
      <c r="F47" s="37" t="n">
        <v>0</v>
      </c>
      <c r="G47" s="37" t="n">
        <v>35000</v>
      </c>
      <c r="H47" s="37" t="n">
        <v>35000</v>
      </c>
      <c r="I47" s="37" t="n">
        <v>31000</v>
      </c>
      <c r="J47" s="37" t="n">
        <v>31000</v>
      </c>
      <c r="K47" s="37" t="n">
        <v>31000</v>
      </c>
      <c r="L47" s="37" t="n">
        <v>31000</v>
      </c>
      <c r="M47" s="37" t="n">
        <v>31000</v>
      </c>
      <c r="N47" s="37" t="n">
        <v>31000</v>
      </c>
      <c r="O47" s="37" t="n">
        <v>31000</v>
      </c>
      <c r="P47" s="37" t="n">
        <v>31000</v>
      </c>
      <c r="Q47" s="37" t="n">
        <v>31000</v>
      </c>
      <c r="R47" s="37" t="n">
        <v>31000</v>
      </c>
      <c r="S47" s="37" t="n">
        <v>31000</v>
      </c>
      <c r="T47" s="37" t="n">
        <v>31000</v>
      </c>
      <c r="U47" s="37" t="n">
        <v>31000</v>
      </c>
      <c r="V47" s="37" t="n">
        <v>31000</v>
      </c>
      <c r="W47" s="37" t="n">
        <v>31000</v>
      </c>
      <c r="X47" s="37" t="n">
        <v>31000</v>
      </c>
      <c r="Y47" s="37" t="n">
        <v>30000</v>
      </c>
      <c r="Z47" s="17" t="n">
        <f aca="false">IFERROR(AVERAGEIF(D47:F47,"&lt;&gt;0"),"")</f>
        <v>35000</v>
      </c>
      <c r="AA47" s="17" t="n">
        <f aca="false">IFERROR(AVERAGEIF(G47:K47,"&lt;&gt;0"),"")</f>
        <v>32600</v>
      </c>
      <c r="AB47" s="17" t="n">
        <f aca="false">IFERROR(AVERAGEIF(L47:P47,"&lt;&gt;0"),"")</f>
        <v>31000</v>
      </c>
      <c r="AC47" s="17" t="n">
        <f aca="false">IFERROR(AVERAGEIF(Q47:U47,"&lt;&gt;0"),"")</f>
        <v>31000</v>
      </c>
      <c r="AD47" s="17" t="n">
        <f aca="false">IFERROR(AVERAGEIF(V47:Y47,"&lt;&gt;0"),"")</f>
        <v>30750</v>
      </c>
      <c r="AE47" s="17" t="n">
        <f aca="false">IFERROR(AVERAGEIF(D47:Y47,"&lt;&gt;0"),"")</f>
        <v>31714.2857142857</v>
      </c>
    </row>
    <row r="48" customFormat="false" ht="15" hidden="false" customHeight="true" outlineLevel="0" collapsed="false">
      <c r="A48" s="5" t="n">
        <v>44</v>
      </c>
      <c r="B48" s="6" t="s">
        <v>423</v>
      </c>
      <c r="C48" s="5" t="s">
        <v>407</v>
      </c>
      <c r="D48" s="37" t="n">
        <v>28000</v>
      </c>
      <c r="E48" s="37" t="n">
        <v>28000</v>
      </c>
      <c r="F48" s="37" t="n">
        <v>0</v>
      </c>
      <c r="G48" s="37" t="n">
        <v>28000</v>
      </c>
      <c r="H48" s="37" t="n">
        <v>28000</v>
      </c>
      <c r="I48" s="37" t="n">
        <v>28000</v>
      </c>
      <c r="J48" s="37" t="n">
        <v>28000</v>
      </c>
      <c r="K48" s="37" t="n">
        <v>28000</v>
      </c>
      <c r="L48" s="37" t="n">
        <v>28000</v>
      </c>
      <c r="M48" s="37" t="n">
        <v>28000</v>
      </c>
      <c r="N48" s="37" t="n">
        <v>28000</v>
      </c>
      <c r="O48" s="37" t="n">
        <v>28000</v>
      </c>
      <c r="P48" s="37" t="n">
        <v>28000</v>
      </c>
      <c r="Q48" s="37" t="n">
        <v>28000</v>
      </c>
      <c r="R48" s="37" t="n">
        <v>28000</v>
      </c>
      <c r="S48" s="37" t="n">
        <v>28000</v>
      </c>
      <c r="T48" s="37" t="n">
        <v>28000</v>
      </c>
      <c r="U48" s="37" t="n">
        <v>28000</v>
      </c>
      <c r="V48" s="37" t="n">
        <v>28000</v>
      </c>
      <c r="W48" s="37" t="n">
        <v>28000</v>
      </c>
      <c r="X48" s="37" t="n">
        <v>28000</v>
      </c>
      <c r="Y48" s="37" t="n">
        <v>28000</v>
      </c>
      <c r="Z48" s="17" t="n">
        <f aca="false">IFERROR(AVERAGEIF(D48:F48,"&lt;&gt;0"),"")</f>
        <v>28000</v>
      </c>
      <c r="AA48" s="17" t="n">
        <f aca="false">IFERROR(AVERAGEIF(G48:K48,"&lt;&gt;0"),"")</f>
        <v>28000</v>
      </c>
      <c r="AB48" s="17" t="n">
        <f aca="false">IFERROR(AVERAGEIF(L48:P48,"&lt;&gt;0"),"")</f>
        <v>28000</v>
      </c>
      <c r="AC48" s="17" t="n">
        <f aca="false">IFERROR(AVERAGEIF(Q48:U48,"&lt;&gt;0"),"")</f>
        <v>28000</v>
      </c>
      <c r="AD48" s="17" t="n">
        <f aca="false">IFERROR(AVERAGEIF(V48:Y48,"&lt;&gt;0"),"")</f>
        <v>28000</v>
      </c>
      <c r="AE48" s="17" t="n">
        <f aca="false">IFERROR(AVERAGEIF(D48:Y48,"&lt;&gt;0"),"")</f>
        <v>28000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6"/>
    <col collapsed="false" customWidth="true" hidden="false" outlineLevel="0" max="24" min="4" style="1" width="11"/>
    <col collapsed="false" customWidth="true" hidden="false" outlineLevel="0" max="29" min="25" style="1" width="13"/>
    <col collapsed="false" customWidth="true" hidden="false" outlineLevel="0" max="30" min="30" style="1" width="14"/>
  </cols>
  <sheetData>
    <row r="1" customFormat="false" ht="26.25" hidden="false" customHeight="true" outlineLevel="0" collapsed="false">
      <c r="A1" s="2" t="s">
        <v>538</v>
      </c>
      <c r="B1" s="2"/>
      <c r="C1" s="2"/>
      <c r="D1" s="2"/>
    </row>
    <row r="2" customFormat="false" ht="18.75" hidden="false" customHeight="true" outlineLevel="0" collapsed="false">
      <c r="A2" s="12" t="s">
        <v>375</v>
      </c>
      <c r="B2" s="12"/>
      <c r="C2" s="12"/>
      <c r="D2" s="12"/>
    </row>
    <row r="4" customFormat="false" ht="25.5" hidden="false" customHeight="true" outlineLevel="0" collapsed="false">
      <c r="A4" s="3" t="s">
        <v>1</v>
      </c>
      <c r="B4" s="3" t="s">
        <v>376</v>
      </c>
      <c r="C4" s="3" t="s">
        <v>377</v>
      </c>
      <c r="D4" s="3" t="s">
        <v>539</v>
      </c>
      <c r="E4" s="3" t="s">
        <v>540</v>
      </c>
      <c r="F4" s="3" t="s">
        <v>541</v>
      </c>
      <c r="G4" s="3" t="s">
        <v>542</v>
      </c>
      <c r="H4" s="3" t="s">
        <v>543</v>
      </c>
      <c r="I4" s="3" t="s">
        <v>544</v>
      </c>
      <c r="J4" s="3" t="s">
        <v>545</v>
      </c>
      <c r="K4" s="3" t="s">
        <v>546</v>
      </c>
      <c r="L4" s="3" t="s">
        <v>547</v>
      </c>
      <c r="M4" s="3" t="s">
        <v>548</v>
      </c>
      <c r="N4" s="3" t="s">
        <v>549</v>
      </c>
      <c r="O4" s="3" t="s">
        <v>550</v>
      </c>
      <c r="P4" s="3" t="s">
        <v>551</v>
      </c>
      <c r="Q4" s="3" t="s">
        <v>552</v>
      </c>
      <c r="R4" s="3" t="s">
        <v>553</v>
      </c>
      <c r="S4" s="3" t="s">
        <v>554</v>
      </c>
      <c r="T4" s="3" t="s">
        <v>555</v>
      </c>
      <c r="U4" s="3" t="s">
        <v>556</v>
      </c>
      <c r="V4" s="3" t="s">
        <v>557</v>
      </c>
      <c r="W4" s="3" t="s">
        <v>558</v>
      </c>
      <c r="X4" s="3" t="s">
        <v>559</v>
      </c>
      <c r="Y4" s="35" t="s">
        <v>560</v>
      </c>
      <c r="Z4" s="35" t="s">
        <v>561</v>
      </c>
      <c r="AA4" s="35" t="s">
        <v>562</v>
      </c>
      <c r="AB4" s="35" t="s">
        <v>563</v>
      </c>
      <c r="AC4" s="35" t="s">
        <v>564</v>
      </c>
      <c r="AD4" s="36" t="s">
        <v>565</v>
      </c>
    </row>
    <row r="5" customFormat="false" ht="15" hidden="false" customHeight="true" outlineLevel="0" collapsed="false">
      <c r="A5" s="5" t="n">
        <v>1</v>
      </c>
      <c r="B5" s="6" t="s">
        <v>334</v>
      </c>
      <c r="C5" s="5" t="s">
        <v>407</v>
      </c>
      <c r="D5" s="37" t="n">
        <v>0</v>
      </c>
      <c r="E5" s="37" t="n">
        <v>13500</v>
      </c>
      <c r="F5" s="37" t="n">
        <v>13500</v>
      </c>
      <c r="G5" s="37" t="n">
        <v>13500</v>
      </c>
      <c r="H5" s="37" t="n">
        <v>13500</v>
      </c>
      <c r="I5" s="37" t="n">
        <v>13500</v>
      </c>
      <c r="J5" s="37" t="n">
        <v>13450</v>
      </c>
      <c r="K5" s="37" t="n">
        <v>13450</v>
      </c>
      <c r="L5" s="37" t="n">
        <v>13450</v>
      </c>
      <c r="M5" s="37" t="n">
        <v>0</v>
      </c>
      <c r="N5" s="37" t="n">
        <v>0</v>
      </c>
      <c r="O5" s="37" t="n">
        <v>13450</v>
      </c>
      <c r="P5" s="37" t="n">
        <v>13450</v>
      </c>
      <c r="Q5" s="37" t="n">
        <v>13450</v>
      </c>
      <c r="R5" s="37" t="n">
        <v>13400</v>
      </c>
      <c r="S5" s="37" t="n">
        <v>13400</v>
      </c>
      <c r="T5" s="37" t="n">
        <v>13300</v>
      </c>
      <c r="U5" s="37" t="n">
        <v>13200</v>
      </c>
      <c r="V5" s="37" t="n">
        <v>0</v>
      </c>
      <c r="W5" s="37" t="n">
        <v>0</v>
      </c>
      <c r="X5" s="37" t="n">
        <v>12900</v>
      </c>
      <c r="Y5" s="17" t="str">
        <f aca="false">IFERROR(AVERAGEIF(D5:D5,"&lt;&gt;0"),"")</f>
        <v/>
      </c>
      <c r="Z5" s="17" t="n">
        <f aca="false">IFERROR(AVERAGEIF(E5:I5,"&lt;&gt;0"),"")</f>
        <v>13500</v>
      </c>
      <c r="AA5" s="17" t="n">
        <f aca="false">IFERROR(AVERAGEIF(J5:N5,"&lt;&gt;0"),"")</f>
        <v>13450</v>
      </c>
      <c r="AB5" s="17" t="n">
        <f aca="false">IFERROR(AVERAGEIF(O5:S5,"&lt;&gt;0"),"")</f>
        <v>13430</v>
      </c>
      <c r="AC5" s="17" t="n">
        <f aca="false">IFERROR(AVERAGEIF(T5:X5,"&lt;&gt;0"),"")</f>
        <v>13133.3333333333</v>
      </c>
      <c r="AD5" s="17" t="n">
        <f aca="false">IFERROR(AVERAGEIF(D5:X5,"&lt;&gt;0"),"")</f>
        <v>13400</v>
      </c>
    </row>
    <row r="6" customFormat="false" ht="15" hidden="false" customHeight="true" outlineLevel="0" collapsed="false">
      <c r="A6" s="5" t="n">
        <v>2</v>
      </c>
      <c r="B6" s="6" t="s">
        <v>335</v>
      </c>
      <c r="C6" s="5" t="s">
        <v>407</v>
      </c>
      <c r="D6" s="37" t="n">
        <v>0</v>
      </c>
      <c r="E6" s="37" t="n">
        <v>14900</v>
      </c>
      <c r="F6" s="37" t="n">
        <v>14900</v>
      </c>
      <c r="G6" s="37" t="n">
        <v>14900</v>
      </c>
      <c r="H6" s="37" t="n">
        <v>14900</v>
      </c>
      <c r="I6" s="37" t="n">
        <v>14900</v>
      </c>
      <c r="J6" s="37" t="n">
        <v>14875</v>
      </c>
      <c r="K6" s="37" t="n">
        <v>14875</v>
      </c>
      <c r="L6" s="37" t="n">
        <v>14875</v>
      </c>
      <c r="M6" s="37" t="n">
        <v>0</v>
      </c>
      <c r="N6" s="37" t="n">
        <v>0</v>
      </c>
      <c r="O6" s="37" t="n">
        <v>14850</v>
      </c>
      <c r="P6" s="37" t="n">
        <v>14850</v>
      </c>
      <c r="Q6" s="37" t="n">
        <v>14850</v>
      </c>
      <c r="R6" s="37" t="n">
        <v>14800</v>
      </c>
      <c r="S6" s="37" t="n">
        <v>14800</v>
      </c>
      <c r="T6" s="37" t="n">
        <v>14700</v>
      </c>
      <c r="U6" s="37" t="n">
        <v>14700</v>
      </c>
      <c r="V6" s="37" t="n">
        <v>0</v>
      </c>
      <c r="W6" s="37" t="n">
        <v>0</v>
      </c>
      <c r="X6" s="37" t="n">
        <v>14500</v>
      </c>
      <c r="Y6" s="17" t="str">
        <f aca="false">IFERROR(AVERAGEIF(D6:D6,"&lt;&gt;0"),"")</f>
        <v/>
      </c>
      <c r="Z6" s="17" t="n">
        <f aca="false">IFERROR(AVERAGEIF(E6:I6,"&lt;&gt;0"),"")</f>
        <v>14900</v>
      </c>
      <c r="AA6" s="17" t="n">
        <f aca="false">IFERROR(AVERAGEIF(J6:N6,"&lt;&gt;0"),"")</f>
        <v>14875</v>
      </c>
      <c r="AB6" s="17" t="n">
        <f aca="false">IFERROR(AVERAGEIF(O6:S6,"&lt;&gt;0"),"")</f>
        <v>14830</v>
      </c>
      <c r="AC6" s="17" t="n">
        <f aca="false">IFERROR(AVERAGEIF(T6:X6,"&lt;&gt;0"),"")</f>
        <v>14633.3333333333</v>
      </c>
      <c r="AD6" s="17" t="n">
        <f aca="false">IFERROR(AVERAGEIF(D6:X6,"&lt;&gt;0"),"")</f>
        <v>14823.4375</v>
      </c>
    </row>
    <row r="7" customFormat="false" ht="15" hidden="false" customHeight="true" outlineLevel="0" collapsed="false">
      <c r="A7" s="5" t="n">
        <v>3</v>
      </c>
      <c r="B7" s="6" t="s">
        <v>336</v>
      </c>
      <c r="C7" s="5" t="s">
        <v>407</v>
      </c>
      <c r="D7" s="37" t="n">
        <v>0</v>
      </c>
      <c r="E7" s="37" t="n">
        <v>12500</v>
      </c>
      <c r="F7" s="37" t="n">
        <v>12500</v>
      </c>
      <c r="G7" s="37" t="n">
        <v>12500</v>
      </c>
      <c r="H7" s="37" t="n">
        <v>12500</v>
      </c>
      <c r="I7" s="37" t="n">
        <v>12500</v>
      </c>
      <c r="J7" s="37" t="n">
        <v>12500</v>
      </c>
      <c r="K7" s="37" t="n">
        <v>12500</v>
      </c>
      <c r="L7" s="37" t="n">
        <v>12500</v>
      </c>
      <c r="M7" s="37" t="n">
        <v>0</v>
      </c>
      <c r="N7" s="37" t="n">
        <v>0</v>
      </c>
      <c r="O7" s="37" t="n">
        <v>12500</v>
      </c>
      <c r="P7" s="37" t="n">
        <v>12500</v>
      </c>
      <c r="Q7" s="37" t="n">
        <v>12500</v>
      </c>
      <c r="R7" s="37" t="n">
        <v>12500</v>
      </c>
      <c r="S7" s="37" t="n">
        <v>12500</v>
      </c>
      <c r="T7" s="37" t="n">
        <v>12000</v>
      </c>
      <c r="U7" s="37" t="n">
        <v>12000</v>
      </c>
      <c r="V7" s="37" t="n">
        <v>0</v>
      </c>
      <c r="W7" s="37" t="n">
        <v>0</v>
      </c>
      <c r="X7" s="37" t="n">
        <v>11800</v>
      </c>
      <c r="Y7" s="17" t="str">
        <f aca="false">IFERROR(AVERAGEIF(D7:D7,"&lt;&gt;0"),"")</f>
        <v/>
      </c>
      <c r="Z7" s="17" t="n">
        <f aca="false">IFERROR(AVERAGEIF(E7:I7,"&lt;&gt;0"),"")</f>
        <v>12500</v>
      </c>
      <c r="AA7" s="17" t="n">
        <f aca="false">IFERROR(AVERAGEIF(J7:N7,"&lt;&gt;0"),"")</f>
        <v>12500</v>
      </c>
      <c r="AB7" s="17" t="n">
        <f aca="false">IFERROR(AVERAGEIF(O7:S7,"&lt;&gt;0"),"")</f>
        <v>12500</v>
      </c>
      <c r="AC7" s="17" t="n">
        <f aca="false">IFERROR(AVERAGEIF(T7:X7,"&lt;&gt;0"),"")</f>
        <v>11933.3333333333</v>
      </c>
      <c r="AD7" s="17" t="n">
        <f aca="false">IFERROR(AVERAGEIF(D7:X7,"&lt;&gt;0"),"")</f>
        <v>12393.75</v>
      </c>
    </row>
    <row r="8" customFormat="false" ht="15" hidden="false" customHeight="true" outlineLevel="0" collapsed="false">
      <c r="A8" s="5" t="n">
        <v>4</v>
      </c>
      <c r="B8" s="6" t="s">
        <v>408</v>
      </c>
      <c r="C8" s="5" t="s">
        <v>407</v>
      </c>
      <c r="D8" s="37" t="n">
        <v>0</v>
      </c>
      <c r="E8" s="37" t="n">
        <v>11000</v>
      </c>
      <c r="F8" s="37" t="n">
        <v>11000</v>
      </c>
      <c r="G8" s="37" t="n">
        <v>11000</v>
      </c>
      <c r="H8" s="37" t="n">
        <v>11000</v>
      </c>
      <c r="I8" s="37" t="n">
        <v>11000</v>
      </c>
      <c r="J8" s="37" t="n">
        <v>11000</v>
      </c>
      <c r="K8" s="37" t="n">
        <v>11000</v>
      </c>
      <c r="L8" s="37" t="n">
        <v>11000</v>
      </c>
      <c r="M8" s="37" t="n">
        <v>0</v>
      </c>
      <c r="N8" s="37" t="n">
        <v>0</v>
      </c>
      <c r="O8" s="37" t="n">
        <v>11000</v>
      </c>
      <c r="P8" s="37" t="n">
        <v>11000</v>
      </c>
      <c r="Q8" s="37" t="n">
        <v>11000</v>
      </c>
      <c r="R8" s="37" t="n">
        <v>11000</v>
      </c>
      <c r="S8" s="37" t="n">
        <v>11000</v>
      </c>
      <c r="T8" s="37" t="n">
        <v>11000</v>
      </c>
      <c r="U8" s="37" t="n">
        <v>11000</v>
      </c>
      <c r="V8" s="37" t="n">
        <v>0</v>
      </c>
      <c r="W8" s="37" t="n">
        <v>0</v>
      </c>
      <c r="X8" s="37" t="n">
        <v>11000</v>
      </c>
      <c r="Y8" s="17" t="str">
        <f aca="false">IFERROR(AVERAGEIF(D8:D8,"&lt;&gt;0"),"")</f>
        <v/>
      </c>
      <c r="Z8" s="17" t="n">
        <f aca="false">IFERROR(AVERAGEIF(E8:I8,"&lt;&gt;0"),"")</f>
        <v>11000</v>
      </c>
      <c r="AA8" s="17" t="n">
        <f aca="false">IFERROR(AVERAGEIF(J8:N8,"&lt;&gt;0"),"")</f>
        <v>11000</v>
      </c>
      <c r="AB8" s="17" t="n">
        <f aca="false">IFERROR(AVERAGEIF(O8:S8,"&lt;&gt;0"),"")</f>
        <v>11000</v>
      </c>
      <c r="AC8" s="17" t="n">
        <f aca="false">IFERROR(AVERAGEIF(T8:X8,"&lt;&gt;0"),"")</f>
        <v>11000</v>
      </c>
      <c r="AD8" s="17" t="n">
        <f aca="false">IFERROR(AVERAGEIF(D8:X8,"&lt;&gt;0"),"")</f>
        <v>11000</v>
      </c>
    </row>
    <row r="9" customFormat="false" ht="15" hidden="false" customHeight="true" outlineLevel="0" collapsed="false">
      <c r="A9" s="5" t="n">
        <v>5</v>
      </c>
      <c r="B9" s="6" t="s">
        <v>360</v>
      </c>
      <c r="C9" s="5" t="s">
        <v>407</v>
      </c>
      <c r="D9" s="37" t="n">
        <v>0</v>
      </c>
      <c r="E9" s="37" t="n">
        <v>35000</v>
      </c>
      <c r="F9" s="37" t="n">
        <v>35000</v>
      </c>
      <c r="G9" s="37" t="n">
        <v>35000</v>
      </c>
      <c r="H9" s="37" t="n">
        <v>35000</v>
      </c>
      <c r="I9" s="37" t="n">
        <v>35000</v>
      </c>
      <c r="J9" s="37" t="n">
        <v>40000</v>
      </c>
      <c r="K9" s="37" t="n">
        <v>40000</v>
      </c>
      <c r="L9" s="37" t="n">
        <v>42000</v>
      </c>
      <c r="M9" s="37" t="n">
        <v>0</v>
      </c>
      <c r="N9" s="37" t="n">
        <v>0</v>
      </c>
      <c r="O9" s="37" t="n">
        <v>42000</v>
      </c>
      <c r="P9" s="37" t="n">
        <v>42000</v>
      </c>
      <c r="Q9" s="37" t="n">
        <v>42000</v>
      </c>
      <c r="R9" s="37" t="n">
        <v>42000</v>
      </c>
      <c r="S9" s="37" t="n">
        <v>45000</v>
      </c>
      <c r="T9" s="37" t="n">
        <v>46000</v>
      </c>
      <c r="U9" s="37" t="n">
        <v>46000</v>
      </c>
      <c r="V9" s="37" t="n">
        <v>0</v>
      </c>
      <c r="W9" s="37" t="n">
        <v>0</v>
      </c>
      <c r="X9" s="37" t="n">
        <v>46000</v>
      </c>
      <c r="Y9" s="17" t="str">
        <f aca="false">IFERROR(AVERAGEIF(D9:D9,"&lt;&gt;0"),"")</f>
        <v/>
      </c>
      <c r="Z9" s="17" t="n">
        <f aca="false">IFERROR(AVERAGEIF(E9:I9,"&lt;&gt;0"),"")</f>
        <v>35000</v>
      </c>
      <c r="AA9" s="17" t="n">
        <f aca="false">IFERROR(AVERAGEIF(J9:N9,"&lt;&gt;0"),"")</f>
        <v>40666.6666666667</v>
      </c>
      <c r="AB9" s="17" t="n">
        <f aca="false">IFERROR(AVERAGEIF(O9:S9,"&lt;&gt;0"),"")</f>
        <v>42600</v>
      </c>
      <c r="AC9" s="17" t="n">
        <f aca="false">IFERROR(AVERAGEIF(T9:X9,"&lt;&gt;0"),"")</f>
        <v>46000</v>
      </c>
      <c r="AD9" s="17" t="n">
        <f aca="false">IFERROR(AVERAGEIF(D9:X9,"&lt;&gt;0"),"")</f>
        <v>40500</v>
      </c>
    </row>
    <row r="10" customFormat="false" ht="15" hidden="false" customHeight="true" outlineLevel="0" collapsed="false">
      <c r="A10" s="5" t="n">
        <v>6</v>
      </c>
      <c r="B10" s="6" t="s">
        <v>361</v>
      </c>
      <c r="C10" s="5" t="s">
        <v>407</v>
      </c>
      <c r="D10" s="37" t="n">
        <v>0</v>
      </c>
      <c r="E10" s="37" t="n">
        <v>40000</v>
      </c>
      <c r="F10" s="37" t="n">
        <v>40000</v>
      </c>
      <c r="G10" s="37" t="n">
        <v>40000</v>
      </c>
      <c r="H10" s="37" t="n">
        <v>40000</v>
      </c>
      <c r="I10" s="37" t="n">
        <v>40000</v>
      </c>
      <c r="J10" s="37" t="n">
        <v>46000</v>
      </c>
      <c r="K10" s="37" t="n">
        <v>46000</v>
      </c>
      <c r="L10" s="37" t="n">
        <v>48000</v>
      </c>
      <c r="M10" s="37" t="n">
        <v>0</v>
      </c>
      <c r="N10" s="37" t="n">
        <v>0</v>
      </c>
      <c r="O10" s="37" t="n">
        <v>46000</v>
      </c>
      <c r="P10" s="37" t="n">
        <v>46000</v>
      </c>
      <c r="Q10" s="37" t="n">
        <v>46000</v>
      </c>
      <c r="R10" s="37" t="n">
        <v>46000</v>
      </c>
      <c r="S10" s="37" t="n">
        <v>50000</v>
      </c>
      <c r="T10" s="37" t="n">
        <v>51000</v>
      </c>
      <c r="U10" s="37" t="n">
        <v>51000</v>
      </c>
      <c r="V10" s="37" t="n">
        <v>0</v>
      </c>
      <c r="W10" s="37" t="n">
        <v>0</v>
      </c>
      <c r="X10" s="37" t="n">
        <v>50000</v>
      </c>
      <c r="Y10" s="17" t="str">
        <f aca="false">IFERROR(AVERAGEIF(D10:D10,"&lt;&gt;0"),"")</f>
        <v/>
      </c>
      <c r="Z10" s="17" t="n">
        <f aca="false">IFERROR(AVERAGEIF(E10:I10,"&lt;&gt;0"),"")</f>
        <v>40000</v>
      </c>
      <c r="AA10" s="17" t="n">
        <f aca="false">IFERROR(AVERAGEIF(J10:N10,"&lt;&gt;0"),"")</f>
        <v>46666.6666666667</v>
      </c>
      <c r="AB10" s="17" t="n">
        <f aca="false">IFERROR(AVERAGEIF(O10:S10,"&lt;&gt;0"),"")</f>
        <v>46800</v>
      </c>
      <c r="AC10" s="17" t="n">
        <f aca="false">IFERROR(AVERAGEIF(T10:X10,"&lt;&gt;0"),"")</f>
        <v>50666.6666666667</v>
      </c>
      <c r="AD10" s="17" t="n">
        <f aca="false">IFERROR(AVERAGEIF(D10:X10,"&lt;&gt;0"),"")</f>
        <v>45375</v>
      </c>
    </row>
    <row r="11" customFormat="false" ht="15" hidden="false" customHeight="true" outlineLevel="0" collapsed="false">
      <c r="A11" s="5" t="n">
        <v>7</v>
      </c>
      <c r="B11" s="6" t="s">
        <v>347</v>
      </c>
      <c r="C11" s="5" t="s">
        <v>407</v>
      </c>
      <c r="D11" s="37" t="n">
        <v>0</v>
      </c>
      <c r="E11" s="37" t="n">
        <v>65000</v>
      </c>
      <c r="F11" s="37" t="n">
        <v>65000</v>
      </c>
      <c r="G11" s="37" t="n">
        <v>65000</v>
      </c>
      <c r="H11" s="37" t="n">
        <v>65000</v>
      </c>
      <c r="I11" s="37" t="n">
        <v>65000</v>
      </c>
      <c r="J11" s="37" t="n">
        <v>75000</v>
      </c>
      <c r="K11" s="37" t="n">
        <v>75000</v>
      </c>
      <c r="L11" s="37" t="n">
        <v>70000</v>
      </c>
      <c r="M11" s="37" t="n">
        <v>0</v>
      </c>
      <c r="N11" s="37" t="n">
        <v>0</v>
      </c>
      <c r="O11" s="37" t="n">
        <v>79000</v>
      </c>
      <c r="P11" s="37" t="n">
        <v>79000</v>
      </c>
      <c r="Q11" s="37" t="n">
        <v>79000</v>
      </c>
      <c r="R11" s="37" t="n">
        <v>71000</v>
      </c>
      <c r="S11" s="37" t="n">
        <v>80000</v>
      </c>
      <c r="T11" s="37" t="n">
        <v>74000</v>
      </c>
      <c r="U11" s="37" t="n">
        <v>73000</v>
      </c>
      <c r="V11" s="37" t="n">
        <v>0</v>
      </c>
      <c r="W11" s="37" t="n">
        <v>0</v>
      </c>
      <c r="X11" s="37" t="n">
        <v>70000</v>
      </c>
      <c r="Y11" s="17" t="str">
        <f aca="false">IFERROR(AVERAGEIF(D11:D11,"&lt;&gt;0"),"")</f>
        <v/>
      </c>
      <c r="Z11" s="17" t="n">
        <f aca="false">IFERROR(AVERAGEIF(E11:I11,"&lt;&gt;0"),"")</f>
        <v>65000</v>
      </c>
      <c r="AA11" s="17" t="n">
        <f aca="false">IFERROR(AVERAGEIF(J11:N11,"&lt;&gt;0"),"")</f>
        <v>73333.3333333333</v>
      </c>
      <c r="AB11" s="17" t="n">
        <f aca="false">IFERROR(AVERAGEIF(O11:S11,"&lt;&gt;0"),"")</f>
        <v>77600</v>
      </c>
      <c r="AC11" s="17" t="n">
        <f aca="false">IFERROR(AVERAGEIF(T11:X11,"&lt;&gt;0"),"")</f>
        <v>72333.3333333333</v>
      </c>
      <c r="AD11" s="17" t="n">
        <f aca="false">IFERROR(AVERAGEIF(D11:X11,"&lt;&gt;0"),"")</f>
        <v>71875</v>
      </c>
    </row>
    <row r="12" customFormat="false" ht="15" hidden="false" customHeight="true" outlineLevel="0" collapsed="false">
      <c r="A12" s="5" t="n">
        <v>8</v>
      </c>
      <c r="B12" s="6" t="s">
        <v>354</v>
      </c>
      <c r="C12" s="5" t="s">
        <v>407</v>
      </c>
      <c r="D12" s="37" t="n">
        <v>0</v>
      </c>
      <c r="E12" s="37" t="n">
        <v>37000</v>
      </c>
      <c r="F12" s="37" t="n">
        <v>37000</v>
      </c>
      <c r="G12" s="37" t="n">
        <v>37000</v>
      </c>
      <c r="H12" s="37" t="n">
        <v>37000</v>
      </c>
      <c r="I12" s="37" t="n">
        <v>37000</v>
      </c>
      <c r="J12" s="37" t="n">
        <v>36000</v>
      </c>
      <c r="K12" s="37" t="n">
        <v>36000</v>
      </c>
      <c r="L12" s="37" t="n">
        <v>36000</v>
      </c>
      <c r="M12" s="37" t="n">
        <v>0</v>
      </c>
      <c r="N12" s="37" t="n">
        <v>0</v>
      </c>
      <c r="O12" s="37" t="n">
        <v>36000</v>
      </c>
      <c r="P12" s="37" t="n">
        <v>36000</v>
      </c>
      <c r="Q12" s="37" t="n">
        <v>36000</v>
      </c>
      <c r="R12" s="37" t="n">
        <v>40000</v>
      </c>
      <c r="S12" s="37" t="n">
        <v>40000</v>
      </c>
      <c r="T12" s="37" t="n">
        <v>39000</v>
      </c>
      <c r="U12" s="37" t="n">
        <v>38000</v>
      </c>
      <c r="V12" s="37" t="n">
        <v>0</v>
      </c>
      <c r="W12" s="37" t="n">
        <v>0</v>
      </c>
      <c r="X12" s="37" t="n">
        <v>35000</v>
      </c>
      <c r="Y12" s="17" t="str">
        <f aca="false">IFERROR(AVERAGEIF(D12:D12,"&lt;&gt;0"),"")</f>
        <v/>
      </c>
      <c r="Z12" s="17" t="n">
        <f aca="false">IFERROR(AVERAGEIF(E12:I12,"&lt;&gt;0"),"")</f>
        <v>37000</v>
      </c>
      <c r="AA12" s="17" t="n">
        <f aca="false">IFERROR(AVERAGEIF(J12:N12,"&lt;&gt;0"),"")</f>
        <v>36000</v>
      </c>
      <c r="AB12" s="17" t="n">
        <f aca="false">IFERROR(AVERAGEIF(O12:S12,"&lt;&gt;0"),"")</f>
        <v>37600</v>
      </c>
      <c r="AC12" s="17" t="n">
        <f aca="false">IFERROR(AVERAGEIF(T12:X12,"&lt;&gt;0"),"")</f>
        <v>37333.3333333333</v>
      </c>
      <c r="AD12" s="17" t="n">
        <f aca="false">IFERROR(AVERAGEIF(D12:X12,"&lt;&gt;0"),"")</f>
        <v>37062.5</v>
      </c>
    </row>
    <row r="13" customFormat="false" ht="15" hidden="false" customHeight="true" outlineLevel="0" collapsed="false">
      <c r="A13" s="5" t="n">
        <v>9</v>
      </c>
      <c r="B13" s="6" t="s">
        <v>349</v>
      </c>
      <c r="C13" s="5" t="s">
        <v>407</v>
      </c>
      <c r="D13" s="37" t="n">
        <v>0</v>
      </c>
      <c r="E13" s="37" t="n">
        <v>16500</v>
      </c>
      <c r="F13" s="37" t="n">
        <v>16500</v>
      </c>
      <c r="G13" s="37" t="n">
        <v>16500</v>
      </c>
      <c r="H13" s="37" t="n">
        <v>16500</v>
      </c>
      <c r="I13" s="37" t="n">
        <v>16500</v>
      </c>
      <c r="J13" s="37" t="n">
        <v>16500</v>
      </c>
      <c r="K13" s="37" t="n">
        <v>16500</v>
      </c>
      <c r="L13" s="37" t="n">
        <v>16500</v>
      </c>
      <c r="M13" s="37" t="n">
        <v>0</v>
      </c>
      <c r="N13" s="37" t="n">
        <v>0</v>
      </c>
      <c r="O13" s="37" t="n">
        <v>16500</v>
      </c>
      <c r="P13" s="37" t="n">
        <v>16500</v>
      </c>
      <c r="Q13" s="37" t="n">
        <v>16500</v>
      </c>
      <c r="R13" s="37" t="n">
        <v>16500</v>
      </c>
      <c r="S13" s="37" t="n">
        <v>16500</v>
      </c>
      <c r="T13" s="37" t="n">
        <v>16500</v>
      </c>
      <c r="U13" s="37" t="n">
        <v>16500</v>
      </c>
      <c r="V13" s="37" t="n">
        <v>0</v>
      </c>
      <c r="W13" s="37" t="n">
        <v>0</v>
      </c>
      <c r="X13" s="37" t="n">
        <v>16500</v>
      </c>
      <c r="Y13" s="17" t="str">
        <f aca="false">IFERROR(AVERAGEIF(D13:D13,"&lt;&gt;0"),"")</f>
        <v/>
      </c>
      <c r="Z13" s="17" t="n">
        <f aca="false">IFERROR(AVERAGEIF(E13:I13,"&lt;&gt;0"),"")</f>
        <v>16500</v>
      </c>
      <c r="AA13" s="17" t="n">
        <f aca="false">IFERROR(AVERAGEIF(J13:N13,"&lt;&gt;0"),"")</f>
        <v>16500</v>
      </c>
      <c r="AB13" s="17" t="n">
        <f aca="false">IFERROR(AVERAGEIF(O13:S13,"&lt;&gt;0"),"")</f>
        <v>16500</v>
      </c>
      <c r="AC13" s="17" t="n">
        <f aca="false">IFERROR(AVERAGEIF(T13:X13,"&lt;&gt;0"),"")</f>
        <v>16500</v>
      </c>
      <c r="AD13" s="17" t="n">
        <f aca="false">IFERROR(AVERAGEIF(D13:X13,"&lt;&gt;0"),"")</f>
        <v>16500</v>
      </c>
    </row>
    <row r="14" customFormat="false" ht="15" hidden="false" customHeight="true" outlineLevel="0" collapsed="false">
      <c r="A14" s="5" t="n">
        <v>10</v>
      </c>
      <c r="B14" s="6" t="s">
        <v>340</v>
      </c>
      <c r="C14" s="5" t="s">
        <v>453</v>
      </c>
      <c r="D14" s="37" t="n">
        <v>0</v>
      </c>
      <c r="E14" s="37" t="n">
        <v>18900</v>
      </c>
      <c r="F14" s="37" t="n">
        <v>18900</v>
      </c>
      <c r="G14" s="37" t="n">
        <v>18900</v>
      </c>
      <c r="H14" s="37" t="n">
        <v>18900</v>
      </c>
      <c r="I14" s="37" t="n">
        <v>18900</v>
      </c>
      <c r="J14" s="37" t="n">
        <v>18900</v>
      </c>
      <c r="K14" s="37" t="n">
        <v>18900</v>
      </c>
      <c r="L14" s="37" t="n">
        <v>18900</v>
      </c>
      <c r="M14" s="37" t="n">
        <v>0</v>
      </c>
      <c r="N14" s="37" t="n">
        <v>0</v>
      </c>
      <c r="O14" s="37" t="n">
        <v>18450</v>
      </c>
      <c r="P14" s="37" t="n">
        <v>18450</v>
      </c>
      <c r="Q14" s="37" t="n">
        <v>18450</v>
      </c>
      <c r="R14" s="37" t="n">
        <v>18450</v>
      </c>
      <c r="S14" s="37" t="n">
        <v>18450</v>
      </c>
      <c r="T14" s="37" t="n">
        <v>18450</v>
      </c>
      <c r="U14" s="37" t="n">
        <v>18450</v>
      </c>
      <c r="V14" s="37" t="n">
        <v>0</v>
      </c>
      <c r="W14" s="37" t="n">
        <v>0</v>
      </c>
      <c r="X14" s="37" t="n">
        <v>18450</v>
      </c>
      <c r="Y14" s="17" t="str">
        <f aca="false">IFERROR(AVERAGEIF(D14:D14,"&lt;&gt;0"),"")</f>
        <v/>
      </c>
      <c r="Z14" s="17" t="n">
        <f aca="false">IFERROR(AVERAGEIF(E14:I14,"&lt;&gt;0"),"")</f>
        <v>18900</v>
      </c>
      <c r="AA14" s="17" t="n">
        <f aca="false">IFERROR(AVERAGEIF(J14:N14,"&lt;&gt;0"),"")</f>
        <v>18900</v>
      </c>
      <c r="AB14" s="17" t="n">
        <f aca="false">IFERROR(AVERAGEIF(O14:S14,"&lt;&gt;0"),"")</f>
        <v>18450</v>
      </c>
      <c r="AC14" s="17" t="n">
        <f aca="false">IFERROR(AVERAGEIF(T14:X14,"&lt;&gt;0"),"")</f>
        <v>18450</v>
      </c>
      <c r="AD14" s="17" t="n">
        <f aca="false">IFERROR(AVERAGEIF(D14:X14,"&lt;&gt;0"),"")</f>
        <v>18675</v>
      </c>
    </row>
    <row r="15" customFormat="false" ht="21.75" hidden="false" customHeight="true" outlineLevel="0" collapsed="false">
      <c r="A15" s="5" t="n">
        <v>11</v>
      </c>
      <c r="B15" s="6" t="s">
        <v>341</v>
      </c>
      <c r="C15" s="5" t="s">
        <v>453</v>
      </c>
      <c r="D15" s="37" t="n">
        <v>0</v>
      </c>
      <c r="E15" s="37" t="n">
        <v>23000</v>
      </c>
      <c r="F15" s="37" t="n">
        <v>23000</v>
      </c>
      <c r="G15" s="37" t="n">
        <v>23000</v>
      </c>
      <c r="H15" s="37" t="n">
        <v>23000</v>
      </c>
      <c r="I15" s="37" t="n">
        <v>23000</v>
      </c>
      <c r="J15" s="37" t="n">
        <v>23000</v>
      </c>
      <c r="K15" s="37" t="n">
        <v>23000</v>
      </c>
      <c r="L15" s="37" t="n">
        <v>23000</v>
      </c>
      <c r="M15" s="37" t="n">
        <v>0</v>
      </c>
      <c r="N15" s="37" t="n">
        <v>0</v>
      </c>
      <c r="O15" s="37" t="n">
        <v>23000</v>
      </c>
      <c r="P15" s="37" t="n">
        <v>23000</v>
      </c>
      <c r="Q15" s="37" t="n">
        <v>23000</v>
      </c>
      <c r="R15" s="37" t="n">
        <v>23000</v>
      </c>
      <c r="S15" s="37" t="n">
        <v>23000</v>
      </c>
      <c r="T15" s="37" t="n">
        <v>23000</v>
      </c>
      <c r="U15" s="37" t="n">
        <v>23000</v>
      </c>
      <c r="V15" s="37" t="n">
        <v>0</v>
      </c>
      <c r="W15" s="37" t="n">
        <v>0</v>
      </c>
      <c r="X15" s="37" t="n">
        <v>23000</v>
      </c>
      <c r="Y15" s="17" t="str">
        <f aca="false">IFERROR(AVERAGEIF(D15:D15,"&lt;&gt;0"),"")</f>
        <v/>
      </c>
      <c r="Z15" s="17" t="n">
        <f aca="false">IFERROR(AVERAGEIF(E15:I15,"&lt;&gt;0"),"")</f>
        <v>23000</v>
      </c>
      <c r="AA15" s="17" t="n">
        <f aca="false">IFERROR(AVERAGEIF(J15:N15,"&lt;&gt;0"),"")</f>
        <v>23000</v>
      </c>
      <c r="AB15" s="17" t="n">
        <f aca="false">IFERROR(AVERAGEIF(O15:S15,"&lt;&gt;0"),"")</f>
        <v>23000</v>
      </c>
      <c r="AC15" s="17" t="n">
        <f aca="false">IFERROR(AVERAGEIF(T15:X15,"&lt;&gt;0"),"")</f>
        <v>23000</v>
      </c>
      <c r="AD15" s="17" t="n">
        <f aca="false">IFERROR(AVERAGEIF(D15:X15,"&lt;&gt;0"),"")</f>
        <v>23000</v>
      </c>
    </row>
    <row r="16" customFormat="false" ht="15" hidden="false" customHeight="true" outlineLevel="0" collapsed="false">
      <c r="A16" s="5" t="n">
        <v>12</v>
      </c>
      <c r="B16" s="6" t="s">
        <v>342</v>
      </c>
      <c r="C16" s="5" t="s">
        <v>453</v>
      </c>
      <c r="D16" s="37" t="n">
        <v>0</v>
      </c>
      <c r="E16" s="37" t="n">
        <v>15700</v>
      </c>
      <c r="F16" s="37" t="n">
        <v>15700</v>
      </c>
      <c r="G16" s="37" t="n">
        <v>15700</v>
      </c>
      <c r="H16" s="37" t="n">
        <v>15700</v>
      </c>
      <c r="I16" s="37" t="n">
        <v>15700</v>
      </c>
      <c r="J16" s="37" t="n">
        <v>15700</v>
      </c>
      <c r="K16" s="37" t="n">
        <v>15700</v>
      </c>
      <c r="L16" s="37" t="n">
        <v>15700</v>
      </c>
      <c r="M16" s="37" t="n">
        <v>0</v>
      </c>
      <c r="N16" s="37" t="n">
        <v>0</v>
      </c>
      <c r="O16" s="37" t="n">
        <v>15500</v>
      </c>
      <c r="P16" s="37" t="n">
        <v>15500</v>
      </c>
      <c r="Q16" s="37" t="n">
        <v>15500</v>
      </c>
      <c r="R16" s="37" t="n">
        <v>15500</v>
      </c>
      <c r="S16" s="37" t="n">
        <v>15500</v>
      </c>
      <c r="T16" s="37" t="n">
        <v>15500</v>
      </c>
      <c r="U16" s="37" t="n">
        <v>15500</v>
      </c>
      <c r="V16" s="37" t="n">
        <v>0</v>
      </c>
      <c r="W16" s="37" t="n">
        <v>0</v>
      </c>
      <c r="X16" s="37" t="n">
        <v>15500</v>
      </c>
      <c r="Y16" s="17" t="str">
        <f aca="false">IFERROR(AVERAGEIF(D16:D16,"&lt;&gt;0"),"")</f>
        <v/>
      </c>
      <c r="Z16" s="17" t="n">
        <f aca="false">IFERROR(AVERAGEIF(E16:I16,"&lt;&gt;0"),"")</f>
        <v>15700</v>
      </c>
      <c r="AA16" s="17" t="n">
        <f aca="false">IFERROR(AVERAGEIF(J16:N16,"&lt;&gt;0"),"")</f>
        <v>15700</v>
      </c>
      <c r="AB16" s="17" t="n">
        <f aca="false">IFERROR(AVERAGEIF(O16:S16,"&lt;&gt;0"),"")</f>
        <v>15500</v>
      </c>
      <c r="AC16" s="17" t="n">
        <f aca="false">IFERROR(AVERAGEIF(T16:X16,"&lt;&gt;0"),"")</f>
        <v>15500</v>
      </c>
      <c r="AD16" s="17" t="n">
        <f aca="false">IFERROR(AVERAGEIF(D16:X16,"&lt;&gt;0"),"")</f>
        <v>15600</v>
      </c>
    </row>
    <row r="17" customFormat="false" ht="15" hidden="false" customHeight="true" outlineLevel="0" collapsed="false">
      <c r="A17" s="5" t="n">
        <v>13</v>
      </c>
      <c r="B17" s="6" t="s">
        <v>337</v>
      </c>
      <c r="C17" s="5" t="s">
        <v>407</v>
      </c>
      <c r="D17" s="37" t="n">
        <v>0</v>
      </c>
      <c r="E17" s="37" t="n">
        <v>11000</v>
      </c>
      <c r="F17" s="37" t="n">
        <v>11000</v>
      </c>
      <c r="G17" s="37" t="n">
        <v>11000</v>
      </c>
      <c r="H17" s="37" t="n">
        <v>11000</v>
      </c>
      <c r="I17" s="37" t="n">
        <v>11000</v>
      </c>
      <c r="J17" s="37" t="n">
        <v>11000</v>
      </c>
      <c r="K17" s="37" t="n">
        <v>11000</v>
      </c>
      <c r="L17" s="37" t="n">
        <v>11000</v>
      </c>
      <c r="M17" s="37" t="n">
        <v>0</v>
      </c>
      <c r="N17" s="37" t="n">
        <v>0</v>
      </c>
      <c r="O17" s="37" t="n">
        <v>11000</v>
      </c>
      <c r="P17" s="37" t="n">
        <v>11000</v>
      </c>
      <c r="Q17" s="37" t="n">
        <v>11000</v>
      </c>
      <c r="R17" s="37" t="n">
        <v>11000</v>
      </c>
      <c r="S17" s="37" t="n">
        <v>11000</v>
      </c>
      <c r="T17" s="37" t="n">
        <v>11000</v>
      </c>
      <c r="U17" s="37" t="n">
        <v>11000</v>
      </c>
      <c r="V17" s="37" t="n">
        <v>0</v>
      </c>
      <c r="W17" s="37" t="n">
        <v>0</v>
      </c>
      <c r="X17" s="37" t="n">
        <v>11000</v>
      </c>
      <c r="Y17" s="17" t="str">
        <f aca="false">IFERROR(AVERAGEIF(D17:D17,"&lt;&gt;0"),"")</f>
        <v/>
      </c>
      <c r="Z17" s="17" t="n">
        <f aca="false">IFERROR(AVERAGEIF(E17:I17,"&lt;&gt;0"),"")</f>
        <v>11000</v>
      </c>
      <c r="AA17" s="17" t="n">
        <f aca="false">IFERROR(AVERAGEIF(J17:N17,"&lt;&gt;0"),"")</f>
        <v>11000</v>
      </c>
      <c r="AB17" s="17" t="n">
        <f aca="false">IFERROR(AVERAGEIF(O17:S17,"&lt;&gt;0"),"")</f>
        <v>11000</v>
      </c>
      <c r="AC17" s="17" t="n">
        <f aca="false">IFERROR(AVERAGEIF(T17:X17,"&lt;&gt;0"),"")</f>
        <v>11000</v>
      </c>
      <c r="AD17" s="17" t="n">
        <f aca="false">IFERROR(AVERAGEIF(D17:X17,"&lt;&gt;0"),"")</f>
        <v>11000</v>
      </c>
    </row>
    <row r="18" customFormat="false" ht="15" hidden="false" customHeight="true" outlineLevel="0" collapsed="false">
      <c r="A18" s="5" t="n">
        <v>14</v>
      </c>
      <c r="B18" s="6" t="s">
        <v>339</v>
      </c>
      <c r="C18" s="5" t="s">
        <v>407</v>
      </c>
      <c r="D18" s="37" t="n">
        <v>0</v>
      </c>
      <c r="E18" s="37" t="n">
        <v>34000</v>
      </c>
      <c r="F18" s="37" t="n">
        <v>34000</v>
      </c>
      <c r="G18" s="37" t="n">
        <v>34000</v>
      </c>
      <c r="H18" s="37" t="n">
        <v>34000</v>
      </c>
      <c r="I18" s="37" t="n">
        <v>34000</v>
      </c>
      <c r="J18" s="37" t="n">
        <v>34000</v>
      </c>
      <c r="K18" s="37" t="n">
        <v>34000</v>
      </c>
      <c r="L18" s="37" t="n">
        <v>33000</v>
      </c>
      <c r="M18" s="37" t="n">
        <v>0</v>
      </c>
      <c r="N18" s="37" t="n">
        <v>0</v>
      </c>
      <c r="O18" s="37" t="n">
        <v>32000</v>
      </c>
      <c r="P18" s="37" t="n">
        <v>32000</v>
      </c>
      <c r="Q18" s="37" t="n">
        <v>32000</v>
      </c>
      <c r="R18" s="37" t="n">
        <v>32000</v>
      </c>
      <c r="S18" s="37" t="n">
        <v>32000</v>
      </c>
      <c r="T18" s="37" t="n">
        <v>32000</v>
      </c>
      <c r="U18" s="37" t="n">
        <v>32000</v>
      </c>
      <c r="V18" s="37" t="n">
        <v>0</v>
      </c>
      <c r="W18" s="37" t="n">
        <v>0</v>
      </c>
      <c r="X18" s="37" t="n">
        <v>32000</v>
      </c>
      <c r="Y18" s="17" t="str">
        <f aca="false">IFERROR(AVERAGEIF(D18:D18,"&lt;&gt;0"),"")</f>
        <v/>
      </c>
      <c r="Z18" s="17" t="n">
        <f aca="false">IFERROR(AVERAGEIF(E18:I18,"&lt;&gt;0"),"")</f>
        <v>34000</v>
      </c>
      <c r="AA18" s="17" t="n">
        <f aca="false">IFERROR(AVERAGEIF(J18:N18,"&lt;&gt;0"),"")</f>
        <v>33666.6666666667</v>
      </c>
      <c r="AB18" s="17" t="n">
        <f aca="false">IFERROR(AVERAGEIF(O18:S18,"&lt;&gt;0"),"")</f>
        <v>32000</v>
      </c>
      <c r="AC18" s="17" t="n">
        <f aca="false">IFERROR(AVERAGEIF(T18:X18,"&lt;&gt;0"),"")</f>
        <v>32000</v>
      </c>
      <c r="AD18" s="17" t="n">
        <f aca="false">IFERROR(AVERAGEIF(D18:X18,"&lt;&gt;0"),"")</f>
        <v>32937.5</v>
      </c>
    </row>
    <row r="19" customFormat="false" ht="15" hidden="false" customHeight="true" outlineLevel="0" collapsed="false">
      <c r="A19" s="5" t="n">
        <v>15</v>
      </c>
      <c r="B19" s="6" t="s">
        <v>348</v>
      </c>
      <c r="C19" s="5" t="s">
        <v>407</v>
      </c>
      <c r="D19" s="37" t="n">
        <v>0</v>
      </c>
      <c r="E19" s="37" t="n">
        <v>25000</v>
      </c>
      <c r="F19" s="37" t="n">
        <v>25000</v>
      </c>
      <c r="G19" s="37" t="n">
        <v>25000</v>
      </c>
      <c r="H19" s="37" t="n">
        <v>25000</v>
      </c>
      <c r="I19" s="37" t="n">
        <v>25000</v>
      </c>
      <c r="J19" s="37" t="n">
        <v>25000</v>
      </c>
      <c r="K19" s="37" t="n">
        <v>25000</v>
      </c>
      <c r="L19" s="37" t="n">
        <v>24500</v>
      </c>
      <c r="M19" s="37" t="n">
        <v>0</v>
      </c>
      <c r="N19" s="37" t="n">
        <v>0</v>
      </c>
      <c r="O19" s="37" t="n">
        <v>24000</v>
      </c>
      <c r="P19" s="37" t="n">
        <v>24000</v>
      </c>
      <c r="Q19" s="37" t="n">
        <v>24000</v>
      </c>
      <c r="R19" s="37" t="n">
        <v>24000</v>
      </c>
      <c r="S19" s="37" t="n">
        <v>24000</v>
      </c>
      <c r="T19" s="37" t="n">
        <v>25000</v>
      </c>
      <c r="U19" s="37" t="n">
        <v>25000</v>
      </c>
      <c r="V19" s="37" t="n">
        <v>0</v>
      </c>
      <c r="W19" s="37" t="n">
        <v>0</v>
      </c>
      <c r="X19" s="37" t="n">
        <v>25000</v>
      </c>
      <c r="Y19" s="17" t="str">
        <f aca="false">IFERROR(AVERAGEIF(D19:D19,"&lt;&gt;0"),"")</f>
        <v/>
      </c>
      <c r="Z19" s="17" t="n">
        <f aca="false">IFERROR(AVERAGEIF(E19:I19,"&lt;&gt;0"),"")</f>
        <v>25000</v>
      </c>
      <c r="AA19" s="17" t="n">
        <f aca="false">IFERROR(AVERAGEIF(J19:N19,"&lt;&gt;0"),"")</f>
        <v>24833.3333333333</v>
      </c>
      <c r="AB19" s="17" t="n">
        <f aca="false">IFERROR(AVERAGEIF(O19:S19,"&lt;&gt;0"),"")</f>
        <v>24000</v>
      </c>
      <c r="AC19" s="17" t="n">
        <f aca="false">IFERROR(AVERAGEIF(T19:X19,"&lt;&gt;0"),"")</f>
        <v>25000</v>
      </c>
      <c r="AD19" s="17" t="n">
        <f aca="false">IFERROR(AVERAGEIF(D19:X19,"&lt;&gt;0"),"")</f>
        <v>24656.25</v>
      </c>
    </row>
    <row r="20" customFormat="false" ht="15" hidden="false" customHeight="true" outlineLevel="0" collapsed="false">
      <c r="A20" s="5" t="n">
        <v>16</v>
      </c>
      <c r="B20" s="6" t="s">
        <v>362</v>
      </c>
      <c r="C20" s="5" t="s">
        <v>407</v>
      </c>
      <c r="D20" s="37" t="n">
        <v>0</v>
      </c>
      <c r="E20" s="37" t="n">
        <v>115000</v>
      </c>
      <c r="F20" s="37" t="n">
        <v>115000</v>
      </c>
      <c r="G20" s="37" t="n">
        <v>115000</v>
      </c>
      <c r="H20" s="37" t="n">
        <v>115000</v>
      </c>
      <c r="I20" s="37" t="n">
        <v>115000</v>
      </c>
      <c r="J20" s="37" t="n">
        <v>115000</v>
      </c>
      <c r="K20" s="37" t="n">
        <v>115000</v>
      </c>
      <c r="L20" s="37" t="n">
        <v>115000</v>
      </c>
      <c r="M20" s="37" t="n">
        <v>0</v>
      </c>
      <c r="N20" s="37" t="n">
        <v>0</v>
      </c>
      <c r="O20" s="37" t="n">
        <v>115000</v>
      </c>
      <c r="P20" s="37" t="n">
        <v>115000</v>
      </c>
      <c r="Q20" s="37" t="n">
        <v>115000</v>
      </c>
      <c r="R20" s="37" t="n">
        <v>115000</v>
      </c>
      <c r="S20" s="37" t="n">
        <v>115000</v>
      </c>
      <c r="T20" s="37" t="n">
        <v>115000</v>
      </c>
      <c r="U20" s="37" t="n">
        <v>115000</v>
      </c>
      <c r="V20" s="37" t="n">
        <v>0</v>
      </c>
      <c r="W20" s="37" t="n">
        <v>0</v>
      </c>
      <c r="X20" s="37" t="n">
        <v>115000</v>
      </c>
      <c r="Y20" s="17" t="str">
        <f aca="false">IFERROR(AVERAGEIF(D20:D20,"&lt;&gt;0"),"")</f>
        <v/>
      </c>
      <c r="Z20" s="17" t="n">
        <f aca="false">IFERROR(AVERAGEIF(E20:I20,"&lt;&gt;0"),"")</f>
        <v>115000</v>
      </c>
      <c r="AA20" s="17" t="n">
        <f aca="false">IFERROR(AVERAGEIF(J20:N20,"&lt;&gt;0"),"")</f>
        <v>115000</v>
      </c>
      <c r="AB20" s="17" t="n">
        <f aca="false">IFERROR(AVERAGEIF(O20:S20,"&lt;&gt;0"),"")</f>
        <v>115000</v>
      </c>
      <c r="AC20" s="17" t="n">
        <f aca="false">IFERROR(AVERAGEIF(T20:X20,"&lt;&gt;0"),"")</f>
        <v>115000</v>
      </c>
      <c r="AD20" s="17" t="n">
        <f aca="false">IFERROR(AVERAGEIF(D20:X20,"&lt;&gt;0"),"")</f>
        <v>115000</v>
      </c>
    </row>
    <row r="21" customFormat="false" ht="15" hidden="false" customHeight="true" outlineLevel="0" collapsed="false">
      <c r="A21" s="5" t="n">
        <v>17</v>
      </c>
      <c r="B21" s="6" t="s">
        <v>363</v>
      </c>
      <c r="C21" s="5" t="s">
        <v>407</v>
      </c>
      <c r="D21" s="37" t="n">
        <v>0</v>
      </c>
      <c r="E21" s="37" t="n">
        <v>70000</v>
      </c>
      <c r="F21" s="37" t="n">
        <v>70000</v>
      </c>
      <c r="G21" s="37" t="n">
        <v>70000</v>
      </c>
      <c r="H21" s="37" t="n">
        <v>70000</v>
      </c>
      <c r="I21" s="37" t="n">
        <v>70000</v>
      </c>
      <c r="J21" s="37" t="n">
        <v>70000</v>
      </c>
      <c r="K21" s="37" t="n">
        <v>70000</v>
      </c>
      <c r="L21" s="37" t="n">
        <v>70000</v>
      </c>
      <c r="M21" s="37" t="n">
        <v>0</v>
      </c>
      <c r="N21" s="37" t="n">
        <v>0</v>
      </c>
      <c r="O21" s="37" t="n">
        <v>70000</v>
      </c>
      <c r="P21" s="37" t="n">
        <v>70000</v>
      </c>
      <c r="Q21" s="37" t="n">
        <v>70000</v>
      </c>
      <c r="R21" s="37" t="n">
        <v>70000</v>
      </c>
      <c r="S21" s="37" t="n">
        <v>70000</v>
      </c>
      <c r="T21" s="37" t="n">
        <v>70000</v>
      </c>
      <c r="U21" s="37" t="n">
        <v>70000</v>
      </c>
      <c r="V21" s="37" t="n">
        <v>0</v>
      </c>
      <c r="W21" s="37" t="n">
        <v>0</v>
      </c>
      <c r="X21" s="37" t="n">
        <v>70000</v>
      </c>
      <c r="Y21" s="17" t="str">
        <f aca="false">IFERROR(AVERAGEIF(D21:D21,"&lt;&gt;0"),"")</f>
        <v/>
      </c>
      <c r="Z21" s="17" t="n">
        <f aca="false">IFERROR(AVERAGEIF(E21:I21,"&lt;&gt;0"),"")</f>
        <v>70000</v>
      </c>
      <c r="AA21" s="17" t="n">
        <f aca="false">IFERROR(AVERAGEIF(J21:N21,"&lt;&gt;0"),"")</f>
        <v>70000</v>
      </c>
      <c r="AB21" s="17" t="n">
        <f aca="false">IFERROR(AVERAGEIF(O21:S21,"&lt;&gt;0"),"")</f>
        <v>70000</v>
      </c>
      <c r="AC21" s="17" t="n">
        <f aca="false">IFERROR(AVERAGEIF(T21:X21,"&lt;&gt;0"),"")</f>
        <v>70000</v>
      </c>
      <c r="AD21" s="17" t="n">
        <f aca="false">IFERROR(AVERAGEIF(D21:X21,"&lt;&gt;0"),"")</f>
        <v>70000</v>
      </c>
    </row>
    <row r="22" customFormat="false" ht="15" hidden="false" customHeight="true" outlineLevel="0" collapsed="false">
      <c r="A22" s="5" t="n">
        <v>18</v>
      </c>
      <c r="B22" s="6" t="s">
        <v>364</v>
      </c>
      <c r="C22" s="5" t="s">
        <v>407</v>
      </c>
      <c r="D22" s="37" t="n">
        <v>0</v>
      </c>
      <c r="E22" s="37" t="n">
        <v>80000</v>
      </c>
      <c r="F22" s="37" t="n">
        <v>80000</v>
      </c>
      <c r="G22" s="37" t="n">
        <v>80000</v>
      </c>
      <c r="H22" s="37" t="n">
        <v>80000</v>
      </c>
      <c r="I22" s="37" t="n">
        <v>80000</v>
      </c>
      <c r="J22" s="37" t="n">
        <v>80000</v>
      </c>
      <c r="K22" s="37" t="n">
        <v>80000</v>
      </c>
      <c r="L22" s="37" t="n">
        <v>80000</v>
      </c>
      <c r="M22" s="37" t="n">
        <v>0</v>
      </c>
      <c r="N22" s="37" t="n">
        <v>0</v>
      </c>
      <c r="O22" s="37" t="n">
        <v>80000</v>
      </c>
      <c r="P22" s="37" t="n">
        <v>80000</v>
      </c>
      <c r="Q22" s="37" t="n">
        <v>80000</v>
      </c>
      <c r="R22" s="37" t="n">
        <v>80000</v>
      </c>
      <c r="S22" s="37" t="n">
        <v>80000</v>
      </c>
      <c r="T22" s="37" t="n">
        <v>80000</v>
      </c>
      <c r="U22" s="37" t="n">
        <v>80000</v>
      </c>
      <c r="V22" s="37" t="n">
        <v>0</v>
      </c>
      <c r="W22" s="37" t="n">
        <v>0</v>
      </c>
      <c r="X22" s="37" t="n">
        <v>80000</v>
      </c>
      <c r="Y22" s="17" t="str">
        <f aca="false">IFERROR(AVERAGEIF(D22:D22,"&lt;&gt;0"),"")</f>
        <v/>
      </c>
      <c r="Z22" s="17" t="n">
        <f aca="false">IFERROR(AVERAGEIF(E22:I22,"&lt;&gt;0"),"")</f>
        <v>80000</v>
      </c>
      <c r="AA22" s="17" t="n">
        <f aca="false">IFERROR(AVERAGEIF(J22:N22,"&lt;&gt;0"),"")</f>
        <v>80000</v>
      </c>
      <c r="AB22" s="17" t="n">
        <f aca="false">IFERROR(AVERAGEIF(O22:S22,"&lt;&gt;0"),"")</f>
        <v>80000</v>
      </c>
      <c r="AC22" s="17" t="n">
        <f aca="false">IFERROR(AVERAGEIF(T22:X22,"&lt;&gt;0"),"")</f>
        <v>80000</v>
      </c>
      <c r="AD22" s="17" t="n">
        <f aca="false">IFERROR(AVERAGEIF(D22:X22,"&lt;&gt;0"),"")</f>
        <v>80000</v>
      </c>
    </row>
    <row r="23" customFormat="false" ht="15" hidden="false" customHeight="true" outlineLevel="0" collapsed="false">
      <c r="A23" s="5" t="n">
        <v>19</v>
      </c>
      <c r="B23" s="6" t="s">
        <v>409</v>
      </c>
      <c r="C23" s="5" t="s">
        <v>407</v>
      </c>
      <c r="D23" s="37" t="n">
        <v>0</v>
      </c>
      <c r="E23" s="37" t="n">
        <v>45000</v>
      </c>
      <c r="F23" s="37" t="n">
        <v>45000</v>
      </c>
      <c r="G23" s="37" t="n">
        <v>45000</v>
      </c>
      <c r="H23" s="37" t="n">
        <v>45000</v>
      </c>
      <c r="I23" s="37" t="n">
        <v>45000</v>
      </c>
      <c r="J23" s="37" t="n">
        <v>35000</v>
      </c>
      <c r="K23" s="37" t="n">
        <v>35000</v>
      </c>
      <c r="L23" s="37" t="n">
        <v>35000</v>
      </c>
      <c r="M23" s="37" t="n">
        <v>0</v>
      </c>
      <c r="N23" s="37" t="n">
        <v>0</v>
      </c>
      <c r="O23" s="37" t="n">
        <v>35000</v>
      </c>
      <c r="P23" s="37" t="n">
        <v>35000</v>
      </c>
      <c r="Q23" s="37" t="n">
        <v>35000</v>
      </c>
      <c r="R23" s="37" t="n">
        <v>35000</v>
      </c>
      <c r="S23" s="37" t="n">
        <v>35000</v>
      </c>
      <c r="T23" s="37" t="n">
        <v>35000</v>
      </c>
      <c r="U23" s="37" t="n">
        <v>35000</v>
      </c>
      <c r="V23" s="37" t="n">
        <v>0</v>
      </c>
      <c r="W23" s="37" t="n">
        <v>0</v>
      </c>
      <c r="X23" s="37" t="n">
        <v>35000</v>
      </c>
      <c r="Y23" s="17" t="str">
        <f aca="false">IFERROR(AVERAGEIF(D23:D23,"&lt;&gt;0"),"")</f>
        <v/>
      </c>
      <c r="Z23" s="17" t="n">
        <f aca="false">IFERROR(AVERAGEIF(E23:I23,"&lt;&gt;0"),"")</f>
        <v>45000</v>
      </c>
      <c r="AA23" s="17" t="n">
        <f aca="false">IFERROR(AVERAGEIF(J23:N23,"&lt;&gt;0"),"")</f>
        <v>35000</v>
      </c>
      <c r="AB23" s="17" t="n">
        <f aca="false">IFERROR(AVERAGEIF(O23:S23,"&lt;&gt;0"),"")</f>
        <v>35000</v>
      </c>
      <c r="AC23" s="17" t="n">
        <f aca="false">IFERROR(AVERAGEIF(T23:X23,"&lt;&gt;0"),"")</f>
        <v>35000</v>
      </c>
      <c r="AD23" s="17" t="n">
        <f aca="false">IFERROR(AVERAGEIF(D23:X23,"&lt;&gt;0"),"")</f>
        <v>38125</v>
      </c>
    </row>
    <row r="24" customFormat="false" ht="15" hidden="false" customHeight="true" outlineLevel="0" collapsed="false">
      <c r="A24" s="5" t="n">
        <v>20</v>
      </c>
      <c r="B24" s="6" t="s">
        <v>350</v>
      </c>
      <c r="C24" s="5" t="s">
        <v>407</v>
      </c>
      <c r="D24" s="37" t="n">
        <v>0</v>
      </c>
      <c r="E24" s="37" t="n">
        <v>45000</v>
      </c>
      <c r="F24" s="37" t="n">
        <v>45000</v>
      </c>
      <c r="G24" s="37" t="n">
        <v>45000</v>
      </c>
      <c r="H24" s="37" t="n">
        <v>45000</v>
      </c>
      <c r="I24" s="37" t="n">
        <v>45000</v>
      </c>
      <c r="J24" s="37" t="n">
        <v>45000</v>
      </c>
      <c r="K24" s="37" t="n">
        <v>45000</v>
      </c>
      <c r="L24" s="37" t="n">
        <v>45000</v>
      </c>
      <c r="M24" s="37" t="n">
        <v>0</v>
      </c>
      <c r="N24" s="37" t="n">
        <v>0</v>
      </c>
      <c r="O24" s="37" t="n">
        <v>45000</v>
      </c>
      <c r="P24" s="37" t="n">
        <v>45000</v>
      </c>
      <c r="Q24" s="37" t="n">
        <v>45000</v>
      </c>
      <c r="R24" s="37" t="n">
        <v>45000</v>
      </c>
      <c r="S24" s="37" t="n">
        <v>45000</v>
      </c>
      <c r="T24" s="37" t="n">
        <v>45000</v>
      </c>
      <c r="U24" s="37" t="n">
        <v>45000</v>
      </c>
      <c r="V24" s="37" t="n">
        <v>0</v>
      </c>
      <c r="W24" s="37" t="n">
        <v>0</v>
      </c>
      <c r="X24" s="37" t="n">
        <v>45000</v>
      </c>
      <c r="Y24" s="17" t="str">
        <f aca="false">IFERROR(AVERAGEIF(D24:D24,"&lt;&gt;0"),"")</f>
        <v/>
      </c>
      <c r="Z24" s="17" t="n">
        <f aca="false">IFERROR(AVERAGEIF(E24:I24,"&lt;&gt;0"),"")</f>
        <v>45000</v>
      </c>
      <c r="AA24" s="17" t="n">
        <f aca="false">IFERROR(AVERAGEIF(J24:N24,"&lt;&gt;0"),"")</f>
        <v>45000</v>
      </c>
      <c r="AB24" s="17" t="n">
        <f aca="false">IFERROR(AVERAGEIF(O24:S24,"&lt;&gt;0"),"")</f>
        <v>45000</v>
      </c>
      <c r="AC24" s="17" t="n">
        <f aca="false">IFERROR(AVERAGEIF(T24:X24,"&lt;&gt;0"),"")</f>
        <v>45000</v>
      </c>
      <c r="AD24" s="17" t="n">
        <f aca="false">IFERROR(AVERAGEIF(D24:X24,"&lt;&gt;0"),"")</f>
        <v>45000</v>
      </c>
    </row>
    <row r="25" customFormat="false" ht="15" hidden="false" customHeight="true" outlineLevel="0" collapsed="false">
      <c r="A25" s="5" t="n">
        <v>21</v>
      </c>
      <c r="B25" s="6" t="s">
        <v>410</v>
      </c>
      <c r="C25" s="5" t="s">
        <v>407</v>
      </c>
      <c r="D25" s="37" t="n">
        <v>0</v>
      </c>
      <c r="E25" s="37" t="n">
        <v>80000</v>
      </c>
      <c r="F25" s="37" t="n">
        <v>80000</v>
      </c>
      <c r="G25" s="37" t="n">
        <v>80000</v>
      </c>
      <c r="H25" s="37" t="n">
        <v>80000</v>
      </c>
      <c r="I25" s="37" t="n">
        <v>80000</v>
      </c>
      <c r="J25" s="37" t="n">
        <v>80000</v>
      </c>
      <c r="K25" s="37" t="n">
        <v>80000</v>
      </c>
      <c r="L25" s="37" t="n">
        <v>80000</v>
      </c>
      <c r="M25" s="37" t="n">
        <v>0</v>
      </c>
      <c r="N25" s="37" t="n">
        <v>0</v>
      </c>
      <c r="O25" s="37" t="n">
        <v>80000</v>
      </c>
      <c r="P25" s="37" t="n">
        <v>80000</v>
      </c>
      <c r="Q25" s="37" t="n">
        <v>80000</v>
      </c>
      <c r="R25" s="37" t="n">
        <v>80000</v>
      </c>
      <c r="S25" s="37" t="n">
        <v>80000</v>
      </c>
      <c r="T25" s="37" t="n">
        <v>80000</v>
      </c>
      <c r="U25" s="37" t="n">
        <v>80000</v>
      </c>
      <c r="V25" s="37" t="n">
        <v>0</v>
      </c>
      <c r="W25" s="37" t="n">
        <v>0</v>
      </c>
      <c r="X25" s="37" t="n">
        <v>80000</v>
      </c>
      <c r="Y25" s="17" t="str">
        <f aca="false">IFERROR(AVERAGEIF(D25:D25,"&lt;&gt;0"),"")</f>
        <v/>
      </c>
      <c r="Z25" s="17" t="n">
        <f aca="false">IFERROR(AVERAGEIF(E25:I25,"&lt;&gt;0"),"")</f>
        <v>80000</v>
      </c>
      <c r="AA25" s="17" t="n">
        <f aca="false">IFERROR(AVERAGEIF(J25:N25,"&lt;&gt;0"),"")</f>
        <v>80000</v>
      </c>
      <c r="AB25" s="17" t="n">
        <f aca="false">IFERROR(AVERAGEIF(O25:S25,"&lt;&gt;0"),"")</f>
        <v>80000</v>
      </c>
      <c r="AC25" s="17" t="n">
        <f aca="false">IFERROR(AVERAGEIF(T25:X25,"&lt;&gt;0"),"")</f>
        <v>80000</v>
      </c>
      <c r="AD25" s="17" t="n">
        <f aca="false">IFERROR(AVERAGEIF(D25:X25,"&lt;&gt;0"),"")</f>
        <v>80000</v>
      </c>
    </row>
    <row r="26" customFormat="false" ht="21.75" hidden="false" customHeight="true" outlineLevel="0" collapsed="false">
      <c r="A26" s="5" t="n">
        <v>22</v>
      </c>
      <c r="B26" s="6" t="s">
        <v>357</v>
      </c>
      <c r="C26" s="5" t="s">
        <v>454</v>
      </c>
      <c r="D26" s="37" t="n">
        <v>0</v>
      </c>
      <c r="E26" s="37" t="n">
        <v>2800</v>
      </c>
      <c r="F26" s="37" t="n">
        <v>2800</v>
      </c>
      <c r="G26" s="37" t="n">
        <v>2800</v>
      </c>
      <c r="H26" s="37" t="n">
        <v>2800</v>
      </c>
      <c r="I26" s="37" t="n">
        <v>2800</v>
      </c>
      <c r="J26" s="37" t="n">
        <v>2800</v>
      </c>
      <c r="K26" s="37" t="n">
        <v>2800</v>
      </c>
      <c r="L26" s="37" t="n">
        <v>2800</v>
      </c>
      <c r="M26" s="37" t="n">
        <v>0</v>
      </c>
      <c r="N26" s="37" t="n">
        <v>0</v>
      </c>
      <c r="O26" s="37" t="n">
        <v>2800</v>
      </c>
      <c r="P26" s="37" t="n">
        <v>2800</v>
      </c>
      <c r="Q26" s="37" t="n">
        <v>2800</v>
      </c>
      <c r="R26" s="37" t="n">
        <v>2800</v>
      </c>
      <c r="S26" s="37" t="n">
        <v>2800</v>
      </c>
      <c r="T26" s="37" t="n">
        <v>2800</v>
      </c>
      <c r="U26" s="37" t="n">
        <v>2800</v>
      </c>
      <c r="V26" s="37" t="n">
        <v>0</v>
      </c>
      <c r="W26" s="37" t="n">
        <v>0</v>
      </c>
      <c r="X26" s="37" t="n">
        <v>2800</v>
      </c>
      <c r="Y26" s="17" t="str">
        <f aca="false">IFERROR(AVERAGEIF(D26:D26,"&lt;&gt;0"),"")</f>
        <v/>
      </c>
      <c r="Z26" s="17" t="n">
        <f aca="false">IFERROR(AVERAGEIF(E26:I26,"&lt;&gt;0"),"")</f>
        <v>2800</v>
      </c>
      <c r="AA26" s="17" t="n">
        <f aca="false">IFERROR(AVERAGEIF(J26:N26,"&lt;&gt;0"),"")</f>
        <v>2800</v>
      </c>
      <c r="AB26" s="17" t="n">
        <f aca="false">IFERROR(AVERAGEIF(O26:S26,"&lt;&gt;0"),"")</f>
        <v>2800</v>
      </c>
      <c r="AC26" s="17" t="n">
        <f aca="false">IFERROR(AVERAGEIF(T26:X26,"&lt;&gt;0"),"")</f>
        <v>2800</v>
      </c>
      <c r="AD26" s="17" t="n">
        <f aca="false">IFERROR(AVERAGEIF(D26:X26,"&lt;&gt;0"),"")</f>
        <v>2800</v>
      </c>
    </row>
    <row r="27" customFormat="false" ht="15" hidden="false" customHeight="true" outlineLevel="0" collapsed="false">
      <c r="A27" s="5" t="n">
        <v>23</v>
      </c>
      <c r="B27" s="6" t="s">
        <v>355</v>
      </c>
      <c r="C27" s="5" t="s">
        <v>407</v>
      </c>
      <c r="D27" s="37" t="n">
        <v>0</v>
      </c>
      <c r="E27" s="37" t="n">
        <v>29000</v>
      </c>
      <c r="F27" s="37" t="n">
        <v>29000</v>
      </c>
      <c r="G27" s="37" t="n">
        <v>29000</v>
      </c>
      <c r="H27" s="37" t="n">
        <v>29000</v>
      </c>
      <c r="I27" s="37" t="n">
        <v>29000</v>
      </c>
      <c r="J27" s="37" t="n">
        <v>29000</v>
      </c>
      <c r="K27" s="37" t="n">
        <v>29000</v>
      </c>
      <c r="L27" s="37" t="n">
        <v>28000</v>
      </c>
      <c r="M27" s="37" t="n">
        <v>0</v>
      </c>
      <c r="N27" s="37" t="n">
        <v>0</v>
      </c>
      <c r="O27" s="37" t="n">
        <v>28000</v>
      </c>
      <c r="P27" s="37" t="n">
        <v>28000</v>
      </c>
      <c r="Q27" s="37" t="n">
        <v>28000</v>
      </c>
      <c r="R27" s="37" t="n">
        <v>27000</v>
      </c>
      <c r="S27" s="37" t="n">
        <v>27000</v>
      </c>
      <c r="T27" s="37" t="n">
        <v>27000</v>
      </c>
      <c r="U27" s="37" t="n">
        <v>27000</v>
      </c>
      <c r="V27" s="37" t="n">
        <v>0</v>
      </c>
      <c r="W27" s="37" t="n">
        <v>0</v>
      </c>
      <c r="X27" s="37" t="n">
        <v>27000</v>
      </c>
      <c r="Y27" s="17" t="str">
        <f aca="false">IFERROR(AVERAGEIF(D27:D27,"&lt;&gt;0"),"")</f>
        <v/>
      </c>
      <c r="Z27" s="17" t="n">
        <f aca="false">IFERROR(AVERAGEIF(E27:I27,"&lt;&gt;0"),"")</f>
        <v>29000</v>
      </c>
      <c r="AA27" s="17" t="n">
        <f aca="false">IFERROR(AVERAGEIF(J27:N27,"&lt;&gt;0"),"")</f>
        <v>28666.6666666667</v>
      </c>
      <c r="AB27" s="17" t="n">
        <f aca="false">IFERROR(AVERAGEIF(O27:S27,"&lt;&gt;0"),"")</f>
        <v>27600</v>
      </c>
      <c r="AC27" s="17" t="n">
        <f aca="false">IFERROR(AVERAGEIF(T27:X27,"&lt;&gt;0"),"")</f>
        <v>27000</v>
      </c>
      <c r="AD27" s="17" t="n">
        <f aca="false">IFERROR(AVERAGEIF(D27:X27,"&lt;&gt;0"),"")</f>
        <v>28125</v>
      </c>
    </row>
    <row r="28" customFormat="false" ht="15" hidden="false" customHeight="true" outlineLevel="0" collapsed="false">
      <c r="A28" s="5" t="n">
        <v>24</v>
      </c>
      <c r="B28" s="6" t="s">
        <v>356</v>
      </c>
      <c r="C28" s="5" t="s">
        <v>407</v>
      </c>
      <c r="D28" s="37" t="n">
        <v>0</v>
      </c>
      <c r="E28" s="37" t="n">
        <v>38000</v>
      </c>
      <c r="F28" s="37" t="n">
        <v>38000</v>
      </c>
      <c r="G28" s="37" t="n">
        <v>38000</v>
      </c>
      <c r="H28" s="37" t="n">
        <v>38000</v>
      </c>
      <c r="I28" s="37" t="n">
        <v>38000</v>
      </c>
      <c r="J28" s="37" t="n">
        <v>38000</v>
      </c>
      <c r="K28" s="37" t="n">
        <v>38000</v>
      </c>
      <c r="L28" s="37" t="n">
        <v>38000</v>
      </c>
      <c r="M28" s="37" t="n">
        <v>0</v>
      </c>
      <c r="N28" s="37" t="n">
        <v>0</v>
      </c>
      <c r="O28" s="37" t="n">
        <v>38000</v>
      </c>
      <c r="P28" s="37" t="n">
        <v>38000</v>
      </c>
      <c r="Q28" s="37" t="n">
        <v>38000</v>
      </c>
      <c r="R28" s="37" t="n">
        <v>38000</v>
      </c>
      <c r="S28" s="37" t="n">
        <v>38000</v>
      </c>
      <c r="T28" s="37" t="n">
        <v>38000</v>
      </c>
      <c r="U28" s="37" t="n">
        <v>38000</v>
      </c>
      <c r="V28" s="37" t="n">
        <v>0</v>
      </c>
      <c r="W28" s="37" t="n">
        <v>0</v>
      </c>
      <c r="X28" s="37" t="n">
        <v>38000</v>
      </c>
      <c r="Y28" s="17" t="str">
        <f aca="false">IFERROR(AVERAGEIF(D28:D28,"&lt;&gt;0"),"")</f>
        <v/>
      </c>
      <c r="Z28" s="17" t="n">
        <f aca="false">IFERROR(AVERAGEIF(E28:I28,"&lt;&gt;0"),"")</f>
        <v>38000</v>
      </c>
      <c r="AA28" s="17" t="n">
        <f aca="false">IFERROR(AVERAGEIF(J28:N28,"&lt;&gt;0"),"")</f>
        <v>38000</v>
      </c>
      <c r="AB28" s="17" t="n">
        <f aca="false">IFERROR(AVERAGEIF(O28:S28,"&lt;&gt;0"),"")</f>
        <v>38000</v>
      </c>
      <c r="AC28" s="17" t="n">
        <f aca="false">IFERROR(AVERAGEIF(T28:X28,"&lt;&gt;0"),"")</f>
        <v>38000</v>
      </c>
      <c r="AD28" s="17" t="n">
        <f aca="false">IFERROR(AVERAGEIF(D28:X28,"&lt;&gt;0"),"")</f>
        <v>38000</v>
      </c>
    </row>
    <row r="29" customFormat="false" ht="15" hidden="false" customHeight="true" outlineLevel="0" collapsed="false">
      <c r="A29" s="5" t="n">
        <v>25</v>
      </c>
      <c r="B29" s="6" t="s">
        <v>411</v>
      </c>
      <c r="C29" s="5" t="s">
        <v>407</v>
      </c>
      <c r="D29" s="37" t="n">
        <v>0</v>
      </c>
      <c r="E29" s="37" t="n">
        <v>30000</v>
      </c>
      <c r="F29" s="37" t="n">
        <v>30000</v>
      </c>
      <c r="G29" s="37" t="n">
        <v>30000</v>
      </c>
      <c r="H29" s="37" t="n">
        <v>30000</v>
      </c>
      <c r="I29" s="37" t="n">
        <v>30000</v>
      </c>
      <c r="J29" s="37" t="n">
        <v>32000</v>
      </c>
      <c r="K29" s="37" t="n">
        <v>32000</v>
      </c>
      <c r="L29" s="37" t="n">
        <v>32000</v>
      </c>
      <c r="M29" s="37" t="n">
        <v>0</v>
      </c>
      <c r="N29" s="37" t="n">
        <v>0</v>
      </c>
      <c r="O29" s="37" t="n">
        <v>32000</v>
      </c>
      <c r="P29" s="37" t="n">
        <v>32000</v>
      </c>
      <c r="Q29" s="37" t="n">
        <v>32000</v>
      </c>
      <c r="R29" s="37" t="n">
        <v>32000</v>
      </c>
      <c r="S29" s="37" t="n">
        <v>32000</v>
      </c>
      <c r="T29" s="37" t="n">
        <v>32000</v>
      </c>
      <c r="U29" s="37" t="n">
        <v>32000</v>
      </c>
      <c r="V29" s="37" t="n">
        <v>0</v>
      </c>
      <c r="W29" s="37" t="n">
        <v>0</v>
      </c>
      <c r="X29" s="37" t="n">
        <v>32000</v>
      </c>
      <c r="Y29" s="17" t="str">
        <f aca="false">IFERROR(AVERAGEIF(D29:D29,"&lt;&gt;0"),"")</f>
        <v/>
      </c>
      <c r="Z29" s="17" t="n">
        <f aca="false">IFERROR(AVERAGEIF(E29:I29,"&lt;&gt;0"),"")</f>
        <v>30000</v>
      </c>
      <c r="AA29" s="17" t="n">
        <f aca="false">IFERROR(AVERAGEIF(J29:N29,"&lt;&gt;0"),"")</f>
        <v>32000</v>
      </c>
      <c r="AB29" s="17" t="n">
        <f aca="false">IFERROR(AVERAGEIF(O29:S29,"&lt;&gt;0"),"")</f>
        <v>32000</v>
      </c>
      <c r="AC29" s="17" t="n">
        <f aca="false">IFERROR(AVERAGEIF(T29:X29,"&lt;&gt;0"),"")</f>
        <v>32000</v>
      </c>
      <c r="AD29" s="17" t="n">
        <f aca="false">IFERROR(AVERAGEIF(D29:X29,"&lt;&gt;0"),"")</f>
        <v>31375</v>
      </c>
    </row>
    <row r="30" customFormat="false" ht="15" hidden="false" customHeight="true" outlineLevel="0" collapsed="false">
      <c r="A30" s="5" t="n">
        <v>26</v>
      </c>
      <c r="B30" s="6" t="s">
        <v>412</v>
      </c>
      <c r="C30" s="5" t="s">
        <v>407</v>
      </c>
      <c r="D30" s="37" t="n">
        <v>0</v>
      </c>
      <c r="E30" s="37" t="n">
        <v>8000</v>
      </c>
      <c r="F30" s="37" t="n">
        <v>8000</v>
      </c>
      <c r="G30" s="37" t="n">
        <v>8000</v>
      </c>
      <c r="H30" s="37" t="n">
        <v>8000</v>
      </c>
      <c r="I30" s="37" t="n">
        <v>8000</v>
      </c>
      <c r="J30" s="37" t="n">
        <v>8000</v>
      </c>
      <c r="K30" s="37" t="n">
        <v>8000</v>
      </c>
      <c r="L30" s="37" t="n">
        <v>8000</v>
      </c>
      <c r="M30" s="37" t="n">
        <v>0</v>
      </c>
      <c r="N30" s="37" t="n">
        <v>0</v>
      </c>
      <c r="O30" s="37" t="n">
        <v>8000</v>
      </c>
      <c r="P30" s="37" t="n">
        <v>8000</v>
      </c>
      <c r="Q30" s="37" t="n">
        <v>8000</v>
      </c>
      <c r="R30" s="37" t="n">
        <v>8000</v>
      </c>
      <c r="S30" s="37" t="n">
        <v>8000</v>
      </c>
      <c r="T30" s="37" t="n">
        <v>8000</v>
      </c>
      <c r="U30" s="37" t="n">
        <v>8000</v>
      </c>
      <c r="V30" s="37" t="n">
        <v>0</v>
      </c>
      <c r="W30" s="37" t="n">
        <v>0</v>
      </c>
      <c r="X30" s="37" t="n">
        <v>8000</v>
      </c>
      <c r="Y30" s="17" t="str">
        <f aca="false">IFERROR(AVERAGEIF(D30:D30,"&lt;&gt;0"),"")</f>
        <v/>
      </c>
      <c r="Z30" s="17" t="n">
        <f aca="false">IFERROR(AVERAGEIF(E30:I30,"&lt;&gt;0"),"")</f>
        <v>8000</v>
      </c>
      <c r="AA30" s="17" t="n">
        <f aca="false">IFERROR(AVERAGEIF(J30:N30,"&lt;&gt;0"),"")</f>
        <v>8000</v>
      </c>
      <c r="AB30" s="17" t="n">
        <f aca="false">IFERROR(AVERAGEIF(O30:S30,"&lt;&gt;0"),"")</f>
        <v>8000</v>
      </c>
      <c r="AC30" s="17" t="n">
        <f aca="false">IFERROR(AVERAGEIF(T30:X30,"&lt;&gt;0"),"")</f>
        <v>8000</v>
      </c>
      <c r="AD30" s="17" t="n">
        <f aca="false">IFERROR(AVERAGEIF(D30:X30,"&lt;&gt;0"),"")</f>
        <v>8000</v>
      </c>
    </row>
    <row r="31" customFormat="false" ht="15" hidden="false" customHeight="true" outlineLevel="0" collapsed="false">
      <c r="A31" s="5" t="n">
        <v>27</v>
      </c>
      <c r="B31" s="6" t="s">
        <v>358</v>
      </c>
      <c r="C31" s="5" t="s">
        <v>455</v>
      </c>
      <c r="D31" s="37" t="n">
        <v>0</v>
      </c>
      <c r="E31" s="37" t="n">
        <v>10500</v>
      </c>
      <c r="F31" s="37" t="n">
        <v>10500</v>
      </c>
      <c r="G31" s="37" t="n">
        <v>10500</v>
      </c>
      <c r="H31" s="37" t="n">
        <v>10500</v>
      </c>
      <c r="I31" s="37" t="n">
        <v>10500</v>
      </c>
      <c r="J31" s="37" t="n">
        <v>10500</v>
      </c>
      <c r="K31" s="37" t="n">
        <v>10500</v>
      </c>
      <c r="L31" s="37" t="n">
        <v>10500</v>
      </c>
      <c r="M31" s="37" t="n">
        <v>0</v>
      </c>
      <c r="N31" s="37" t="n">
        <v>0</v>
      </c>
      <c r="O31" s="37" t="n">
        <v>10500</v>
      </c>
      <c r="P31" s="37" t="n">
        <v>10500</v>
      </c>
      <c r="Q31" s="37" t="n">
        <v>10500</v>
      </c>
      <c r="R31" s="37" t="n">
        <v>10500</v>
      </c>
      <c r="S31" s="37" t="n">
        <v>10500</v>
      </c>
      <c r="T31" s="37" t="n">
        <v>10500</v>
      </c>
      <c r="U31" s="37" t="n">
        <v>10500</v>
      </c>
      <c r="V31" s="37" t="n">
        <v>0</v>
      </c>
      <c r="W31" s="37" t="n">
        <v>0</v>
      </c>
      <c r="X31" s="37" t="n">
        <v>10500</v>
      </c>
      <c r="Y31" s="17" t="str">
        <f aca="false">IFERROR(AVERAGEIF(D31:D31,"&lt;&gt;0"),"")</f>
        <v/>
      </c>
      <c r="Z31" s="17" t="n">
        <f aca="false">IFERROR(AVERAGEIF(E31:I31,"&lt;&gt;0"),"")</f>
        <v>10500</v>
      </c>
      <c r="AA31" s="17" t="n">
        <f aca="false">IFERROR(AVERAGEIF(J31:N31,"&lt;&gt;0"),"")</f>
        <v>10500</v>
      </c>
      <c r="AB31" s="17" t="n">
        <f aca="false">IFERROR(AVERAGEIF(O31:S31,"&lt;&gt;0"),"")</f>
        <v>10500</v>
      </c>
      <c r="AC31" s="17" t="n">
        <f aca="false">IFERROR(AVERAGEIF(T31:X31,"&lt;&gt;0"),"")</f>
        <v>10500</v>
      </c>
      <c r="AD31" s="17" t="n">
        <f aca="false">IFERROR(AVERAGEIF(D31:X31,"&lt;&gt;0"),"")</f>
        <v>10500</v>
      </c>
    </row>
    <row r="32" customFormat="false" ht="15" hidden="false" customHeight="true" outlineLevel="0" collapsed="false">
      <c r="A32" s="5" t="n">
        <v>28</v>
      </c>
      <c r="B32" s="6" t="s">
        <v>352</v>
      </c>
      <c r="C32" s="5" t="s">
        <v>456</v>
      </c>
      <c r="D32" s="37" t="n">
        <v>0</v>
      </c>
      <c r="E32" s="37" t="n">
        <v>42000</v>
      </c>
      <c r="F32" s="37" t="n">
        <v>42000</v>
      </c>
      <c r="G32" s="37" t="n">
        <v>42000</v>
      </c>
      <c r="H32" s="37" t="n">
        <v>42000</v>
      </c>
      <c r="I32" s="37" t="n">
        <v>42000</v>
      </c>
      <c r="J32" s="37" t="n">
        <v>42000</v>
      </c>
      <c r="K32" s="37" t="n">
        <v>42000</v>
      </c>
      <c r="L32" s="37" t="n">
        <v>42000</v>
      </c>
      <c r="M32" s="37" t="n">
        <v>0</v>
      </c>
      <c r="N32" s="37" t="n">
        <v>0</v>
      </c>
      <c r="O32" s="37" t="n">
        <v>42000</v>
      </c>
      <c r="P32" s="37" t="n">
        <v>42000</v>
      </c>
      <c r="Q32" s="37" t="n">
        <v>42000</v>
      </c>
      <c r="R32" s="37" t="n">
        <v>42000</v>
      </c>
      <c r="S32" s="37" t="n">
        <v>42000</v>
      </c>
      <c r="T32" s="37" t="n">
        <v>42000</v>
      </c>
      <c r="U32" s="37" t="n">
        <v>42000</v>
      </c>
      <c r="V32" s="37" t="n">
        <v>0</v>
      </c>
      <c r="W32" s="37" t="n">
        <v>0</v>
      </c>
      <c r="X32" s="37" t="n">
        <v>42000</v>
      </c>
      <c r="Y32" s="17" t="str">
        <f aca="false">IFERROR(AVERAGEIF(D32:D32,"&lt;&gt;0"),"")</f>
        <v/>
      </c>
      <c r="Z32" s="17" t="n">
        <f aca="false">IFERROR(AVERAGEIF(E32:I32,"&lt;&gt;0"),"")</f>
        <v>42000</v>
      </c>
      <c r="AA32" s="17" t="n">
        <f aca="false">IFERROR(AVERAGEIF(J32:N32,"&lt;&gt;0"),"")</f>
        <v>42000</v>
      </c>
      <c r="AB32" s="17" t="n">
        <f aca="false">IFERROR(AVERAGEIF(O32:S32,"&lt;&gt;0"),"")</f>
        <v>42000</v>
      </c>
      <c r="AC32" s="17" t="n">
        <f aca="false">IFERROR(AVERAGEIF(T32:X32,"&lt;&gt;0"),"")</f>
        <v>42000</v>
      </c>
      <c r="AD32" s="17" t="n">
        <f aca="false">IFERROR(AVERAGEIF(D32:X32,"&lt;&gt;0"),"")</f>
        <v>42000</v>
      </c>
    </row>
    <row r="33" customFormat="false" ht="15" hidden="false" customHeight="true" outlineLevel="0" collapsed="false">
      <c r="A33" s="5" t="n">
        <v>29</v>
      </c>
      <c r="B33" s="6" t="s">
        <v>365</v>
      </c>
      <c r="C33" s="5" t="s">
        <v>407</v>
      </c>
      <c r="D33" s="37" t="n">
        <v>0</v>
      </c>
      <c r="E33" s="37" t="n">
        <v>11000</v>
      </c>
      <c r="F33" s="37" t="n">
        <v>11000</v>
      </c>
      <c r="G33" s="37" t="n">
        <v>11000</v>
      </c>
      <c r="H33" s="37" t="n">
        <v>11000</v>
      </c>
      <c r="I33" s="37" t="n">
        <v>11000</v>
      </c>
      <c r="J33" s="37" t="n">
        <v>11000</v>
      </c>
      <c r="K33" s="37" t="n">
        <v>11000</v>
      </c>
      <c r="L33" s="37" t="n">
        <v>11000</v>
      </c>
      <c r="M33" s="37" t="n">
        <v>0</v>
      </c>
      <c r="N33" s="37" t="n">
        <v>0</v>
      </c>
      <c r="O33" s="37" t="n">
        <v>11000</v>
      </c>
      <c r="P33" s="37" t="n">
        <v>11000</v>
      </c>
      <c r="Q33" s="37" t="n">
        <v>11000</v>
      </c>
      <c r="R33" s="37" t="n">
        <v>11000</v>
      </c>
      <c r="S33" s="37" t="n">
        <v>11000</v>
      </c>
      <c r="T33" s="37" t="n">
        <v>11000</v>
      </c>
      <c r="U33" s="37" t="n">
        <v>11000</v>
      </c>
      <c r="V33" s="37" t="n">
        <v>0</v>
      </c>
      <c r="W33" s="37" t="n">
        <v>0</v>
      </c>
      <c r="X33" s="37" t="n">
        <v>11000</v>
      </c>
      <c r="Y33" s="17" t="str">
        <f aca="false">IFERROR(AVERAGEIF(D33:D33,"&lt;&gt;0"),"")</f>
        <v/>
      </c>
      <c r="Z33" s="17" t="n">
        <f aca="false">IFERROR(AVERAGEIF(E33:I33,"&lt;&gt;0"),"")</f>
        <v>11000</v>
      </c>
      <c r="AA33" s="17" t="n">
        <f aca="false">IFERROR(AVERAGEIF(J33:N33,"&lt;&gt;0"),"")</f>
        <v>11000</v>
      </c>
      <c r="AB33" s="17" t="n">
        <f aca="false">IFERROR(AVERAGEIF(O33:S33,"&lt;&gt;0"),"")</f>
        <v>11000</v>
      </c>
      <c r="AC33" s="17" t="n">
        <f aca="false">IFERROR(AVERAGEIF(T33:X33,"&lt;&gt;0"),"")</f>
        <v>11000</v>
      </c>
      <c r="AD33" s="17" t="n">
        <f aca="false">IFERROR(AVERAGEIF(D33:X33,"&lt;&gt;0"),"")</f>
        <v>11000</v>
      </c>
    </row>
    <row r="34" customFormat="false" ht="15" hidden="false" customHeight="true" outlineLevel="0" collapsed="false">
      <c r="A34" s="5" t="n">
        <v>30</v>
      </c>
      <c r="B34" s="6" t="s">
        <v>338</v>
      </c>
      <c r="C34" s="5" t="s">
        <v>407</v>
      </c>
      <c r="D34" s="37" t="n">
        <v>0</v>
      </c>
      <c r="E34" s="37" t="n">
        <v>6000</v>
      </c>
      <c r="F34" s="37" t="n">
        <v>6000</v>
      </c>
      <c r="G34" s="37" t="n">
        <v>6000</v>
      </c>
      <c r="H34" s="37" t="n">
        <v>6000</v>
      </c>
      <c r="I34" s="37" t="n">
        <v>6000</v>
      </c>
      <c r="J34" s="37" t="n">
        <v>6000</v>
      </c>
      <c r="K34" s="37" t="n">
        <v>6000</v>
      </c>
      <c r="L34" s="37" t="n">
        <v>6000</v>
      </c>
      <c r="M34" s="37" t="n">
        <v>0</v>
      </c>
      <c r="N34" s="37" t="n">
        <v>0</v>
      </c>
      <c r="O34" s="37" t="n">
        <v>6000</v>
      </c>
      <c r="P34" s="37" t="n">
        <v>6000</v>
      </c>
      <c r="Q34" s="37" t="n">
        <v>6000</v>
      </c>
      <c r="R34" s="37" t="n">
        <v>6000</v>
      </c>
      <c r="S34" s="37" t="n">
        <v>6000</v>
      </c>
      <c r="T34" s="37" t="n">
        <v>6000</v>
      </c>
      <c r="U34" s="37" t="n">
        <v>6000</v>
      </c>
      <c r="V34" s="37" t="n">
        <v>0</v>
      </c>
      <c r="W34" s="37" t="n">
        <v>0</v>
      </c>
      <c r="X34" s="37" t="n">
        <v>6000</v>
      </c>
      <c r="Y34" s="17" t="str">
        <f aca="false">IFERROR(AVERAGEIF(D34:D34,"&lt;&gt;0"),"")</f>
        <v/>
      </c>
      <c r="Z34" s="17" t="n">
        <f aca="false">IFERROR(AVERAGEIF(E34:I34,"&lt;&gt;0"),"")</f>
        <v>6000</v>
      </c>
      <c r="AA34" s="17" t="n">
        <f aca="false">IFERROR(AVERAGEIF(J34:N34,"&lt;&gt;0"),"")</f>
        <v>6000</v>
      </c>
      <c r="AB34" s="17" t="n">
        <f aca="false">IFERROR(AVERAGEIF(O34:S34,"&lt;&gt;0"),"")</f>
        <v>6000</v>
      </c>
      <c r="AC34" s="17" t="n">
        <f aca="false">IFERROR(AVERAGEIF(T34:X34,"&lt;&gt;0"),"")</f>
        <v>6000</v>
      </c>
      <c r="AD34" s="17" t="n">
        <f aca="false">IFERROR(AVERAGEIF(D34:X34,"&lt;&gt;0"),"")</f>
        <v>6000</v>
      </c>
    </row>
    <row r="35" customFormat="false" ht="15" hidden="false" customHeight="true" outlineLevel="0" collapsed="false">
      <c r="A35" s="5" t="n">
        <v>31</v>
      </c>
      <c r="B35" s="6" t="s">
        <v>343</v>
      </c>
      <c r="C35" s="5" t="s">
        <v>407</v>
      </c>
      <c r="D35" s="37" t="n">
        <v>0</v>
      </c>
      <c r="E35" s="37" t="n">
        <v>70000</v>
      </c>
      <c r="F35" s="37" t="n">
        <v>70000</v>
      </c>
      <c r="G35" s="37" t="n">
        <v>70000</v>
      </c>
      <c r="H35" s="37" t="n">
        <v>70000</v>
      </c>
      <c r="I35" s="37" t="n">
        <v>70000</v>
      </c>
      <c r="J35" s="37" t="n">
        <v>70000</v>
      </c>
      <c r="K35" s="37" t="n">
        <v>70000</v>
      </c>
      <c r="L35" s="37" t="n">
        <v>70000</v>
      </c>
      <c r="M35" s="37" t="n">
        <v>0</v>
      </c>
      <c r="N35" s="37" t="n">
        <v>0</v>
      </c>
      <c r="O35" s="37" t="n">
        <v>70000</v>
      </c>
      <c r="P35" s="37" t="n">
        <v>70000</v>
      </c>
      <c r="Q35" s="37" t="n">
        <v>70000</v>
      </c>
      <c r="R35" s="37" t="n">
        <v>70000</v>
      </c>
      <c r="S35" s="37" t="n">
        <v>70000</v>
      </c>
      <c r="T35" s="37" t="n">
        <v>70000</v>
      </c>
      <c r="U35" s="37" t="n">
        <v>70000</v>
      </c>
      <c r="V35" s="37" t="n">
        <v>0</v>
      </c>
      <c r="W35" s="37" t="n">
        <v>0</v>
      </c>
      <c r="X35" s="37" t="n">
        <v>70000</v>
      </c>
      <c r="Y35" s="17" t="str">
        <f aca="false">IFERROR(AVERAGEIF(D35:D35,"&lt;&gt;0"),"")</f>
        <v/>
      </c>
      <c r="Z35" s="17" t="n">
        <f aca="false">IFERROR(AVERAGEIF(E35:I35,"&lt;&gt;0"),"")</f>
        <v>70000</v>
      </c>
      <c r="AA35" s="17" t="n">
        <f aca="false">IFERROR(AVERAGEIF(J35:N35,"&lt;&gt;0"),"")</f>
        <v>70000</v>
      </c>
      <c r="AB35" s="17" t="n">
        <f aca="false">IFERROR(AVERAGEIF(O35:S35,"&lt;&gt;0"),"")</f>
        <v>70000</v>
      </c>
      <c r="AC35" s="17" t="n">
        <f aca="false">IFERROR(AVERAGEIF(T35:X35,"&lt;&gt;0"),"")</f>
        <v>70000</v>
      </c>
      <c r="AD35" s="17" t="n">
        <f aca="false">IFERROR(AVERAGEIF(D35:X35,"&lt;&gt;0"),"")</f>
        <v>70000</v>
      </c>
    </row>
    <row r="36" customFormat="false" ht="15" hidden="false" customHeight="true" outlineLevel="0" collapsed="false">
      <c r="A36" s="5" t="n">
        <v>32</v>
      </c>
      <c r="B36" s="6" t="s">
        <v>345</v>
      </c>
      <c r="C36" s="5" t="s">
        <v>407</v>
      </c>
      <c r="D36" s="37" t="n">
        <v>0</v>
      </c>
      <c r="E36" s="37" t="n">
        <v>12000</v>
      </c>
      <c r="F36" s="37" t="n">
        <v>12000</v>
      </c>
      <c r="G36" s="37" t="n">
        <v>12000</v>
      </c>
      <c r="H36" s="37" t="n">
        <v>12000</v>
      </c>
      <c r="I36" s="37" t="n">
        <v>12000</v>
      </c>
      <c r="J36" s="37" t="n">
        <v>12000</v>
      </c>
      <c r="K36" s="37" t="n">
        <v>12000</v>
      </c>
      <c r="L36" s="37" t="n">
        <v>12000</v>
      </c>
      <c r="M36" s="37" t="n">
        <v>0</v>
      </c>
      <c r="N36" s="37" t="n">
        <v>0</v>
      </c>
      <c r="O36" s="37" t="n">
        <v>12000</v>
      </c>
      <c r="P36" s="37" t="n">
        <v>12000</v>
      </c>
      <c r="Q36" s="37" t="n">
        <v>12000</v>
      </c>
      <c r="R36" s="37" t="n">
        <v>12000</v>
      </c>
      <c r="S36" s="37" t="n">
        <v>12000</v>
      </c>
      <c r="T36" s="37" t="n">
        <v>12000</v>
      </c>
      <c r="U36" s="37" t="n">
        <v>12000</v>
      </c>
      <c r="V36" s="37" t="n">
        <v>0</v>
      </c>
      <c r="W36" s="37" t="n">
        <v>0</v>
      </c>
      <c r="X36" s="37" t="n">
        <v>12000</v>
      </c>
      <c r="Y36" s="17" t="str">
        <f aca="false">IFERROR(AVERAGEIF(D36:D36,"&lt;&gt;0"),"")</f>
        <v/>
      </c>
      <c r="Z36" s="17" t="n">
        <f aca="false">IFERROR(AVERAGEIF(E36:I36,"&lt;&gt;0"),"")</f>
        <v>12000</v>
      </c>
      <c r="AA36" s="17" t="n">
        <f aca="false">IFERROR(AVERAGEIF(J36:N36,"&lt;&gt;0"),"")</f>
        <v>12000</v>
      </c>
      <c r="AB36" s="17" t="n">
        <f aca="false">IFERROR(AVERAGEIF(O36:S36,"&lt;&gt;0"),"")</f>
        <v>12000</v>
      </c>
      <c r="AC36" s="17" t="n">
        <f aca="false">IFERROR(AVERAGEIF(T36:X36,"&lt;&gt;0"),"")</f>
        <v>12000</v>
      </c>
      <c r="AD36" s="17" t="n">
        <f aca="false">IFERROR(AVERAGEIF(D36:X36,"&lt;&gt;0"),"")</f>
        <v>12000</v>
      </c>
    </row>
    <row r="37" customFormat="false" ht="15" hidden="false" customHeight="true" outlineLevel="0" collapsed="false">
      <c r="A37" s="5" t="n">
        <v>33</v>
      </c>
      <c r="B37" s="6" t="s">
        <v>366</v>
      </c>
      <c r="C37" s="5" t="s">
        <v>407</v>
      </c>
      <c r="D37" s="37" t="n">
        <v>0</v>
      </c>
      <c r="E37" s="37" t="n">
        <v>8000</v>
      </c>
      <c r="F37" s="37" t="n">
        <v>8000</v>
      </c>
      <c r="G37" s="37" t="n">
        <v>8000</v>
      </c>
      <c r="H37" s="37" t="n">
        <v>8000</v>
      </c>
      <c r="I37" s="37" t="n">
        <v>8000</v>
      </c>
      <c r="J37" s="37" t="n">
        <v>8000</v>
      </c>
      <c r="K37" s="37" t="n">
        <v>8000</v>
      </c>
      <c r="L37" s="37" t="n">
        <v>8000</v>
      </c>
      <c r="M37" s="37" t="n">
        <v>0</v>
      </c>
      <c r="N37" s="37" t="n">
        <v>0</v>
      </c>
      <c r="O37" s="37" t="n">
        <v>8000</v>
      </c>
      <c r="P37" s="37" t="n">
        <v>8000</v>
      </c>
      <c r="Q37" s="37" t="n">
        <v>8000</v>
      </c>
      <c r="R37" s="37" t="n">
        <v>8000</v>
      </c>
      <c r="S37" s="37" t="n">
        <v>8000</v>
      </c>
      <c r="T37" s="37" t="n">
        <v>8000</v>
      </c>
      <c r="U37" s="37" t="n">
        <v>8000</v>
      </c>
      <c r="V37" s="37" t="n">
        <v>0</v>
      </c>
      <c r="W37" s="37" t="n">
        <v>0</v>
      </c>
      <c r="X37" s="37" t="n">
        <v>8000</v>
      </c>
      <c r="Y37" s="17" t="str">
        <f aca="false">IFERROR(AVERAGEIF(D37:D37,"&lt;&gt;0"),"")</f>
        <v/>
      </c>
      <c r="Z37" s="17" t="n">
        <f aca="false">IFERROR(AVERAGEIF(E37:I37,"&lt;&gt;0"),"")</f>
        <v>8000</v>
      </c>
      <c r="AA37" s="17" t="n">
        <f aca="false">IFERROR(AVERAGEIF(J37:N37,"&lt;&gt;0"),"")</f>
        <v>8000</v>
      </c>
      <c r="AB37" s="17" t="n">
        <f aca="false">IFERROR(AVERAGEIF(O37:S37,"&lt;&gt;0"),"")</f>
        <v>8000</v>
      </c>
      <c r="AC37" s="17" t="n">
        <f aca="false">IFERROR(AVERAGEIF(T37:X37,"&lt;&gt;0"),"")</f>
        <v>8000</v>
      </c>
      <c r="AD37" s="17" t="n">
        <f aca="false">IFERROR(AVERAGEIF(D37:X37,"&lt;&gt;0"),"")</f>
        <v>8000</v>
      </c>
    </row>
    <row r="38" customFormat="false" ht="15" hidden="false" customHeight="true" outlineLevel="0" collapsed="false">
      <c r="A38" s="5" t="n">
        <v>34</v>
      </c>
      <c r="B38" s="6" t="s">
        <v>413</v>
      </c>
      <c r="C38" s="5" t="s">
        <v>407</v>
      </c>
      <c r="D38" s="37" t="n">
        <v>0</v>
      </c>
      <c r="E38" s="37" t="n">
        <v>10000</v>
      </c>
      <c r="F38" s="37" t="n">
        <v>10000</v>
      </c>
      <c r="G38" s="37" t="n">
        <v>10000</v>
      </c>
      <c r="H38" s="37" t="n">
        <v>10000</v>
      </c>
      <c r="I38" s="37" t="n">
        <v>10000</v>
      </c>
      <c r="J38" s="37" t="n">
        <v>10000</v>
      </c>
      <c r="K38" s="37" t="n">
        <v>10000</v>
      </c>
      <c r="L38" s="37" t="n">
        <v>10000</v>
      </c>
      <c r="M38" s="37" t="n">
        <v>0</v>
      </c>
      <c r="N38" s="37" t="n">
        <v>0</v>
      </c>
      <c r="O38" s="37" t="n">
        <v>10000</v>
      </c>
      <c r="P38" s="37" t="n">
        <v>10000</v>
      </c>
      <c r="Q38" s="37" t="n">
        <v>10000</v>
      </c>
      <c r="R38" s="37" t="n">
        <v>10000</v>
      </c>
      <c r="S38" s="37" t="n">
        <v>10000</v>
      </c>
      <c r="T38" s="37" t="n">
        <v>10000</v>
      </c>
      <c r="U38" s="37" t="n">
        <v>10000</v>
      </c>
      <c r="V38" s="37" t="n">
        <v>0</v>
      </c>
      <c r="W38" s="37" t="n">
        <v>0</v>
      </c>
      <c r="X38" s="37" t="n">
        <v>10000</v>
      </c>
      <c r="Y38" s="17" t="str">
        <f aca="false">IFERROR(AVERAGEIF(D38:D38,"&lt;&gt;0"),"")</f>
        <v/>
      </c>
      <c r="Z38" s="17" t="n">
        <f aca="false">IFERROR(AVERAGEIF(E38:I38,"&lt;&gt;0"),"")</f>
        <v>10000</v>
      </c>
      <c r="AA38" s="17" t="n">
        <f aca="false">IFERROR(AVERAGEIF(J38:N38,"&lt;&gt;0"),"")</f>
        <v>10000</v>
      </c>
      <c r="AB38" s="17" t="n">
        <f aca="false">IFERROR(AVERAGEIF(O38:S38,"&lt;&gt;0"),"")</f>
        <v>10000</v>
      </c>
      <c r="AC38" s="17" t="n">
        <f aca="false">IFERROR(AVERAGEIF(T38:X38,"&lt;&gt;0"),"")</f>
        <v>10000</v>
      </c>
      <c r="AD38" s="17" t="n">
        <f aca="false">IFERROR(AVERAGEIF(D38:X38,"&lt;&gt;0"),"")</f>
        <v>10000</v>
      </c>
    </row>
    <row r="39" customFormat="false" ht="15" hidden="false" customHeight="true" outlineLevel="0" collapsed="false">
      <c r="A39" s="5" t="n">
        <v>35</v>
      </c>
      <c r="B39" s="6" t="s">
        <v>414</v>
      </c>
      <c r="C39" s="5" t="s">
        <v>407</v>
      </c>
      <c r="D39" s="37" t="n">
        <v>0</v>
      </c>
      <c r="E39" s="37" t="n">
        <v>15000</v>
      </c>
      <c r="F39" s="37" t="n">
        <v>15000</v>
      </c>
      <c r="G39" s="37" t="n">
        <v>15000</v>
      </c>
      <c r="H39" s="37" t="n">
        <v>15000</v>
      </c>
      <c r="I39" s="37" t="n">
        <v>15000</v>
      </c>
      <c r="J39" s="37" t="n">
        <v>15000</v>
      </c>
      <c r="K39" s="37" t="n">
        <v>15000</v>
      </c>
      <c r="L39" s="37" t="n">
        <v>15000</v>
      </c>
      <c r="M39" s="37" t="n">
        <v>0</v>
      </c>
      <c r="N39" s="37" t="n">
        <v>0</v>
      </c>
      <c r="O39" s="37" t="n">
        <v>15000</v>
      </c>
      <c r="P39" s="37" t="n">
        <v>15000</v>
      </c>
      <c r="Q39" s="37" t="n">
        <v>15000</v>
      </c>
      <c r="R39" s="37" t="n">
        <v>15000</v>
      </c>
      <c r="S39" s="37" t="n">
        <v>15000</v>
      </c>
      <c r="T39" s="37" t="n">
        <v>15000</v>
      </c>
      <c r="U39" s="37" t="n">
        <v>15000</v>
      </c>
      <c r="V39" s="37" t="n">
        <v>0</v>
      </c>
      <c r="W39" s="37" t="n">
        <v>0</v>
      </c>
      <c r="X39" s="37" t="n">
        <v>15000</v>
      </c>
      <c r="Y39" s="17" t="str">
        <f aca="false">IFERROR(AVERAGEIF(D39:D39,"&lt;&gt;0"),"")</f>
        <v/>
      </c>
      <c r="Z39" s="17" t="n">
        <f aca="false">IFERROR(AVERAGEIF(E39:I39,"&lt;&gt;0"),"")</f>
        <v>15000</v>
      </c>
      <c r="AA39" s="17" t="n">
        <f aca="false">IFERROR(AVERAGEIF(J39:N39,"&lt;&gt;0"),"")</f>
        <v>15000</v>
      </c>
      <c r="AB39" s="17" t="n">
        <f aca="false">IFERROR(AVERAGEIF(O39:S39,"&lt;&gt;0"),"")</f>
        <v>15000</v>
      </c>
      <c r="AC39" s="17" t="n">
        <f aca="false">IFERROR(AVERAGEIF(T39:X39,"&lt;&gt;0"),"")</f>
        <v>15000</v>
      </c>
      <c r="AD39" s="17" t="n">
        <f aca="false">IFERROR(AVERAGEIF(D39:X39,"&lt;&gt;0"),"")</f>
        <v>15000</v>
      </c>
    </row>
    <row r="40" customFormat="false" ht="15" hidden="false" customHeight="true" outlineLevel="0" collapsed="false">
      <c r="A40" s="5" t="n">
        <v>36</v>
      </c>
      <c r="B40" s="6" t="s">
        <v>415</v>
      </c>
      <c r="C40" s="5" t="s">
        <v>407</v>
      </c>
      <c r="D40" s="37" t="n">
        <v>0</v>
      </c>
      <c r="E40" s="37" t="n">
        <v>6000</v>
      </c>
      <c r="F40" s="37" t="n">
        <v>6000</v>
      </c>
      <c r="G40" s="37" t="n">
        <v>6000</v>
      </c>
      <c r="H40" s="37" t="n">
        <v>6000</v>
      </c>
      <c r="I40" s="37" t="n">
        <v>6000</v>
      </c>
      <c r="J40" s="37" t="n">
        <v>14000</v>
      </c>
      <c r="K40" s="37" t="n">
        <v>14000</v>
      </c>
      <c r="L40" s="37" t="n">
        <v>14000</v>
      </c>
      <c r="M40" s="37" t="n">
        <v>0</v>
      </c>
      <c r="N40" s="37" t="n">
        <v>0</v>
      </c>
      <c r="O40" s="37" t="n">
        <v>14000</v>
      </c>
      <c r="P40" s="37" t="n">
        <v>14000</v>
      </c>
      <c r="Q40" s="37" t="n">
        <v>14000</v>
      </c>
      <c r="R40" s="37" t="n">
        <v>14000</v>
      </c>
      <c r="S40" s="37" t="n">
        <v>14000</v>
      </c>
      <c r="T40" s="37" t="n">
        <v>14000</v>
      </c>
      <c r="U40" s="37" t="n">
        <v>14000</v>
      </c>
      <c r="V40" s="37" t="n">
        <v>0</v>
      </c>
      <c r="W40" s="37" t="n">
        <v>0</v>
      </c>
      <c r="X40" s="37" t="n">
        <v>14000</v>
      </c>
      <c r="Y40" s="17" t="str">
        <f aca="false">IFERROR(AVERAGEIF(D40:D40,"&lt;&gt;0"),"")</f>
        <v/>
      </c>
      <c r="Z40" s="17" t="n">
        <f aca="false">IFERROR(AVERAGEIF(E40:I40,"&lt;&gt;0"),"")</f>
        <v>6000</v>
      </c>
      <c r="AA40" s="17" t="n">
        <f aca="false">IFERROR(AVERAGEIF(J40:N40,"&lt;&gt;0"),"")</f>
        <v>14000</v>
      </c>
      <c r="AB40" s="17" t="n">
        <f aca="false">IFERROR(AVERAGEIF(O40:S40,"&lt;&gt;0"),"")</f>
        <v>14000</v>
      </c>
      <c r="AC40" s="17" t="n">
        <f aca="false">IFERROR(AVERAGEIF(T40:X40,"&lt;&gt;0"),"")</f>
        <v>14000</v>
      </c>
      <c r="AD40" s="17" t="n">
        <f aca="false">IFERROR(AVERAGEIF(D40:X40,"&lt;&gt;0"),"")</f>
        <v>11500</v>
      </c>
    </row>
    <row r="41" customFormat="false" ht="15" hidden="false" customHeight="true" outlineLevel="0" collapsed="false">
      <c r="A41" s="5" t="n">
        <v>37</v>
      </c>
      <c r="B41" s="6" t="s">
        <v>416</v>
      </c>
      <c r="C41" s="5" t="s">
        <v>407</v>
      </c>
      <c r="D41" s="37" t="n">
        <v>0</v>
      </c>
      <c r="E41" s="37" t="n">
        <v>5000</v>
      </c>
      <c r="F41" s="37" t="n">
        <v>5000</v>
      </c>
      <c r="G41" s="37" t="n">
        <v>5000</v>
      </c>
      <c r="H41" s="37" t="n">
        <v>5000</v>
      </c>
      <c r="I41" s="37" t="n">
        <v>5000</v>
      </c>
      <c r="J41" s="37" t="n">
        <v>7000</v>
      </c>
      <c r="K41" s="37" t="n">
        <v>7000</v>
      </c>
      <c r="L41" s="37" t="n">
        <v>7000</v>
      </c>
      <c r="M41" s="37" t="n">
        <v>0</v>
      </c>
      <c r="N41" s="37" t="n">
        <v>0</v>
      </c>
      <c r="O41" s="37" t="n">
        <v>7000</v>
      </c>
      <c r="P41" s="37" t="n">
        <v>7000</v>
      </c>
      <c r="Q41" s="37" t="n">
        <v>7000</v>
      </c>
      <c r="R41" s="37" t="n">
        <v>7000</v>
      </c>
      <c r="S41" s="37" t="n">
        <v>7000</v>
      </c>
      <c r="T41" s="37" t="n">
        <v>7000</v>
      </c>
      <c r="U41" s="37" t="n">
        <v>7000</v>
      </c>
      <c r="V41" s="37" t="n">
        <v>0</v>
      </c>
      <c r="W41" s="37" t="n">
        <v>0</v>
      </c>
      <c r="X41" s="37" t="n">
        <v>7000</v>
      </c>
      <c r="Y41" s="17" t="str">
        <f aca="false">IFERROR(AVERAGEIF(D41:D41,"&lt;&gt;0"),"")</f>
        <v/>
      </c>
      <c r="Z41" s="17" t="n">
        <f aca="false">IFERROR(AVERAGEIF(E41:I41,"&lt;&gt;0"),"")</f>
        <v>5000</v>
      </c>
      <c r="AA41" s="17" t="n">
        <f aca="false">IFERROR(AVERAGEIF(J41:N41,"&lt;&gt;0"),"")</f>
        <v>7000</v>
      </c>
      <c r="AB41" s="17" t="n">
        <f aca="false">IFERROR(AVERAGEIF(O41:S41,"&lt;&gt;0"),"")</f>
        <v>7000</v>
      </c>
      <c r="AC41" s="17" t="n">
        <f aca="false">IFERROR(AVERAGEIF(T41:X41,"&lt;&gt;0"),"")</f>
        <v>7000</v>
      </c>
      <c r="AD41" s="17" t="n">
        <f aca="false">IFERROR(AVERAGEIF(D41:X41,"&lt;&gt;0"),"")</f>
        <v>6375</v>
      </c>
    </row>
    <row r="42" customFormat="false" ht="15" hidden="false" customHeight="true" outlineLevel="0" collapsed="false">
      <c r="A42" s="5" t="n">
        <v>38</v>
      </c>
      <c r="B42" s="6" t="s">
        <v>417</v>
      </c>
      <c r="C42" s="5" t="s">
        <v>407</v>
      </c>
      <c r="D42" s="37" t="n">
        <v>0</v>
      </c>
      <c r="E42" s="37" t="n">
        <v>5000</v>
      </c>
      <c r="F42" s="37" t="n">
        <v>5000</v>
      </c>
      <c r="G42" s="37" t="n">
        <v>5000</v>
      </c>
      <c r="H42" s="37" t="n">
        <v>5000</v>
      </c>
      <c r="I42" s="37" t="n">
        <v>5000</v>
      </c>
      <c r="J42" s="37" t="n">
        <v>7000</v>
      </c>
      <c r="K42" s="37" t="n">
        <v>7000</v>
      </c>
      <c r="L42" s="37" t="n">
        <v>7000</v>
      </c>
      <c r="M42" s="37" t="n">
        <v>0</v>
      </c>
      <c r="N42" s="37" t="n">
        <v>0</v>
      </c>
      <c r="O42" s="37" t="n">
        <v>7000</v>
      </c>
      <c r="P42" s="37" t="n">
        <v>7000</v>
      </c>
      <c r="Q42" s="37" t="n">
        <v>7000</v>
      </c>
      <c r="R42" s="37" t="n">
        <v>7000</v>
      </c>
      <c r="S42" s="37" t="n">
        <v>7000</v>
      </c>
      <c r="T42" s="37" t="n">
        <v>7000</v>
      </c>
      <c r="U42" s="37" t="n">
        <v>7000</v>
      </c>
      <c r="V42" s="37" t="n">
        <v>0</v>
      </c>
      <c r="W42" s="37" t="n">
        <v>0</v>
      </c>
      <c r="X42" s="37" t="n">
        <v>7000</v>
      </c>
      <c r="Y42" s="17" t="str">
        <f aca="false">IFERROR(AVERAGEIF(D42:D42,"&lt;&gt;0"),"")</f>
        <v/>
      </c>
      <c r="Z42" s="17" t="n">
        <f aca="false">IFERROR(AVERAGEIF(E42:I42,"&lt;&gt;0"),"")</f>
        <v>5000</v>
      </c>
      <c r="AA42" s="17" t="n">
        <f aca="false">IFERROR(AVERAGEIF(J42:N42,"&lt;&gt;0"),"")</f>
        <v>7000</v>
      </c>
      <c r="AB42" s="17" t="n">
        <f aca="false">IFERROR(AVERAGEIF(O42:S42,"&lt;&gt;0"),"")</f>
        <v>7000</v>
      </c>
      <c r="AC42" s="17" t="n">
        <f aca="false">IFERROR(AVERAGEIF(T42:X42,"&lt;&gt;0"),"")</f>
        <v>7000</v>
      </c>
      <c r="AD42" s="17" t="n">
        <f aca="false">IFERROR(AVERAGEIF(D42:X42,"&lt;&gt;0"),"")</f>
        <v>6375</v>
      </c>
    </row>
    <row r="43" customFormat="false" ht="15" hidden="false" customHeight="true" outlineLevel="0" collapsed="false">
      <c r="A43" s="5" t="n">
        <v>39</v>
      </c>
      <c r="B43" s="6" t="s">
        <v>418</v>
      </c>
      <c r="C43" s="5" t="s">
        <v>407</v>
      </c>
      <c r="D43" s="37" t="n">
        <v>0</v>
      </c>
      <c r="E43" s="37" t="n">
        <v>7000</v>
      </c>
      <c r="F43" s="37" t="n">
        <v>7000</v>
      </c>
      <c r="G43" s="37" t="n">
        <v>7000</v>
      </c>
      <c r="H43" s="37" t="n">
        <v>7000</v>
      </c>
      <c r="I43" s="37" t="n">
        <v>7000</v>
      </c>
      <c r="J43" s="37" t="n">
        <v>7000</v>
      </c>
      <c r="K43" s="37" t="n">
        <v>7000</v>
      </c>
      <c r="L43" s="37" t="n">
        <v>7000</v>
      </c>
      <c r="M43" s="37" t="n">
        <v>0</v>
      </c>
      <c r="N43" s="37" t="n">
        <v>0</v>
      </c>
      <c r="O43" s="37" t="n">
        <v>7000</v>
      </c>
      <c r="P43" s="37" t="n">
        <v>7000</v>
      </c>
      <c r="Q43" s="37" t="n">
        <v>7000</v>
      </c>
      <c r="R43" s="37" t="n">
        <v>7000</v>
      </c>
      <c r="S43" s="37" t="n">
        <v>7000</v>
      </c>
      <c r="T43" s="37" t="n">
        <v>7000</v>
      </c>
      <c r="U43" s="37" t="n">
        <v>7000</v>
      </c>
      <c r="V43" s="37" t="n">
        <v>0</v>
      </c>
      <c r="W43" s="37" t="n">
        <v>0</v>
      </c>
      <c r="X43" s="37" t="n">
        <v>7000</v>
      </c>
      <c r="Y43" s="17" t="str">
        <f aca="false">IFERROR(AVERAGEIF(D43:D43,"&lt;&gt;0"),"")</f>
        <v/>
      </c>
      <c r="Z43" s="17" t="n">
        <f aca="false">IFERROR(AVERAGEIF(E43:I43,"&lt;&gt;0"),"")</f>
        <v>7000</v>
      </c>
      <c r="AA43" s="17" t="n">
        <f aca="false">IFERROR(AVERAGEIF(J43:N43,"&lt;&gt;0"),"")</f>
        <v>7000</v>
      </c>
      <c r="AB43" s="17" t="n">
        <f aca="false">IFERROR(AVERAGEIF(O43:S43,"&lt;&gt;0"),"")</f>
        <v>7000</v>
      </c>
      <c r="AC43" s="17" t="n">
        <f aca="false">IFERROR(AVERAGEIF(T43:X43,"&lt;&gt;0"),"")</f>
        <v>7000</v>
      </c>
      <c r="AD43" s="17" t="n">
        <f aca="false">IFERROR(AVERAGEIF(D43:X43,"&lt;&gt;0"),"")</f>
        <v>7000</v>
      </c>
    </row>
    <row r="44" customFormat="false" ht="15" hidden="false" customHeight="true" outlineLevel="0" collapsed="false">
      <c r="A44" s="5" t="n">
        <v>40</v>
      </c>
      <c r="B44" s="6" t="s">
        <v>419</v>
      </c>
      <c r="C44" s="5" t="s">
        <v>407</v>
      </c>
      <c r="D44" s="37" t="n">
        <v>0</v>
      </c>
      <c r="E44" s="37" t="n">
        <v>5000</v>
      </c>
      <c r="F44" s="37" t="n">
        <v>5000</v>
      </c>
      <c r="G44" s="37" t="n">
        <v>5000</v>
      </c>
      <c r="H44" s="37" t="n">
        <v>5000</v>
      </c>
      <c r="I44" s="37" t="n">
        <v>5000</v>
      </c>
      <c r="J44" s="37" t="n">
        <v>5000</v>
      </c>
      <c r="K44" s="37" t="n">
        <v>5000</v>
      </c>
      <c r="L44" s="37" t="n">
        <v>5000</v>
      </c>
      <c r="M44" s="37" t="n">
        <v>0</v>
      </c>
      <c r="N44" s="37" t="n">
        <v>0</v>
      </c>
      <c r="O44" s="37" t="n">
        <v>5000</v>
      </c>
      <c r="P44" s="37" t="n">
        <v>5000</v>
      </c>
      <c r="Q44" s="37" t="n">
        <v>5000</v>
      </c>
      <c r="R44" s="37" t="n">
        <v>5000</v>
      </c>
      <c r="S44" s="37" t="n">
        <v>5000</v>
      </c>
      <c r="T44" s="37" t="n">
        <v>5000</v>
      </c>
      <c r="U44" s="37" t="n">
        <v>5000</v>
      </c>
      <c r="V44" s="37" t="n">
        <v>0</v>
      </c>
      <c r="W44" s="37" t="n">
        <v>0</v>
      </c>
      <c r="X44" s="37" t="n">
        <v>5000</v>
      </c>
      <c r="Y44" s="17" t="str">
        <f aca="false">IFERROR(AVERAGEIF(D44:D44,"&lt;&gt;0"),"")</f>
        <v/>
      </c>
      <c r="Z44" s="17" t="n">
        <f aca="false">IFERROR(AVERAGEIF(E44:I44,"&lt;&gt;0"),"")</f>
        <v>5000</v>
      </c>
      <c r="AA44" s="17" t="n">
        <f aca="false">IFERROR(AVERAGEIF(J44:N44,"&lt;&gt;0"),"")</f>
        <v>5000</v>
      </c>
      <c r="AB44" s="17" t="n">
        <f aca="false">IFERROR(AVERAGEIF(O44:S44,"&lt;&gt;0"),"")</f>
        <v>5000</v>
      </c>
      <c r="AC44" s="17" t="n">
        <f aca="false">IFERROR(AVERAGEIF(T44:X44,"&lt;&gt;0"),"")</f>
        <v>5000</v>
      </c>
      <c r="AD44" s="17" t="n">
        <f aca="false">IFERROR(AVERAGEIF(D44:X44,"&lt;&gt;0"),"")</f>
        <v>5000</v>
      </c>
    </row>
    <row r="45" customFormat="false" ht="15" hidden="false" customHeight="true" outlineLevel="0" collapsed="false">
      <c r="A45" s="5" t="n">
        <v>41</v>
      </c>
      <c r="B45" s="6" t="s">
        <v>420</v>
      </c>
      <c r="C45" s="5" t="s">
        <v>457</v>
      </c>
      <c r="D45" s="37" t="n">
        <v>0</v>
      </c>
      <c r="E45" s="37" t="n">
        <v>65000</v>
      </c>
      <c r="F45" s="37" t="n">
        <v>65000</v>
      </c>
      <c r="G45" s="37" t="n">
        <v>65000</v>
      </c>
      <c r="H45" s="37" t="n">
        <v>65000</v>
      </c>
      <c r="I45" s="37" t="n">
        <v>65000</v>
      </c>
      <c r="J45" s="37" t="n">
        <v>65000</v>
      </c>
      <c r="K45" s="37" t="n">
        <v>65000</v>
      </c>
      <c r="L45" s="37" t="n">
        <v>65000</v>
      </c>
      <c r="M45" s="37" t="n">
        <v>0</v>
      </c>
      <c r="N45" s="37" t="n">
        <v>0</v>
      </c>
      <c r="O45" s="37" t="n">
        <v>65000</v>
      </c>
      <c r="P45" s="37" t="n">
        <v>65000</v>
      </c>
      <c r="Q45" s="37" t="n">
        <v>65000</v>
      </c>
      <c r="R45" s="37" t="n">
        <v>65000</v>
      </c>
      <c r="S45" s="37" t="n">
        <v>65000</v>
      </c>
      <c r="T45" s="37" t="n">
        <v>65000</v>
      </c>
      <c r="U45" s="37" t="n">
        <v>65000</v>
      </c>
      <c r="V45" s="37" t="n">
        <v>0</v>
      </c>
      <c r="W45" s="37" t="n">
        <v>0</v>
      </c>
      <c r="X45" s="37" t="n">
        <v>65000</v>
      </c>
      <c r="Y45" s="17" t="str">
        <f aca="false">IFERROR(AVERAGEIF(D45:D45,"&lt;&gt;0"),"")</f>
        <v/>
      </c>
      <c r="Z45" s="17" t="n">
        <f aca="false">IFERROR(AVERAGEIF(E45:I45,"&lt;&gt;0"),"")</f>
        <v>65000</v>
      </c>
      <c r="AA45" s="17" t="n">
        <f aca="false">IFERROR(AVERAGEIF(J45:N45,"&lt;&gt;0"),"")</f>
        <v>65000</v>
      </c>
      <c r="AB45" s="17" t="n">
        <f aca="false">IFERROR(AVERAGEIF(O45:S45,"&lt;&gt;0"),"")</f>
        <v>65000</v>
      </c>
      <c r="AC45" s="17" t="n">
        <f aca="false">IFERROR(AVERAGEIF(T45:X45,"&lt;&gt;0"),"")</f>
        <v>65000</v>
      </c>
      <c r="AD45" s="17" t="n">
        <f aca="false">IFERROR(AVERAGEIF(D45:X45,"&lt;&gt;0"),"")</f>
        <v>65000</v>
      </c>
    </row>
    <row r="46" customFormat="false" ht="15" hidden="false" customHeight="true" outlineLevel="0" collapsed="false">
      <c r="A46" s="5" t="n">
        <v>42</v>
      </c>
      <c r="B46" s="6" t="s">
        <v>421</v>
      </c>
      <c r="C46" s="5" t="s">
        <v>407</v>
      </c>
      <c r="D46" s="37" t="n">
        <v>0</v>
      </c>
      <c r="E46" s="37" t="n">
        <v>40000</v>
      </c>
      <c r="F46" s="37" t="n">
        <v>40000</v>
      </c>
      <c r="G46" s="37" t="n">
        <v>40000</v>
      </c>
      <c r="H46" s="37" t="n">
        <v>40000</v>
      </c>
      <c r="I46" s="37" t="n">
        <v>40000</v>
      </c>
      <c r="J46" s="37" t="n">
        <v>40000</v>
      </c>
      <c r="K46" s="37" t="n">
        <v>40000</v>
      </c>
      <c r="L46" s="37" t="n">
        <v>40000</v>
      </c>
      <c r="M46" s="37" t="n">
        <v>0</v>
      </c>
      <c r="N46" s="37" t="n">
        <v>0</v>
      </c>
      <c r="O46" s="37" t="n">
        <v>40000</v>
      </c>
      <c r="P46" s="37" t="n">
        <v>40000</v>
      </c>
      <c r="Q46" s="37" t="n">
        <v>40000</v>
      </c>
      <c r="R46" s="37" t="n">
        <v>40000</v>
      </c>
      <c r="S46" s="37" t="n">
        <v>40000</v>
      </c>
      <c r="T46" s="37" t="n">
        <v>40000</v>
      </c>
      <c r="U46" s="37" t="n">
        <v>40000</v>
      </c>
      <c r="V46" s="37" t="n">
        <v>0</v>
      </c>
      <c r="W46" s="37" t="n">
        <v>0</v>
      </c>
      <c r="X46" s="37" t="n">
        <v>40000</v>
      </c>
      <c r="Y46" s="17" t="str">
        <f aca="false">IFERROR(AVERAGEIF(D46:D46,"&lt;&gt;0"),"")</f>
        <v/>
      </c>
      <c r="Z46" s="17" t="n">
        <f aca="false">IFERROR(AVERAGEIF(E46:I46,"&lt;&gt;0"),"")</f>
        <v>40000</v>
      </c>
      <c r="AA46" s="17" t="n">
        <f aca="false">IFERROR(AVERAGEIF(J46:N46,"&lt;&gt;0"),"")</f>
        <v>40000</v>
      </c>
      <c r="AB46" s="17" t="n">
        <f aca="false">IFERROR(AVERAGEIF(O46:S46,"&lt;&gt;0"),"")</f>
        <v>40000</v>
      </c>
      <c r="AC46" s="17" t="n">
        <f aca="false">IFERROR(AVERAGEIF(T46:X46,"&lt;&gt;0"),"")</f>
        <v>40000</v>
      </c>
      <c r="AD46" s="17" t="n">
        <f aca="false">IFERROR(AVERAGEIF(D46:X46,"&lt;&gt;0"),"")</f>
        <v>40000</v>
      </c>
    </row>
    <row r="47" customFormat="false" ht="15" hidden="false" customHeight="true" outlineLevel="0" collapsed="false">
      <c r="A47" s="5" t="n">
        <v>43</v>
      </c>
      <c r="B47" s="6" t="s">
        <v>422</v>
      </c>
      <c r="C47" s="5" t="s">
        <v>407</v>
      </c>
      <c r="D47" s="37" t="n">
        <v>0</v>
      </c>
      <c r="E47" s="37" t="n">
        <v>30000</v>
      </c>
      <c r="F47" s="37" t="n">
        <v>30000</v>
      </c>
      <c r="G47" s="37" t="n">
        <v>30000</v>
      </c>
      <c r="H47" s="37" t="n">
        <v>30000</v>
      </c>
      <c r="I47" s="37" t="n">
        <v>30000</v>
      </c>
      <c r="J47" s="37" t="n">
        <v>32000</v>
      </c>
      <c r="K47" s="37" t="n">
        <v>32000</v>
      </c>
      <c r="L47" s="37" t="n">
        <v>32000</v>
      </c>
      <c r="M47" s="37" t="n">
        <v>0</v>
      </c>
      <c r="N47" s="37" t="n">
        <v>0</v>
      </c>
      <c r="O47" s="37" t="n">
        <v>32000</v>
      </c>
      <c r="P47" s="37" t="n">
        <v>32000</v>
      </c>
      <c r="Q47" s="37" t="n">
        <v>32000</v>
      </c>
      <c r="R47" s="37" t="n">
        <v>32000</v>
      </c>
      <c r="S47" s="37" t="n">
        <v>32000</v>
      </c>
      <c r="T47" s="37" t="n">
        <v>32000</v>
      </c>
      <c r="U47" s="37" t="n">
        <v>32000</v>
      </c>
      <c r="V47" s="37" t="n">
        <v>0</v>
      </c>
      <c r="W47" s="37" t="n">
        <v>0</v>
      </c>
      <c r="X47" s="37" t="n">
        <v>32000</v>
      </c>
      <c r="Y47" s="17" t="str">
        <f aca="false">IFERROR(AVERAGEIF(D47:D47,"&lt;&gt;0"),"")</f>
        <v/>
      </c>
      <c r="Z47" s="17" t="n">
        <f aca="false">IFERROR(AVERAGEIF(E47:I47,"&lt;&gt;0"),"")</f>
        <v>30000</v>
      </c>
      <c r="AA47" s="17" t="n">
        <f aca="false">IFERROR(AVERAGEIF(J47:N47,"&lt;&gt;0"),"")</f>
        <v>32000</v>
      </c>
      <c r="AB47" s="17" t="n">
        <f aca="false">IFERROR(AVERAGEIF(O47:S47,"&lt;&gt;0"),"")</f>
        <v>32000</v>
      </c>
      <c r="AC47" s="17" t="n">
        <f aca="false">IFERROR(AVERAGEIF(T47:X47,"&lt;&gt;0"),"")</f>
        <v>32000</v>
      </c>
      <c r="AD47" s="17" t="n">
        <f aca="false">IFERROR(AVERAGEIF(D47:X47,"&lt;&gt;0"),"")</f>
        <v>31375</v>
      </c>
    </row>
    <row r="48" customFormat="false" ht="15" hidden="false" customHeight="true" outlineLevel="0" collapsed="false">
      <c r="A48" s="5" t="n">
        <v>44</v>
      </c>
      <c r="B48" s="6" t="s">
        <v>423</v>
      </c>
      <c r="C48" s="5" t="s">
        <v>407</v>
      </c>
      <c r="D48" s="37" t="n">
        <v>0</v>
      </c>
      <c r="E48" s="37" t="n">
        <v>28000</v>
      </c>
      <c r="F48" s="37" t="n">
        <v>28000</v>
      </c>
      <c r="G48" s="37" t="n">
        <v>28000</v>
      </c>
      <c r="H48" s="37" t="n">
        <v>28000</v>
      </c>
      <c r="I48" s="37" t="n">
        <v>28000</v>
      </c>
      <c r="J48" s="37" t="n">
        <v>28000</v>
      </c>
      <c r="K48" s="37" t="n">
        <v>28000</v>
      </c>
      <c r="L48" s="37" t="n">
        <v>28000</v>
      </c>
      <c r="M48" s="37" t="n">
        <v>0</v>
      </c>
      <c r="N48" s="37" t="n">
        <v>0</v>
      </c>
      <c r="O48" s="37" t="n">
        <v>28000</v>
      </c>
      <c r="P48" s="37" t="n">
        <v>28000</v>
      </c>
      <c r="Q48" s="37" t="n">
        <v>28000</v>
      </c>
      <c r="R48" s="37" t="n">
        <v>28000</v>
      </c>
      <c r="S48" s="37" t="n">
        <v>28000</v>
      </c>
      <c r="T48" s="37" t="n">
        <v>28000</v>
      </c>
      <c r="U48" s="37" t="n">
        <v>28000</v>
      </c>
      <c r="V48" s="37" t="n">
        <v>0</v>
      </c>
      <c r="W48" s="37" t="n">
        <v>0</v>
      </c>
      <c r="X48" s="37" t="n">
        <v>28000</v>
      </c>
      <c r="Y48" s="17" t="str">
        <f aca="false">IFERROR(AVERAGEIF(D48:D48,"&lt;&gt;0"),"")</f>
        <v/>
      </c>
      <c r="Z48" s="17" t="n">
        <f aca="false">IFERROR(AVERAGEIF(E48:I48,"&lt;&gt;0"),"")</f>
        <v>28000</v>
      </c>
      <c r="AA48" s="17" t="n">
        <f aca="false">IFERROR(AVERAGEIF(J48:N48,"&lt;&gt;0"),"")</f>
        <v>28000</v>
      </c>
      <c r="AB48" s="17" t="n">
        <f aca="false">IFERROR(AVERAGEIF(O48:S48,"&lt;&gt;0"),"")</f>
        <v>28000</v>
      </c>
      <c r="AC48" s="17" t="n">
        <f aca="false">IFERROR(AVERAGEIF(T48:X48,"&lt;&gt;0"),"")</f>
        <v>28000</v>
      </c>
      <c r="AD48" s="17" t="n">
        <f aca="false">IFERROR(AVERAGEIF(D48:X48,"&lt;&gt;0"),"")</f>
        <v>28000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6"/>
    <col collapsed="false" customWidth="true" hidden="false" outlineLevel="0" max="25" min="4" style="1" width="11"/>
    <col collapsed="false" customWidth="true" hidden="false" outlineLevel="0" max="30" min="26" style="1" width="13"/>
    <col collapsed="false" customWidth="true" hidden="false" outlineLevel="0" max="31" min="31" style="1" width="14"/>
  </cols>
  <sheetData>
    <row r="1" customFormat="false" ht="26.25" hidden="false" customHeight="true" outlineLevel="0" collapsed="false">
      <c r="A1" s="2" t="s">
        <v>566</v>
      </c>
      <c r="B1" s="2"/>
      <c r="C1" s="2"/>
      <c r="D1" s="2"/>
    </row>
    <row r="2" customFormat="false" ht="18.75" hidden="false" customHeight="true" outlineLevel="0" collapsed="false">
      <c r="A2" s="12" t="s">
        <v>375</v>
      </c>
      <c r="B2" s="12"/>
      <c r="C2" s="12"/>
      <c r="D2" s="12"/>
    </row>
    <row r="4" customFormat="false" ht="25.5" hidden="false" customHeight="true" outlineLevel="0" collapsed="false">
      <c r="A4" s="3" t="s">
        <v>1</v>
      </c>
      <c r="B4" s="3" t="s">
        <v>376</v>
      </c>
      <c r="C4" s="3" t="s">
        <v>377</v>
      </c>
      <c r="D4" s="3" t="s">
        <v>567</v>
      </c>
      <c r="E4" s="3" t="s">
        <v>568</v>
      </c>
      <c r="F4" s="3" t="s">
        <v>569</v>
      </c>
      <c r="G4" s="3" t="s">
        <v>570</v>
      </c>
      <c r="H4" s="3" t="s">
        <v>571</v>
      </c>
      <c r="I4" s="3" t="s">
        <v>572</v>
      </c>
      <c r="J4" s="3" t="s">
        <v>573</v>
      </c>
      <c r="K4" s="3" t="s">
        <v>574</v>
      </c>
      <c r="L4" s="3" t="s">
        <v>575</v>
      </c>
      <c r="M4" s="3" t="s">
        <v>576</v>
      </c>
      <c r="N4" s="3" t="s">
        <v>577</v>
      </c>
      <c r="O4" s="3" t="s">
        <v>578</v>
      </c>
      <c r="P4" s="3" t="s">
        <v>579</v>
      </c>
      <c r="Q4" s="3" t="s">
        <v>580</v>
      </c>
      <c r="R4" s="3" t="s">
        <v>581</v>
      </c>
      <c r="S4" s="3" t="s">
        <v>582</v>
      </c>
      <c r="T4" s="3" t="s">
        <v>583</v>
      </c>
      <c r="U4" s="3" t="s">
        <v>584</v>
      </c>
      <c r="V4" s="3" t="s">
        <v>585</v>
      </c>
      <c r="W4" s="3" t="s">
        <v>586</v>
      </c>
      <c r="X4" s="3" t="s">
        <v>587</v>
      </c>
      <c r="Y4" s="3" t="s">
        <v>588</v>
      </c>
      <c r="Z4" s="35" t="s">
        <v>401</v>
      </c>
      <c r="AA4" s="35" t="s">
        <v>402</v>
      </c>
      <c r="AB4" s="35" t="s">
        <v>403</v>
      </c>
      <c r="AC4" s="35" t="s">
        <v>404</v>
      </c>
      <c r="AD4" s="35" t="s">
        <v>589</v>
      </c>
      <c r="AE4" s="36" t="s">
        <v>590</v>
      </c>
    </row>
    <row r="5" customFormat="false" ht="15" hidden="false" customHeight="true" outlineLevel="0" collapsed="false">
      <c r="A5" s="5" t="n">
        <v>1</v>
      </c>
      <c r="B5" s="6" t="s">
        <v>334</v>
      </c>
      <c r="C5" s="5" t="s">
        <v>407</v>
      </c>
      <c r="D5" s="37" t="n">
        <v>0</v>
      </c>
      <c r="E5" s="37" t="n">
        <v>12700</v>
      </c>
      <c r="F5" s="37" t="n">
        <v>12700</v>
      </c>
      <c r="G5" s="37" t="n">
        <v>12700</v>
      </c>
      <c r="H5" s="37" t="n">
        <v>12700</v>
      </c>
      <c r="I5" s="37" t="n">
        <v>12700</v>
      </c>
      <c r="J5" s="37" t="n">
        <v>12700</v>
      </c>
      <c r="K5" s="37" t="n">
        <v>12000</v>
      </c>
      <c r="L5" s="37" t="n">
        <v>12500</v>
      </c>
      <c r="M5" s="37" t="n">
        <v>12500</v>
      </c>
      <c r="N5" s="37" t="n">
        <v>12500</v>
      </c>
      <c r="O5" s="37" t="n">
        <v>0</v>
      </c>
      <c r="P5" s="37" t="n">
        <v>12500</v>
      </c>
      <c r="Q5" s="37" t="n">
        <v>12500</v>
      </c>
      <c r="R5" s="37" t="n">
        <v>12500</v>
      </c>
      <c r="S5" s="37" t="n">
        <v>12500</v>
      </c>
      <c r="T5" s="37" t="n">
        <v>12500</v>
      </c>
      <c r="U5" s="37" t="n">
        <v>12500</v>
      </c>
      <c r="V5" s="37" t="n">
        <v>12500</v>
      </c>
      <c r="W5" s="37" t="n">
        <v>12500</v>
      </c>
      <c r="X5" s="37" t="n">
        <v>12500</v>
      </c>
      <c r="Y5" s="37" t="n">
        <v>12500</v>
      </c>
      <c r="Z5" s="17" t="n">
        <f aca="false">IFERROR(AVERAGEIF(D5:H5,"&lt;&gt;0"),"")</f>
        <v>12700</v>
      </c>
      <c r="AA5" s="17" t="n">
        <f aca="false">IFERROR(AVERAGEIF(I5:M5,"&lt;&gt;0"),"")</f>
        <v>12480</v>
      </c>
      <c r="AB5" s="17" t="n">
        <f aca="false">IFERROR(AVERAGEIF(N5:R5,"&lt;&gt;0"),"")</f>
        <v>12500</v>
      </c>
      <c r="AC5" s="17" t="n">
        <f aca="false">IFERROR(AVERAGEIF(S5:W5,"&lt;&gt;0"),"")</f>
        <v>12500</v>
      </c>
      <c r="AD5" s="17" t="n">
        <f aca="false">IFERROR(AVERAGEIF(X5:Y5,"&lt;&gt;0"),"")</f>
        <v>12500</v>
      </c>
      <c r="AE5" s="17" t="n">
        <f aca="false">IFERROR(AVERAGEIF(D5:Y5,"&lt;&gt;0"),"")</f>
        <v>12535</v>
      </c>
    </row>
    <row r="6" customFormat="false" ht="15" hidden="false" customHeight="true" outlineLevel="0" collapsed="false">
      <c r="A6" s="5" t="n">
        <v>2</v>
      </c>
      <c r="B6" s="6" t="s">
        <v>335</v>
      </c>
      <c r="C6" s="5" t="s">
        <v>407</v>
      </c>
      <c r="D6" s="37" t="n">
        <v>0</v>
      </c>
      <c r="E6" s="37" t="n">
        <v>14300</v>
      </c>
      <c r="F6" s="37" t="n">
        <v>14300</v>
      </c>
      <c r="G6" s="37" t="n">
        <v>14300</v>
      </c>
      <c r="H6" s="37" t="n">
        <v>14300</v>
      </c>
      <c r="I6" s="37" t="n">
        <v>14300</v>
      </c>
      <c r="J6" s="37" t="n">
        <v>14300</v>
      </c>
      <c r="K6" s="37" t="n">
        <v>14300</v>
      </c>
      <c r="L6" s="37" t="n">
        <v>14300</v>
      </c>
      <c r="M6" s="37" t="n">
        <v>14300</v>
      </c>
      <c r="N6" s="37" t="n">
        <v>14300</v>
      </c>
      <c r="O6" s="37" t="n">
        <v>0</v>
      </c>
      <c r="P6" s="37" t="n">
        <v>14300</v>
      </c>
      <c r="Q6" s="37" t="n">
        <v>14300</v>
      </c>
      <c r="R6" s="37" t="n">
        <v>14300</v>
      </c>
      <c r="S6" s="37" t="n">
        <v>14300</v>
      </c>
      <c r="T6" s="37" t="n">
        <v>14300</v>
      </c>
      <c r="U6" s="37" t="n">
        <v>14300</v>
      </c>
      <c r="V6" s="37" t="n">
        <v>14300</v>
      </c>
      <c r="W6" s="37" t="n">
        <v>14300</v>
      </c>
      <c r="X6" s="37" t="n">
        <v>14300</v>
      </c>
      <c r="Y6" s="37" t="n">
        <v>14300</v>
      </c>
      <c r="Z6" s="17" t="n">
        <f aca="false">IFERROR(AVERAGEIF(D6:H6,"&lt;&gt;0"),"")</f>
        <v>14300</v>
      </c>
      <c r="AA6" s="17" t="n">
        <f aca="false">IFERROR(AVERAGEIF(I6:M6,"&lt;&gt;0"),"")</f>
        <v>14300</v>
      </c>
      <c r="AB6" s="17" t="n">
        <f aca="false">IFERROR(AVERAGEIF(N6:R6,"&lt;&gt;0"),"")</f>
        <v>14300</v>
      </c>
      <c r="AC6" s="17" t="n">
        <f aca="false">IFERROR(AVERAGEIF(S6:W6,"&lt;&gt;0"),"")</f>
        <v>14300</v>
      </c>
      <c r="AD6" s="17" t="n">
        <f aca="false">IFERROR(AVERAGEIF(X6:Y6,"&lt;&gt;0"),"")</f>
        <v>14300</v>
      </c>
      <c r="AE6" s="17" t="n">
        <f aca="false">IFERROR(AVERAGEIF(D6:Y6,"&lt;&gt;0"),"")</f>
        <v>14300</v>
      </c>
    </row>
    <row r="7" customFormat="false" ht="15" hidden="false" customHeight="true" outlineLevel="0" collapsed="false">
      <c r="A7" s="5" t="n">
        <v>3</v>
      </c>
      <c r="B7" s="6" t="s">
        <v>336</v>
      </c>
      <c r="C7" s="5" t="s">
        <v>407</v>
      </c>
      <c r="D7" s="37" t="n">
        <v>0</v>
      </c>
      <c r="E7" s="37" t="n">
        <v>11800</v>
      </c>
      <c r="F7" s="37" t="n">
        <v>11800</v>
      </c>
      <c r="G7" s="37" t="n">
        <v>11800</v>
      </c>
      <c r="H7" s="37" t="n">
        <v>11800</v>
      </c>
      <c r="I7" s="37" t="n">
        <v>11800</v>
      </c>
      <c r="J7" s="37" t="n">
        <v>11800</v>
      </c>
      <c r="K7" s="37" t="n">
        <v>11800</v>
      </c>
      <c r="L7" s="37" t="n">
        <v>11800</v>
      </c>
      <c r="M7" s="37" t="n">
        <v>11800</v>
      </c>
      <c r="N7" s="37" t="n">
        <v>11800</v>
      </c>
      <c r="O7" s="37" t="n">
        <v>0</v>
      </c>
      <c r="P7" s="37" t="n">
        <v>11800</v>
      </c>
      <c r="Q7" s="37" t="n">
        <v>12500</v>
      </c>
      <c r="R7" s="37" t="n">
        <v>11800</v>
      </c>
      <c r="S7" s="37" t="n">
        <v>11800</v>
      </c>
      <c r="T7" s="37" t="n">
        <v>11800</v>
      </c>
      <c r="U7" s="37" t="n">
        <v>11800</v>
      </c>
      <c r="V7" s="37" t="n">
        <v>11800</v>
      </c>
      <c r="W7" s="37" t="n">
        <v>11800</v>
      </c>
      <c r="X7" s="37" t="n">
        <v>11800</v>
      </c>
      <c r="Y7" s="37" t="n">
        <v>11800</v>
      </c>
      <c r="Z7" s="17" t="n">
        <f aca="false">IFERROR(AVERAGEIF(D7:H7,"&lt;&gt;0"),"")</f>
        <v>11800</v>
      </c>
      <c r="AA7" s="17" t="n">
        <f aca="false">IFERROR(AVERAGEIF(I7:M7,"&lt;&gt;0"),"")</f>
        <v>11800</v>
      </c>
      <c r="AB7" s="17" t="n">
        <f aca="false">IFERROR(AVERAGEIF(N7:R7,"&lt;&gt;0"),"")</f>
        <v>11975</v>
      </c>
      <c r="AC7" s="17" t="n">
        <f aca="false">IFERROR(AVERAGEIF(S7:W7,"&lt;&gt;0"),"")</f>
        <v>11800</v>
      </c>
      <c r="AD7" s="17" t="n">
        <f aca="false">IFERROR(AVERAGEIF(X7:Y7,"&lt;&gt;0"),"")</f>
        <v>11800</v>
      </c>
      <c r="AE7" s="17" t="n">
        <f aca="false">IFERROR(AVERAGEIF(D7:Y7,"&lt;&gt;0"),"")</f>
        <v>11835</v>
      </c>
    </row>
    <row r="8" customFormat="false" ht="15" hidden="false" customHeight="true" outlineLevel="0" collapsed="false">
      <c r="A8" s="5" t="n">
        <v>4</v>
      </c>
      <c r="B8" s="6" t="s">
        <v>408</v>
      </c>
      <c r="C8" s="5" t="s">
        <v>407</v>
      </c>
      <c r="D8" s="37" t="n">
        <v>0</v>
      </c>
      <c r="E8" s="37" t="n">
        <v>11000</v>
      </c>
      <c r="F8" s="37" t="n">
        <v>11000</v>
      </c>
      <c r="G8" s="37" t="n">
        <v>11000</v>
      </c>
      <c r="H8" s="37" t="n">
        <v>11000</v>
      </c>
      <c r="I8" s="37" t="n">
        <v>11000</v>
      </c>
      <c r="J8" s="37" t="n">
        <v>11000</v>
      </c>
      <c r="K8" s="37" t="n">
        <v>11000</v>
      </c>
      <c r="L8" s="37" t="n">
        <v>11000</v>
      </c>
      <c r="M8" s="37" t="n">
        <v>11000</v>
      </c>
      <c r="N8" s="37" t="n">
        <v>11000</v>
      </c>
      <c r="O8" s="37" t="n">
        <v>0</v>
      </c>
      <c r="P8" s="37" t="n">
        <v>11000</v>
      </c>
      <c r="Q8" s="37" t="n">
        <v>11000</v>
      </c>
      <c r="R8" s="37" t="n">
        <v>11000</v>
      </c>
      <c r="S8" s="37" t="n">
        <v>11000</v>
      </c>
      <c r="T8" s="37" t="n">
        <v>11000</v>
      </c>
      <c r="U8" s="37" t="n">
        <v>11000</v>
      </c>
      <c r="V8" s="37" t="n">
        <v>11000</v>
      </c>
      <c r="W8" s="37" t="n">
        <v>11000</v>
      </c>
      <c r="X8" s="37" t="n">
        <v>11000</v>
      </c>
      <c r="Y8" s="37" t="n">
        <v>11000</v>
      </c>
      <c r="Z8" s="17" t="n">
        <f aca="false">IFERROR(AVERAGEIF(D8:H8,"&lt;&gt;0"),"")</f>
        <v>11000</v>
      </c>
      <c r="AA8" s="17" t="n">
        <f aca="false">IFERROR(AVERAGEIF(I8:M8,"&lt;&gt;0"),"")</f>
        <v>11000</v>
      </c>
      <c r="AB8" s="17" t="n">
        <f aca="false">IFERROR(AVERAGEIF(N8:R8,"&lt;&gt;0"),"")</f>
        <v>11000</v>
      </c>
      <c r="AC8" s="17" t="n">
        <f aca="false">IFERROR(AVERAGEIF(S8:W8,"&lt;&gt;0"),"")</f>
        <v>11000</v>
      </c>
      <c r="AD8" s="17" t="n">
        <f aca="false">IFERROR(AVERAGEIF(X8:Y8,"&lt;&gt;0"),"")</f>
        <v>11000</v>
      </c>
      <c r="AE8" s="17" t="n">
        <f aca="false">IFERROR(AVERAGEIF(D8:Y8,"&lt;&gt;0"),"")</f>
        <v>11000</v>
      </c>
    </row>
    <row r="9" customFormat="false" ht="15" hidden="false" customHeight="true" outlineLevel="0" collapsed="false">
      <c r="A9" s="5" t="n">
        <v>5</v>
      </c>
      <c r="B9" s="6" t="s">
        <v>360</v>
      </c>
      <c r="C9" s="5" t="s">
        <v>407</v>
      </c>
      <c r="D9" s="37" t="n">
        <v>0</v>
      </c>
      <c r="E9" s="37" t="n">
        <v>46000</v>
      </c>
      <c r="F9" s="37" t="n">
        <v>44000</v>
      </c>
      <c r="G9" s="37" t="n">
        <v>44000</v>
      </c>
      <c r="H9" s="37" t="n">
        <v>40000</v>
      </c>
      <c r="I9" s="37" t="n">
        <v>40000</v>
      </c>
      <c r="J9" s="37" t="n">
        <v>40000</v>
      </c>
      <c r="K9" s="37" t="n">
        <v>40000</v>
      </c>
      <c r="L9" s="37" t="n">
        <v>40000</v>
      </c>
      <c r="M9" s="37" t="n">
        <v>38000</v>
      </c>
      <c r="N9" s="37" t="n">
        <v>35000</v>
      </c>
      <c r="O9" s="37" t="n">
        <v>0</v>
      </c>
      <c r="P9" s="37" t="n">
        <v>30000</v>
      </c>
      <c r="Q9" s="37" t="n">
        <v>32000</v>
      </c>
      <c r="R9" s="37" t="n">
        <v>32000</v>
      </c>
      <c r="S9" s="37" t="n">
        <v>32000</v>
      </c>
      <c r="T9" s="37" t="n">
        <v>32000</v>
      </c>
      <c r="U9" s="37" t="n">
        <v>32000</v>
      </c>
      <c r="V9" s="37" t="n">
        <v>32000</v>
      </c>
      <c r="W9" s="37" t="n">
        <v>32000</v>
      </c>
      <c r="X9" s="37" t="n">
        <v>32000</v>
      </c>
      <c r="Y9" s="37" t="n">
        <v>30000</v>
      </c>
      <c r="Z9" s="17" t="n">
        <f aca="false">IFERROR(AVERAGEIF(D9:H9,"&lt;&gt;0"),"")</f>
        <v>43500</v>
      </c>
      <c r="AA9" s="17" t="n">
        <f aca="false">IFERROR(AVERAGEIF(I9:M9,"&lt;&gt;0"),"")</f>
        <v>39600</v>
      </c>
      <c r="AB9" s="17" t="n">
        <f aca="false">IFERROR(AVERAGEIF(N9:R9,"&lt;&gt;0"),"")</f>
        <v>32250</v>
      </c>
      <c r="AC9" s="17" t="n">
        <f aca="false">IFERROR(AVERAGEIF(S9:W9,"&lt;&gt;0"),"")</f>
        <v>32000</v>
      </c>
      <c r="AD9" s="17" t="n">
        <f aca="false">IFERROR(AVERAGEIF(X9:Y9,"&lt;&gt;0"),"")</f>
        <v>31000</v>
      </c>
      <c r="AE9" s="17" t="n">
        <f aca="false">IFERROR(AVERAGEIF(D9:Y9,"&lt;&gt;0"),"")</f>
        <v>36150</v>
      </c>
    </row>
    <row r="10" customFormat="false" ht="15" hidden="false" customHeight="true" outlineLevel="0" collapsed="false">
      <c r="A10" s="5" t="n">
        <v>6</v>
      </c>
      <c r="B10" s="6" t="s">
        <v>361</v>
      </c>
      <c r="C10" s="5" t="s">
        <v>407</v>
      </c>
      <c r="D10" s="37" t="n">
        <v>0</v>
      </c>
      <c r="E10" s="37" t="n">
        <v>50000</v>
      </c>
      <c r="F10" s="37" t="n">
        <v>48000</v>
      </c>
      <c r="G10" s="37" t="n">
        <v>48000</v>
      </c>
      <c r="H10" s="37" t="n">
        <v>48000</v>
      </c>
      <c r="I10" s="37" t="n">
        <v>48000</v>
      </c>
      <c r="J10" s="37" t="n">
        <v>48000</v>
      </c>
      <c r="K10" s="37" t="n">
        <v>48000</v>
      </c>
      <c r="L10" s="37" t="n">
        <v>48000</v>
      </c>
      <c r="M10" s="37" t="n">
        <v>45000</v>
      </c>
      <c r="N10" s="37" t="n">
        <v>36000</v>
      </c>
      <c r="O10" s="37" t="n">
        <v>0</v>
      </c>
      <c r="P10" s="37" t="n">
        <v>30000</v>
      </c>
      <c r="Q10" s="37" t="n">
        <v>32000</v>
      </c>
      <c r="R10" s="37" t="n">
        <v>32000</v>
      </c>
      <c r="S10" s="37" t="n">
        <v>28000</v>
      </c>
      <c r="T10" s="37" t="n">
        <v>28000</v>
      </c>
      <c r="U10" s="37" t="n">
        <v>28000</v>
      </c>
      <c r="V10" s="37" t="n">
        <v>28000</v>
      </c>
      <c r="W10" s="37" t="n">
        <v>28000</v>
      </c>
      <c r="X10" s="37" t="n">
        <v>28000</v>
      </c>
      <c r="Y10" s="37" t="n">
        <v>28000</v>
      </c>
      <c r="Z10" s="17" t="n">
        <f aca="false">IFERROR(AVERAGEIF(D10:H10,"&lt;&gt;0"),"")</f>
        <v>48500</v>
      </c>
      <c r="AA10" s="17" t="n">
        <f aca="false">IFERROR(AVERAGEIF(I10:M10,"&lt;&gt;0"),"")</f>
        <v>47400</v>
      </c>
      <c r="AB10" s="17" t="n">
        <f aca="false">IFERROR(AVERAGEIF(N10:R10,"&lt;&gt;0"),"")</f>
        <v>32500</v>
      </c>
      <c r="AC10" s="17" t="n">
        <f aca="false">IFERROR(AVERAGEIF(S10:W10,"&lt;&gt;0"),"")</f>
        <v>28000</v>
      </c>
      <c r="AD10" s="17" t="n">
        <f aca="false">IFERROR(AVERAGEIF(X10:Y10,"&lt;&gt;0"),"")</f>
        <v>28000</v>
      </c>
      <c r="AE10" s="17" t="n">
        <f aca="false">IFERROR(AVERAGEIF(D10:Y10,"&lt;&gt;0"),"")</f>
        <v>37850</v>
      </c>
    </row>
    <row r="11" customFormat="false" ht="15" hidden="false" customHeight="true" outlineLevel="0" collapsed="false">
      <c r="A11" s="5" t="n">
        <v>7</v>
      </c>
      <c r="B11" s="6" t="s">
        <v>347</v>
      </c>
      <c r="C11" s="5" t="s">
        <v>407</v>
      </c>
      <c r="D11" s="37" t="n">
        <v>0</v>
      </c>
      <c r="E11" s="37" t="n">
        <v>65000</v>
      </c>
      <c r="F11" s="37" t="n">
        <v>65000</v>
      </c>
      <c r="G11" s="37" t="n">
        <v>63000</v>
      </c>
      <c r="H11" s="37" t="n">
        <v>62000</v>
      </c>
      <c r="I11" s="37" t="n">
        <v>62000</v>
      </c>
      <c r="J11" s="37" t="n">
        <v>62000</v>
      </c>
      <c r="K11" s="37" t="n">
        <v>62000</v>
      </c>
      <c r="L11" s="37" t="n">
        <v>62000</v>
      </c>
      <c r="M11" s="37" t="n">
        <v>60000</v>
      </c>
      <c r="N11" s="37" t="n">
        <v>60000</v>
      </c>
      <c r="O11" s="37" t="n">
        <v>0</v>
      </c>
      <c r="P11" s="37" t="n">
        <v>57000</v>
      </c>
      <c r="Q11" s="37" t="n">
        <v>57000</v>
      </c>
      <c r="R11" s="37" t="n">
        <v>55000</v>
      </c>
      <c r="S11" s="37" t="n">
        <v>50000</v>
      </c>
      <c r="T11" s="37" t="n">
        <v>50000</v>
      </c>
      <c r="U11" s="37" t="n">
        <v>50000</v>
      </c>
      <c r="V11" s="37" t="n">
        <v>50000</v>
      </c>
      <c r="W11" s="37" t="n">
        <v>50000</v>
      </c>
      <c r="X11" s="37" t="n">
        <v>50000</v>
      </c>
      <c r="Y11" s="37" t="n">
        <v>45000</v>
      </c>
      <c r="Z11" s="17" t="n">
        <f aca="false">IFERROR(AVERAGEIF(D11:H11,"&lt;&gt;0"),"")</f>
        <v>63750</v>
      </c>
      <c r="AA11" s="17" t="n">
        <f aca="false">IFERROR(AVERAGEIF(I11:M11,"&lt;&gt;0"),"")</f>
        <v>61600</v>
      </c>
      <c r="AB11" s="17" t="n">
        <f aca="false">IFERROR(AVERAGEIF(N11:R11,"&lt;&gt;0"),"")</f>
        <v>57250</v>
      </c>
      <c r="AC11" s="17" t="n">
        <f aca="false">IFERROR(AVERAGEIF(S11:W11,"&lt;&gt;0"),"")</f>
        <v>50000</v>
      </c>
      <c r="AD11" s="17" t="n">
        <f aca="false">IFERROR(AVERAGEIF(X11:Y11,"&lt;&gt;0"),"")</f>
        <v>47500</v>
      </c>
      <c r="AE11" s="17" t="n">
        <f aca="false">IFERROR(AVERAGEIF(D11:Y11,"&lt;&gt;0"),"")</f>
        <v>56850</v>
      </c>
    </row>
    <row r="12" customFormat="false" ht="15" hidden="false" customHeight="true" outlineLevel="0" collapsed="false">
      <c r="A12" s="5" t="n">
        <v>8</v>
      </c>
      <c r="B12" s="6" t="s">
        <v>354</v>
      </c>
      <c r="C12" s="5" t="s">
        <v>407</v>
      </c>
      <c r="D12" s="37" t="n">
        <v>0</v>
      </c>
      <c r="E12" s="37" t="n">
        <v>35000</v>
      </c>
      <c r="F12" s="37" t="n">
        <v>35000</v>
      </c>
      <c r="G12" s="37" t="n">
        <v>35000</v>
      </c>
      <c r="H12" s="37" t="n">
        <v>35000</v>
      </c>
      <c r="I12" s="37" t="n">
        <v>35000</v>
      </c>
      <c r="J12" s="37" t="n">
        <v>35000</v>
      </c>
      <c r="K12" s="37" t="n">
        <v>37000</v>
      </c>
      <c r="L12" s="37" t="n">
        <v>37000</v>
      </c>
      <c r="M12" s="37" t="n">
        <v>38000</v>
      </c>
      <c r="N12" s="37" t="n">
        <v>40000</v>
      </c>
      <c r="O12" s="37" t="n">
        <v>0</v>
      </c>
      <c r="P12" s="37" t="n">
        <v>40000</v>
      </c>
      <c r="Q12" s="37" t="n">
        <v>40000</v>
      </c>
      <c r="R12" s="37" t="n">
        <v>38000</v>
      </c>
      <c r="S12" s="37" t="n">
        <v>36000</v>
      </c>
      <c r="T12" s="37" t="n">
        <v>36000</v>
      </c>
      <c r="U12" s="37" t="n">
        <v>36000</v>
      </c>
      <c r="V12" s="37" t="n">
        <v>36000</v>
      </c>
      <c r="W12" s="37" t="n">
        <v>36000</v>
      </c>
      <c r="X12" s="37" t="n">
        <v>36000</v>
      </c>
      <c r="Y12" s="37" t="n">
        <v>35000</v>
      </c>
      <c r="Z12" s="17" t="n">
        <f aca="false">IFERROR(AVERAGEIF(D12:H12,"&lt;&gt;0"),"")</f>
        <v>35000</v>
      </c>
      <c r="AA12" s="17" t="n">
        <f aca="false">IFERROR(AVERAGEIF(I12:M12,"&lt;&gt;0"),"")</f>
        <v>36400</v>
      </c>
      <c r="AB12" s="17" t="n">
        <f aca="false">IFERROR(AVERAGEIF(N12:R12,"&lt;&gt;0"),"")</f>
        <v>39500</v>
      </c>
      <c r="AC12" s="17" t="n">
        <f aca="false">IFERROR(AVERAGEIF(S12:W12,"&lt;&gt;0"),"")</f>
        <v>36000</v>
      </c>
      <c r="AD12" s="17" t="n">
        <f aca="false">IFERROR(AVERAGEIF(X12:Y12,"&lt;&gt;0"),"")</f>
        <v>35500</v>
      </c>
      <c r="AE12" s="17" t="n">
        <f aca="false">IFERROR(AVERAGEIF(D12:Y12,"&lt;&gt;0"),"")</f>
        <v>36550</v>
      </c>
    </row>
    <row r="13" customFormat="false" ht="15" hidden="false" customHeight="true" outlineLevel="0" collapsed="false">
      <c r="A13" s="5" t="n">
        <v>9</v>
      </c>
      <c r="B13" s="6" t="s">
        <v>349</v>
      </c>
      <c r="C13" s="5" t="s">
        <v>407</v>
      </c>
      <c r="D13" s="37" t="n">
        <v>0</v>
      </c>
      <c r="E13" s="37" t="n">
        <v>16500</v>
      </c>
      <c r="F13" s="37" t="n">
        <v>16500</v>
      </c>
      <c r="G13" s="37" t="n">
        <v>16500</v>
      </c>
      <c r="H13" s="37" t="n">
        <v>16500</v>
      </c>
      <c r="I13" s="37" t="n">
        <v>16500</v>
      </c>
      <c r="J13" s="37" t="n">
        <v>16500</v>
      </c>
      <c r="K13" s="37" t="n">
        <v>16500</v>
      </c>
      <c r="L13" s="37" t="n">
        <v>16500</v>
      </c>
      <c r="M13" s="37" t="n">
        <v>16500</v>
      </c>
      <c r="N13" s="37" t="n">
        <v>16500</v>
      </c>
      <c r="O13" s="37" t="n">
        <v>0</v>
      </c>
      <c r="P13" s="37" t="n">
        <v>16500</v>
      </c>
      <c r="Q13" s="37" t="n">
        <v>16500</v>
      </c>
      <c r="R13" s="37" t="n">
        <v>16500</v>
      </c>
      <c r="S13" s="37" t="n">
        <v>16500</v>
      </c>
      <c r="T13" s="37" t="n">
        <v>16500</v>
      </c>
      <c r="U13" s="37" t="n">
        <v>16500</v>
      </c>
      <c r="V13" s="37" t="n">
        <v>16500</v>
      </c>
      <c r="W13" s="37" t="n">
        <v>16500</v>
      </c>
      <c r="X13" s="37" t="n">
        <v>16500</v>
      </c>
      <c r="Y13" s="37" t="n">
        <v>16500</v>
      </c>
      <c r="Z13" s="17" t="n">
        <f aca="false">IFERROR(AVERAGEIF(D13:H13,"&lt;&gt;0"),"")</f>
        <v>16500</v>
      </c>
      <c r="AA13" s="17" t="n">
        <f aca="false">IFERROR(AVERAGEIF(I13:M13,"&lt;&gt;0"),"")</f>
        <v>16500</v>
      </c>
      <c r="AB13" s="17" t="n">
        <f aca="false">IFERROR(AVERAGEIF(N13:R13,"&lt;&gt;0"),"")</f>
        <v>16500</v>
      </c>
      <c r="AC13" s="17" t="n">
        <f aca="false">IFERROR(AVERAGEIF(S13:W13,"&lt;&gt;0"),"")</f>
        <v>16500</v>
      </c>
      <c r="AD13" s="17" t="n">
        <f aca="false">IFERROR(AVERAGEIF(X13:Y13,"&lt;&gt;0"),"")</f>
        <v>16500</v>
      </c>
      <c r="AE13" s="17" t="n">
        <f aca="false">IFERROR(AVERAGEIF(D13:Y13,"&lt;&gt;0"),"")</f>
        <v>16500</v>
      </c>
    </row>
    <row r="14" customFormat="false" ht="15" hidden="false" customHeight="true" outlineLevel="0" collapsed="false">
      <c r="A14" s="5" t="n">
        <v>10</v>
      </c>
      <c r="B14" s="6" t="s">
        <v>340</v>
      </c>
      <c r="C14" s="5" t="s">
        <v>453</v>
      </c>
      <c r="D14" s="37" t="n">
        <v>0</v>
      </c>
      <c r="E14" s="37" t="n">
        <v>18450</v>
      </c>
      <c r="F14" s="37" t="n">
        <v>18450</v>
      </c>
      <c r="G14" s="37" t="n">
        <v>18450</v>
      </c>
      <c r="H14" s="37" t="n">
        <v>18450</v>
      </c>
      <c r="I14" s="37" t="n">
        <v>18450</v>
      </c>
      <c r="J14" s="37" t="n">
        <v>18450</v>
      </c>
      <c r="K14" s="37" t="n">
        <v>18450</v>
      </c>
      <c r="L14" s="37" t="n">
        <v>18450</v>
      </c>
      <c r="M14" s="37" t="n">
        <v>18450</v>
      </c>
      <c r="N14" s="37" t="n">
        <v>18450</v>
      </c>
      <c r="O14" s="37" t="n">
        <v>0</v>
      </c>
      <c r="P14" s="37" t="n">
        <v>18450</v>
      </c>
      <c r="Q14" s="37" t="n">
        <v>18450</v>
      </c>
      <c r="R14" s="37" t="n">
        <v>18450</v>
      </c>
      <c r="S14" s="37" t="n">
        <v>18450</v>
      </c>
      <c r="T14" s="37" t="n">
        <v>18450</v>
      </c>
      <c r="U14" s="37" t="n">
        <v>18450</v>
      </c>
      <c r="V14" s="37" t="n">
        <v>18450</v>
      </c>
      <c r="W14" s="37" t="n">
        <v>18450</v>
      </c>
      <c r="X14" s="37" t="n">
        <v>18450</v>
      </c>
      <c r="Y14" s="37" t="n">
        <v>18450</v>
      </c>
      <c r="Z14" s="17" t="n">
        <f aca="false">IFERROR(AVERAGEIF(D14:H14,"&lt;&gt;0"),"")</f>
        <v>18450</v>
      </c>
      <c r="AA14" s="17" t="n">
        <f aca="false">IFERROR(AVERAGEIF(I14:M14,"&lt;&gt;0"),"")</f>
        <v>18450</v>
      </c>
      <c r="AB14" s="17" t="n">
        <f aca="false">IFERROR(AVERAGEIF(N14:R14,"&lt;&gt;0"),"")</f>
        <v>18450</v>
      </c>
      <c r="AC14" s="17" t="n">
        <f aca="false">IFERROR(AVERAGEIF(S14:W14,"&lt;&gt;0"),"")</f>
        <v>18450</v>
      </c>
      <c r="AD14" s="17" t="n">
        <f aca="false">IFERROR(AVERAGEIF(X14:Y14,"&lt;&gt;0"),"")</f>
        <v>18450</v>
      </c>
      <c r="AE14" s="17" t="n">
        <f aca="false">IFERROR(AVERAGEIF(D14:Y14,"&lt;&gt;0"),"")</f>
        <v>18450</v>
      </c>
    </row>
    <row r="15" customFormat="false" ht="21.75" hidden="false" customHeight="true" outlineLevel="0" collapsed="false">
      <c r="A15" s="5" t="n">
        <v>11</v>
      </c>
      <c r="B15" s="6" t="s">
        <v>341</v>
      </c>
      <c r="C15" s="5" t="s">
        <v>453</v>
      </c>
      <c r="D15" s="37" t="n">
        <v>0</v>
      </c>
      <c r="E15" s="37" t="n">
        <v>23000</v>
      </c>
      <c r="F15" s="37" t="n">
        <v>23000</v>
      </c>
      <c r="G15" s="37" t="n">
        <v>23000</v>
      </c>
      <c r="H15" s="37" t="n">
        <v>23000</v>
      </c>
      <c r="I15" s="37" t="n">
        <v>23000</v>
      </c>
      <c r="J15" s="37" t="n">
        <v>23000</v>
      </c>
      <c r="K15" s="37" t="n">
        <v>23000</v>
      </c>
      <c r="L15" s="37" t="n">
        <v>23000</v>
      </c>
      <c r="M15" s="37" t="n">
        <v>23000</v>
      </c>
      <c r="N15" s="37" t="n">
        <v>23000</v>
      </c>
      <c r="O15" s="37" t="n">
        <v>0</v>
      </c>
      <c r="P15" s="37" t="n">
        <v>23000</v>
      </c>
      <c r="Q15" s="37" t="n">
        <v>23000</v>
      </c>
      <c r="R15" s="37" t="n">
        <v>23000</v>
      </c>
      <c r="S15" s="37" t="n">
        <v>23000</v>
      </c>
      <c r="T15" s="37" t="n">
        <v>23000</v>
      </c>
      <c r="U15" s="37" t="n">
        <v>23000</v>
      </c>
      <c r="V15" s="37" t="n">
        <v>23000</v>
      </c>
      <c r="W15" s="37" t="n">
        <v>23000</v>
      </c>
      <c r="X15" s="37" t="n">
        <v>23000</v>
      </c>
      <c r="Y15" s="37" t="n">
        <v>23000</v>
      </c>
      <c r="Z15" s="17" t="n">
        <f aca="false">IFERROR(AVERAGEIF(D15:H15,"&lt;&gt;0"),"")</f>
        <v>23000</v>
      </c>
      <c r="AA15" s="17" t="n">
        <f aca="false">IFERROR(AVERAGEIF(I15:M15,"&lt;&gt;0"),"")</f>
        <v>23000</v>
      </c>
      <c r="AB15" s="17" t="n">
        <f aca="false">IFERROR(AVERAGEIF(N15:R15,"&lt;&gt;0"),"")</f>
        <v>23000</v>
      </c>
      <c r="AC15" s="17" t="n">
        <f aca="false">IFERROR(AVERAGEIF(S15:W15,"&lt;&gt;0"),"")</f>
        <v>23000</v>
      </c>
      <c r="AD15" s="17" t="n">
        <f aca="false">IFERROR(AVERAGEIF(X15:Y15,"&lt;&gt;0"),"")</f>
        <v>23000</v>
      </c>
      <c r="AE15" s="17" t="n">
        <f aca="false">IFERROR(AVERAGEIF(D15:Y15,"&lt;&gt;0"),"")</f>
        <v>23000</v>
      </c>
    </row>
    <row r="16" customFormat="false" ht="15" hidden="false" customHeight="true" outlineLevel="0" collapsed="false">
      <c r="A16" s="5" t="n">
        <v>12</v>
      </c>
      <c r="B16" s="6" t="s">
        <v>342</v>
      </c>
      <c r="C16" s="5" t="s">
        <v>453</v>
      </c>
      <c r="D16" s="37" t="n">
        <v>0</v>
      </c>
      <c r="E16" s="37" t="n">
        <v>15500</v>
      </c>
      <c r="F16" s="37" t="n">
        <v>15500</v>
      </c>
      <c r="G16" s="37" t="n">
        <v>15500</v>
      </c>
      <c r="H16" s="37" t="n">
        <v>15500</v>
      </c>
      <c r="I16" s="37" t="n">
        <v>15500</v>
      </c>
      <c r="J16" s="37" t="n">
        <v>15500</v>
      </c>
      <c r="K16" s="37" t="n">
        <v>15500</v>
      </c>
      <c r="L16" s="37" t="n">
        <v>15500</v>
      </c>
      <c r="M16" s="37" t="n">
        <v>15500</v>
      </c>
      <c r="N16" s="37" t="n">
        <v>15500</v>
      </c>
      <c r="O16" s="37" t="n">
        <v>0</v>
      </c>
      <c r="P16" s="37" t="n">
        <v>15500</v>
      </c>
      <c r="Q16" s="37" t="n">
        <v>15500</v>
      </c>
      <c r="R16" s="37" t="n">
        <v>15500</v>
      </c>
      <c r="S16" s="37" t="n">
        <v>15500</v>
      </c>
      <c r="T16" s="37" t="n">
        <v>15500</v>
      </c>
      <c r="U16" s="37" t="n">
        <v>15500</v>
      </c>
      <c r="V16" s="37" t="n">
        <v>15500</v>
      </c>
      <c r="W16" s="37" t="n">
        <v>15500</v>
      </c>
      <c r="X16" s="37" t="n">
        <v>15500</v>
      </c>
      <c r="Y16" s="37" t="n">
        <v>15500</v>
      </c>
      <c r="Z16" s="17" t="n">
        <f aca="false">IFERROR(AVERAGEIF(D16:H16,"&lt;&gt;0"),"")</f>
        <v>15500</v>
      </c>
      <c r="AA16" s="17" t="n">
        <f aca="false">IFERROR(AVERAGEIF(I16:M16,"&lt;&gt;0"),"")</f>
        <v>15500</v>
      </c>
      <c r="AB16" s="17" t="n">
        <f aca="false">IFERROR(AVERAGEIF(N16:R16,"&lt;&gt;0"),"")</f>
        <v>15500</v>
      </c>
      <c r="AC16" s="17" t="n">
        <f aca="false">IFERROR(AVERAGEIF(S16:W16,"&lt;&gt;0"),"")</f>
        <v>15500</v>
      </c>
      <c r="AD16" s="17" t="n">
        <f aca="false">IFERROR(AVERAGEIF(X16:Y16,"&lt;&gt;0"),"")</f>
        <v>15500</v>
      </c>
      <c r="AE16" s="17" t="n">
        <f aca="false">IFERROR(AVERAGEIF(D16:Y16,"&lt;&gt;0"),"")</f>
        <v>15500</v>
      </c>
    </row>
    <row r="17" customFormat="false" ht="15" hidden="false" customHeight="true" outlineLevel="0" collapsed="false">
      <c r="A17" s="5" t="n">
        <v>13</v>
      </c>
      <c r="B17" s="6" t="s">
        <v>337</v>
      </c>
      <c r="C17" s="5" t="s">
        <v>407</v>
      </c>
      <c r="D17" s="37" t="n">
        <v>0</v>
      </c>
      <c r="E17" s="37" t="n">
        <v>11000</v>
      </c>
      <c r="F17" s="37" t="n">
        <v>11000</v>
      </c>
      <c r="G17" s="37" t="n">
        <v>11000</v>
      </c>
      <c r="H17" s="37" t="n">
        <v>11000</v>
      </c>
      <c r="I17" s="37" t="n">
        <v>11000</v>
      </c>
      <c r="J17" s="37" t="n">
        <v>11000</v>
      </c>
      <c r="K17" s="37" t="n">
        <v>11000</v>
      </c>
      <c r="L17" s="37" t="n">
        <v>11000</v>
      </c>
      <c r="M17" s="37" t="n">
        <v>11000</v>
      </c>
      <c r="N17" s="37" t="n">
        <v>11000</v>
      </c>
      <c r="O17" s="37" t="n">
        <v>0</v>
      </c>
      <c r="P17" s="37" t="n">
        <v>11000</v>
      </c>
      <c r="Q17" s="37" t="n">
        <v>11000</v>
      </c>
      <c r="R17" s="37" t="n">
        <v>11000</v>
      </c>
      <c r="S17" s="37" t="n">
        <v>11000</v>
      </c>
      <c r="T17" s="37" t="n">
        <v>11000</v>
      </c>
      <c r="U17" s="37" t="n">
        <v>11000</v>
      </c>
      <c r="V17" s="37" t="n">
        <v>11000</v>
      </c>
      <c r="W17" s="37" t="n">
        <v>11000</v>
      </c>
      <c r="X17" s="37" t="n">
        <v>11000</v>
      </c>
      <c r="Y17" s="37" t="n">
        <v>11000</v>
      </c>
      <c r="Z17" s="17" t="n">
        <f aca="false">IFERROR(AVERAGEIF(D17:H17,"&lt;&gt;0"),"")</f>
        <v>11000</v>
      </c>
      <c r="AA17" s="17" t="n">
        <f aca="false">IFERROR(AVERAGEIF(I17:M17,"&lt;&gt;0"),"")</f>
        <v>11000</v>
      </c>
      <c r="AB17" s="17" t="n">
        <f aca="false">IFERROR(AVERAGEIF(N17:R17,"&lt;&gt;0"),"")</f>
        <v>11000</v>
      </c>
      <c r="AC17" s="17" t="n">
        <f aca="false">IFERROR(AVERAGEIF(S17:W17,"&lt;&gt;0"),"")</f>
        <v>11000</v>
      </c>
      <c r="AD17" s="17" t="n">
        <f aca="false">IFERROR(AVERAGEIF(X17:Y17,"&lt;&gt;0"),"")</f>
        <v>11000</v>
      </c>
      <c r="AE17" s="17" t="n">
        <f aca="false">IFERROR(AVERAGEIF(D17:Y17,"&lt;&gt;0"),"")</f>
        <v>11000</v>
      </c>
    </row>
    <row r="18" customFormat="false" ht="15" hidden="false" customHeight="true" outlineLevel="0" collapsed="false">
      <c r="A18" s="5" t="n">
        <v>14</v>
      </c>
      <c r="B18" s="6" t="s">
        <v>339</v>
      </c>
      <c r="C18" s="5" t="s">
        <v>407</v>
      </c>
      <c r="D18" s="37" t="n">
        <v>0</v>
      </c>
      <c r="E18" s="37" t="n">
        <v>32000</v>
      </c>
      <c r="F18" s="37" t="n">
        <v>32000</v>
      </c>
      <c r="G18" s="37" t="n">
        <v>32000</v>
      </c>
      <c r="H18" s="37" t="n">
        <v>31000</v>
      </c>
      <c r="I18" s="37" t="n">
        <v>31000</v>
      </c>
      <c r="J18" s="37" t="n">
        <v>29000</v>
      </c>
      <c r="K18" s="37" t="n">
        <v>28000</v>
      </c>
      <c r="L18" s="37" t="n">
        <v>28000</v>
      </c>
      <c r="M18" s="37" t="n">
        <v>30000</v>
      </c>
      <c r="N18" s="37" t="n">
        <v>30000</v>
      </c>
      <c r="O18" s="37" t="n">
        <v>0</v>
      </c>
      <c r="P18" s="37" t="n">
        <v>30000</v>
      </c>
      <c r="Q18" s="37" t="n">
        <v>29000</v>
      </c>
      <c r="R18" s="37" t="n">
        <v>30000</v>
      </c>
      <c r="S18" s="37" t="n">
        <v>30000</v>
      </c>
      <c r="T18" s="37" t="n">
        <v>30000</v>
      </c>
      <c r="U18" s="37" t="n">
        <v>30000</v>
      </c>
      <c r="V18" s="37" t="n">
        <v>30000</v>
      </c>
      <c r="W18" s="37" t="n">
        <v>30000</v>
      </c>
      <c r="X18" s="37" t="n">
        <v>30000</v>
      </c>
      <c r="Y18" s="37" t="n">
        <v>30000</v>
      </c>
      <c r="Z18" s="17" t="n">
        <f aca="false">IFERROR(AVERAGEIF(D18:H18,"&lt;&gt;0"),"")</f>
        <v>31750</v>
      </c>
      <c r="AA18" s="17" t="n">
        <f aca="false">IFERROR(AVERAGEIF(I18:M18,"&lt;&gt;0"),"")</f>
        <v>29200</v>
      </c>
      <c r="AB18" s="17" t="n">
        <f aca="false">IFERROR(AVERAGEIF(N18:R18,"&lt;&gt;0"),"")</f>
        <v>29750</v>
      </c>
      <c r="AC18" s="17" t="n">
        <f aca="false">IFERROR(AVERAGEIF(S18:W18,"&lt;&gt;0"),"")</f>
        <v>30000</v>
      </c>
      <c r="AD18" s="17" t="n">
        <f aca="false">IFERROR(AVERAGEIF(X18:Y18,"&lt;&gt;0"),"")</f>
        <v>30000</v>
      </c>
      <c r="AE18" s="17" t="n">
        <f aca="false">IFERROR(AVERAGEIF(D18:Y18,"&lt;&gt;0"),"")</f>
        <v>30100</v>
      </c>
    </row>
    <row r="19" customFormat="false" ht="15" hidden="false" customHeight="true" outlineLevel="0" collapsed="false">
      <c r="A19" s="5" t="n">
        <v>15</v>
      </c>
      <c r="B19" s="6" t="s">
        <v>348</v>
      </c>
      <c r="C19" s="5" t="s">
        <v>407</v>
      </c>
      <c r="D19" s="37" t="n">
        <v>0</v>
      </c>
      <c r="E19" s="37" t="n">
        <v>24000</v>
      </c>
      <c r="F19" s="37" t="n">
        <v>24000</v>
      </c>
      <c r="G19" s="37" t="n">
        <v>24000</v>
      </c>
      <c r="H19" s="37" t="n">
        <v>24000</v>
      </c>
      <c r="I19" s="37" t="n">
        <v>24000</v>
      </c>
      <c r="J19" s="37" t="n">
        <v>24500</v>
      </c>
      <c r="K19" s="37" t="n">
        <v>24000</v>
      </c>
      <c r="L19" s="37" t="n">
        <v>24000</v>
      </c>
      <c r="M19" s="37" t="n">
        <v>24500</v>
      </c>
      <c r="N19" s="37" t="n">
        <v>24500</v>
      </c>
      <c r="O19" s="37" t="n">
        <v>0</v>
      </c>
      <c r="P19" s="37" t="n">
        <v>23500</v>
      </c>
      <c r="Q19" s="37" t="n">
        <v>24000</v>
      </c>
      <c r="R19" s="37" t="n">
        <v>23500</v>
      </c>
      <c r="S19" s="37" t="n">
        <v>23000</v>
      </c>
      <c r="T19" s="37" t="n">
        <v>23000</v>
      </c>
      <c r="U19" s="37" t="n">
        <v>23000</v>
      </c>
      <c r="V19" s="37" t="n">
        <v>23000</v>
      </c>
      <c r="W19" s="37" t="n">
        <v>23000</v>
      </c>
      <c r="X19" s="37" t="n">
        <v>23000</v>
      </c>
      <c r="Y19" s="37" t="n">
        <v>23000</v>
      </c>
      <c r="Z19" s="17" t="n">
        <f aca="false">IFERROR(AVERAGEIF(D19:H19,"&lt;&gt;0"),"")</f>
        <v>24000</v>
      </c>
      <c r="AA19" s="17" t="n">
        <f aca="false">IFERROR(AVERAGEIF(I19:M19,"&lt;&gt;0"),"")</f>
        <v>24200</v>
      </c>
      <c r="AB19" s="17" t="n">
        <f aca="false">IFERROR(AVERAGEIF(N19:R19,"&lt;&gt;0"),"")</f>
        <v>23875</v>
      </c>
      <c r="AC19" s="17" t="n">
        <f aca="false">IFERROR(AVERAGEIF(S19:W19,"&lt;&gt;0"),"")</f>
        <v>23000</v>
      </c>
      <c r="AD19" s="17" t="n">
        <f aca="false">IFERROR(AVERAGEIF(X19:Y19,"&lt;&gt;0"),"")</f>
        <v>23000</v>
      </c>
      <c r="AE19" s="17" t="n">
        <f aca="false">IFERROR(AVERAGEIF(D19:Y19,"&lt;&gt;0"),"")</f>
        <v>23675</v>
      </c>
    </row>
    <row r="20" customFormat="false" ht="15" hidden="false" customHeight="true" outlineLevel="0" collapsed="false">
      <c r="A20" s="5" t="n">
        <v>16</v>
      </c>
      <c r="B20" s="6" t="s">
        <v>362</v>
      </c>
      <c r="C20" s="5" t="s">
        <v>407</v>
      </c>
      <c r="D20" s="37" t="n">
        <v>0</v>
      </c>
      <c r="E20" s="37" t="n">
        <v>115000</v>
      </c>
      <c r="F20" s="37" t="n">
        <v>115000</v>
      </c>
      <c r="G20" s="37" t="n">
        <v>115000</v>
      </c>
      <c r="H20" s="37" t="n">
        <v>115000</v>
      </c>
      <c r="I20" s="37" t="n">
        <v>115000</v>
      </c>
      <c r="J20" s="37" t="n">
        <v>116000</v>
      </c>
      <c r="K20" s="37" t="n">
        <v>116000</v>
      </c>
      <c r="L20" s="37" t="n">
        <v>116000</v>
      </c>
      <c r="M20" s="37" t="n">
        <v>116000</v>
      </c>
      <c r="N20" s="37" t="n">
        <v>116000</v>
      </c>
      <c r="O20" s="37" t="n">
        <v>0</v>
      </c>
      <c r="P20" s="37" t="n">
        <v>118000</v>
      </c>
      <c r="Q20" s="37" t="n">
        <v>118000</v>
      </c>
      <c r="R20" s="37" t="n">
        <v>120000</v>
      </c>
      <c r="S20" s="37" t="n">
        <v>120000</v>
      </c>
      <c r="T20" s="37" t="n">
        <v>120000</v>
      </c>
      <c r="U20" s="37" t="n">
        <v>120000</v>
      </c>
      <c r="V20" s="37" t="n">
        <v>120000</v>
      </c>
      <c r="W20" s="37" t="n">
        <v>120000</v>
      </c>
      <c r="X20" s="37" t="n">
        <v>120000</v>
      </c>
      <c r="Y20" s="37" t="n">
        <v>120000</v>
      </c>
      <c r="Z20" s="17" t="n">
        <f aca="false">IFERROR(AVERAGEIF(D20:H20,"&lt;&gt;0"),"")</f>
        <v>115000</v>
      </c>
      <c r="AA20" s="17" t="n">
        <f aca="false">IFERROR(AVERAGEIF(I20:M20,"&lt;&gt;0"),"")</f>
        <v>115800</v>
      </c>
      <c r="AB20" s="17" t="n">
        <f aca="false">IFERROR(AVERAGEIF(N20:R20,"&lt;&gt;0"),"")</f>
        <v>118000</v>
      </c>
      <c r="AC20" s="17" t="n">
        <f aca="false">IFERROR(AVERAGEIF(S20:W20,"&lt;&gt;0"),"")</f>
        <v>120000</v>
      </c>
      <c r="AD20" s="17" t="n">
        <f aca="false">IFERROR(AVERAGEIF(X20:Y20,"&lt;&gt;0"),"")</f>
        <v>120000</v>
      </c>
      <c r="AE20" s="17" t="n">
        <f aca="false">IFERROR(AVERAGEIF(D20:Y20,"&lt;&gt;0"),"")</f>
        <v>117550</v>
      </c>
    </row>
    <row r="21" customFormat="false" ht="15" hidden="false" customHeight="true" outlineLevel="0" collapsed="false">
      <c r="A21" s="5" t="n">
        <v>17</v>
      </c>
      <c r="B21" s="6" t="s">
        <v>363</v>
      </c>
      <c r="C21" s="5" t="s">
        <v>407</v>
      </c>
      <c r="D21" s="37" t="n">
        <v>0</v>
      </c>
      <c r="E21" s="37" t="n">
        <v>70000</v>
      </c>
      <c r="F21" s="37" t="n">
        <v>70000</v>
      </c>
      <c r="G21" s="37" t="n">
        <v>70000</v>
      </c>
      <c r="H21" s="37" t="n">
        <v>70000</v>
      </c>
      <c r="I21" s="37" t="n">
        <v>70000</v>
      </c>
      <c r="J21" s="37" t="n">
        <v>70000</v>
      </c>
      <c r="K21" s="37" t="n">
        <v>70000</v>
      </c>
      <c r="L21" s="37" t="n">
        <v>70000</v>
      </c>
      <c r="M21" s="37" t="n">
        <v>70000</v>
      </c>
      <c r="N21" s="37" t="n">
        <v>70000</v>
      </c>
      <c r="O21" s="37" t="n">
        <v>0</v>
      </c>
      <c r="P21" s="37" t="n">
        <v>70000</v>
      </c>
      <c r="Q21" s="37" t="n">
        <v>70000</v>
      </c>
      <c r="R21" s="37" t="n">
        <v>70000</v>
      </c>
      <c r="S21" s="37" t="n">
        <v>70000</v>
      </c>
      <c r="T21" s="37" t="n">
        <v>70000</v>
      </c>
      <c r="U21" s="37" t="n">
        <v>70000</v>
      </c>
      <c r="V21" s="37" t="n">
        <v>70000</v>
      </c>
      <c r="W21" s="37" t="n">
        <v>70000</v>
      </c>
      <c r="X21" s="37" t="n">
        <v>70000</v>
      </c>
      <c r="Y21" s="37" t="n">
        <v>70000</v>
      </c>
      <c r="Z21" s="17" t="n">
        <f aca="false">IFERROR(AVERAGEIF(D21:H21,"&lt;&gt;0"),"")</f>
        <v>70000</v>
      </c>
      <c r="AA21" s="17" t="n">
        <f aca="false">IFERROR(AVERAGEIF(I21:M21,"&lt;&gt;0"),"")</f>
        <v>70000</v>
      </c>
      <c r="AB21" s="17" t="n">
        <f aca="false">IFERROR(AVERAGEIF(N21:R21,"&lt;&gt;0"),"")</f>
        <v>70000</v>
      </c>
      <c r="AC21" s="17" t="n">
        <f aca="false">IFERROR(AVERAGEIF(S21:W21,"&lt;&gt;0"),"")</f>
        <v>70000</v>
      </c>
      <c r="AD21" s="17" t="n">
        <f aca="false">IFERROR(AVERAGEIF(X21:Y21,"&lt;&gt;0"),"")</f>
        <v>70000</v>
      </c>
      <c r="AE21" s="17" t="n">
        <f aca="false">IFERROR(AVERAGEIF(D21:Y21,"&lt;&gt;0"),"")</f>
        <v>70000</v>
      </c>
    </row>
    <row r="22" customFormat="false" ht="15" hidden="false" customHeight="true" outlineLevel="0" collapsed="false">
      <c r="A22" s="5" t="n">
        <v>18</v>
      </c>
      <c r="B22" s="6" t="s">
        <v>364</v>
      </c>
      <c r="C22" s="5" t="s">
        <v>407</v>
      </c>
      <c r="D22" s="37" t="n">
        <v>0</v>
      </c>
      <c r="E22" s="37" t="n">
        <v>80000</v>
      </c>
      <c r="F22" s="37" t="n">
        <v>80000</v>
      </c>
      <c r="G22" s="37" t="n">
        <v>80000</v>
      </c>
      <c r="H22" s="37" t="n">
        <v>80000</v>
      </c>
      <c r="I22" s="37" t="n">
        <v>80000</v>
      </c>
      <c r="J22" s="37" t="n">
        <v>80000</v>
      </c>
      <c r="K22" s="37" t="n">
        <v>80000</v>
      </c>
      <c r="L22" s="37" t="n">
        <v>80000</v>
      </c>
      <c r="M22" s="37" t="n">
        <v>80000</v>
      </c>
      <c r="N22" s="37" t="n">
        <v>80000</v>
      </c>
      <c r="O22" s="37" t="n">
        <v>0</v>
      </c>
      <c r="P22" s="37" t="n">
        <v>80000</v>
      </c>
      <c r="Q22" s="37" t="n">
        <v>80000</v>
      </c>
      <c r="R22" s="37" t="n">
        <v>80000</v>
      </c>
      <c r="S22" s="37" t="n">
        <v>80000</v>
      </c>
      <c r="T22" s="37" t="n">
        <v>80000</v>
      </c>
      <c r="U22" s="37" t="n">
        <v>80000</v>
      </c>
      <c r="V22" s="37" t="n">
        <v>80000</v>
      </c>
      <c r="W22" s="37" t="n">
        <v>80000</v>
      </c>
      <c r="X22" s="37" t="n">
        <v>80000</v>
      </c>
      <c r="Y22" s="37" t="n">
        <v>80000</v>
      </c>
      <c r="Z22" s="17" t="n">
        <f aca="false">IFERROR(AVERAGEIF(D22:H22,"&lt;&gt;0"),"")</f>
        <v>80000</v>
      </c>
      <c r="AA22" s="17" t="n">
        <f aca="false">IFERROR(AVERAGEIF(I22:M22,"&lt;&gt;0"),"")</f>
        <v>80000</v>
      </c>
      <c r="AB22" s="17" t="n">
        <f aca="false">IFERROR(AVERAGEIF(N22:R22,"&lt;&gt;0"),"")</f>
        <v>80000</v>
      </c>
      <c r="AC22" s="17" t="n">
        <f aca="false">IFERROR(AVERAGEIF(S22:W22,"&lt;&gt;0"),"")</f>
        <v>80000</v>
      </c>
      <c r="AD22" s="17" t="n">
        <f aca="false">IFERROR(AVERAGEIF(X22:Y22,"&lt;&gt;0"),"")</f>
        <v>80000</v>
      </c>
      <c r="AE22" s="17" t="n">
        <f aca="false">IFERROR(AVERAGEIF(D22:Y22,"&lt;&gt;0"),"")</f>
        <v>80000</v>
      </c>
    </row>
    <row r="23" customFormat="false" ht="15" hidden="false" customHeight="true" outlineLevel="0" collapsed="false">
      <c r="A23" s="5" t="n">
        <v>19</v>
      </c>
      <c r="B23" s="6" t="s">
        <v>409</v>
      </c>
      <c r="C23" s="5" t="s">
        <v>407</v>
      </c>
      <c r="D23" s="37" t="n">
        <v>0</v>
      </c>
      <c r="E23" s="37" t="n">
        <v>35000</v>
      </c>
      <c r="F23" s="37" t="n">
        <v>35000</v>
      </c>
      <c r="G23" s="37" t="n">
        <v>35000</v>
      </c>
      <c r="H23" s="37" t="n">
        <v>35000</v>
      </c>
      <c r="I23" s="37" t="n">
        <v>35000</v>
      </c>
      <c r="J23" s="37" t="n">
        <v>35000</v>
      </c>
      <c r="K23" s="37" t="n">
        <v>35000</v>
      </c>
      <c r="L23" s="37" t="n">
        <v>35000</v>
      </c>
      <c r="M23" s="37" t="n">
        <v>35000</v>
      </c>
      <c r="N23" s="37" t="n">
        <v>35000</v>
      </c>
      <c r="O23" s="37" t="n">
        <v>0</v>
      </c>
      <c r="P23" s="37" t="n">
        <v>35000</v>
      </c>
      <c r="Q23" s="37" t="n">
        <v>35000</v>
      </c>
      <c r="R23" s="37" t="n">
        <v>35000</v>
      </c>
      <c r="S23" s="37" t="n">
        <v>35000</v>
      </c>
      <c r="T23" s="37" t="n">
        <v>35000</v>
      </c>
      <c r="U23" s="37" t="n">
        <v>35000</v>
      </c>
      <c r="V23" s="37" t="n">
        <v>35000</v>
      </c>
      <c r="W23" s="37" t="n">
        <v>35000</v>
      </c>
      <c r="X23" s="37" t="n">
        <v>35000</v>
      </c>
      <c r="Y23" s="37" t="n">
        <v>35000</v>
      </c>
      <c r="Z23" s="17" t="n">
        <f aca="false">IFERROR(AVERAGEIF(D23:H23,"&lt;&gt;0"),"")</f>
        <v>35000</v>
      </c>
      <c r="AA23" s="17" t="n">
        <f aca="false">IFERROR(AVERAGEIF(I23:M23,"&lt;&gt;0"),"")</f>
        <v>35000</v>
      </c>
      <c r="AB23" s="17" t="n">
        <f aca="false">IFERROR(AVERAGEIF(N23:R23,"&lt;&gt;0"),"")</f>
        <v>35000</v>
      </c>
      <c r="AC23" s="17" t="n">
        <f aca="false">IFERROR(AVERAGEIF(S23:W23,"&lt;&gt;0"),"")</f>
        <v>35000</v>
      </c>
      <c r="AD23" s="17" t="n">
        <f aca="false">IFERROR(AVERAGEIF(X23:Y23,"&lt;&gt;0"),"")</f>
        <v>35000</v>
      </c>
      <c r="AE23" s="17" t="n">
        <f aca="false">IFERROR(AVERAGEIF(D23:Y23,"&lt;&gt;0"),"")</f>
        <v>35000</v>
      </c>
    </row>
    <row r="24" customFormat="false" ht="15" hidden="false" customHeight="true" outlineLevel="0" collapsed="false">
      <c r="A24" s="5" t="n">
        <v>20</v>
      </c>
      <c r="B24" s="6" t="s">
        <v>350</v>
      </c>
      <c r="C24" s="5" t="s">
        <v>407</v>
      </c>
      <c r="D24" s="37" t="n">
        <v>0</v>
      </c>
      <c r="E24" s="37" t="n">
        <v>45000</v>
      </c>
      <c r="F24" s="37" t="n">
        <v>45000</v>
      </c>
      <c r="G24" s="37" t="n">
        <v>45000</v>
      </c>
      <c r="H24" s="37" t="n">
        <v>45000</v>
      </c>
      <c r="I24" s="37" t="n">
        <v>45000</v>
      </c>
      <c r="J24" s="37" t="n">
        <v>45000</v>
      </c>
      <c r="K24" s="37" t="n">
        <v>45000</v>
      </c>
      <c r="L24" s="37" t="n">
        <v>45000</v>
      </c>
      <c r="M24" s="37" t="n">
        <v>45000</v>
      </c>
      <c r="N24" s="37" t="n">
        <v>45000</v>
      </c>
      <c r="O24" s="37" t="n">
        <v>0</v>
      </c>
      <c r="P24" s="37" t="n">
        <v>45000</v>
      </c>
      <c r="Q24" s="37" t="n">
        <v>45000</v>
      </c>
      <c r="R24" s="37" t="n">
        <v>45000</v>
      </c>
      <c r="S24" s="37" t="n">
        <v>45000</v>
      </c>
      <c r="T24" s="37" t="n">
        <v>45000</v>
      </c>
      <c r="U24" s="37" t="n">
        <v>45000</v>
      </c>
      <c r="V24" s="37" t="n">
        <v>45000</v>
      </c>
      <c r="W24" s="37" t="n">
        <v>45000</v>
      </c>
      <c r="X24" s="37" t="n">
        <v>45000</v>
      </c>
      <c r="Y24" s="37" t="n">
        <v>45000</v>
      </c>
      <c r="Z24" s="17" t="n">
        <f aca="false">IFERROR(AVERAGEIF(D24:H24,"&lt;&gt;0"),"")</f>
        <v>45000</v>
      </c>
      <c r="AA24" s="17" t="n">
        <f aca="false">IFERROR(AVERAGEIF(I24:M24,"&lt;&gt;0"),"")</f>
        <v>45000</v>
      </c>
      <c r="AB24" s="17" t="n">
        <f aca="false">IFERROR(AVERAGEIF(N24:R24,"&lt;&gt;0"),"")</f>
        <v>45000</v>
      </c>
      <c r="AC24" s="17" t="n">
        <f aca="false">IFERROR(AVERAGEIF(S24:W24,"&lt;&gt;0"),"")</f>
        <v>45000</v>
      </c>
      <c r="AD24" s="17" t="n">
        <f aca="false">IFERROR(AVERAGEIF(X24:Y24,"&lt;&gt;0"),"")</f>
        <v>45000</v>
      </c>
      <c r="AE24" s="17" t="n">
        <f aca="false">IFERROR(AVERAGEIF(D24:Y24,"&lt;&gt;0"),"")</f>
        <v>45000</v>
      </c>
    </row>
    <row r="25" customFormat="false" ht="15" hidden="false" customHeight="true" outlineLevel="0" collapsed="false">
      <c r="A25" s="5" t="n">
        <v>21</v>
      </c>
      <c r="B25" s="6" t="s">
        <v>410</v>
      </c>
      <c r="C25" s="5" t="s">
        <v>407</v>
      </c>
      <c r="D25" s="37" t="n">
        <v>0</v>
      </c>
      <c r="E25" s="37" t="n">
        <v>80000</v>
      </c>
      <c r="F25" s="37" t="n">
        <v>80000</v>
      </c>
      <c r="G25" s="37" t="n">
        <v>80000</v>
      </c>
      <c r="H25" s="37" t="n">
        <v>80000</v>
      </c>
      <c r="I25" s="37" t="n">
        <v>80000</v>
      </c>
      <c r="J25" s="37" t="n">
        <v>80000</v>
      </c>
      <c r="K25" s="37" t="n">
        <v>80000</v>
      </c>
      <c r="L25" s="37" t="n">
        <v>80000</v>
      </c>
      <c r="M25" s="37" t="n">
        <v>80000</v>
      </c>
      <c r="N25" s="37" t="n">
        <v>80000</v>
      </c>
      <c r="O25" s="37" t="n">
        <v>0</v>
      </c>
      <c r="P25" s="37" t="n">
        <v>80000</v>
      </c>
      <c r="Q25" s="37" t="n">
        <v>80000</v>
      </c>
      <c r="R25" s="37" t="n">
        <v>80000</v>
      </c>
      <c r="S25" s="37" t="n">
        <v>80000</v>
      </c>
      <c r="T25" s="37" t="n">
        <v>80000</v>
      </c>
      <c r="U25" s="37" t="n">
        <v>80000</v>
      </c>
      <c r="V25" s="37" t="n">
        <v>80000</v>
      </c>
      <c r="W25" s="37" t="n">
        <v>80000</v>
      </c>
      <c r="X25" s="37" t="n">
        <v>80000</v>
      </c>
      <c r="Y25" s="37" t="n">
        <v>80000</v>
      </c>
      <c r="Z25" s="17" t="n">
        <f aca="false">IFERROR(AVERAGEIF(D25:H25,"&lt;&gt;0"),"")</f>
        <v>80000</v>
      </c>
      <c r="AA25" s="17" t="n">
        <f aca="false">IFERROR(AVERAGEIF(I25:M25,"&lt;&gt;0"),"")</f>
        <v>80000</v>
      </c>
      <c r="AB25" s="17" t="n">
        <f aca="false">IFERROR(AVERAGEIF(N25:R25,"&lt;&gt;0"),"")</f>
        <v>80000</v>
      </c>
      <c r="AC25" s="17" t="n">
        <f aca="false">IFERROR(AVERAGEIF(S25:W25,"&lt;&gt;0"),"")</f>
        <v>80000</v>
      </c>
      <c r="AD25" s="17" t="n">
        <f aca="false">IFERROR(AVERAGEIF(X25:Y25,"&lt;&gt;0"),"")</f>
        <v>80000</v>
      </c>
      <c r="AE25" s="17" t="n">
        <f aca="false">IFERROR(AVERAGEIF(D25:Y25,"&lt;&gt;0"),"")</f>
        <v>80000</v>
      </c>
    </row>
    <row r="26" customFormat="false" ht="21.75" hidden="false" customHeight="true" outlineLevel="0" collapsed="false">
      <c r="A26" s="5" t="n">
        <v>22</v>
      </c>
      <c r="B26" s="6" t="s">
        <v>357</v>
      </c>
      <c r="C26" s="5" t="s">
        <v>454</v>
      </c>
      <c r="D26" s="37" t="n">
        <v>0</v>
      </c>
      <c r="E26" s="37" t="n">
        <v>2800</v>
      </c>
      <c r="F26" s="37" t="n">
        <v>2800</v>
      </c>
      <c r="G26" s="37" t="n">
        <v>2800</v>
      </c>
      <c r="H26" s="37" t="n">
        <v>2800</v>
      </c>
      <c r="I26" s="37" t="n">
        <v>2800</v>
      </c>
      <c r="J26" s="37" t="n">
        <v>2800</v>
      </c>
      <c r="K26" s="37" t="n">
        <v>2800</v>
      </c>
      <c r="L26" s="37" t="n">
        <v>2800</v>
      </c>
      <c r="M26" s="37" t="n">
        <v>2800</v>
      </c>
      <c r="N26" s="37" t="n">
        <v>2800</v>
      </c>
      <c r="O26" s="37" t="n">
        <v>0</v>
      </c>
      <c r="P26" s="37" t="n">
        <v>2800</v>
      </c>
      <c r="Q26" s="37" t="n">
        <v>2800</v>
      </c>
      <c r="R26" s="37" t="n">
        <v>2800</v>
      </c>
      <c r="S26" s="37" t="n">
        <v>2800</v>
      </c>
      <c r="T26" s="37" t="n">
        <v>2800</v>
      </c>
      <c r="U26" s="37" t="n">
        <v>2800</v>
      </c>
      <c r="V26" s="37" t="n">
        <v>2800</v>
      </c>
      <c r="W26" s="37" t="n">
        <v>2800</v>
      </c>
      <c r="X26" s="37" t="n">
        <v>2800</v>
      </c>
      <c r="Y26" s="37" t="n">
        <v>2800</v>
      </c>
      <c r="Z26" s="17" t="n">
        <f aca="false">IFERROR(AVERAGEIF(D26:H26,"&lt;&gt;0"),"")</f>
        <v>2800</v>
      </c>
      <c r="AA26" s="17" t="n">
        <f aca="false">IFERROR(AVERAGEIF(I26:M26,"&lt;&gt;0"),"")</f>
        <v>2800</v>
      </c>
      <c r="AB26" s="17" t="n">
        <f aca="false">IFERROR(AVERAGEIF(N26:R26,"&lt;&gt;0"),"")</f>
        <v>2800</v>
      </c>
      <c r="AC26" s="17" t="n">
        <f aca="false">IFERROR(AVERAGEIF(S26:W26,"&lt;&gt;0"),"")</f>
        <v>2800</v>
      </c>
      <c r="AD26" s="17" t="n">
        <f aca="false">IFERROR(AVERAGEIF(X26:Y26,"&lt;&gt;0"),"")</f>
        <v>2800</v>
      </c>
      <c r="AE26" s="17" t="n">
        <f aca="false">IFERROR(AVERAGEIF(D26:Y26,"&lt;&gt;0"),"")</f>
        <v>2800</v>
      </c>
    </row>
    <row r="27" customFormat="false" ht="15" hidden="false" customHeight="true" outlineLevel="0" collapsed="false">
      <c r="A27" s="5" t="n">
        <v>23</v>
      </c>
      <c r="B27" s="6" t="s">
        <v>355</v>
      </c>
      <c r="C27" s="5" t="s">
        <v>407</v>
      </c>
      <c r="D27" s="37" t="n">
        <v>0</v>
      </c>
      <c r="E27" s="37" t="n">
        <v>27000</v>
      </c>
      <c r="F27" s="37" t="n">
        <v>26000</v>
      </c>
      <c r="G27" s="37" t="n">
        <v>26000</v>
      </c>
      <c r="H27" s="37" t="n">
        <v>26000</v>
      </c>
      <c r="I27" s="37" t="n">
        <v>26000</v>
      </c>
      <c r="J27" s="37" t="n">
        <v>26000</v>
      </c>
      <c r="K27" s="37" t="n">
        <v>28000</v>
      </c>
      <c r="L27" s="37" t="n">
        <v>28000</v>
      </c>
      <c r="M27" s="37" t="n">
        <v>30000</v>
      </c>
      <c r="N27" s="37" t="n">
        <v>35000</v>
      </c>
      <c r="O27" s="37" t="n">
        <v>0</v>
      </c>
      <c r="P27" s="37" t="n">
        <v>35000</v>
      </c>
      <c r="Q27" s="37" t="n">
        <v>35000</v>
      </c>
      <c r="R27" s="37" t="n">
        <v>35000</v>
      </c>
      <c r="S27" s="37" t="n">
        <v>35000</v>
      </c>
      <c r="T27" s="37" t="n">
        <v>35000</v>
      </c>
      <c r="U27" s="37" t="n">
        <v>35000</v>
      </c>
      <c r="V27" s="37" t="n">
        <v>35000</v>
      </c>
      <c r="W27" s="37" t="n">
        <v>35000</v>
      </c>
      <c r="X27" s="37" t="n">
        <v>35000</v>
      </c>
      <c r="Y27" s="37" t="n">
        <v>35000</v>
      </c>
      <c r="Z27" s="17" t="n">
        <f aca="false">IFERROR(AVERAGEIF(D27:H27,"&lt;&gt;0"),"")</f>
        <v>26250</v>
      </c>
      <c r="AA27" s="17" t="n">
        <f aca="false">IFERROR(AVERAGEIF(I27:M27,"&lt;&gt;0"),"")</f>
        <v>27600</v>
      </c>
      <c r="AB27" s="17" t="n">
        <f aca="false">IFERROR(AVERAGEIF(N27:R27,"&lt;&gt;0"),"")</f>
        <v>35000</v>
      </c>
      <c r="AC27" s="17" t="n">
        <f aca="false">IFERROR(AVERAGEIF(S27:W27,"&lt;&gt;0"),"")</f>
        <v>35000</v>
      </c>
      <c r="AD27" s="17" t="n">
        <f aca="false">IFERROR(AVERAGEIF(X27:Y27,"&lt;&gt;0"),"")</f>
        <v>35000</v>
      </c>
      <c r="AE27" s="17" t="n">
        <f aca="false">IFERROR(AVERAGEIF(D27:Y27,"&lt;&gt;0"),"")</f>
        <v>31400</v>
      </c>
    </row>
    <row r="28" customFormat="false" ht="15" hidden="false" customHeight="true" outlineLevel="0" collapsed="false">
      <c r="A28" s="5" t="n">
        <v>24</v>
      </c>
      <c r="B28" s="6" t="s">
        <v>356</v>
      </c>
      <c r="C28" s="5" t="s">
        <v>407</v>
      </c>
      <c r="D28" s="37" t="n">
        <v>0</v>
      </c>
      <c r="E28" s="37" t="n">
        <v>38000</v>
      </c>
      <c r="F28" s="37" t="n">
        <v>38000</v>
      </c>
      <c r="G28" s="37" t="n">
        <v>38000</v>
      </c>
      <c r="H28" s="37" t="n">
        <v>38000</v>
      </c>
      <c r="I28" s="37" t="n">
        <v>38000</v>
      </c>
      <c r="J28" s="37" t="n">
        <v>37000</v>
      </c>
      <c r="K28" s="37" t="n">
        <v>36000</v>
      </c>
      <c r="L28" s="37" t="n">
        <v>36000</v>
      </c>
      <c r="M28" s="37" t="n">
        <v>36000</v>
      </c>
      <c r="N28" s="37" t="n">
        <v>36000</v>
      </c>
      <c r="O28" s="37" t="n">
        <v>0</v>
      </c>
      <c r="P28" s="37" t="n">
        <v>36000</v>
      </c>
      <c r="Q28" s="37" t="n">
        <v>36000</v>
      </c>
      <c r="R28" s="37" t="n">
        <v>36000</v>
      </c>
      <c r="S28" s="37" t="n">
        <v>36000</v>
      </c>
      <c r="T28" s="37" t="n">
        <v>36000</v>
      </c>
      <c r="U28" s="37" t="n">
        <v>36000</v>
      </c>
      <c r="V28" s="37" t="n">
        <v>36000</v>
      </c>
      <c r="W28" s="37" t="n">
        <v>36000</v>
      </c>
      <c r="X28" s="37" t="n">
        <v>36000</v>
      </c>
      <c r="Y28" s="37" t="n">
        <v>38000</v>
      </c>
      <c r="Z28" s="17" t="n">
        <f aca="false">IFERROR(AVERAGEIF(D28:H28,"&lt;&gt;0"),"")</f>
        <v>38000</v>
      </c>
      <c r="AA28" s="17" t="n">
        <f aca="false">IFERROR(AVERAGEIF(I28:M28,"&lt;&gt;0"),"")</f>
        <v>36600</v>
      </c>
      <c r="AB28" s="17" t="n">
        <f aca="false">IFERROR(AVERAGEIF(N28:R28,"&lt;&gt;0"),"")</f>
        <v>36000</v>
      </c>
      <c r="AC28" s="17" t="n">
        <f aca="false">IFERROR(AVERAGEIF(S28:W28,"&lt;&gt;0"),"")</f>
        <v>36000</v>
      </c>
      <c r="AD28" s="17" t="n">
        <f aca="false">IFERROR(AVERAGEIF(X28:Y28,"&lt;&gt;0"),"")</f>
        <v>37000</v>
      </c>
      <c r="AE28" s="17" t="n">
        <f aca="false">IFERROR(AVERAGEIF(D28:Y28,"&lt;&gt;0"),"")</f>
        <v>36650</v>
      </c>
    </row>
    <row r="29" customFormat="false" ht="15" hidden="false" customHeight="true" outlineLevel="0" collapsed="false">
      <c r="A29" s="5" t="n">
        <v>25</v>
      </c>
      <c r="B29" s="6" t="s">
        <v>411</v>
      </c>
      <c r="C29" s="5" t="s">
        <v>407</v>
      </c>
      <c r="D29" s="37" t="n">
        <v>0</v>
      </c>
      <c r="E29" s="37" t="n">
        <v>32000</v>
      </c>
      <c r="F29" s="37" t="n">
        <v>30000</v>
      </c>
      <c r="G29" s="37" t="n">
        <v>30000</v>
      </c>
      <c r="H29" s="37" t="n">
        <v>30000</v>
      </c>
      <c r="I29" s="37" t="n">
        <v>30000</v>
      </c>
      <c r="J29" s="37" t="n">
        <v>30000</v>
      </c>
      <c r="K29" s="37" t="n">
        <v>30000</v>
      </c>
      <c r="L29" s="37" t="n">
        <v>30000</v>
      </c>
      <c r="M29" s="37" t="n">
        <v>30000</v>
      </c>
      <c r="N29" s="37" t="n">
        <v>30000</v>
      </c>
      <c r="O29" s="37" t="n">
        <v>0</v>
      </c>
      <c r="P29" s="37" t="n">
        <v>30000</v>
      </c>
      <c r="Q29" s="37" t="n">
        <v>30000</v>
      </c>
      <c r="R29" s="37" t="n">
        <v>30000</v>
      </c>
      <c r="S29" s="37" t="n">
        <v>30000</v>
      </c>
      <c r="T29" s="37" t="n">
        <v>30000</v>
      </c>
      <c r="U29" s="37" t="n">
        <v>30000</v>
      </c>
      <c r="V29" s="37" t="n">
        <v>30000</v>
      </c>
      <c r="W29" s="37" t="n">
        <v>30000</v>
      </c>
      <c r="X29" s="37" t="n">
        <v>30000</v>
      </c>
      <c r="Y29" s="37" t="n">
        <v>30000</v>
      </c>
      <c r="Z29" s="17" t="n">
        <f aca="false">IFERROR(AVERAGEIF(D29:H29,"&lt;&gt;0"),"")</f>
        <v>30500</v>
      </c>
      <c r="AA29" s="17" t="n">
        <f aca="false">IFERROR(AVERAGEIF(I29:M29,"&lt;&gt;0"),"")</f>
        <v>30000</v>
      </c>
      <c r="AB29" s="17" t="n">
        <f aca="false">IFERROR(AVERAGEIF(N29:R29,"&lt;&gt;0"),"")</f>
        <v>30000</v>
      </c>
      <c r="AC29" s="17" t="n">
        <f aca="false">IFERROR(AVERAGEIF(S29:W29,"&lt;&gt;0"),"")</f>
        <v>30000</v>
      </c>
      <c r="AD29" s="17" t="n">
        <f aca="false">IFERROR(AVERAGEIF(X29:Y29,"&lt;&gt;0"),"")</f>
        <v>30000</v>
      </c>
      <c r="AE29" s="17" t="n">
        <f aca="false">IFERROR(AVERAGEIF(D29:Y29,"&lt;&gt;0"),"")</f>
        <v>30100</v>
      </c>
    </row>
    <row r="30" customFormat="false" ht="15" hidden="false" customHeight="true" outlineLevel="0" collapsed="false">
      <c r="A30" s="5" t="n">
        <v>26</v>
      </c>
      <c r="B30" s="6" t="s">
        <v>412</v>
      </c>
      <c r="C30" s="5" t="s">
        <v>407</v>
      </c>
      <c r="D30" s="37" t="n">
        <v>0</v>
      </c>
      <c r="E30" s="37" t="n">
        <v>8000</v>
      </c>
      <c r="F30" s="37" t="n">
        <v>8000</v>
      </c>
      <c r="G30" s="37" t="n">
        <v>8000</v>
      </c>
      <c r="H30" s="37" t="n">
        <v>8000</v>
      </c>
      <c r="I30" s="37" t="n">
        <v>8000</v>
      </c>
      <c r="J30" s="37" t="n">
        <v>8000</v>
      </c>
      <c r="K30" s="37" t="n">
        <v>8000</v>
      </c>
      <c r="L30" s="37" t="n">
        <v>8000</v>
      </c>
      <c r="M30" s="37" t="n">
        <v>8000</v>
      </c>
      <c r="N30" s="37" t="n">
        <v>8000</v>
      </c>
      <c r="O30" s="37" t="n">
        <v>0</v>
      </c>
      <c r="P30" s="37" t="n">
        <v>8000</v>
      </c>
      <c r="Q30" s="37" t="n">
        <v>8000</v>
      </c>
      <c r="R30" s="37" t="n">
        <v>8000</v>
      </c>
      <c r="S30" s="37" t="n">
        <v>8000</v>
      </c>
      <c r="T30" s="37" t="n">
        <v>8000</v>
      </c>
      <c r="U30" s="37" t="n">
        <v>8000</v>
      </c>
      <c r="V30" s="37" t="n">
        <v>8000</v>
      </c>
      <c r="W30" s="37" t="n">
        <v>8000</v>
      </c>
      <c r="X30" s="37" t="n">
        <v>8000</v>
      </c>
      <c r="Y30" s="37" t="n">
        <v>8000</v>
      </c>
      <c r="Z30" s="17" t="n">
        <f aca="false">IFERROR(AVERAGEIF(D30:H30,"&lt;&gt;0"),"")</f>
        <v>8000</v>
      </c>
      <c r="AA30" s="17" t="n">
        <f aca="false">IFERROR(AVERAGEIF(I30:M30,"&lt;&gt;0"),"")</f>
        <v>8000</v>
      </c>
      <c r="AB30" s="17" t="n">
        <f aca="false">IFERROR(AVERAGEIF(N30:R30,"&lt;&gt;0"),"")</f>
        <v>8000</v>
      </c>
      <c r="AC30" s="17" t="n">
        <f aca="false">IFERROR(AVERAGEIF(S30:W30,"&lt;&gt;0"),"")</f>
        <v>8000</v>
      </c>
      <c r="AD30" s="17" t="n">
        <f aca="false">IFERROR(AVERAGEIF(X30:Y30,"&lt;&gt;0"),"")</f>
        <v>8000</v>
      </c>
      <c r="AE30" s="17" t="n">
        <f aca="false">IFERROR(AVERAGEIF(D30:Y30,"&lt;&gt;0"),"")</f>
        <v>8000</v>
      </c>
    </row>
    <row r="31" customFormat="false" ht="15" hidden="false" customHeight="true" outlineLevel="0" collapsed="false">
      <c r="A31" s="5" t="n">
        <v>27</v>
      </c>
      <c r="B31" s="6" t="s">
        <v>358</v>
      </c>
      <c r="C31" s="5" t="s">
        <v>455</v>
      </c>
      <c r="D31" s="37" t="n">
        <v>0</v>
      </c>
      <c r="E31" s="37" t="n">
        <v>10500</v>
      </c>
      <c r="F31" s="37" t="n">
        <v>10500</v>
      </c>
      <c r="G31" s="37" t="n">
        <v>10500</v>
      </c>
      <c r="H31" s="37" t="n">
        <v>10500</v>
      </c>
      <c r="I31" s="37" t="n">
        <v>10500</v>
      </c>
      <c r="J31" s="37" t="n">
        <v>10500</v>
      </c>
      <c r="K31" s="37" t="n">
        <v>10500</v>
      </c>
      <c r="L31" s="37" t="n">
        <v>10500</v>
      </c>
      <c r="M31" s="37" t="n">
        <v>10500</v>
      </c>
      <c r="N31" s="37" t="n">
        <v>10500</v>
      </c>
      <c r="O31" s="37" t="n">
        <v>0</v>
      </c>
      <c r="P31" s="37" t="n">
        <v>10500</v>
      </c>
      <c r="Q31" s="37" t="n">
        <v>10500</v>
      </c>
      <c r="R31" s="37" t="n">
        <v>10500</v>
      </c>
      <c r="S31" s="37" t="n">
        <v>10500</v>
      </c>
      <c r="T31" s="37" t="n">
        <v>10500</v>
      </c>
      <c r="U31" s="37" t="n">
        <v>10500</v>
      </c>
      <c r="V31" s="37" t="n">
        <v>10500</v>
      </c>
      <c r="W31" s="37" t="n">
        <v>10500</v>
      </c>
      <c r="X31" s="37" t="n">
        <v>10500</v>
      </c>
      <c r="Y31" s="37" t="n">
        <v>10500</v>
      </c>
      <c r="Z31" s="17" t="n">
        <f aca="false">IFERROR(AVERAGEIF(D31:H31,"&lt;&gt;0"),"")</f>
        <v>10500</v>
      </c>
      <c r="AA31" s="17" t="n">
        <f aca="false">IFERROR(AVERAGEIF(I31:M31,"&lt;&gt;0"),"")</f>
        <v>10500</v>
      </c>
      <c r="AB31" s="17" t="n">
        <f aca="false">IFERROR(AVERAGEIF(N31:R31,"&lt;&gt;0"),"")</f>
        <v>10500</v>
      </c>
      <c r="AC31" s="17" t="n">
        <f aca="false">IFERROR(AVERAGEIF(S31:W31,"&lt;&gt;0"),"")</f>
        <v>10500</v>
      </c>
      <c r="AD31" s="17" t="n">
        <f aca="false">IFERROR(AVERAGEIF(X31:Y31,"&lt;&gt;0"),"")</f>
        <v>10500</v>
      </c>
      <c r="AE31" s="17" t="n">
        <f aca="false">IFERROR(AVERAGEIF(D31:Y31,"&lt;&gt;0"),"")</f>
        <v>10500</v>
      </c>
    </row>
    <row r="32" customFormat="false" ht="15" hidden="false" customHeight="true" outlineLevel="0" collapsed="false">
      <c r="A32" s="5" t="n">
        <v>28</v>
      </c>
      <c r="B32" s="6" t="s">
        <v>352</v>
      </c>
      <c r="C32" s="5" t="s">
        <v>456</v>
      </c>
      <c r="D32" s="37" t="n">
        <v>0</v>
      </c>
      <c r="E32" s="37" t="n">
        <v>42000</v>
      </c>
      <c r="F32" s="37" t="n">
        <v>42000</v>
      </c>
      <c r="G32" s="37" t="n">
        <v>42000</v>
      </c>
      <c r="H32" s="37" t="n">
        <v>42000</v>
      </c>
      <c r="I32" s="37" t="n">
        <v>42000</v>
      </c>
      <c r="J32" s="37" t="n">
        <v>42000</v>
      </c>
      <c r="K32" s="37" t="n">
        <v>42000</v>
      </c>
      <c r="L32" s="37" t="n">
        <v>42000</v>
      </c>
      <c r="M32" s="37" t="n">
        <v>42000</v>
      </c>
      <c r="N32" s="37" t="n">
        <v>42000</v>
      </c>
      <c r="O32" s="37" t="n">
        <v>0</v>
      </c>
      <c r="P32" s="37" t="n">
        <v>42000</v>
      </c>
      <c r="Q32" s="37" t="n">
        <v>42000</v>
      </c>
      <c r="R32" s="37" t="n">
        <v>42000</v>
      </c>
      <c r="S32" s="37" t="n">
        <v>42000</v>
      </c>
      <c r="T32" s="37" t="n">
        <v>42000</v>
      </c>
      <c r="U32" s="37" t="n">
        <v>42000</v>
      </c>
      <c r="V32" s="37" t="n">
        <v>42000</v>
      </c>
      <c r="W32" s="37" t="n">
        <v>42000</v>
      </c>
      <c r="X32" s="37" t="n">
        <v>42000</v>
      </c>
      <c r="Y32" s="37" t="n">
        <v>42000</v>
      </c>
      <c r="Z32" s="17" t="n">
        <f aca="false">IFERROR(AVERAGEIF(D32:H32,"&lt;&gt;0"),"")</f>
        <v>42000</v>
      </c>
      <c r="AA32" s="17" t="n">
        <f aca="false">IFERROR(AVERAGEIF(I32:M32,"&lt;&gt;0"),"")</f>
        <v>42000</v>
      </c>
      <c r="AB32" s="17" t="n">
        <f aca="false">IFERROR(AVERAGEIF(N32:R32,"&lt;&gt;0"),"")</f>
        <v>42000</v>
      </c>
      <c r="AC32" s="17" t="n">
        <f aca="false">IFERROR(AVERAGEIF(S32:W32,"&lt;&gt;0"),"")</f>
        <v>42000</v>
      </c>
      <c r="AD32" s="17" t="n">
        <f aca="false">IFERROR(AVERAGEIF(X32:Y32,"&lt;&gt;0"),"")</f>
        <v>42000</v>
      </c>
      <c r="AE32" s="17" t="n">
        <f aca="false">IFERROR(AVERAGEIF(D32:Y32,"&lt;&gt;0"),"")</f>
        <v>42000</v>
      </c>
    </row>
    <row r="33" customFormat="false" ht="15" hidden="false" customHeight="true" outlineLevel="0" collapsed="false">
      <c r="A33" s="5" t="n">
        <v>29</v>
      </c>
      <c r="B33" s="6" t="s">
        <v>365</v>
      </c>
      <c r="C33" s="5" t="s">
        <v>407</v>
      </c>
      <c r="D33" s="37" t="n">
        <v>0</v>
      </c>
      <c r="E33" s="37" t="n">
        <v>11000</v>
      </c>
      <c r="F33" s="37" t="n">
        <v>11000</v>
      </c>
      <c r="G33" s="37" t="n">
        <v>11000</v>
      </c>
      <c r="H33" s="37" t="n">
        <v>11000</v>
      </c>
      <c r="I33" s="37" t="n">
        <v>11000</v>
      </c>
      <c r="J33" s="37" t="n">
        <v>11000</v>
      </c>
      <c r="K33" s="37" t="n">
        <v>11000</v>
      </c>
      <c r="L33" s="37" t="n">
        <v>11000</v>
      </c>
      <c r="M33" s="37" t="n">
        <v>11000</v>
      </c>
      <c r="N33" s="37" t="n">
        <v>11000</v>
      </c>
      <c r="O33" s="37" t="n">
        <v>0</v>
      </c>
      <c r="P33" s="37" t="n">
        <v>11000</v>
      </c>
      <c r="Q33" s="37" t="n">
        <v>11000</v>
      </c>
      <c r="R33" s="37" t="n">
        <v>11000</v>
      </c>
      <c r="S33" s="37" t="n">
        <v>11000</v>
      </c>
      <c r="T33" s="37" t="n">
        <v>11000</v>
      </c>
      <c r="U33" s="37" t="n">
        <v>11000</v>
      </c>
      <c r="V33" s="37" t="n">
        <v>11000</v>
      </c>
      <c r="W33" s="37" t="n">
        <v>11000</v>
      </c>
      <c r="X33" s="37" t="n">
        <v>11000</v>
      </c>
      <c r="Y33" s="37" t="n">
        <v>11000</v>
      </c>
      <c r="Z33" s="17" t="n">
        <f aca="false">IFERROR(AVERAGEIF(D33:H33,"&lt;&gt;0"),"")</f>
        <v>11000</v>
      </c>
      <c r="AA33" s="17" t="n">
        <f aca="false">IFERROR(AVERAGEIF(I33:M33,"&lt;&gt;0"),"")</f>
        <v>11000</v>
      </c>
      <c r="AB33" s="17" t="n">
        <f aca="false">IFERROR(AVERAGEIF(N33:R33,"&lt;&gt;0"),"")</f>
        <v>11000</v>
      </c>
      <c r="AC33" s="17" t="n">
        <f aca="false">IFERROR(AVERAGEIF(S33:W33,"&lt;&gt;0"),"")</f>
        <v>11000</v>
      </c>
      <c r="AD33" s="17" t="n">
        <f aca="false">IFERROR(AVERAGEIF(X33:Y33,"&lt;&gt;0"),"")</f>
        <v>11000</v>
      </c>
      <c r="AE33" s="17" t="n">
        <f aca="false">IFERROR(AVERAGEIF(D33:Y33,"&lt;&gt;0"),"")</f>
        <v>11000</v>
      </c>
    </row>
    <row r="34" customFormat="false" ht="15" hidden="false" customHeight="true" outlineLevel="0" collapsed="false">
      <c r="A34" s="5" t="n">
        <v>30</v>
      </c>
      <c r="B34" s="6" t="s">
        <v>338</v>
      </c>
      <c r="C34" s="5" t="s">
        <v>407</v>
      </c>
      <c r="D34" s="37" t="n">
        <v>0</v>
      </c>
      <c r="E34" s="37" t="n">
        <v>6000</v>
      </c>
      <c r="F34" s="37" t="n">
        <v>6000</v>
      </c>
      <c r="G34" s="37" t="n">
        <v>6000</v>
      </c>
      <c r="H34" s="37" t="n">
        <v>6000</v>
      </c>
      <c r="I34" s="37" t="n">
        <v>6000</v>
      </c>
      <c r="J34" s="37" t="n">
        <v>6000</v>
      </c>
      <c r="K34" s="37" t="n">
        <v>6000</v>
      </c>
      <c r="L34" s="37" t="n">
        <v>6000</v>
      </c>
      <c r="M34" s="37" t="n">
        <v>6000</v>
      </c>
      <c r="N34" s="37" t="n">
        <v>6000</v>
      </c>
      <c r="O34" s="37" t="n">
        <v>0</v>
      </c>
      <c r="P34" s="37" t="n">
        <v>6000</v>
      </c>
      <c r="Q34" s="37" t="n">
        <v>6000</v>
      </c>
      <c r="R34" s="37" t="n">
        <v>6000</v>
      </c>
      <c r="S34" s="37" t="n">
        <v>6000</v>
      </c>
      <c r="T34" s="37" t="n">
        <v>6000</v>
      </c>
      <c r="U34" s="37" t="n">
        <v>6000</v>
      </c>
      <c r="V34" s="37" t="n">
        <v>6000</v>
      </c>
      <c r="W34" s="37" t="n">
        <v>6000</v>
      </c>
      <c r="X34" s="37" t="n">
        <v>6000</v>
      </c>
      <c r="Y34" s="37" t="n">
        <v>6000</v>
      </c>
      <c r="Z34" s="17" t="n">
        <f aca="false">IFERROR(AVERAGEIF(D34:H34,"&lt;&gt;0"),"")</f>
        <v>6000</v>
      </c>
      <c r="AA34" s="17" t="n">
        <f aca="false">IFERROR(AVERAGEIF(I34:M34,"&lt;&gt;0"),"")</f>
        <v>6000</v>
      </c>
      <c r="AB34" s="17" t="n">
        <f aca="false">IFERROR(AVERAGEIF(N34:R34,"&lt;&gt;0"),"")</f>
        <v>6000</v>
      </c>
      <c r="AC34" s="17" t="n">
        <f aca="false">IFERROR(AVERAGEIF(S34:W34,"&lt;&gt;0"),"")</f>
        <v>6000</v>
      </c>
      <c r="AD34" s="17" t="n">
        <f aca="false">IFERROR(AVERAGEIF(X34:Y34,"&lt;&gt;0"),"")</f>
        <v>6000</v>
      </c>
      <c r="AE34" s="17" t="n">
        <f aca="false">IFERROR(AVERAGEIF(D34:Y34,"&lt;&gt;0"),"")</f>
        <v>6000</v>
      </c>
    </row>
    <row r="35" customFormat="false" ht="15" hidden="false" customHeight="true" outlineLevel="0" collapsed="false">
      <c r="A35" s="5" t="n">
        <v>31</v>
      </c>
      <c r="B35" s="6" t="s">
        <v>343</v>
      </c>
      <c r="C35" s="5" t="s">
        <v>407</v>
      </c>
      <c r="D35" s="37" t="n">
        <v>0</v>
      </c>
      <c r="E35" s="37" t="n">
        <v>70000</v>
      </c>
      <c r="F35" s="37" t="n">
        <v>70000</v>
      </c>
      <c r="G35" s="37" t="n">
        <v>70000</v>
      </c>
      <c r="H35" s="37" t="n">
        <v>70000</v>
      </c>
      <c r="I35" s="37" t="n">
        <v>70000</v>
      </c>
      <c r="J35" s="37" t="n">
        <v>70000</v>
      </c>
      <c r="K35" s="37" t="n">
        <v>70000</v>
      </c>
      <c r="L35" s="37" t="n">
        <v>70000</v>
      </c>
      <c r="M35" s="37" t="n">
        <v>70000</v>
      </c>
      <c r="N35" s="37" t="n">
        <v>70000</v>
      </c>
      <c r="O35" s="37" t="n">
        <v>0</v>
      </c>
      <c r="P35" s="37" t="n">
        <v>70000</v>
      </c>
      <c r="Q35" s="37" t="n">
        <v>70000</v>
      </c>
      <c r="R35" s="37" t="n">
        <v>70000</v>
      </c>
      <c r="S35" s="37" t="n">
        <v>70000</v>
      </c>
      <c r="T35" s="37" t="n">
        <v>70000</v>
      </c>
      <c r="U35" s="37" t="n">
        <v>70000</v>
      </c>
      <c r="V35" s="37" t="n">
        <v>70000</v>
      </c>
      <c r="W35" s="37" t="n">
        <v>70000</v>
      </c>
      <c r="X35" s="37" t="n">
        <v>70000</v>
      </c>
      <c r="Y35" s="37" t="n">
        <v>70000</v>
      </c>
      <c r="Z35" s="17" t="n">
        <f aca="false">IFERROR(AVERAGEIF(D35:H35,"&lt;&gt;0"),"")</f>
        <v>70000</v>
      </c>
      <c r="AA35" s="17" t="n">
        <f aca="false">IFERROR(AVERAGEIF(I35:M35,"&lt;&gt;0"),"")</f>
        <v>70000</v>
      </c>
      <c r="AB35" s="17" t="n">
        <f aca="false">IFERROR(AVERAGEIF(N35:R35,"&lt;&gt;0"),"")</f>
        <v>70000</v>
      </c>
      <c r="AC35" s="17" t="n">
        <f aca="false">IFERROR(AVERAGEIF(S35:W35,"&lt;&gt;0"),"")</f>
        <v>70000</v>
      </c>
      <c r="AD35" s="17" t="n">
        <f aca="false">IFERROR(AVERAGEIF(X35:Y35,"&lt;&gt;0"),"")</f>
        <v>70000</v>
      </c>
      <c r="AE35" s="17" t="n">
        <f aca="false">IFERROR(AVERAGEIF(D35:Y35,"&lt;&gt;0"),"")</f>
        <v>70000</v>
      </c>
    </row>
    <row r="36" customFormat="false" ht="15" hidden="false" customHeight="true" outlineLevel="0" collapsed="false">
      <c r="A36" s="5" t="n">
        <v>32</v>
      </c>
      <c r="B36" s="6" t="s">
        <v>345</v>
      </c>
      <c r="C36" s="5" t="s">
        <v>407</v>
      </c>
      <c r="D36" s="37" t="n">
        <v>0</v>
      </c>
      <c r="E36" s="37" t="n">
        <v>12000</v>
      </c>
      <c r="F36" s="37" t="n">
        <v>12000</v>
      </c>
      <c r="G36" s="37" t="n">
        <v>12000</v>
      </c>
      <c r="H36" s="37" t="n">
        <v>12000</v>
      </c>
      <c r="I36" s="37" t="n">
        <v>12000</v>
      </c>
      <c r="J36" s="37" t="n">
        <v>12000</v>
      </c>
      <c r="K36" s="37" t="n">
        <v>12000</v>
      </c>
      <c r="L36" s="37" t="n">
        <v>12000</v>
      </c>
      <c r="M36" s="37" t="n">
        <v>12000</v>
      </c>
      <c r="N36" s="37" t="n">
        <v>12000</v>
      </c>
      <c r="O36" s="37" t="n">
        <v>0</v>
      </c>
      <c r="P36" s="37" t="n">
        <v>12000</v>
      </c>
      <c r="Q36" s="37" t="n">
        <v>12000</v>
      </c>
      <c r="R36" s="37" t="n">
        <v>12000</v>
      </c>
      <c r="S36" s="37" t="n">
        <v>12000</v>
      </c>
      <c r="T36" s="37" t="n">
        <v>12000</v>
      </c>
      <c r="U36" s="37" t="n">
        <v>12000</v>
      </c>
      <c r="V36" s="37" t="n">
        <v>12000</v>
      </c>
      <c r="W36" s="37" t="n">
        <v>12000</v>
      </c>
      <c r="X36" s="37" t="n">
        <v>12000</v>
      </c>
      <c r="Y36" s="37" t="n">
        <v>12000</v>
      </c>
      <c r="Z36" s="17" t="n">
        <f aca="false">IFERROR(AVERAGEIF(D36:H36,"&lt;&gt;0"),"")</f>
        <v>12000</v>
      </c>
      <c r="AA36" s="17" t="n">
        <f aca="false">IFERROR(AVERAGEIF(I36:M36,"&lt;&gt;0"),"")</f>
        <v>12000</v>
      </c>
      <c r="AB36" s="17" t="n">
        <f aca="false">IFERROR(AVERAGEIF(N36:R36,"&lt;&gt;0"),"")</f>
        <v>12000</v>
      </c>
      <c r="AC36" s="17" t="n">
        <f aca="false">IFERROR(AVERAGEIF(S36:W36,"&lt;&gt;0"),"")</f>
        <v>12000</v>
      </c>
      <c r="AD36" s="17" t="n">
        <f aca="false">IFERROR(AVERAGEIF(X36:Y36,"&lt;&gt;0"),"")</f>
        <v>12000</v>
      </c>
      <c r="AE36" s="17" t="n">
        <f aca="false">IFERROR(AVERAGEIF(D36:Y36,"&lt;&gt;0"),"")</f>
        <v>12000</v>
      </c>
    </row>
    <row r="37" customFormat="false" ht="15" hidden="false" customHeight="true" outlineLevel="0" collapsed="false">
      <c r="A37" s="5" t="n">
        <v>33</v>
      </c>
      <c r="B37" s="6" t="s">
        <v>366</v>
      </c>
      <c r="C37" s="5" t="s">
        <v>407</v>
      </c>
      <c r="D37" s="37" t="n">
        <v>0</v>
      </c>
      <c r="E37" s="37" t="n">
        <v>8000</v>
      </c>
      <c r="F37" s="37" t="n">
        <v>8000</v>
      </c>
      <c r="G37" s="37" t="n">
        <v>8000</v>
      </c>
      <c r="H37" s="37" t="n">
        <v>8000</v>
      </c>
      <c r="I37" s="37" t="n">
        <v>8000</v>
      </c>
      <c r="J37" s="37" t="n">
        <v>8000</v>
      </c>
      <c r="K37" s="37" t="n">
        <v>8000</v>
      </c>
      <c r="L37" s="37" t="n">
        <v>8000</v>
      </c>
      <c r="M37" s="37" t="n">
        <v>8000</v>
      </c>
      <c r="N37" s="37" t="n">
        <v>8000</v>
      </c>
      <c r="O37" s="37" t="n">
        <v>0</v>
      </c>
      <c r="P37" s="37" t="n">
        <v>8000</v>
      </c>
      <c r="Q37" s="37" t="n">
        <v>8000</v>
      </c>
      <c r="R37" s="37" t="n">
        <v>8000</v>
      </c>
      <c r="S37" s="37" t="n">
        <v>8000</v>
      </c>
      <c r="T37" s="37" t="n">
        <v>8000</v>
      </c>
      <c r="U37" s="37" t="n">
        <v>8000</v>
      </c>
      <c r="V37" s="37" t="n">
        <v>8000</v>
      </c>
      <c r="W37" s="37" t="n">
        <v>8000</v>
      </c>
      <c r="X37" s="37" t="n">
        <v>8000</v>
      </c>
      <c r="Y37" s="37" t="n">
        <v>8000</v>
      </c>
      <c r="Z37" s="17" t="n">
        <f aca="false">IFERROR(AVERAGEIF(D37:H37,"&lt;&gt;0"),"")</f>
        <v>8000</v>
      </c>
      <c r="AA37" s="17" t="n">
        <f aca="false">IFERROR(AVERAGEIF(I37:M37,"&lt;&gt;0"),"")</f>
        <v>8000</v>
      </c>
      <c r="AB37" s="17" t="n">
        <f aca="false">IFERROR(AVERAGEIF(N37:R37,"&lt;&gt;0"),"")</f>
        <v>8000</v>
      </c>
      <c r="AC37" s="17" t="n">
        <f aca="false">IFERROR(AVERAGEIF(S37:W37,"&lt;&gt;0"),"")</f>
        <v>8000</v>
      </c>
      <c r="AD37" s="17" t="n">
        <f aca="false">IFERROR(AVERAGEIF(X37:Y37,"&lt;&gt;0"),"")</f>
        <v>8000</v>
      </c>
      <c r="AE37" s="17" t="n">
        <f aca="false">IFERROR(AVERAGEIF(D37:Y37,"&lt;&gt;0"),"")</f>
        <v>8000</v>
      </c>
    </row>
    <row r="38" customFormat="false" ht="15" hidden="false" customHeight="true" outlineLevel="0" collapsed="false">
      <c r="A38" s="5" t="n">
        <v>34</v>
      </c>
      <c r="B38" s="6" t="s">
        <v>413</v>
      </c>
      <c r="C38" s="5" t="s">
        <v>407</v>
      </c>
      <c r="D38" s="37" t="n">
        <v>0</v>
      </c>
      <c r="E38" s="37" t="n">
        <v>10000</v>
      </c>
      <c r="F38" s="37" t="n">
        <v>10000</v>
      </c>
      <c r="G38" s="37" t="n">
        <v>10000</v>
      </c>
      <c r="H38" s="37" t="n">
        <v>8000</v>
      </c>
      <c r="I38" s="37" t="n">
        <v>8000</v>
      </c>
      <c r="J38" s="37" t="n">
        <v>8000</v>
      </c>
      <c r="K38" s="37" t="n">
        <v>8000</v>
      </c>
      <c r="L38" s="37" t="n">
        <v>8000</v>
      </c>
      <c r="M38" s="37" t="n">
        <v>8000</v>
      </c>
      <c r="N38" s="37" t="n">
        <v>8000</v>
      </c>
      <c r="O38" s="37" t="n">
        <v>0</v>
      </c>
      <c r="P38" s="37" t="n">
        <v>8000</v>
      </c>
      <c r="Q38" s="37" t="n">
        <v>8000</v>
      </c>
      <c r="R38" s="37" t="n">
        <v>8000</v>
      </c>
      <c r="S38" s="37" t="n">
        <v>8000</v>
      </c>
      <c r="T38" s="37" t="n">
        <v>8000</v>
      </c>
      <c r="U38" s="37" t="n">
        <v>8000</v>
      </c>
      <c r="V38" s="37" t="n">
        <v>8000</v>
      </c>
      <c r="W38" s="37" t="n">
        <v>8000</v>
      </c>
      <c r="X38" s="37" t="n">
        <v>8000</v>
      </c>
      <c r="Y38" s="37" t="n">
        <v>8000</v>
      </c>
      <c r="Z38" s="17" t="n">
        <f aca="false">IFERROR(AVERAGEIF(D38:H38,"&lt;&gt;0"),"")</f>
        <v>9500</v>
      </c>
      <c r="AA38" s="17" t="n">
        <f aca="false">IFERROR(AVERAGEIF(I38:M38,"&lt;&gt;0"),"")</f>
        <v>8000</v>
      </c>
      <c r="AB38" s="17" t="n">
        <f aca="false">IFERROR(AVERAGEIF(N38:R38,"&lt;&gt;0"),"")</f>
        <v>8000</v>
      </c>
      <c r="AC38" s="17" t="n">
        <f aca="false">IFERROR(AVERAGEIF(S38:W38,"&lt;&gt;0"),"")</f>
        <v>8000</v>
      </c>
      <c r="AD38" s="17" t="n">
        <f aca="false">IFERROR(AVERAGEIF(X38:Y38,"&lt;&gt;0"),"")</f>
        <v>8000</v>
      </c>
      <c r="AE38" s="17" t="n">
        <f aca="false">IFERROR(AVERAGEIF(D38:Y38,"&lt;&gt;0"),"")</f>
        <v>8300</v>
      </c>
    </row>
    <row r="39" customFormat="false" ht="15" hidden="false" customHeight="true" outlineLevel="0" collapsed="false">
      <c r="A39" s="5" t="n">
        <v>35</v>
      </c>
      <c r="B39" s="6" t="s">
        <v>414</v>
      </c>
      <c r="C39" s="5" t="s">
        <v>407</v>
      </c>
      <c r="D39" s="37" t="n">
        <v>0</v>
      </c>
      <c r="E39" s="37" t="n">
        <v>15000</v>
      </c>
      <c r="F39" s="37" t="n">
        <v>15000</v>
      </c>
      <c r="G39" s="37" t="n">
        <v>15000</v>
      </c>
      <c r="H39" s="37" t="n">
        <v>15000</v>
      </c>
      <c r="I39" s="37" t="n">
        <v>15000</v>
      </c>
      <c r="J39" s="37" t="n">
        <v>15000</v>
      </c>
      <c r="K39" s="37" t="n">
        <v>15000</v>
      </c>
      <c r="L39" s="37" t="n">
        <v>15000</v>
      </c>
      <c r="M39" s="37" t="n">
        <v>15000</v>
      </c>
      <c r="N39" s="37" t="n">
        <v>15000</v>
      </c>
      <c r="O39" s="37" t="n">
        <v>0</v>
      </c>
      <c r="P39" s="37" t="n">
        <v>15000</v>
      </c>
      <c r="Q39" s="37" t="n">
        <v>15000</v>
      </c>
      <c r="R39" s="37" t="n">
        <v>15000</v>
      </c>
      <c r="S39" s="37" t="n">
        <v>15000</v>
      </c>
      <c r="T39" s="37" t="n">
        <v>15000</v>
      </c>
      <c r="U39" s="37" t="n">
        <v>15000</v>
      </c>
      <c r="V39" s="37" t="n">
        <v>15000</v>
      </c>
      <c r="W39" s="37" t="n">
        <v>15000</v>
      </c>
      <c r="X39" s="37" t="n">
        <v>15000</v>
      </c>
      <c r="Y39" s="37" t="n">
        <v>15000</v>
      </c>
      <c r="Z39" s="17" t="n">
        <f aca="false">IFERROR(AVERAGEIF(D39:H39,"&lt;&gt;0"),"")</f>
        <v>15000</v>
      </c>
      <c r="AA39" s="17" t="n">
        <f aca="false">IFERROR(AVERAGEIF(I39:M39,"&lt;&gt;0"),"")</f>
        <v>15000</v>
      </c>
      <c r="AB39" s="17" t="n">
        <f aca="false">IFERROR(AVERAGEIF(N39:R39,"&lt;&gt;0"),"")</f>
        <v>15000</v>
      </c>
      <c r="AC39" s="17" t="n">
        <f aca="false">IFERROR(AVERAGEIF(S39:W39,"&lt;&gt;0"),"")</f>
        <v>15000</v>
      </c>
      <c r="AD39" s="17" t="n">
        <f aca="false">IFERROR(AVERAGEIF(X39:Y39,"&lt;&gt;0"),"")</f>
        <v>15000</v>
      </c>
      <c r="AE39" s="17" t="n">
        <f aca="false">IFERROR(AVERAGEIF(D39:Y39,"&lt;&gt;0"),"")</f>
        <v>15000</v>
      </c>
    </row>
    <row r="40" customFormat="false" ht="15" hidden="false" customHeight="true" outlineLevel="0" collapsed="false">
      <c r="A40" s="5" t="n">
        <v>36</v>
      </c>
      <c r="B40" s="6" t="s">
        <v>415</v>
      </c>
      <c r="C40" s="5" t="s">
        <v>407</v>
      </c>
      <c r="D40" s="37" t="n">
        <v>0</v>
      </c>
      <c r="E40" s="37" t="n">
        <v>14000</v>
      </c>
      <c r="F40" s="37" t="n">
        <v>14000</v>
      </c>
      <c r="G40" s="37" t="n">
        <v>14000</v>
      </c>
      <c r="H40" s="37" t="n">
        <v>12000</v>
      </c>
      <c r="I40" s="37" t="n">
        <v>12000</v>
      </c>
      <c r="J40" s="37" t="n">
        <v>12000</v>
      </c>
      <c r="K40" s="37" t="n">
        <v>10000</v>
      </c>
      <c r="L40" s="37" t="n">
        <v>10000</v>
      </c>
      <c r="M40" s="37" t="n">
        <v>10000</v>
      </c>
      <c r="N40" s="37" t="n">
        <v>10000</v>
      </c>
      <c r="O40" s="37" t="n">
        <v>0</v>
      </c>
      <c r="P40" s="37" t="n">
        <v>10000</v>
      </c>
      <c r="Q40" s="37" t="n">
        <v>10000</v>
      </c>
      <c r="R40" s="37" t="n">
        <v>10000</v>
      </c>
      <c r="S40" s="37" t="n">
        <v>10000</v>
      </c>
      <c r="T40" s="37" t="n">
        <v>10000</v>
      </c>
      <c r="U40" s="37" t="n">
        <v>10000</v>
      </c>
      <c r="V40" s="37" t="n">
        <v>10000</v>
      </c>
      <c r="W40" s="37" t="n">
        <v>10000</v>
      </c>
      <c r="X40" s="37" t="n">
        <v>10000</v>
      </c>
      <c r="Y40" s="37" t="n">
        <v>10000</v>
      </c>
      <c r="Z40" s="17" t="n">
        <f aca="false">IFERROR(AVERAGEIF(D40:H40,"&lt;&gt;0"),"")</f>
        <v>13500</v>
      </c>
      <c r="AA40" s="17" t="n">
        <f aca="false">IFERROR(AVERAGEIF(I40:M40,"&lt;&gt;0"),"")</f>
        <v>10800</v>
      </c>
      <c r="AB40" s="17" t="n">
        <f aca="false">IFERROR(AVERAGEIF(N40:R40,"&lt;&gt;0"),"")</f>
        <v>10000</v>
      </c>
      <c r="AC40" s="17" t="n">
        <f aca="false">IFERROR(AVERAGEIF(S40:W40,"&lt;&gt;0"),"")</f>
        <v>10000</v>
      </c>
      <c r="AD40" s="17" t="n">
        <f aca="false">IFERROR(AVERAGEIF(X40:Y40,"&lt;&gt;0"),"")</f>
        <v>10000</v>
      </c>
      <c r="AE40" s="17" t="n">
        <f aca="false">IFERROR(AVERAGEIF(D40:Y40,"&lt;&gt;0"),"")</f>
        <v>10900</v>
      </c>
    </row>
    <row r="41" customFormat="false" ht="15" hidden="false" customHeight="true" outlineLevel="0" collapsed="false">
      <c r="A41" s="5" t="n">
        <v>37</v>
      </c>
      <c r="B41" s="6" t="s">
        <v>416</v>
      </c>
      <c r="C41" s="5" t="s">
        <v>407</v>
      </c>
      <c r="D41" s="37" t="n">
        <v>0</v>
      </c>
      <c r="E41" s="37" t="n">
        <v>7000</v>
      </c>
      <c r="F41" s="37" t="n">
        <v>7000</v>
      </c>
      <c r="G41" s="37" t="n">
        <v>7000</v>
      </c>
      <c r="H41" s="37" t="n">
        <v>6000</v>
      </c>
      <c r="I41" s="37" t="n">
        <v>6000</v>
      </c>
      <c r="J41" s="37" t="n">
        <v>6000</v>
      </c>
      <c r="K41" s="37" t="n">
        <v>5000</v>
      </c>
      <c r="L41" s="37" t="n">
        <v>5000</v>
      </c>
      <c r="M41" s="37" t="n">
        <v>5000</v>
      </c>
      <c r="N41" s="37" t="n">
        <v>5000</v>
      </c>
      <c r="O41" s="37" t="n">
        <v>0</v>
      </c>
      <c r="P41" s="37" t="n">
        <v>5000</v>
      </c>
      <c r="Q41" s="37" t="n">
        <v>5000</v>
      </c>
      <c r="R41" s="37" t="n">
        <v>5000</v>
      </c>
      <c r="S41" s="37" t="n">
        <v>5000</v>
      </c>
      <c r="T41" s="37" t="n">
        <v>5000</v>
      </c>
      <c r="U41" s="37" t="n">
        <v>5000</v>
      </c>
      <c r="V41" s="37" t="n">
        <v>5000</v>
      </c>
      <c r="W41" s="37" t="n">
        <v>5000</v>
      </c>
      <c r="X41" s="37" t="n">
        <v>5000</v>
      </c>
      <c r="Y41" s="37" t="n">
        <v>5000</v>
      </c>
      <c r="Z41" s="17" t="n">
        <f aca="false">IFERROR(AVERAGEIF(D41:H41,"&lt;&gt;0"),"")</f>
        <v>6750</v>
      </c>
      <c r="AA41" s="17" t="n">
        <f aca="false">IFERROR(AVERAGEIF(I41:M41,"&lt;&gt;0"),"")</f>
        <v>5400</v>
      </c>
      <c r="AB41" s="17" t="n">
        <f aca="false">IFERROR(AVERAGEIF(N41:R41,"&lt;&gt;0"),"")</f>
        <v>5000</v>
      </c>
      <c r="AC41" s="17" t="n">
        <f aca="false">IFERROR(AVERAGEIF(S41:W41,"&lt;&gt;0"),"")</f>
        <v>5000</v>
      </c>
      <c r="AD41" s="17" t="n">
        <f aca="false">IFERROR(AVERAGEIF(X41:Y41,"&lt;&gt;0"),"")</f>
        <v>5000</v>
      </c>
      <c r="AE41" s="17" t="n">
        <f aca="false">IFERROR(AVERAGEIF(D41:Y41,"&lt;&gt;0"),"")</f>
        <v>5450</v>
      </c>
    </row>
    <row r="42" customFormat="false" ht="15" hidden="false" customHeight="true" outlineLevel="0" collapsed="false">
      <c r="A42" s="5" t="n">
        <v>38</v>
      </c>
      <c r="B42" s="6" t="s">
        <v>417</v>
      </c>
      <c r="C42" s="5" t="s">
        <v>407</v>
      </c>
      <c r="D42" s="37" t="n">
        <v>0</v>
      </c>
      <c r="E42" s="37" t="n">
        <v>7000</v>
      </c>
      <c r="F42" s="37" t="n">
        <v>7000</v>
      </c>
      <c r="G42" s="37" t="n">
        <v>7000</v>
      </c>
      <c r="H42" s="37" t="n">
        <v>6000</v>
      </c>
      <c r="I42" s="37" t="n">
        <v>6000</v>
      </c>
      <c r="J42" s="37" t="n">
        <v>5000</v>
      </c>
      <c r="K42" s="37" t="n">
        <v>5000</v>
      </c>
      <c r="L42" s="37" t="n">
        <v>5000</v>
      </c>
      <c r="M42" s="37" t="n">
        <v>5000</v>
      </c>
      <c r="N42" s="37" t="n">
        <v>5000</v>
      </c>
      <c r="O42" s="37" t="n">
        <v>0</v>
      </c>
      <c r="P42" s="37" t="n">
        <v>5000</v>
      </c>
      <c r="Q42" s="37" t="n">
        <v>5000</v>
      </c>
      <c r="R42" s="37" t="n">
        <v>5000</v>
      </c>
      <c r="S42" s="37" t="n">
        <v>5000</v>
      </c>
      <c r="T42" s="37" t="n">
        <v>5000</v>
      </c>
      <c r="U42" s="37" t="n">
        <v>5000</v>
      </c>
      <c r="V42" s="37" t="n">
        <v>5000</v>
      </c>
      <c r="W42" s="37" t="n">
        <v>5000</v>
      </c>
      <c r="X42" s="37" t="n">
        <v>5000</v>
      </c>
      <c r="Y42" s="37" t="n">
        <v>5000</v>
      </c>
      <c r="Z42" s="17" t="n">
        <f aca="false">IFERROR(AVERAGEIF(D42:H42,"&lt;&gt;0"),"")</f>
        <v>6750</v>
      </c>
      <c r="AA42" s="17" t="n">
        <f aca="false">IFERROR(AVERAGEIF(I42:M42,"&lt;&gt;0"),"")</f>
        <v>5200</v>
      </c>
      <c r="AB42" s="17" t="n">
        <f aca="false">IFERROR(AVERAGEIF(N42:R42,"&lt;&gt;0"),"")</f>
        <v>5000</v>
      </c>
      <c r="AC42" s="17" t="n">
        <f aca="false">IFERROR(AVERAGEIF(S42:W42,"&lt;&gt;0"),"")</f>
        <v>5000</v>
      </c>
      <c r="AD42" s="17" t="n">
        <f aca="false">IFERROR(AVERAGEIF(X42:Y42,"&lt;&gt;0"),"")</f>
        <v>5000</v>
      </c>
      <c r="AE42" s="17" t="n">
        <f aca="false">IFERROR(AVERAGEIF(D42:Y42,"&lt;&gt;0"),"")</f>
        <v>5400</v>
      </c>
    </row>
    <row r="43" customFormat="false" ht="15" hidden="false" customHeight="true" outlineLevel="0" collapsed="false">
      <c r="A43" s="5" t="n">
        <v>39</v>
      </c>
      <c r="B43" s="6" t="s">
        <v>418</v>
      </c>
      <c r="C43" s="5" t="s">
        <v>407</v>
      </c>
      <c r="D43" s="37" t="n">
        <v>0</v>
      </c>
      <c r="E43" s="37" t="n">
        <v>7000</v>
      </c>
      <c r="F43" s="37" t="n">
        <v>7000</v>
      </c>
      <c r="G43" s="37" t="n">
        <v>7000</v>
      </c>
      <c r="H43" s="37" t="n">
        <v>6000</v>
      </c>
      <c r="I43" s="37" t="n">
        <v>6000</v>
      </c>
      <c r="J43" s="37" t="n">
        <v>6000</v>
      </c>
      <c r="K43" s="37" t="n">
        <v>6000</v>
      </c>
      <c r="L43" s="37" t="n">
        <v>6000</v>
      </c>
      <c r="M43" s="37" t="n">
        <v>6000</v>
      </c>
      <c r="N43" s="37" t="n">
        <v>6000</v>
      </c>
      <c r="O43" s="37" t="n">
        <v>0</v>
      </c>
      <c r="P43" s="37" t="n">
        <v>6000</v>
      </c>
      <c r="Q43" s="37" t="n">
        <v>6000</v>
      </c>
      <c r="R43" s="37" t="n">
        <v>6000</v>
      </c>
      <c r="S43" s="37" t="n">
        <v>6000</v>
      </c>
      <c r="T43" s="37" t="n">
        <v>6000</v>
      </c>
      <c r="U43" s="37" t="n">
        <v>6000</v>
      </c>
      <c r="V43" s="37" t="n">
        <v>6000</v>
      </c>
      <c r="W43" s="37" t="n">
        <v>6000</v>
      </c>
      <c r="X43" s="37" t="n">
        <v>6000</v>
      </c>
      <c r="Y43" s="37" t="n">
        <v>6000</v>
      </c>
      <c r="Z43" s="17" t="n">
        <f aca="false">IFERROR(AVERAGEIF(D43:H43,"&lt;&gt;0"),"")</f>
        <v>6750</v>
      </c>
      <c r="AA43" s="17" t="n">
        <f aca="false">IFERROR(AVERAGEIF(I43:M43,"&lt;&gt;0"),"")</f>
        <v>6000</v>
      </c>
      <c r="AB43" s="17" t="n">
        <f aca="false">IFERROR(AVERAGEIF(N43:R43,"&lt;&gt;0"),"")</f>
        <v>6000</v>
      </c>
      <c r="AC43" s="17" t="n">
        <f aca="false">IFERROR(AVERAGEIF(S43:W43,"&lt;&gt;0"),"")</f>
        <v>6000</v>
      </c>
      <c r="AD43" s="17" t="n">
        <f aca="false">IFERROR(AVERAGEIF(X43:Y43,"&lt;&gt;0"),"")</f>
        <v>6000</v>
      </c>
      <c r="AE43" s="17" t="n">
        <f aca="false">IFERROR(AVERAGEIF(D43:Y43,"&lt;&gt;0"),"")</f>
        <v>6150</v>
      </c>
    </row>
    <row r="44" customFormat="false" ht="15" hidden="false" customHeight="true" outlineLevel="0" collapsed="false">
      <c r="A44" s="5" t="n">
        <v>40</v>
      </c>
      <c r="B44" s="6" t="s">
        <v>419</v>
      </c>
      <c r="C44" s="5" t="s">
        <v>407</v>
      </c>
      <c r="D44" s="37" t="n">
        <v>0</v>
      </c>
      <c r="E44" s="37" t="n">
        <v>5000</v>
      </c>
      <c r="F44" s="37" t="n">
        <v>5000</v>
      </c>
      <c r="G44" s="37" t="n">
        <v>5000</v>
      </c>
      <c r="H44" s="37" t="n">
        <v>5000</v>
      </c>
      <c r="I44" s="37" t="n">
        <v>5000</v>
      </c>
      <c r="J44" s="37" t="n">
        <v>5000</v>
      </c>
      <c r="K44" s="37" t="n">
        <v>5000</v>
      </c>
      <c r="L44" s="37" t="n">
        <v>5000</v>
      </c>
      <c r="M44" s="37" t="n">
        <v>5000</v>
      </c>
      <c r="N44" s="37" t="n">
        <v>5000</v>
      </c>
      <c r="O44" s="37" t="n">
        <v>0</v>
      </c>
      <c r="P44" s="37" t="n">
        <v>5000</v>
      </c>
      <c r="Q44" s="37" t="n">
        <v>5000</v>
      </c>
      <c r="R44" s="37" t="n">
        <v>5000</v>
      </c>
      <c r="S44" s="37" t="n">
        <v>5000</v>
      </c>
      <c r="T44" s="37" t="n">
        <v>5000</v>
      </c>
      <c r="U44" s="37" t="n">
        <v>5000</v>
      </c>
      <c r="V44" s="37" t="n">
        <v>5000</v>
      </c>
      <c r="W44" s="37" t="n">
        <v>5000</v>
      </c>
      <c r="X44" s="37" t="n">
        <v>5000</v>
      </c>
      <c r="Y44" s="37" t="n">
        <v>5000</v>
      </c>
      <c r="Z44" s="17" t="n">
        <f aca="false">IFERROR(AVERAGEIF(D44:H44,"&lt;&gt;0"),"")</f>
        <v>5000</v>
      </c>
      <c r="AA44" s="17" t="n">
        <f aca="false">IFERROR(AVERAGEIF(I44:M44,"&lt;&gt;0"),"")</f>
        <v>5000</v>
      </c>
      <c r="AB44" s="17" t="n">
        <f aca="false">IFERROR(AVERAGEIF(N44:R44,"&lt;&gt;0"),"")</f>
        <v>5000</v>
      </c>
      <c r="AC44" s="17" t="n">
        <f aca="false">IFERROR(AVERAGEIF(S44:W44,"&lt;&gt;0"),"")</f>
        <v>5000</v>
      </c>
      <c r="AD44" s="17" t="n">
        <f aca="false">IFERROR(AVERAGEIF(X44:Y44,"&lt;&gt;0"),"")</f>
        <v>5000</v>
      </c>
      <c r="AE44" s="17" t="n">
        <f aca="false">IFERROR(AVERAGEIF(D44:Y44,"&lt;&gt;0"),"")</f>
        <v>5000</v>
      </c>
    </row>
    <row r="45" customFormat="false" ht="15" hidden="false" customHeight="true" outlineLevel="0" collapsed="false">
      <c r="A45" s="5" t="n">
        <v>41</v>
      </c>
      <c r="B45" s="6" t="s">
        <v>420</v>
      </c>
      <c r="C45" s="5" t="s">
        <v>457</v>
      </c>
      <c r="D45" s="37" t="n">
        <v>0</v>
      </c>
      <c r="E45" s="37" t="n">
        <v>65000</v>
      </c>
      <c r="F45" s="37" t="n">
        <v>65000</v>
      </c>
      <c r="G45" s="37" t="n">
        <v>65000</v>
      </c>
      <c r="H45" s="37" t="n">
        <v>65000</v>
      </c>
      <c r="I45" s="37" t="n">
        <v>65000</v>
      </c>
      <c r="J45" s="37" t="n">
        <v>65000</v>
      </c>
      <c r="K45" s="37" t="n">
        <v>65000</v>
      </c>
      <c r="L45" s="37" t="n">
        <v>65000</v>
      </c>
      <c r="M45" s="37" t="n">
        <v>65000</v>
      </c>
      <c r="N45" s="37" t="n">
        <v>65000</v>
      </c>
      <c r="O45" s="37" t="n">
        <v>0</v>
      </c>
      <c r="P45" s="37" t="n">
        <v>65000</v>
      </c>
      <c r="Q45" s="37" t="n">
        <v>65000</v>
      </c>
      <c r="R45" s="37" t="n">
        <v>65000</v>
      </c>
      <c r="S45" s="37" t="n">
        <v>65000</v>
      </c>
      <c r="T45" s="37" t="n">
        <v>65000</v>
      </c>
      <c r="U45" s="37" t="n">
        <v>65000</v>
      </c>
      <c r="V45" s="37" t="n">
        <v>65000</v>
      </c>
      <c r="W45" s="37" t="n">
        <v>65000</v>
      </c>
      <c r="X45" s="37" t="n">
        <v>65000</v>
      </c>
      <c r="Y45" s="37" t="n">
        <v>65000</v>
      </c>
      <c r="Z45" s="17" t="n">
        <f aca="false">IFERROR(AVERAGEIF(D45:H45,"&lt;&gt;0"),"")</f>
        <v>65000</v>
      </c>
      <c r="AA45" s="17" t="n">
        <f aca="false">IFERROR(AVERAGEIF(I45:M45,"&lt;&gt;0"),"")</f>
        <v>65000</v>
      </c>
      <c r="AB45" s="17" t="n">
        <f aca="false">IFERROR(AVERAGEIF(N45:R45,"&lt;&gt;0"),"")</f>
        <v>65000</v>
      </c>
      <c r="AC45" s="17" t="n">
        <f aca="false">IFERROR(AVERAGEIF(S45:W45,"&lt;&gt;0"),"")</f>
        <v>65000</v>
      </c>
      <c r="AD45" s="17" t="n">
        <f aca="false">IFERROR(AVERAGEIF(X45:Y45,"&lt;&gt;0"),"")</f>
        <v>65000</v>
      </c>
      <c r="AE45" s="17" t="n">
        <f aca="false">IFERROR(AVERAGEIF(D45:Y45,"&lt;&gt;0"),"")</f>
        <v>65000</v>
      </c>
    </row>
    <row r="46" customFormat="false" ht="15" hidden="false" customHeight="true" outlineLevel="0" collapsed="false">
      <c r="A46" s="5" t="n">
        <v>42</v>
      </c>
      <c r="B46" s="6" t="s">
        <v>421</v>
      </c>
      <c r="C46" s="5" t="s">
        <v>407</v>
      </c>
      <c r="D46" s="37" t="n">
        <v>0</v>
      </c>
      <c r="E46" s="37" t="n">
        <v>40000</v>
      </c>
      <c r="F46" s="37" t="n">
        <v>40000</v>
      </c>
      <c r="G46" s="37" t="n">
        <v>40000</v>
      </c>
      <c r="H46" s="37" t="n">
        <v>40000</v>
      </c>
      <c r="I46" s="37" t="n">
        <v>40000</v>
      </c>
      <c r="J46" s="37" t="n">
        <v>40000</v>
      </c>
      <c r="K46" s="37" t="n">
        <v>40000</v>
      </c>
      <c r="L46" s="37" t="n">
        <v>40000</v>
      </c>
      <c r="M46" s="37" t="n">
        <v>40000</v>
      </c>
      <c r="N46" s="37" t="n">
        <v>40000</v>
      </c>
      <c r="O46" s="37" t="n">
        <v>0</v>
      </c>
      <c r="P46" s="37" t="n">
        <v>40000</v>
      </c>
      <c r="Q46" s="37" t="n">
        <v>40000</v>
      </c>
      <c r="R46" s="37" t="n">
        <v>40000</v>
      </c>
      <c r="S46" s="37" t="n">
        <v>40000</v>
      </c>
      <c r="T46" s="37" t="n">
        <v>40000</v>
      </c>
      <c r="U46" s="37" t="n">
        <v>40000</v>
      </c>
      <c r="V46" s="37" t="n">
        <v>40000</v>
      </c>
      <c r="W46" s="37" t="n">
        <v>40000</v>
      </c>
      <c r="X46" s="37" t="n">
        <v>40000</v>
      </c>
      <c r="Y46" s="37" t="n">
        <v>40000</v>
      </c>
      <c r="Z46" s="17" t="n">
        <f aca="false">IFERROR(AVERAGEIF(D46:H46,"&lt;&gt;0"),"")</f>
        <v>40000</v>
      </c>
      <c r="AA46" s="17" t="n">
        <f aca="false">IFERROR(AVERAGEIF(I46:M46,"&lt;&gt;0"),"")</f>
        <v>40000</v>
      </c>
      <c r="AB46" s="17" t="n">
        <f aca="false">IFERROR(AVERAGEIF(N46:R46,"&lt;&gt;0"),"")</f>
        <v>40000</v>
      </c>
      <c r="AC46" s="17" t="n">
        <f aca="false">IFERROR(AVERAGEIF(S46:W46,"&lt;&gt;0"),"")</f>
        <v>40000</v>
      </c>
      <c r="AD46" s="17" t="n">
        <f aca="false">IFERROR(AVERAGEIF(X46:Y46,"&lt;&gt;0"),"")</f>
        <v>40000</v>
      </c>
      <c r="AE46" s="17" t="n">
        <f aca="false">IFERROR(AVERAGEIF(D46:Y46,"&lt;&gt;0"),"")</f>
        <v>40000</v>
      </c>
    </row>
    <row r="47" customFormat="false" ht="15" hidden="false" customHeight="true" outlineLevel="0" collapsed="false">
      <c r="A47" s="5" t="n">
        <v>43</v>
      </c>
      <c r="B47" s="6" t="s">
        <v>422</v>
      </c>
      <c r="C47" s="5" t="s">
        <v>407</v>
      </c>
      <c r="D47" s="37" t="n">
        <v>0</v>
      </c>
      <c r="E47" s="37" t="n">
        <v>32000</v>
      </c>
      <c r="F47" s="37" t="n">
        <v>32000</v>
      </c>
      <c r="G47" s="37" t="n">
        <v>32000</v>
      </c>
      <c r="H47" s="37" t="n">
        <v>34000</v>
      </c>
      <c r="I47" s="37" t="n">
        <v>34000</v>
      </c>
      <c r="J47" s="37" t="n">
        <v>34000</v>
      </c>
      <c r="K47" s="37" t="n">
        <v>34000</v>
      </c>
      <c r="L47" s="37" t="n">
        <v>34000</v>
      </c>
      <c r="M47" s="37" t="n">
        <v>34000</v>
      </c>
      <c r="N47" s="37" t="n">
        <v>34000</v>
      </c>
      <c r="O47" s="37" t="n">
        <v>0</v>
      </c>
      <c r="P47" s="37" t="n">
        <v>34000</v>
      </c>
      <c r="Q47" s="37" t="n">
        <v>34000</v>
      </c>
      <c r="R47" s="37" t="n">
        <v>34000</v>
      </c>
      <c r="S47" s="37" t="n">
        <v>34000</v>
      </c>
      <c r="T47" s="37" t="n">
        <v>34000</v>
      </c>
      <c r="U47" s="37" t="n">
        <v>34000</v>
      </c>
      <c r="V47" s="37" t="n">
        <v>34000</v>
      </c>
      <c r="W47" s="37" t="n">
        <v>34000</v>
      </c>
      <c r="X47" s="37" t="n">
        <v>34000</v>
      </c>
      <c r="Y47" s="37" t="n">
        <v>34000</v>
      </c>
      <c r="Z47" s="17" t="n">
        <f aca="false">IFERROR(AVERAGEIF(D47:H47,"&lt;&gt;0"),"")</f>
        <v>32500</v>
      </c>
      <c r="AA47" s="17" t="n">
        <f aca="false">IFERROR(AVERAGEIF(I47:M47,"&lt;&gt;0"),"")</f>
        <v>34000</v>
      </c>
      <c r="AB47" s="17" t="n">
        <f aca="false">IFERROR(AVERAGEIF(N47:R47,"&lt;&gt;0"),"")</f>
        <v>34000</v>
      </c>
      <c r="AC47" s="17" t="n">
        <f aca="false">IFERROR(AVERAGEIF(S47:W47,"&lt;&gt;0"),"")</f>
        <v>34000</v>
      </c>
      <c r="AD47" s="17" t="n">
        <f aca="false">IFERROR(AVERAGEIF(X47:Y47,"&lt;&gt;0"),"")</f>
        <v>34000</v>
      </c>
      <c r="AE47" s="17" t="n">
        <f aca="false">IFERROR(AVERAGEIF(D47:Y47,"&lt;&gt;0"),"")</f>
        <v>33700</v>
      </c>
    </row>
    <row r="48" customFormat="false" ht="15" hidden="false" customHeight="true" outlineLevel="0" collapsed="false">
      <c r="A48" s="5" t="n">
        <v>44</v>
      </c>
      <c r="B48" s="6" t="s">
        <v>423</v>
      </c>
      <c r="C48" s="5" t="s">
        <v>407</v>
      </c>
      <c r="D48" s="37" t="n">
        <v>0</v>
      </c>
      <c r="E48" s="37" t="n">
        <v>28000</v>
      </c>
      <c r="F48" s="37" t="n">
        <v>28000</v>
      </c>
      <c r="G48" s="37" t="n">
        <v>28000</v>
      </c>
      <c r="H48" s="37" t="n">
        <v>28000</v>
      </c>
      <c r="I48" s="37" t="n">
        <v>28000</v>
      </c>
      <c r="J48" s="37" t="n">
        <v>28000</v>
      </c>
      <c r="K48" s="37" t="n">
        <v>28000</v>
      </c>
      <c r="L48" s="37" t="n">
        <v>28000</v>
      </c>
      <c r="M48" s="37" t="n">
        <v>28000</v>
      </c>
      <c r="N48" s="37" t="n">
        <v>28000</v>
      </c>
      <c r="O48" s="37" t="n">
        <v>0</v>
      </c>
      <c r="P48" s="37" t="n">
        <v>28000</v>
      </c>
      <c r="Q48" s="37" t="n">
        <v>28000</v>
      </c>
      <c r="R48" s="37" t="n">
        <v>28000</v>
      </c>
      <c r="S48" s="37" t="n">
        <v>28000</v>
      </c>
      <c r="T48" s="37" t="n">
        <v>28000</v>
      </c>
      <c r="U48" s="37" t="n">
        <v>28000</v>
      </c>
      <c r="V48" s="37" t="n">
        <v>28000</v>
      </c>
      <c r="W48" s="37" t="n">
        <v>28000</v>
      </c>
      <c r="X48" s="37" t="n">
        <v>28000</v>
      </c>
      <c r="Y48" s="37" t="n">
        <v>28000</v>
      </c>
      <c r="Z48" s="17" t="n">
        <f aca="false">IFERROR(AVERAGEIF(D48:H48,"&lt;&gt;0"),"")</f>
        <v>28000</v>
      </c>
      <c r="AA48" s="17" t="n">
        <f aca="false">IFERROR(AVERAGEIF(I48:M48,"&lt;&gt;0"),"")</f>
        <v>28000</v>
      </c>
      <c r="AB48" s="17" t="n">
        <f aca="false">IFERROR(AVERAGEIF(N48:R48,"&lt;&gt;0"),"")</f>
        <v>28000</v>
      </c>
      <c r="AC48" s="17" t="n">
        <f aca="false">IFERROR(AVERAGEIF(S48:W48,"&lt;&gt;0"),"")</f>
        <v>28000</v>
      </c>
      <c r="AD48" s="17" t="n">
        <f aca="false">IFERROR(AVERAGEIF(X48:Y48,"&lt;&gt;0"),"")</f>
        <v>28000</v>
      </c>
      <c r="AE48" s="17" t="n">
        <f aca="false">IFERROR(AVERAGEIF(D48:Y48,"&lt;&gt;0"),"")</f>
        <v>28000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6"/>
    <col collapsed="false" customWidth="true" hidden="false" outlineLevel="0" max="26" min="4" style="1" width="11"/>
    <col collapsed="false" customWidth="true" hidden="false" outlineLevel="0" max="31" min="27" style="1" width="13"/>
    <col collapsed="false" customWidth="true" hidden="false" outlineLevel="0" max="32" min="32" style="1" width="14"/>
  </cols>
  <sheetData>
    <row r="1" customFormat="false" ht="26.25" hidden="false" customHeight="true" outlineLevel="0" collapsed="false">
      <c r="A1" s="2" t="s">
        <v>591</v>
      </c>
      <c r="B1" s="2"/>
      <c r="C1" s="2"/>
      <c r="D1" s="2"/>
    </row>
    <row r="2" customFormat="false" ht="18.75" hidden="false" customHeight="true" outlineLevel="0" collapsed="false">
      <c r="A2" s="12" t="s">
        <v>375</v>
      </c>
      <c r="B2" s="12"/>
      <c r="C2" s="12"/>
      <c r="D2" s="12"/>
    </row>
    <row r="4" customFormat="false" ht="25.5" hidden="false" customHeight="true" outlineLevel="0" collapsed="false">
      <c r="A4" s="3" t="s">
        <v>1</v>
      </c>
      <c r="B4" s="3" t="s">
        <v>376</v>
      </c>
      <c r="C4" s="3" t="s">
        <v>377</v>
      </c>
      <c r="D4" s="3" t="s">
        <v>592</v>
      </c>
      <c r="E4" s="3" t="s">
        <v>593</v>
      </c>
      <c r="F4" s="3" t="s">
        <v>594</v>
      </c>
      <c r="G4" s="3" t="s">
        <v>595</v>
      </c>
      <c r="H4" s="3" t="s">
        <v>596</v>
      </c>
      <c r="I4" s="3" t="s">
        <v>597</v>
      </c>
      <c r="J4" s="3" t="s">
        <v>598</v>
      </c>
      <c r="K4" s="3" t="s">
        <v>599</v>
      </c>
      <c r="L4" s="3" t="s">
        <v>600</v>
      </c>
      <c r="M4" s="3" t="s">
        <v>601</v>
      </c>
      <c r="N4" s="3" t="s">
        <v>602</v>
      </c>
      <c r="O4" s="3" t="s">
        <v>603</v>
      </c>
      <c r="P4" s="3" t="s">
        <v>604</v>
      </c>
      <c r="Q4" s="3" t="s">
        <v>605</v>
      </c>
      <c r="R4" s="3" t="s">
        <v>606</v>
      </c>
      <c r="S4" s="3" t="s">
        <v>607</v>
      </c>
      <c r="T4" s="3" t="s">
        <v>608</v>
      </c>
      <c r="U4" s="3" t="s">
        <v>609</v>
      </c>
      <c r="V4" s="3" t="s">
        <v>610</v>
      </c>
      <c r="W4" s="3" t="s">
        <v>611</v>
      </c>
      <c r="X4" s="3" t="s">
        <v>612</v>
      </c>
      <c r="Y4" s="3" t="s">
        <v>613</v>
      </c>
      <c r="Z4" s="3" t="s">
        <v>614</v>
      </c>
      <c r="AA4" s="35" t="s">
        <v>532</v>
      </c>
      <c r="AB4" s="35" t="s">
        <v>533</v>
      </c>
      <c r="AC4" s="35" t="s">
        <v>534</v>
      </c>
      <c r="AD4" s="35" t="s">
        <v>535</v>
      </c>
      <c r="AE4" s="35" t="s">
        <v>615</v>
      </c>
      <c r="AF4" s="36" t="s">
        <v>616</v>
      </c>
    </row>
    <row r="5" customFormat="false" ht="15" hidden="false" customHeight="true" outlineLevel="0" collapsed="false">
      <c r="A5" s="5" t="n">
        <v>1</v>
      </c>
      <c r="B5" s="6" t="s">
        <v>334</v>
      </c>
      <c r="C5" s="5" t="s">
        <v>407</v>
      </c>
      <c r="D5" s="37" t="n">
        <v>12500</v>
      </c>
      <c r="E5" s="37" t="n">
        <v>12500</v>
      </c>
      <c r="F5" s="37" t="n">
        <v>12500</v>
      </c>
      <c r="G5" s="37" t="n">
        <v>12500</v>
      </c>
      <c r="H5" s="37" t="n">
        <v>12500</v>
      </c>
      <c r="I5" s="37" t="n">
        <v>12500</v>
      </c>
      <c r="J5" s="37" t="n">
        <v>12500</v>
      </c>
      <c r="K5" s="37" t="n">
        <v>12500</v>
      </c>
      <c r="L5" s="37" t="n">
        <v>12500</v>
      </c>
      <c r="M5" s="37" t="n">
        <v>12500</v>
      </c>
      <c r="N5" s="37" t="n">
        <v>12500</v>
      </c>
      <c r="O5" s="37" t="n">
        <v>12500</v>
      </c>
      <c r="P5" s="37" t="n">
        <v>12500</v>
      </c>
      <c r="Q5" s="37" t="n">
        <v>12500</v>
      </c>
      <c r="R5" s="37" t="n">
        <v>12500</v>
      </c>
      <c r="S5" s="37" t="n">
        <v>12500</v>
      </c>
      <c r="T5" s="37" t="n">
        <v>12500</v>
      </c>
      <c r="U5" s="37" t="n">
        <v>12500</v>
      </c>
      <c r="V5" s="37" t="n">
        <v>12500</v>
      </c>
      <c r="W5" s="37" t="n">
        <v>12500</v>
      </c>
      <c r="X5" s="37" t="n">
        <v>12500</v>
      </c>
      <c r="Y5" s="37" t="n">
        <v>12500</v>
      </c>
      <c r="Z5" s="37" t="n">
        <v>12500</v>
      </c>
      <c r="AA5" s="17" t="n">
        <f aca="false">IFERROR(AVERAGEIF(D5:F5,"&lt;&gt;0"),"")</f>
        <v>12500</v>
      </c>
      <c r="AB5" s="17" t="n">
        <f aca="false">IFERROR(AVERAGEIF(G5:K5,"&lt;&gt;0"),"")</f>
        <v>12500</v>
      </c>
      <c r="AC5" s="17" t="n">
        <f aca="false">IFERROR(AVERAGEIF(L5:P5,"&lt;&gt;0"),"")</f>
        <v>12500</v>
      </c>
      <c r="AD5" s="17" t="n">
        <f aca="false">IFERROR(AVERAGEIF(Q5:U5,"&lt;&gt;0"),"")</f>
        <v>12500</v>
      </c>
      <c r="AE5" s="17" t="n">
        <f aca="false">IFERROR(AVERAGEIF(V5:Z5,"&lt;&gt;0"),"")</f>
        <v>12500</v>
      </c>
      <c r="AF5" s="17" t="n">
        <f aca="false">IFERROR(AVERAGEIF(D5:Z5,"&lt;&gt;0"),"")</f>
        <v>12500</v>
      </c>
    </row>
    <row r="6" customFormat="false" ht="15" hidden="false" customHeight="true" outlineLevel="0" collapsed="false">
      <c r="A6" s="5" t="n">
        <v>2</v>
      </c>
      <c r="B6" s="6" t="s">
        <v>335</v>
      </c>
      <c r="C6" s="5" t="s">
        <v>407</v>
      </c>
      <c r="D6" s="37" t="n">
        <v>14300</v>
      </c>
      <c r="E6" s="37" t="n">
        <v>14300</v>
      </c>
      <c r="F6" s="37" t="n">
        <v>14300</v>
      </c>
      <c r="G6" s="37" t="n">
        <v>14300</v>
      </c>
      <c r="H6" s="37" t="n">
        <v>14300</v>
      </c>
      <c r="I6" s="37" t="n">
        <v>14300</v>
      </c>
      <c r="J6" s="37" t="n">
        <v>14300</v>
      </c>
      <c r="K6" s="37" t="n">
        <v>14300</v>
      </c>
      <c r="L6" s="37" t="n">
        <v>14300</v>
      </c>
      <c r="M6" s="37" t="n">
        <v>14300</v>
      </c>
      <c r="N6" s="37" t="n">
        <v>14300</v>
      </c>
      <c r="O6" s="37" t="n">
        <v>14300</v>
      </c>
      <c r="P6" s="37" t="n">
        <v>14300</v>
      </c>
      <c r="Q6" s="37" t="n">
        <v>14300</v>
      </c>
      <c r="R6" s="37" t="n">
        <v>14300</v>
      </c>
      <c r="S6" s="37" t="n">
        <v>14300</v>
      </c>
      <c r="T6" s="37" t="n">
        <v>14300</v>
      </c>
      <c r="U6" s="37" t="n">
        <v>14300</v>
      </c>
      <c r="V6" s="37" t="n">
        <v>14300</v>
      </c>
      <c r="W6" s="37" t="n">
        <v>14300</v>
      </c>
      <c r="X6" s="37" t="n">
        <v>14300</v>
      </c>
      <c r="Y6" s="37" t="n">
        <v>14300</v>
      </c>
      <c r="Z6" s="37" t="n">
        <v>14300</v>
      </c>
      <c r="AA6" s="17" t="n">
        <f aca="false">IFERROR(AVERAGEIF(D6:F6,"&lt;&gt;0"),"")</f>
        <v>14300</v>
      </c>
      <c r="AB6" s="17" t="n">
        <f aca="false">IFERROR(AVERAGEIF(G6:K6,"&lt;&gt;0"),"")</f>
        <v>14300</v>
      </c>
      <c r="AC6" s="17" t="n">
        <f aca="false">IFERROR(AVERAGEIF(L6:P6,"&lt;&gt;0"),"")</f>
        <v>14300</v>
      </c>
      <c r="AD6" s="17" t="n">
        <f aca="false">IFERROR(AVERAGEIF(Q6:U6,"&lt;&gt;0"),"")</f>
        <v>14300</v>
      </c>
      <c r="AE6" s="17" t="n">
        <f aca="false">IFERROR(AVERAGEIF(V6:Z6,"&lt;&gt;0"),"")</f>
        <v>14300</v>
      </c>
      <c r="AF6" s="17" t="n">
        <f aca="false">IFERROR(AVERAGEIF(D6:Z6,"&lt;&gt;0"),"")</f>
        <v>14300</v>
      </c>
    </row>
    <row r="7" customFormat="false" ht="15" hidden="false" customHeight="true" outlineLevel="0" collapsed="false">
      <c r="A7" s="5" t="n">
        <v>3</v>
      </c>
      <c r="B7" s="6" t="s">
        <v>336</v>
      </c>
      <c r="C7" s="5" t="s">
        <v>407</v>
      </c>
      <c r="D7" s="37" t="n">
        <v>11800</v>
      </c>
      <c r="E7" s="37" t="n">
        <v>11800</v>
      </c>
      <c r="F7" s="37" t="n">
        <v>11800</v>
      </c>
      <c r="G7" s="37" t="n">
        <v>11800</v>
      </c>
      <c r="H7" s="37" t="n">
        <v>11800</v>
      </c>
      <c r="I7" s="37" t="n">
        <v>11800</v>
      </c>
      <c r="J7" s="37" t="n">
        <v>11800</v>
      </c>
      <c r="K7" s="37" t="n">
        <v>11800</v>
      </c>
      <c r="L7" s="37" t="n">
        <v>11800</v>
      </c>
      <c r="M7" s="37" t="n">
        <v>11800</v>
      </c>
      <c r="N7" s="37" t="n">
        <v>11800</v>
      </c>
      <c r="O7" s="37" t="n">
        <v>11800</v>
      </c>
      <c r="P7" s="37" t="n">
        <v>11800</v>
      </c>
      <c r="Q7" s="37" t="n">
        <v>11800</v>
      </c>
      <c r="R7" s="37" t="n">
        <v>11800</v>
      </c>
      <c r="S7" s="37" t="n">
        <v>11800</v>
      </c>
      <c r="T7" s="37" t="n">
        <v>11800</v>
      </c>
      <c r="U7" s="37" t="n">
        <v>11800</v>
      </c>
      <c r="V7" s="37" t="n">
        <v>11800</v>
      </c>
      <c r="W7" s="37" t="n">
        <v>11800</v>
      </c>
      <c r="X7" s="37" t="n">
        <v>11800</v>
      </c>
      <c r="Y7" s="37" t="n">
        <v>11800</v>
      </c>
      <c r="Z7" s="37" t="n">
        <v>11800</v>
      </c>
      <c r="AA7" s="17" t="n">
        <f aca="false">IFERROR(AVERAGEIF(D7:F7,"&lt;&gt;0"),"")</f>
        <v>11800</v>
      </c>
      <c r="AB7" s="17" t="n">
        <f aca="false">IFERROR(AVERAGEIF(G7:K7,"&lt;&gt;0"),"")</f>
        <v>11800</v>
      </c>
      <c r="AC7" s="17" t="n">
        <f aca="false">IFERROR(AVERAGEIF(L7:P7,"&lt;&gt;0"),"")</f>
        <v>11800</v>
      </c>
      <c r="AD7" s="17" t="n">
        <f aca="false">IFERROR(AVERAGEIF(Q7:U7,"&lt;&gt;0"),"")</f>
        <v>11800</v>
      </c>
      <c r="AE7" s="17" t="n">
        <f aca="false">IFERROR(AVERAGEIF(V7:Z7,"&lt;&gt;0"),"")</f>
        <v>11800</v>
      </c>
      <c r="AF7" s="17" t="n">
        <f aca="false">IFERROR(AVERAGEIF(D7:Z7,"&lt;&gt;0"),"")</f>
        <v>11800</v>
      </c>
    </row>
    <row r="8" customFormat="false" ht="15" hidden="false" customHeight="true" outlineLevel="0" collapsed="false">
      <c r="A8" s="5" t="n">
        <v>4</v>
      </c>
      <c r="B8" s="6" t="s">
        <v>408</v>
      </c>
      <c r="C8" s="5" t="s">
        <v>407</v>
      </c>
      <c r="D8" s="37" t="n">
        <v>11000</v>
      </c>
      <c r="E8" s="37" t="n">
        <v>11000</v>
      </c>
      <c r="F8" s="37" t="n">
        <v>11000</v>
      </c>
      <c r="G8" s="37" t="n">
        <v>11000</v>
      </c>
      <c r="H8" s="37" t="n">
        <v>11000</v>
      </c>
      <c r="I8" s="37" t="n">
        <v>11000</v>
      </c>
      <c r="J8" s="37" t="n">
        <v>11000</v>
      </c>
      <c r="K8" s="37" t="n">
        <v>11000</v>
      </c>
      <c r="L8" s="37" t="n">
        <v>11000</v>
      </c>
      <c r="M8" s="37" t="n">
        <v>11000</v>
      </c>
      <c r="N8" s="37" t="n">
        <v>11000</v>
      </c>
      <c r="O8" s="37" t="n">
        <v>11000</v>
      </c>
      <c r="P8" s="37" t="n">
        <v>11000</v>
      </c>
      <c r="Q8" s="37" t="n">
        <v>11000</v>
      </c>
      <c r="R8" s="37" t="n">
        <v>11000</v>
      </c>
      <c r="S8" s="37" t="n">
        <v>11000</v>
      </c>
      <c r="T8" s="37" t="n">
        <v>11000</v>
      </c>
      <c r="U8" s="37" t="n">
        <v>11000</v>
      </c>
      <c r="V8" s="37" t="n">
        <v>11000</v>
      </c>
      <c r="W8" s="37" t="n">
        <v>11000</v>
      </c>
      <c r="X8" s="37" t="n">
        <v>11000</v>
      </c>
      <c r="Y8" s="37" t="n">
        <v>11000</v>
      </c>
      <c r="Z8" s="37" t="n">
        <v>11000</v>
      </c>
      <c r="AA8" s="17" t="n">
        <f aca="false">IFERROR(AVERAGEIF(D8:F8,"&lt;&gt;0"),"")</f>
        <v>11000</v>
      </c>
      <c r="AB8" s="17" t="n">
        <f aca="false">IFERROR(AVERAGEIF(G8:K8,"&lt;&gt;0"),"")</f>
        <v>11000</v>
      </c>
      <c r="AC8" s="17" t="n">
        <f aca="false">IFERROR(AVERAGEIF(L8:P8,"&lt;&gt;0"),"")</f>
        <v>11000</v>
      </c>
      <c r="AD8" s="17" t="n">
        <f aca="false">IFERROR(AVERAGEIF(Q8:U8,"&lt;&gt;0"),"")</f>
        <v>11000</v>
      </c>
      <c r="AE8" s="17" t="n">
        <f aca="false">IFERROR(AVERAGEIF(V8:Z8,"&lt;&gt;0"),"")</f>
        <v>11000</v>
      </c>
      <c r="AF8" s="17" t="n">
        <f aca="false">IFERROR(AVERAGEIF(D8:Z8,"&lt;&gt;0"),"")</f>
        <v>11000</v>
      </c>
    </row>
    <row r="9" customFormat="false" ht="15" hidden="false" customHeight="true" outlineLevel="0" collapsed="false">
      <c r="A9" s="5" t="n">
        <v>5</v>
      </c>
      <c r="B9" s="6" t="s">
        <v>360</v>
      </c>
      <c r="C9" s="5" t="s">
        <v>407</v>
      </c>
      <c r="D9" s="37" t="n">
        <v>30000</v>
      </c>
      <c r="E9" s="37" t="n">
        <v>30000</v>
      </c>
      <c r="F9" s="37" t="n">
        <v>30000</v>
      </c>
      <c r="G9" s="37" t="n">
        <v>30000</v>
      </c>
      <c r="H9" s="37" t="n">
        <v>30000</v>
      </c>
      <c r="I9" s="37" t="n">
        <v>30000</v>
      </c>
      <c r="J9" s="37" t="n">
        <v>30000</v>
      </c>
      <c r="K9" s="37" t="n">
        <v>30000</v>
      </c>
      <c r="L9" s="37" t="n">
        <v>30000</v>
      </c>
      <c r="M9" s="37" t="n">
        <v>30000</v>
      </c>
      <c r="N9" s="37" t="n">
        <v>30000</v>
      </c>
      <c r="O9" s="37" t="n">
        <v>30000</v>
      </c>
      <c r="P9" s="37" t="n">
        <v>30000</v>
      </c>
      <c r="Q9" s="37" t="n">
        <v>30000</v>
      </c>
      <c r="R9" s="37" t="n">
        <v>30000</v>
      </c>
      <c r="S9" s="37" t="n">
        <v>30000</v>
      </c>
      <c r="T9" s="37" t="n">
        <v>30000</v>
      </c>
      <c r="U9" s="37" t="n">
        <v>30000</v>
      </c>
      <c r="V9" s="37" t="n">
        <v>30000</v>
      </c>
      <c r="W9" s="37" t="n">
        <v>30000</v>
      </c>
      <c r="X9" s="37" t="n">
        <v>30000</v>
      </c>
      <c r="Y9" s="37" t="n">
        <v>30000</v>
      </c>
      <c r="Z9" s="37" t="n">
        <v>30000</v>
      </c>
      <c r="AA9" s="17" t="n">
        <f aca="false">IFERROR(AVERAGEIF(D9:F9,"&lt;&gt;0"),"")</f>
        <v>30000</v>
      </c>
      <c r="AB9" s="17" t="n">
        <f aca="false">IFERROR(AVERAGEIF(G9:K9,"&lt;&gt;0"),"")</f>
        <v>30000</v>
      </c>
      <c r="AC9" s="17" t="n">
        <f aca="false">IFERROR(AVERAGEIF(L9:P9,"&lt;&gt;0"),"")</f>
        <v>30000</v>
      </c>
      <c r="AD9" s="17" t="n">
        <f aca="false">IFERROR(AVERAGEIF(Q9:U9,"&lt;&gt;0"),"")</f>
        <v>30000</v>
      </c>
      <c r="AE9" s="17" t="n">
        <f aca="false">IFERROR(AVERAGEIF(V9:Z9,"&lt;&gt;0"),"")</f>
        <v>30000</v>
      </c>
      <c r="AF9" s="17" t="n">
        <f aca="false">IFERROR(AVERAGEIF(D9:Z9,"&lt;&gt;0"),"")</f>
        <v>30000</v>
      </c>
    </row>
    <row r="10" customFormat="false" ht="15" hidden="false" customHeight="true" outlineLevel="0" collapsed="false">
      <c r="A10" s="5" t="n">
        <v>6</v>
      </c>
      <c r="B10" s="6" t="s">
        <v>361</v>
      </c>
      <c r="C10" s="5" t="s">
        <v>407</v>
      </c>
      <c r="D10" s="37" t="n">
        <v>28000</v>
      </c>
      <c r="E10" s="37" t="n">
        <v>28000</v>
      </c>
      <c r="F10" s="37" t="n">
        <v>28000</v>
      </c>
      <c r="G10" s="37" t="n">
        <v>28000</v>
      </c>
      <c r="H10" s="37" t="n">
        <v>28000</v>
      </c>
      <c r="I10" s="37" t="n">
        <v>28000</v>
      </c>
      <c r="J10" s="37" t="n">
        <v>28000</v>
      </c>
      <c r="K10" s="37" t="n">
        <v>28000</v>
      </c>
      <c r="L10" s="37" t="n">
        <v>28000</v>
      </c>
      <c r="M10" s="37" t="n">
        <v>28000</v>
      </c>
      <c r="N10" s="37" t="n">
        <v>28000</v>
      </c>
      <c r="O10" s="37" t="n">
        <v>28000</v>
      </c>
      <c r="P10" s="37" t="n">
        <v>28000</v>
      </c>
      <c r="Q10" s="37" t="n">
        <v>28000</v>
      </c>
      <c r="R10" s="37" t="n">
        <v>28000</v>
      </c>
      <c r="S10" s="37" t="n">
        <v>28000</v>
      </c>
      <c r="T10" s="37" t="n">
        <v>28000</v>
      </c>
      <c r="U10" s="37" t="n">
        <v>28000</v>
      </c>
      <c r="V10" s="37" t="n">
        <v>28000</v>
      </c>
      <c r="W10" s="37" t="n">
        <v>28000</v>
      </c>
      <c r="X10" s="37" t="n">
        <v>28000</v>
      </c>
      <c r="Y10" s="37" t="n">
        <v>28000</v>
      </c>
      <c r="Z10" s="37" t="n">
        <v>28000</v>
      </c>
      <c r="AA10" s="17" t="n">
        <f aca="false">IFERROR(AVERAGEIF(D10:F10,"&lt;&gt;0"),"")</f>
        <v>28000</v>
      </c>
      <c r="AB10" s="17" t="n">
        <f aca="false">IFERROR(AVERAGEIF(G10:K10,"&lt;&gt;0"),"")</f>
        <v>28000</v>
      </c>
      <c r="AC10" s="17" t="n">
        <f aca="false">IFERROR(AVERAGEIF(L10:P10,"&lt;&gt;0"),"")</f>
        <v>28000</v>
      </c>
      <c r="AD10" s="17" t="n">
        <f aca="false">IFERROR(AVERAGEIF(Q10:U10,"&lt;&gt;0"),"")</f>
        <v>28000</v>
      </c>
      <c r="AE10" s="17" t="n">
        <f aca="false">IFERROR(AVERAGEIF(V10:Z10,"&lt;&gt;0"),"")</f>
        <v>28000</v>
      </c>
      <c r="AF10" s="17" t="n">
        <f aca="false">IFERROR(AVERAGEIF(D10:Z10,"&lt;&gt;0"),"")</f>
        <v>28000</v>
      </c>
    </row>
    <row r="11" customFormat="false" ht="15" hidden="false" customHeight="true" outlineLevel="0" collapsed="false">
      <c r="A11" s="5" t="n">
        <v>7</v>
      </c>
      <c r="B11" s="6" t="s">
        <v>347</v>
      </c>
      <c r="C11" s="5" t="s">
        <v>407</v>
      </c>
      <c r="D11" s="37" t="n">
        <v>45000</v>
      </c>
      <c r="E11" s="37" t="n">
        <v>45000</v>
      </c>
      <c r="F11" s="37" t="n">
        <v>45000</v>
      </c>
      <c r="G11" s="37" t="n">
        <v>45000</v>
      </c>
      <c r="H11" s="37" t="n">
        <v>45000</v>
      </c>
      <c r="I11" s="37" t="n">
        <v>45000</v>
      </c>
      <c r="J11" s="37" t="n">
        <v>45000</v>
      </c>
      <c r="K11" s="37" t="n">
        <v>45000</v>
      </c>
      <c r="L11" s="37" t="n">
        <v>45000</v>
      </c>
      <c r="M11" s="37" t="n">
        <v>45000</v>
      </c>
      <c r="N11" s="37" t="n">
        <v>45000</v>
      </c>
      <c r="O11" s="37" t="n">
        <v>45000</v>
      </c>
      <c r="P11" s="37" t="n">
        <v>45000</v>
      </c>
      <c r="Q11" s="37" t="n">
        <v>45000</v>
      </c>
      <c r="R11" s="37" t="n">
        <v>45000</v>
      </c>
      <c r="S11" s="37" t="n">
        <v>45000</v>
      </c>
      <c r="T11" s="37" t="n">
        <v>45000</v>
      </c>
      <c r="U11" s="37" t="n">
        <v>40000</v>
      </c>
      <c r="V11" s="37" t="n">
        <v>40000</v>
      </c>
      <c r="W11" s="37" t="n">
        <v>40000</v>
      </c>
      <c r="X11" s="37" t="n">
        <v>42000</v>
      </c>
      <c r="Y11" s="37" t="n">
        <v>42000</v>
      </c>
      <c r="Z11" s="37" t="n">
        <v>42000</v>
      </c>
      <c r="AA11" s="17" t="n">
        <f aca="false">IFERROR(AVERAGEIF(D11:F11,"&lt;&gt;0"),"")</f>
        <v>45000</v>
      </c>
      <c r="AB11" s="17" t="n">
        <f aca="false">IFERROR(AVERAGEIF(G11:K11,"&lt;&gt;0"),"")</f>
        <v>45000</v>
      </c>
      <c r="AC11" s="17" t="n">
        <f aca="false">IFERROR(AVERAGEIF(L11:P11,"&lt;&gt;0"),"")</f>
        <v>45000</v>
      </c>
      <c r="AD11" s="17" t="n">
        <f aca="false">IFERROR(AVERAGEIF(Q11:U11,"&lt;&gt;0"),"")</f>
        <v>44000</v>
      </c>
      <c r="AE11" s="17" t="n">
        <f aca="false">IFERROR(AVERAGEIF(V11:Z11,"&lt;&gt;0"),"")</f>
        <v>41200</v>
      </c>
      <c r="AF11" s="17" t="n">
        <f aca="false">IFERROR(AVERAGEIF(D11:Z11,"&lt;&gt;0"),"")</f>
        <v>43956.5217391304</v>
      </c>
    </row>
    <row r="12" customFormat="false" ht="15" hidden="false" customHeight="true" outlineLevel="0" collapsed="false">
      <c r="A12" s="5" t="n">
        <v>8</v>
      </c>
      <c r="B12" s="6" t="s">
        <v>354</v>
      </c>
      <c r="C12" s="5" t="s">
        <v>407</v>
      </c>
      <c r="D12" s="37" t="n">
        <v>35000</v>
      </c>
      <c r="E12" s="37" t="n">
        <v>35000</v>
      </c>
      <c r="F12" s="37" t="n">
        <v>35000</v>
      </c>
      <c r="G12" s="37" t="n">
        <v>35000</v>
      </c>
      <c r="H12" s="37" t="n">
        <v>35000</v>
      </c>
      <c r="I12" s="37" t="n">
        <v>35000</v>
      </c>
      <c r="J12" s="37" t="n">
        <v>35000</v>
      </c>
      <c r="K12" s="37" t="n">
        <v>35000</v>
      </c>
      <c r="L12" s="37" t="n">
        <v>35000</v>
      </c>
      <c r="M12" s="37" t="n">
        <v>35000</v>
      </c>
      <c r="N12" s="37" t="n">
        <v>35000</v>
      </c>
      <c r="O12" s="37" t="n">
        <v>35000</v>
      </c>
      <c r="P12" s="37" t="n">
        <v>35000</v>
      </c>
      <c r="Q12" s="37" t="n">
        <v>35000</v>
      </c>
      <c r="R12" s="37" t="n">
        <v>35000</v>
      </c>
      <c r="S12" s="37" t="n">
        <v>35000</v>
      </c>
      <c r="T12" s="37" t="n">
        <v>35000</v>
      </c>
      <c r="U12" s="37" t="n">
        <v>35000</v>
      </c>
      <c r="V12" s="37" t="n">
        <v>35000</v>
      </c>
      <c r="W12" s="37" t="n">
        <v>35000</v>
      </c>
      <c r="X12" s="37" t="n">
        <v>32000</v>
      </c>
      <c r="Y12" s="37" t="n">
        <v>32000</v>
      </c>
      <c r="Z12" s="37" t="n">
        <v>32000</v>
      </c>
      <c r="AA12" s="17" t="n">
        <f aca="false">IFERROR(AVERAGEIF(D12:F12,"&lt;&gt;0"),"")</f>
        <v>35000</v>
      </c>
      <c r="AB12" s="17" t="n">
        <f aca="false">IFERROR(AVERAGEIF(G12:K12,"&lt;&gt;0"),"")</f>
        <v>35000</v>
      </c>
      <c r="AC12" s="17" t="n">
        <f aca="false">IFERROR(AVERAGEIF(L12:P12,"&lt;&gt;0"),"")</f>
        <v>35000</v>
      </c>
      <c r="AD12" s="17" t="n">
        <f aca="false">IFERROR(AVERAGEIF(Q12:U12,"&lt;&gt;0"),"")</f>
        <v>35000</v>
      </c>
      <c r="AE12" s="17" t="n">
        <f aca="false">IFERROR(AVERAGEIF(V12:Z12,"&lt;&gt;0"),"")</f>
        <v>33200</v>
      </c>
      <c r="AF12" s="17" t="n">
        <f aca="false">IFERROR(AVERAGEIF(D12:Z12,"&lt;&gt;0"),"")</f>
        <v>34608.6956521739</v>
      </c>
    </row>
    <row r="13" customFormat="false" ht="15" hidden="false" customHeight="true" outlineLevel="0" collapsed="false">
      <c r="A13" s="5" t="n">
        <v>9</v>
      </c>
      <c r="B13" s="6" t="s">
        <v>349</v>
      </c>
      <c r="C13" s="5" t="s">
        <v>407</v>
      </c>
      <c r="D13" s="37" t="n">
        <v>16500</v>
      </c>
      <c r="E13" s="37" t="n">
        <v>16500</v>
      </c>
      <c r="F13" s="37" t="n">
        <v>16500</v>
      </c>
      <c r="G13" s="37" t="n">
        <v>16500</v>
      </c>
      <c r="H13" s="37" t="n">
        <v>16500</v>
      </c>
      <c r="I13" s="37" t="n">
        <v>16500</v>
      </c>
      <c r="J13" s="37" t="n">
        <v>16500</v>
      </c>
      <c r="K13" s="37" t="n">
        <v>16500</v>
      </c>
      <c r="L13" s="37" t="n">
        <v>16500</v>
      </c>
      <c r="M13" s="37" t="n">
        <v>16500</v>
      </c>
      <c r="N13" s="37" t="n">
        <v>16500</v>
      </c>
      <c r="O13" s="37" t="n">
        <v>16500</v>
      </c>
      <c r="P13" s="37" t="n">
        <v>16500</v>
      </c>
      <c r="Q13" s="37" t="n">
        <v>16500</v>
      </c>
      <c r="R13" s="37" t="n">
        <v>16500</v>
      </c>
      <c r="S13" s="37" t="n">
        <v>16500</v>
      </c>
      <c r="T13" s="37" t="n">
        <v>16500</v>
      </c>
      <c r="U13" s="37" t="n">
        <v>16500</v>
      </c>
      <c r="V13" s="37" t="n">
        <v>16500</v>
      </c>
      <c r="W13" s="37" t="n">
        <v>16500</v>
      </c>
      <c r="X13" s="37" t="n">
        <v>16500</v>
      </c>
      <c r="Y13" s="37" t="n">
        <v>16500</v>
      </c>
      <c r="Z13" s="37" t="n">
        <v>16500</v>
      </c>
      <c r="AA13" s="17" t="n">
        <f aca="false">IFERROR(AVERAGEIF(D13:F13,"&lt;&gt;0"),"")</f>
        <v>16500</v>
      </c>
      <c r="AB13" s="17" t="n">
        <f aca="false">IFERROR(AVERAGEIF(G13:K13,"&lt;&gt;0"),"")</f>
        <v>16500</v>
      </c>
      <c r="AC13" s="17" t="n">
        <f aca="false">IFERROR(AVERAGEIF(L13:P13,"&lt;&gt;0"),"")</f>
        <v>16500</v>
      </c>
      <c r="AD13" s="17" t="n">
        <f aca="false">IFERROR(AVERAGEIF(Q13:U13,"&lt;&gt;0"),"")</f>
        <v>16500</v>
      </c>
      <c r="AE13" s="17" t="n">
        <f aca="false">IFERROR(AVERAGEIF(V13:Z13,"&lt;&gt;0"),"")</f>
        <v>16500</v>
      </c>
      <c r="AF13" s="17" t="n">
        <f aca="false">IFERROR(AVERAGEIF(D13:Z13,"&lt;&gt;0"),"")</f>
        <v>16500</v>
      </c>
    </row>
    <row r="14" customFormat="false" ht="15" hidden="false" customHeight="true" outlineLevel="0" collapsed="false">
      <c r="A14" s="5" t="n">
        <v>10</v>
      </c>
      <c r="B14" s="6" t="s">
        <v>340</v>
      </c>
      <c r="C14" s="5" t="s">
        <v>453</v>
      </c>
      <c r="D14" s="37" t="n">
        <v>18450</v>
      </c>
      <c r="E14" s="37" t="n">
        <v>18450</v>
      </c>
      <c r="F14" s="37" t="n">
        <v>18450</v>
      </c>
      <c r="G14" s="37" t="n">
        <v>18450</v>
      </c>
      <c r="H14" s="37" t="n">
        <v>18450</v>
      </c>
      <c r="I14" s="37" t="n">
        <v>18450</v>
      </c>
      <c r="J14" s="37" t="n">
        <v>18450</v>
      </c>
      <c r="K14" s="37" t="n">
        <v>18450</v>
      </c>
      <c r="L14" s="37" t="n">
        <v>18450</v>
      </c>
      <c r="M14" s="37" t="n">
        <v>18450</v>
      </c>
      <c r="N14" s="37" t="n">
        <v>18450</v>
      </c>
      <c r="O14" s="37" t="n">
        <v>18450</v>
      </c>
      <c r="P14" s="37" t="n">
        <v>18450</v>
      </c>
      <c r="Q14" s="37" t="n">
        <v>18450</v>
      </c>
      <c r="R14" s="37" t="n">
        <v>18450</v>
      </c>
      <c r="S14" s="37" t="n">
        <v>18450</v>
      </c>
      <c r="T14" s="37" t="n">
        <v>18450</v>
      </c>
      <c r="U14" s="37" t="n">
        <v>18450</v>
      </c>
      <c r="V14" s="37" t="n">
        <v>18450</v>
      </c>
      <c r="W14" s="37" t="n">
        <v>18450</v>
      </c>
      <c r="X14" s="37" t="n">
        <v>18450</v>
      </c>
      <c r="Y14" s="37" t="n">
        <v>18450</v>
      </c>
      <c r="Z14" s="37" t="n">
        <v>18450</v>
      </c>
      <c r="AA14" s="17" t="n">
        <f aca="false">IFERROR(AVERAGEIF(D14:F14,"&lt;&gt;0"),"")</f>
        <v>18450</v>
      </c>
      <c r="AB14" s="17" t="n">
        <f aca="false">IFERROR(AVERAGEIF(G14:K14,"&lt;&gt;0"),"")</f>
        <v>18450</v>
      </c>
      <c r="AC14" s="17" t="n">
        <f aca="false">IFERROR(AVERAGEIF(L14:P14,"&lt;&gt;0"),"")</f>
        <v>18450</v>
      </c>
      <c r="AD14" s="17" t="n">
        <f aca="false">IFERROR(AVERAGEIF(Q14:U14,"&lt;&gt;0"),"")</f>
        <v>18450</v>
      </c>
      <c r="AE14" s="17" t="n">
        <f aca="false">IFERROR(AVERAGEIF(V14:Z14,"&lt;&gt;0"),"")</f>
        <v>18450</v>
      </c>
      <c r="AF14" s="17" t="n">
        <f aca="false">IFERROR(AVERAGEIF(D14:Z14,"&lt;&gt;0"),"")</f>
        <v>18450</v>
      </c>
    </row>
    <row r="15" customFormat="false" ht="21.75" hidden="false" customHeight="true" outlineLevel="0" collapsed="false">
      <c r="A15" s="5" t="n">
        <v>11</v>
      </c>
      <c r="B15" s="6" t="s">
        <v>341</v>
      </c>
      <c r="C15" s="5" t="s">
        <v>453</v>
      </c>
      <c r="D15" s="37" t="n">
        <v>23000</v>
      </c>
      <c r="E15" s="37" t="n">
        <v>23000</v>
      </c>
      <c r="F15" s="37" t="n">
        <v>23000</v>
      </c>
      <c r="G15" s="37" t="n">
        <v>23000</v>
      </c>
      <c r="H15" s="37" t="n">
        <v>23000</v>
      </c>
      <c r="I15" s="37" t="n">
        <v>23000</v>
      </c>
      <c r="J15" s="37" t="n">
        <v>23000</v>
      </c>
      <c r="K15" s="37" t="n">
        <v>23000</v>
      </c>
      <c r="L15" s="37" t="n">
        <v>23000</v>
      </c>
      <c r="M15" s="37" t="n">
        <v>23000</v>
      </c>
      <c r="N15" s="37" t="n">
        <v>23000</v>
      </c>
      <c r="O15" s="37" t="n">
        <v>23000</v>
      </c>
      <c r="P15" s="37" t="n">
        <v>23000</v>
      </c>
      <c r="Q15" s="37" t="n">
        <v>23000</v>
      </c>
      <c r="R15" s="37" t="n">
        <v>23000</v>
      </c>
      <c r="S15" s="37" t="n">
        <v>23000</v>
      </c>
      <c r="T15" s="37" t="n">
        <v>23000</v>
      </c>
      <c r="U15" s="37" t="n">
        <v>23000</v>
      </c>
      <c r="V15" s="37" t="n">
        <v>23000</v>
      </c>
      <c r="W15" s="37" t="n">
        <v>23000</v>
      </c>
      <c r="X15" s="37" t="n">
        <v>23000</v>
      </c>
      <c r="Y15" s="37" t="n">
        <v>23000</v>
      </c>
      <c r="Z15" s="37" t="n">
        <v>23000</v>
      </c>
      <c r="AA15" s="17" t="n">
        <f aca="false">IFERROR(AVERAGEIF(D15:F15,"&lt;&gt;0"),"")</f>
        <v>23000</v>
      </c>
      <c r="AB15" s="17" t="n">
        <f aca="false">IFERROR(AVERAGEIF(G15:K15,"&lt;&gt;0"),"")</f>
        <v>23000</v>
      </c>
      <c r="AC15" s="17" t="n">
        <f aca="false">IFERROR(AVERAGEIF(L15:P15,"&lt;&gt;0"),"")</f>
        <v>23000</v>
      </c>
      <c r="AD15" s="17" t="n">
        <f aca="false">IFERROR(AVERAGEIF(Q15:U15,"&lt;&gt;0"),"")</f>
        <v>23000</v>
      </c>
      <c r="AE15" s="17" t="n">
        <f aca="false">IFERROR(AVERAGEIF(V15:Z15,"&lt;&gt;0"),"")</f>
        <v>23000</v>
      </c>
      <c r="AF15" s="17" t="n">
        <f aca="false">IFERROR(AVERAGEIF(D15:Z15,"&lt;&gt;0"),"")</f>
        <v>23000</v>
      </c>
    </row>
    <row r="16" customFormat="false" ht="15" hidden="false" customHeight="true" outlineLevel="0" collapsed="false">
      <c r="A16" s="5" t="n">
        <v>12</v>
      </c>
      <c r="B16" s="6" t="s">
        <v>342</v>
      </c>
      <c r="C16" s="5" t="s">
        <v>453</v>
      </c>
      <c r="D16" s="37" t="n">
        <v>15500</v>
      </c>
      <c r="E16" s="37" t="n">
        <v>15500</v>
      </c>
      <c r="F16" s="37" t="n">
        <v>15500</v>
      </c>
      <c r="G16" s="37" t="n">
        <v>15500</v>
      </c>
      <c r="H16" s="37" t="n">
        <v>15500</v>
      </c>
      <c r="I16" s="37" t="n">
        <v>15500</v>
      </c>
      <c r="J16" s="37" t="n">
        <v>15500</v>
      </c>
      <c r="K16" s="37" t="n">
        <v>15500</v>
      </c>
      <c r="L16" s="37" t="n">
        <v>15500</v>
      </c>
      <c r="M16" s="37" t="n">
        <v>15500</v>
      </c>
      <c r="N16" s="37" t="n">
        <v>15500</v>
      </c>
      <c r="O16" s="37" t="n">
        <v>15500</v>
      </c>
      <c r="P16" s="37" t="n">
        <v>15500</v>
      </c>
      <c r="Q16" s="37" t="n">
        <v>15500</v>
      </c>
      <c r="R16" s="37" t="n">
        <v>15500</v>
      </c>
      <c r="S16" s="37" t="n">
        <v>15500</v>
      </c>
      <c r="T16" s="37" t="n">
        <v>15500</v>
      </c>
      <c r="U16" s="37" t="n">
        <v>15500</v>
      </c>
      <c r="V16" s="37" t="n">
        <v>15500</v>
      </c>
      <c r="W16" s="37" t="n">
        <v>15500</v>
      </c>
      <c r="X16" s="37" t="n">
        <v>15500</v>
      </c>
      <c r="Y16" s="37" t="n">
        <v>15500</v>
      </c>
      <c r="Z16" s="37" t="n">
        <v>15500</v>
      </c>
      <c r="AA16" s="17" t="n">
        <f aca="false">IFERROR(AVERAGEIF(D16:F16,"&lt;&gt;0"),"")</f>
        <v>15500</v>
      </c>
      <c r="AB16" s="17" t="n">
        <f aca="false">IFERROR(AVERAGEIF(G16:K16,"&lt;&gt;0"),"")</f>
        <v>15500</v>
      </c>
      <c r="AC16" s="17" t="n">
        <f aca="false">IFERROR(AVERAGEIF(L16:P16,"&lt;&gt;0"),"")</f>
        <v>15500</v>
      </c>
      <c r="AD16" s="17" t="n">
        <f aca="false">IFERROR(AVERAGEIF(Q16:U16,"&lt;&gt;0"),"")</f>
        <v>15500</v>
      </c>
      <c r="AE16" s="17" t="n">
        <f aca="false">IFERROR(AVERAGEIF(V16:Z16,"&lt;&gt;0"),"")</f>
        <v>15500</v>
      </c>
      <c r="AF16" s="17" t="n">
        <f aca="false">IFERROR(AVERAGEIF(D16:Z16,"&lt;&gt;0"),"")</f>
        <v>15500</v>
      </c>
    </row>
    <row r="17" customFormat="false" ht="15" hidden="false" customHeight="true" outlineLevel="0" collapsed="false">
      <c r="A17" s="5" t="n">
        <v>13</v>
      </c>
      <c r="B17" s="6" t="s">
        <v>337</v>
      </c>
      <c r="C17" s="5" t="s">
        <v>407</v>
      </c>
      <c r="D17" s="37" t="n">
        <v>11000</v>
      </c>
      <c r="E17" s="37" t="n">
        <v>11000</v>
      </c>
      <c r="F17" s="37" t="n">
        <v>11000</v>
      </c>
      <c r="G17" s="37" t="n">
        <v>11000</v>
      </c>
      <c r="H17" s="37" t="n">
        <v>11000</v>
      </c>
      <c r="I17" s="37" t="n">
        <v>11000</v>
      </c>
      <c r="J17" s="37" t="n">
        <v>11000</v>
      </c>
      <c r="K17" s="37" t="n">
        <v>11000</v>
      </c>
      <c r="L17" s="37" t="n">
        <v>11000</v>
      </c>
      <c r="M17" s="37" t="n">
        <v>11000</v>
      </c>
      <c r="N17" s="37" t="n">
        <v>11000</v>
      </c>
      <c r="O17" s="37" t="n">
        <v>11000</v>
      </c>
      <c r="P17" s="37" t="n">
        <v>11000</v>
      </c>
      <c r="Q17" s="37" t="n">
        <v>11000</v>
      </c>
      <c r="R17" s="37" t="n">
        <v>11000</v>
      </c>
      <c r="S17" s="37" t="n">
        <v>11000</v>
      </c>
      <c r="T17" s="37" t="n">
        <v>11000</v>
      </c>
      <c r="U17" s="37" t="n">
        <v>11000</v>
      </c>
      <c r="V17" s="37" t="n">
        <v>11000</v>
      </c>
      <c r="W17" s="37" t="n">
        <v>11000</v>
      </c>
      <c r="X17" s="37" t="n">
        <v>11000</v>
      </c>
      <c r="Y17" s="37" t="n">
        <v>11000</v>
      </c>
      <c r="Z17" s="37" t="n">
        <v>11000</v>
      </c>
      <c r="AA17" s="17" t="n">
        <f aca="false">IFERROR(AVERAGEIF(D17:F17,"&lt;&gt;0"),"")</f>
        <v>11000</v>
      </c>
      <c r="AB17" s="17" t="n">
        <f aca="false">IFERROR(AVERAGEIF(G17:K17,"&lt;&gt;0"),"")</f>
        <v>11000</v>
      </c>
      <c r="AC17" s="17" t="n">
        <f aca="false">IFERROR(AVERAGEIF(L17:P17,"&lt;&gt;0"),"")</f>
        <v>11000</v>
      </c>
      <c r="AD17" s="17" t="n">
        <f aca="false">IFERROR(AVERAGEIF(Q17:U17,"&lt;&gt;0"),"")</f>
        <v>11000</v>
      </c>
      <c r="AE17" s="17" t="n">
        <f aca="false">IFERROR(AVERAGEIF(V17:Z17,"&lt;&gt;0"),"")</f>
        <v>11000</v>
      </c>
      <c r="AF17" s="17" t="n">
        <f aca="false">IFERROR(AVERAGEIF(D17:Z17,"&lt;&gt;0"),"")</f>
        <v>11000</v>
      </c>
    </row>
    <row r="18" customFormat="false" ht="15" hidden="false" customHeight="true" outlineLevel="0" collapsed="false">
      <c r="A18" s="5" t="n">
        <v>14</v>
      </c>
      <c r="B18" s="6" t="s">
        <v>339</v>
      </c>
      <c r="C18" s="5" t="s">
        <v>407</v>
      </c>
      <c r="D18" s="37" t="n">
        <v>30000</v>
      </c>
      <c r="E18" s="37" t="n">
        <v>30000</v>
      </c>
      <c r="F18" s="37" t="n">
        <v>30000</v>
      </c>
      <c r="G18" s="37" t="n">
        <v>30000</v>
      </c>
      <c r="H18" s="37" t="n">
        <v>30000</v>
      </c>
      <c r="I18" s="37" t="n">
        <v>30000</v>
      </c>
      <c r="J18" s="37" t="n">
        <v>30000</v>
      </c>
      <c r="K18" s="37" t="n">
        <v>30000</v>
      </c>
      <c r="L18" s="37" t="n">
        <v>30000</v>
      </c>
      <c r="M18" s="37" t="n">
        <v>30000</v>
      </c>
      <c r="N18" s="37" t="n">
        <v>30000</v>
      </c>
      <c r="O18" s="37" t="n">
        <v>30000</v>
      </c>
      <c r="P18" s="37" t="n">
        <v>30000</v>
      </c>
      <c r="Q18" s="37" t="n">
        <v>30000</v>
      </c>
      <c r="R18" s="37" t="n">
        <v>30000</v>
      </c>
      <c r="S18" s="37" t="n">
        <v>30000</v>
      </c>
      <c r="T18" s="37" t="n">
        <v>30000</v>
      </c>
      <c r="U18" s="37" t="n">
        <v>32000</v>
      </c>
      <c r="V18" s="37" t="n">
        <v>32000</v>
      </c>
      <c r="W18" s="37" t="n">
        <v>32000</v>
      </c>
      <c r="X18" s="37" t="n">
        <v>34000</v>
      </c>
      <c r="Y18" s="37" t="n">
        <v>34000</v>
      </c>
      <c r="Z18" s="37" t="n">
        <v>34000</v>
      </c>
      <c r="AA18" s="17" t="n">
        <f aca="false">IFERROR(AVERAGEIF(D18:F18,"&lt;&gt;0"),"")</f>
        <v>30000</v>
      </c>
      <c r="AB18" s="17" t="n">
        <f aca="false">IFERROR(AVERAGEIF(G18:K18,"&lt;&gt;0"),"")</f>
        <v>30000</v>
      </c>
      <c r="AC18" s="17" t="n">
        <f aca="false">IFERROR(AVERAGEIF(L18:P18,"&lt;&gt;0"),"")</f>
        <v>30000</v>
      </c>
      <c r="AD18" s="17" t="n">
        <f aca="false">IFERROR(AVERAGEIF(Q18:U18,"&lt;&gt;0"),"")</f>
        <v>30400</v>
      </c>
      <c r="AE18" s="17" t="n">
        <f aca="false">IFERROR(AVERAGEIF(V18:Z18,"&lt;&gt;0"),"")</f>
        <v>33200</v>
      </c>
      <c r="AF18" s="17" t="n">
        <f aca="false">IFERROR(AVERAGEIF(D18:Z18,"&lt;&gt;0"),"")</f>
        <v>30782.6086956522</v>
      </c>
    </row>
    <row r="19" customFormat="false" ht="15" hidden="false" customHeight="true" outlineLevel="0" collapsed="false">
      <c r="A19" s="5" t="n">
        <v>15</v>
      </c>
      <c r="B19" s="6" t="s">
        <v>348</v>
      </c>
      <c r="C19" s="5" t="s">
        <v>407</v>
      </c>
      <c r="D19" s="37" t="n">
        <v>23000</v>
      </c>
      <c r="E19" s="37" t="n">
        <v>23000</v>
      </c>
      <c r="F19" s="37" t="n">
        <v>23000</v>
      </c>
      <c r="G19" s="37" t="n">
        <v>22500</v>
      </c>
      <c r="H19" s="37" t="n">
        <v>22500</v>
      </c>
      <c r="I19" s="37" t="n">
        <v>22500</v>
      </c>
      <c r="J19" s="37" t="n">
        <v>22500</v>
      </c>
      <c r="K19" s="37" t="n">
        <v>22500</v>
      </c>
      <c r="L19" s="37" t="n">
        <v>22500</v>
      </c>
      <c r="M19" s="37" t="n">
        <v>22500</v>
      </c>
      <c r="N19" s="37" t="n">
        <v>22500</v>
      </c>
      <c r="O19" s="37" t="n">
        <v>22500</v>
      </c>
      <c r="P19" s="37" t="n">
        <v>22500</v>
      </c>
      <c r="Q19" s="37" t="n">
        <v>22500</v>
      </c>
      <c r="R19" s="37" t="n">
        <v>22500</v>
      </c>
      <c r="S19" s="37" t="n">
        <v>22500</v>
      </c>
      <c r="T19" s="37" t="n">
        <v>22500</v>
      </c>
      <c r="U19" s="37" t="n">
        <v>24000</v>
      </c>
      <c r="V19" s="37" t="n">
        <v>24000</v>
      </c>
      <c r="W19" s="37" t="n">
        <v>24000</v>
      </c>
      <c r="X19" s="37" t="n">
        <v>22500</v>
      </c>
      <c r="Y19" s="37" t="n">
        <v>22500</v>
      </c>
      <c r="Z19" s="37" t="n">
        <v>22500</v>
      </c>
      <c r="AA19" s="17" t="n">
        <f aca="false">IFERROR(AVERAGEIF(D19:F19,"&lt;&gt;0"),"")</f>
        <v>23000</v>
      </c>
      <c r="AB19" s="17" t="n">
        <f aca="false">IFERROR(AVERAGEIF(G19:K19,"&lt;&gt;0"),"")</f>
        <v>22500</v>
      </c>
      <c r="AC19" s="17" t="n">
        <f aca="false">IFERROR(AVERAGEIF(L19:P19,"&lt;&gt;0"),"")</f>
        <v>22500</v>
      </c>
      <c r="AD19" s="17" t="n">
        <f aca="false">IFERROR(AVERAGEIF(Q19:U19,"&lt;&gt;0"),"")</f>
        <v>22800</v>
      </c>
      <c r="AE19" s="17" t="n">
        <f aca="false">IFERROR(AVERAGEIF(V19:Z19,"&lt;&gt;0"),"")</f>
        <v>23100</v>
      </c>
      <c r="AF19" s="17" t="n">
        <f aca="false">IFERROR(AVERAGEIF(D19:Z19,"&lt;&gt;0"),"")</f>
        <v>22760.8695652174</v>
      </c>
    </row>
    <row r="20" customFormat="false" ht="15" hidden="false" customHeight="true" outlineLevel="0" collapsed="false">
      <c r="A20" s="5" t="n">
        <v>16</v>
      </c>
      <c r="B20" s="6" t="s">
        <v>362</v>
      </c>
      <c r="C20" s="5" t="s">
        <v>407</v>
      </c>
      <c r="D20" s="37" t="n">
        <v>120000</v>
      </c>
      <c r="E20" s="37" t="n">
        <v>120000</v>
      </c>
      <c r="F20" s="37" t="n">
        <v>120000</v>
      </c>
      <c r="G20" s="37" t="n">
        <v>120000</v>
      </c>
      <c r="H20" s="37" t="n">
        <v>120000</v>
      </c>
      <c r="I20" s="37" t="n">
        <v>120000</v>
      </c>
      <c r="J20" s="37" t="n">
        <v>120000</v>
      </c>
      <c r="K20" s="37" t="n">
        <v>120000</v>
      </c>
      <c r="L20" s="37" t="n">
        <v>120000</v>
      </c>
      <c r="M20" s="37" t="n">
        <v>120000</v>
      </c>
      <c r="N20" s="37" t="n">
        <v>120000</v>
      </c>
      <c r="O20" s="37" t="n">
        <v>120000</v>
      </c>
      <c r="P20" s="37" t="n">
        <v>120000</v>
      </c>
      <c r="Q20" s="37" t="n">
        <v>120000</v>
      </c>
      <c r="R20" s="37" t="n">
        <v>120000</v>
      </c>
      <c r="S20" s="37" t="n">
        <v>120000</v>
      </c>
      <c r="T20" s="37" t="n">
        <v>120000</v>
      </c>
      <c r="U20" s="37" t="n">
        <v>120000</v>
      </c>
      <c r="V20" s="37" t="n">
        <v>120000</v>
      </c>
      <c r="W20" s="37" t="n">
        <v>120000</v>
      </c>
      <c r="X20" s="37" t="n">
        <v>120000</v>
      </c>
      <c r="Y20" s="37" t="n">
        <v>120000</v>
      </c>
      <c r="Z20" s="37" t="n">
        <v>120000</v>
      </c>
      <c r="AA20" s="17" t="n">
        <f aca="false">IFERROR(AVERAGEIF(D20:F20,"&lt;&gt;0"),"")</f>
        <v>120000</v>
      </c>
      <c r="AB20" s="17" t="n">
        <f aca="false">IFERROR(AVERAGEIF(G20:K20,"&lt;&gt;0"),"")</f>
        <v>120000</v>
      </c>
      <c r="AC20" s="17" t="n">
        <f aca="false">IFERROR(AVERAGEIF(L20:P20,"&lt;&gt;0"),"")</f>
        <v>120000</v>
      </c>
      <c r="AD20" s="17" t="n">
        <f aca="false">IFERROR(AVERAGEIF(Q20:U20,"&lt;&gt;0"),"")</f>
        <v>120000</v>
      </c>
      <c r="AE20" s="17" t="n">
        <f aca="false">IFERROR(AVERAGEIF(V20:Z20,"&lt;&gt;0"),"")</f>
        <v>120000</v>
      </c>
      <c r="AF20" s="17" t="n">
        <f aca="false">IFERROR(AVERAGEIF(D20:Z20,"&lt;&gt;0"),"")</f>
        <v>120000</v>
      </c>
    </row>
    <row r="21" customFormat="false" ht="15" hidden="false" customHeight="true" outlineLevel="0" collapsed="false">
      <c r="A21" s="5" t="n">
        <v>17</v>
      </c>
      <c r="B21" s="6" t="s">
        <v>363</v>
      </c>
      <c r="C21" s="5" t="s">
        <v>407</v>
      </c>
      <c r="D21" s="37" t="n">
        <v>70000</v>
      </c>
      <c r="E21" s="37" t="n">
        <v>70000</v>
      </c>
      <c r="F21" s="37" t="n">
        <v>70000</v>
      </c>
      <c r="G21" s="37" t="n">
        <v>70000</v>
      </c>
      <c r="H21" s="37" t="n">
        <v>70000</v>
      </c>
      <c r="I21" s="37" t="n">
        <v>70000</v>
      </c>
      <c r="J21" s="37" t="n">
        <v>70000</v>
      </c>
      <c r="K21" s="37" t="n">
        <v>70000</v>
      </c>
      <c r="L21" s="37" t="n">
        <v>70000</v>
      </c>
      <c r="M21" s="37" t="n">
        <v>70000</v>
      </c>
      <c r="N21" s="37" t="n">
        <v>70000</v>
      </c>
      <c r="O21" s="37" t="n">
        <v>70000</v>
      </c>
      <c r="P21" s="37" t="n">
        <v>70000</v>
      </c>
      <c r="Q21" s="37" t="n">
        <v>70000</v>
      </c>
      <c r="R21" s="37" t="n">
        <v>70000</v>
      </c>
      <c r="S21" s="37" t="n">
        <v>70000</v>
      </c>
      <c r="T21" s="37" t="n">
        <v>70000</v>
      </c>
      <c r="U21" s="37" t="n">
        <v>70000</v>
      </c>
      <c r="V21" s="37" t="n">
        <v>70000</v>
      </c>
      <c r="W21" s="37" t="n">
        <v>70000</v>
      </c>
      <c r="X21" s="37" t="n">
        <v>70000</v>
      </c>
      <c r="Y21" s="37" t="n">
        <v>70000</v>
      </c>
      <c r="Z21" s="37" t="n">
        <v>70000</v>
      </c>
      <c r="AA21" s="17" t="n">
        <f aca="false">IFERROR(AVERAGEIF(D21:F21,"&lt;&gt;0"),"")</f>
        <v>70000</v>
      </c>
      <c r="AB21" s="17" t="n">
        <f aca="false">IFERROR(AVERAGEIF(G21:K21,"&lt;&gt;0"),"")</f>
        <v>70000</v>
      </c>
      <c r="AC21" s="17" t="n">
        <f aca="false">IFERROR(AVERAGEIF(L21:P21,"&lt;&gt;0"),"")</f>
        <v>70000</v>
      </c>
      <c r="AD21" s="17" t="n">
        <f aca="false">IFERROR(AVERAGEIF(Q21:U21,"&lt;&gt;0"),"")</f>
        <v>70000</v>
      </c>
      <c r="AE21" s="17" t="n">
        <f aca="false">IFERROR(AVERAGEIF(V21:Z21,"&lt;&gt;0"),"")</f>
        <v>70000</v>
      </c>
      <c r="AF21" s="17" t="n">
        <f aca="false">IFERROR(AVERAGEIF(D21:Z21,"&lt;&gt;0"),"")</f>
        <v>70000</v>
      </c>
    </row>
    <row r="22" customFormat="false" ht="15" hidden="false" customHeight="true" outlineLevel="0" collapsed="false">
      <c r="A22" s="5" t="n">
        <v>18</v>
      </c>
      <c r="B22" s="6" t="s">
        <v>364</v>
      </c>
      <c r="C22" s="5" t="s">
        <v>407</v>
      </c>
      <c r="D22" s="37" t="n">
        <v>80000</v>
      </c>
      <c r="E22" s="37" t="n">
        <v>80000</v>
      </c>
      <c r="F22" s="37" t="n">
        <v>80000</v>
      </c>
      <c r="G22" s="37" t="n">
        <v>80000</v>
      </c>
      <c r="H22" s="37" t="n">
        <v>80000</v>
      </c>
      <c r="I22" s="37" t="n">
        <v>80000</v>
      </c>
      <c r="J22" s="37" t="n">
        <v>80000</v>
      </c>
      <c r="K22" s="37" t="n">
        <v>80000</v>
      </c>
      <c r="L22" s="37" t="n">
        <v>80000</v>
      </c>
      <c r="M22" s="37" t="n">
        <v>80000</v>
      </c>
      <c r="N22" s="37" t="n">
        <v>80000</v>
      </c>
      <c r="O22" s="37" t="n">
        <v>80000</v>
      </c>
      <c r="P22" s="37" t="n">
        <v>80000</v>
      </c>
      <c r="Q22" s="37" t="n">
        <v>80000</v>
      </c>
      <c r="R22" s="37" t="n">
        <v>80000</v>
      </c>
      <c r="S22" s="37" t="n">
        <v>80000</v>
      </c>
      <c r="T22" s="37" t="n">
        <v>80000</v>
      </c>
      <c r="U22" s="37" t="n">
        <v>80000</v>
      </c>
      <c r="V22" s="37" t="n">
        <v>80000</v>
      </c>
      <c r="W22" s="37" t="n">
        <v>80000</v>
      </c>
      <c r="X22" s="37" t="n">
        <v>80000</v>
      </c>
      <c r="Y22" s="37" t="n">
        <v>80000</v>
      </c>
      <c r="Z22" s="37" t="n">
        <v>80000</v>
      </c>
      <c r="AA22" s="17" t="n">
        <f aca="false">IFERROR(AVERAGEIF(D22:F22,"&lt;&gt;0"),"")</f>
        <v>80000</v>
      </c>
      <c r="AB22" s="17" t="n">
        <f aca="false">IFERROR(AVERAGEIF(G22:K22,"&lt;&gt;0"),"")</f>
        <v>80000</v>
      </c>
      <c r="AC22" s="17" t="n">
        <f aca="false">IFERROR(AVERAGEIF(L22:P22,"&lt;&gt;0"),"")</f>
        <v>80000</v>
      </c>
      <c r="AD22" s="17" t="n">
        <f aca="false">IFERROR(AVERAGEIF(Q22:U22,"&lt;&gt;0"),"")</f>
        <v>80000</v>
      </c>
      <c r="AE22" s="17" t="n">
        <f aca="false">IFERROR(AVERAGEIF(V22:Z22,"&lt;&gt;0"),"")</f>
        <v>80000</v>
      </c>
      <c r="AF22" s="17" t="n">
        <f aca="false">IFERROR(AVERAGEIF(D22:Z22,"&lt;&gt;0"),"")</f>
        <v>80000</v>
      </c>
    </row>
    <row r="23" customFormat="false" ht="15" hidden="false" customHeight="true" outlineLevel="0" collapsed="false">
      <c r="A23" s="5" t="n">
        <v>19</v>
      </c>
      <c r="B23" s="6" t="s">
        <v>409</v>
      </c>
      <c r="C23" s="5" t="s">
        <v>407</v>
      </c>
      <c r="D23" s="37" t="n">
        <v>35000</v>
      </c>
      <c r="E23" s="37" t="n">
        <v>35000</v>
      </c>
      <c r="F23" s="37" t="n">
        <v>35000</v>
      </c>
      <c r="G23" s="37" t="n">
        <v>35000</v>
      </c>
      <c r="H23" s="37" t="n">
        <v>35000</v>
      </c>
      <c r="I23" s="37" t="n">
        <v>35000</v>
      </c>
      <c r="J23" s="37" t="n">
        <v>35000</v>
      </c>
      <c r="K23" s="37" t="n">
        <v>35000</v>
      </c>
      <c r="L23" s="37" t="n">
        <v>35000</v>
      </c>
      <c r="M23" s="37" t="n">
        <v>35000</v>
      </c>
      <c r="N23" s="37" t="n">
        <v>35000</v>
      </c>
      <c r="O23" s="37" t="n">
        <v>35000</v>
      </c>
      <c r="P23" s="37" t="n">
        <v>35000</v>
      </c>
      <c r="Q23" s="37" t="n">
        <v>35000</v>
      </c>
      <c r="R23" s="37" t="n">
        <v>35000</v>
      </c>
      <c r="S23" s="37" t="n">
        <v>35000</v>
      </c>
      <c r="T23" s="37" t="n">
        <v>35000</v>
      </c>
      <c r="U23" s="37" t="n">
        <v>35000</v>
      </c>
      <c r="V23" s="37" t="n">
        <v>35000</v>
      </c>
      <c r="W23" s="37" t="n">
        <v>35000</v>
      </c>
      <c r="X23" s="37" t="n">
        <v>35000</v>
      </c>
      <c r="Y23" s="37" t="n">
        <v>35000</v>
      </c>
      <c r="Z23" s="37" t="n">
        <v>35000</v>
      </c>
      <c r="AA23" s="17" t="n">
        <f aca="false">IFERROR(AVERAGEIF(D23:F23,"&lt;&gt;0"),"")</f>
        <v>35000</v>
      </c>
      <c r="AB23" s="17" t="n">
        <f aca="false">IFERROR(AVERAGEIF(G23:K23,"&lt;&gt;0"),"")</f>
        <v>35000</v>
      </c>
      <c r="AC23" s="17" t="n">
        <f aca="false">IFERROR(AVERAGEIF(L23:P23,"&lt;&gt;0"),"")</f>
        <v>35000</v>
      </c>
      <c r="AD23" s="17" t="n">
        <f aca="false">IFERROR(AVERAGEIF(Q23:U23,"&lt;&gt;0"),"")</f>
        <v>35000</v>
      </c>
      <c r="AE23" s="17" t="n">
        <f aca="false">IFERROR(AVERAGEIF(V23:Z23,"&lt;&gt;0"),"")</f>
        <v>35000</v>
      </c>
      <c r="AF23" s="17" t="n">
        <f aca="false">IFERROR(AVERAGEIF(D23:Z23,"&lt;&gt;0"),"")</f>
        <v>35000</v>
      </c>
    </row>
    <row r="24" customFormat="false" ht="15" hidden="false" customHeight="true" outlineLevel="0" collapsed="false">
      <c r="A24" s="5" t="n">
        <v>20</v>
      </c>
      <c r="B24" s="6" t="s">
        <v>350</v>
      </c>
      <c r="C24" s="5" t="s">
        <v>407</v>
      </c>
      <c r="D24" s="37" t="n">
        <v>45000</v>
      </c>
      <c r="E24" s="37" t="n">
        <v>45000</v>
      </c>
      <c r="F24" s="37" t="n">
        <v>45000</v>
      </c>
      <c r="G24" s="37" t="n">
        <v>45000</v>
      </c>
      <c r="H24" s="37" t="n">
        <v>45000</v>
      </c>
      <c r="I24" s="37" t="n">
        <v>45000</v>
      </c>
      <c r="J24" s="37" t="n">
        <v>45000</v>
      </c>
      <c r="K24" s="37" t="n">
        <v>45000</v>
      </c>
      <c r="L24" s="37" t="n">
        <v>45000</v>
      </c>
      <c r="M24" s="37" t="n">
        <v>45000</v>
      </c>
      <c r="N24" s="37" t="n">
        <v>45000</v>
      </c>
      <c r="O24" s="37" t="n">
        <v>45000</v>
      </c>
      <c r="P24" s="37" t="n">
        <v>45000</v>
      </c>
      <c r="Q24" s="37" t="n">
        <v>45000</v>
      </c>
      <c r="R24" s="37" t="n">
        <v>45000</v>
      </c>
      <c r="S24" s="37" t="n">
        <v>45000</v>
      </c>
      <c r="T24" s="37" t="n">
        <v>45000</v>
      </c>
      <c r="U24" s="37" t="n">
        <v>45000</v>
      </c>
      <c r="V24" s="37" t="n">
        <v>45000</v>
      </c>
      <c r="W24" s="37" t="n">
        <v>45000</v>
      </c>
      <c r="X24" s="37" t="n">
        <v>45000</v>
      </c>
      <c r="Y24" s="37" t="n">
        <v>45000</v>
      </c>
      <c r="Z24" s="37" t="n">
        <v>45000</v>
      </c>
      <c r="AA24" s="17" t="n">
        <f aca="false">IFERROR(AVERAGEIF(D24:F24,"&lt;&gt;0"),"")</f>
        <v>45000</v>
      </c>
      <c r="AB24" s="17" t="n">
        <f aca="false">IFERROR(AVERAGEIF(G24:K24,"&lt;&gt;0"),"")</f>
        <v>45000</v>
      </c>
      <c r="AC24" s="17" t="n">
        <f aca="false">IFERROR(AVERAGEIF(L24:P24,"&lt;&gt;0"),"")</f>
        <v>45000</v>
      </c>
      <c r="AD24" s="17" t="n">
        <f aca="false">IFERROR(AVERAGEIF(Q24:U24,"&lt;&gt;0"),"")</f>
        <v>45000</v>
      </c>
      <c r="AE24" s="17" t="n">
        <f aca="false">IFERROR(AVERAGEIF(V24:Z24,"&lt;&gt;0"),"")</f>
        <v>45000</v>
      </c>
      <c r="AF24" s="17" t="n">
        <f aca="false">IFERROR(AVERAGEIF(D24:Z24,"&lt;&gt;0"),"")</f>
        <v>45000</v>
      </c>
    </row>
    <row r="25" customFormat="false" ht="15" hidden="false" customHeight="true" outlineLevel="0" collapsed="false">
      <c r="A25" s="5" t="n">
        <v>21</v>
      </c>
      <c r="B25" s="6" t="s">
        <v>410</v>
      </c>
      <c r="C25" s="5" t="s">
        <v>407</v>
      </c>
      <c r="D25" s="37" t="n">
        <v>80000</v>
      </c>
      <c r="E25" s="37" t="n">
        <v>80000</v>
      </c>
      <c r="F25" s="37" t="n">
        <v>80000</v>
      </c>
      <c r="G25" s="37" t="n">
        <v>80000</v>
      </c>
      <c r="H25" s="37" t="n">
        <v>80000</v>
      </c>
      <c r="I25" s="37" t="n">
        <v>80000</v>
      </c>
      <c r="J25" s="37" t="n">
        <v>80000</v>
      </c>
      <c r="K25" s="37" t="n">
        <v>80000</v>
      </c>
      <c r="L25" s="37" t="n">
        <v>80000</v>
      </c>
      <c r="M25" s="37" t="n">
        <v>80000</v>
      </c>
      <c r="N25" s="37" t="n">
        <v>80000</v>
      </c>
      <c r="O25" s="37" t="n">
        <v>80000</v>
      </c>
      <c r="P25" s="37" t="n">
        <v>80000</v>
      </c>
      <c r="Q25" s="37" t="n">
        <v>80000</v>
      </c>
      <c r="R25" s="37" t="n">
        <v>80000</v>
      </c>
      <c r="S25" s="37" t="n">
        <v>80000</v>
      </c>
      <c r="T25" s="37" t="n">
        <v>80000</v>
      </c>
      <c r="U25" s="37" t="n">
        <v>80000</v>
      </c>
      <c r="V25" s="37" t="n">
        <v>80000</v>
      </c>
      <c r="W25" s="37" t="n">
        <v>80000</v>
      </c>
      <c r="X25" s="37" t="n">
        <v>80000</v>
      </c>
      <c r="Y25" s="37" t="n">
        <v>80000</v>
      </c>
      <c r="Z25" s="37" t="n">
        <v>80000</v>
      </c>
      <c r="AA25" s="17" t="n">
        <f aca="false">IFERROR(AVERAGEIF(D25:F25,"&lt;&gt;0"),"")</f>
        <v>80000</v>
      </c>
      <c r="AB25" s="17" t="n">
        <f aca="false">IFERROR(AVERAGEIF(G25:K25,"&lt;&gt;0"),"")</f>
        <v>80000</v>
      </c>
      <c r="AC25" s="17" t="n">
        <f aca="false">IFERROR(AVERAGEIF(L25:P25,"&lt;&gt;0"),"")</f>
        <v>80000</v>
      </c>
      <c r="AD25" s="17" t="n">
        <f aca="false">IFERROR(AVERAGEIF(Q25:U25,"&lt;&gt;0"),"")</f>
        <v>80000</v>
      </c>
      <c r="AE25" s="17" t="n">
        <f aca="false">IFERROR(AVERAGEIF(V25:Z25,"&lt;&gt;0"),"")</f>
        <v>80000</v>
      </c>
      <c r="AF25" s="17" t="n">
        <f aca="false">IFERROR(AVERAGEIF(D25:Z25,"&lt;&gt;0"),"")</f>
        <v>80000</v>
      </c>
    </row>
    <row r="26" customFormat="false" ht="21.75" hidden="false" customHeight="true" outlineLevel="0" collapsed="false">
      <c r="A26" s="5" t="n">
        <v>22</v>
      </c>
      <c r="B26" s="6" t="s">
        <v>357</v>
      </c>
      <c r="C26" s="5" t="s">
        <v>454</v>
      </c>
      <c r="D26" s="37" t="n">
        <v>2800</v>
      </c>
      <c r="E26" s="37" t="n">
        <v>2800</v>
      </c>
      <c r="F26" s="37" t="n">
        <v>2800</v>
      </c>
      <c r="G26" s="37" t="n">
        <v>2800</v>
      </c>
      <c r="H26" s="37" t="n">
        <v>2800</v>
      </c>
      <c r="I26" s="37" t="n">
        <v>2800</v>
      </c>
      <c r="J26" s="37" t="n">
        <v>2800</v>
      </c>
      <c r="K26" s="37" t="n">
        <v>2800</v>
      </c>
      <c r="L26" s="37" t="n">
        <v>2800</v>
      </c>
      <c r="M26" s="37" t="n">
        <v>2800</v>
      </c>
      <c r="N26" s="37" t="n">
        <v>2800</v>
      </c>
      <c r="O26" s="37" t="n">
        <v>2800</v>
      </c>
      <c r="P26" s="37" t="n">
        <v>2800</v>
      </c>
      <c r="Q26" s="37" t="n">
        <v>2800</v>
      </c>
      <c r="R26" s="37" t="n">
        <v>2800</v>
      </c>
      <c r="S26" s="37" t="n">
        <v>2800</v>
      </c>
      <c r="T26" s="37" t="n">
        <v>2800</v>
      </c>
      <c r="U26" s="37" t="n">
        <v>2800</v>
      </c>
      <c r="V26" s="37" t="n">
        <v>2800</v>
      </c>
      <c r="W26" s="37" t="n">
        <v>2800</v>
      </c>
      <c r="X26" s="37" t="n">
        <v>2800</v>
      </c>
      <c r="Y26" s="37" t="n">
        <v>2800</v>
      </c>
      <c r="Z26" s="37" t="n">
        <v>2800</v>
      </c>
      <c r="AA26" s="17" t="n">
        <f aca="false">IFERROR(AVERAGEIF(D26:F26,"&lt;&gt;0"),"")</f>
        <v>2800</v>
      </c>
      <c r="AB26" s="17" t="n">
        <f aca="false">IFERROR(AVERAGEIF(G26:K26,"&lt;&gt;0"),"")</f>
        <v>2800</v>
      </c>
      <c r="AC26" s="17" t="n">
        <f aca="false">IFERROR(AVERAGEIF(L26:P26,"&lt;&gt;0"),"")</f>
        <v>2800</v>
      </c>
      <c r="AD26" s="17" t="n">
        <f aca="false">IFERROR(AVERAGEIF(Q26:U26,"&lt;&gt;0"),"")</f>
        <v>2800</v>
      </c>
      <c r="AE26" s="17" t="n">
        <f aca="false">IFERROR(AVERAGEIF(V26:Z26,"&lt;&gt;0"),"")</f>
        <v>2800</v>
      </c>
      <c r="AF26" s="17" t="n">
        <f aca="false">IFERROR(AVERAGEIF(D26:Z26,"&lt;&gt;0"),"")</f>
        <v>2800</v>
      </c>
    </row>
    <row r="27" customFormat="false" ht="15" hidden="false" customHeight="true" outlineLevel="0" collapsed="false">
      <c r="A27" s="5" t="n">
        <v>23</v>
      </c>
      <c r="B27" s="6" t="s">
        <v>355</v>
      </c>
      <c r="C27" s="5" t="s">
        <v>407</v>
      </c>
      <c r="D27" s="37" t="n">
        <v>35000</v>
      </c>
      <c r="E27" s="37" t="n">
        <v>35000</v>
      </c>
      <c r="F27" s="37" t="n">
        <v>35000</v>
      </c>
      <c r="G27" s="37" t="n">
        <v>35000</v>
      </c>
      <c r="H27" s="37" t="n">
        <v>35000</v>
      </c>
      <c r="I27" s="37" t="n">
        <v>35000</v>
      </c>
      <c r="J27" s="37" t="n">
        <v>35000</v>
      </c>
      <c r="K27" s="37" t="n">
        <v>35000</v>
      </c>
      <c r="L27" s="37" t="n">
        <v>35000</v>
      </c>
      <c r="M27" s="37" t="n">
        <v>35000</v>
      </c>
      <c r="N27" s="37" t="n">
        <v>35000</v>
      </c>
      <c r="O27" s="37" t="n">
        <v>35000</v>
      </c>
      <c r="P27" s="37" t="n">
        <v>35000</v>
      </c>
      <c r="Q27" s="37" t="n">
        <v>35000</v>
      </c>
      <c r="R27" s="37" t="n">
        <v>35000</v>
      </c>
      <c r="S27" s="37" t="n">
        <v>35000</v>
      </c>
      <c r="T27" s="37" t="n">
        <v>35000</v>
      </c>
      <c r="U27" s="37" t="n">
        <v>35000</v>
      </c>
      <c r="V27" s="37" t="n">
        <v>35000</v>
      </c>
      <c r="W27" s="37" t="n">
        <v>35000</v>
      </c>
      <c r="X27" s="37" t="n">
        <v>32000</v>
      </c>
      <c r="Y27" s="37" t="n">
        <v>32000</v>
      </c>
      <c r="Z27" s="37" t="n">
        <v>32000</v>
      </c>
      <c r="AA27" s="17" t="n">
        <f aca="false">IFERROR(AVERAGEIF(D27:F27,"&lt;&gt;0"),"")</f>
        <v>35000</v>
      </c>
      <c r="AB27" s="17" t="n">
        <f aca="false">IFERROR(AVERAGEIF(G27:K27,"&lt;&gt;0"),"")</f>
        <v>35000</v>
      </c>
      <c r="AC27" s="17" t="n">
        <f aca="false">IFERROR(AVERAGEIF(L27:P27,"&lt;&gt;0"),"")</f>
        <v>35000</v>
      </c>
      <c r="AD27" s="17" t="n">
        <f aca="false">IFERROR(AVERAGEIF(Q27:U27,"&lt;&gt;0"),"")</f>
        <v>35000</v>
      </c>
      <c r="AE27" s="17" t="n">
        <f aca="false">IFERROR(AVERAGEIF(V27:Z27,"&lt;&gt;0"),"")</f>
        <v>33200</v>
      </c>
      <c r="AF27" s="17" t="n">
        <f aca="false">IFERROR(AVERAGEIF(D27:Z27,"&lt;&gt;0"),"")</f>
        <v>34608.6956521739</v>
      </c>
    </row>
    <row r="28" customFormat="false" ht="15" hidden="false" customHeight="true" outlineLevel="0" collapsed="false">
      <c r="A28" s="5" t="n">
        <v>24</v>
      </c>
      <c r="B28" s="6" t="s">
        <v>356</v>
      </c>
      <c r="C28" s="5" t="s">
        <v>407</v>
      </c>
      <c r="D28" s="37" t="n">
        <v>38000</v>
      </c>
      <c r="E28" s="37" t="n">
        <v>38000</v>
      </c>
      <c r="F28" s="37" t="n">
        <v>38000</v>
      </c>
      <c r="G28" s="37" t="n">
        <v>38000</v>
      </c>
      <c r="H28" s="37" t="n">
        <v>38000</v>
      </c>
      <c r="I28" s="37" t="n">
        <v>38000</v>
      </c>
      <c r="J28" s="37" t="n">
        <v>38000</v>
      </c>
      <c r="K28" s="37" t="n">
        <v>38000</v>
      </c>
      <c r="L28" s="37" t="n">
        <v>38000</v>
      </c>
      <c r="M28" s="37" t="n">
        <v>38000</v>
      </c>
      <c r="N28" s="37" t="n">
        <v>38000</v>
      </c>
      <c r="O28" s="37" t="n">
        <v>38000</v>
      </c>
      <c r="P28" s="37" t="n">
        <v>38000</v>
      </c>
      <c r="Q28" s="37" t="n">
        <v>38000</v>
      </c>
      <c r="R28" s="37" t="n">
        <v>38000</v>
      </c>
      <c r="S28" s="37" t="n">
        <v>38000</v>
      </c>
      <c r="T28" s="37" t="n">
        <v>38000</v>
      </c>
      <c r="U28" s="37" t="n">
        <v>38000</v>
      </c>
      <c r="V28" s="37" t="n">
        <v>38000</v>
      </c>
      <c r="W28" s="37" t="n">
        <v>38000</v>
      </c>
      <c r="X28" s="37" t="n">
        <v>38000</v>
      </c>
      <c r="Y28" s="37" t="n">
        <v>38000</v>
      </c>
      <c r="Z28" s="37" t="n">
        <v>38000</v>
      </c>
      <c r="AA28" s="17" t="n">
        <f aca="false">IFERROR(AVERAGEIF(D28:F28,"&lt;&gt;0"),"")</f>
        <v>38000</v>
      </c>
      <c r="AB28" s="17" t="n">
        <f aca="false">IFERROR(AVERAGEIF(G28:K28,"&lt;&gt;0"),"")</f>
        <v>38000</v>
      </c>
      <c r="AC28" s="17" t="n">
        <f aca="false">IFERROR(AVERAGEIF(L28:P28,"&lt;&gt;0"),"")</f>
        <v>38000</v>
      </c>
      <c r="AD28" s="17" t="n">
        <f aca="false">IFERROR(AVERAGEIF(Q28:U28,"&lt;&gt;0"),"")</f>
        <v>38000</v>
      </c>
      <c r="AE28" s="17" t="n">
        <f aca="false">IFERROR(AVERAGEIF(V28:Z28,"&lt;&gt;0"),"")</f>
        <v>38000</v>
      </c>
      <c r="AF28" s="17" t="n">
        <f aca="false">IFERROR(AVERAGEIF(D28:Z28,"&lt;&gt;0"),"")</f>
        <v>38000</v>
      </c>
    </row>
    <row r="29" customFormat="false" ht="15" hidden="false" customHeight="true" outlineLevel="0" collapsed="false">
      <c r="A29" s="5" t="n">
        <v>25</v>
      </c>
      <c r="B29" s="6" t="s">
        <v>411</v>
      </c>
      <c r="C29" s="5" t="s">
        <v>407</v>
      </c>
      <c r="D29" s="37" t="n">
        <v>30000</v>
      </c>
      <c r="E29" s="37" t="n">
        <v>30000</v>
      </c>
      <c r="F29" s="37" t="n">
        <v>30000</v>
      </c>
      <c r="G29" s="37" t="n">
        <v>30000</v>
      </c>
      <c r="H29" s="37" t="n">
        <v>30000</v>
      </c>
      <c r="I29" s="37" t="n">
        <v>30000</v>
      </c>
      <c r="J29" s="37" t="n">
        <v>30000</v>
      </c>
      <c r="K29" s="37" t="n">
        <v>30000</v>
      </c>
      <c r="L29" s="37" t="n">
        <v>30000</v>
      </c>
      <c r="M29" s="37" t="n">
        <v>30000</v>
      </c>
      <c r="N29" s="37" t="n">
        <v>30000</v>
      </c>
      <c r="O29" s="37" t="n">
        <v>30000</v>
      </c>
      <c r="P29" s="37" t="n">
        <v>30000</v>
      </c>
      <c r="Q29" s="37" t="n">
        <v>30000</v>
      </c>
      <c r="R29" s="37" t="n">
        <v>30000</v>
      </c>
      <c r="S29" s="37" t="n">
        <v>30000</v>
      </c>
      <c r="T29" s="37" t="n">
        <v>30000</v>
      </c>
      <c r="U29" s="37" t="n">
        <v>30000</v>
      </c>
      <c r="V29" s="37" t="n">
        <v>30000</v>
      </c>
      <c r="W29" s="37" t="n">
        <v>30000</v>
      </c>
      <c r="X29" s="37" t="n">
        <v>30000</v>
      </c>
      <c r="Y29" s="37" t="n">
        <v>30000</v>
      </c>
      <c r="Z29" s="37" t="n">
        <v>30000</v>
      </c>
      <c r="AA29" s="17" t="n">
        <f aca="false">IFERROR(AVERAGEIF(D29:F29,"&lt;&gt;0"),"")</f>
        <v>30000</v>
      </c>
      <c r="AB29" s="17" t="n">
        <f aca="false">IFERROR(AVERAGEIF(G29:K29,"&lt;&gt;0"),"")</f>
        <v>30000</v>
      </c>
      <c r="AC29" s="17" t="n">
        <f aca="false">IFERROR(AVERAGEIF(L29:P29,"&lt;&gt;0"),"")</f>
        <v>30000</v>
      </c>
      <c r="AD29" s="17" t="n">
        <f aca="false">IFERROR(AVERAGEIF(Q29:U29,"&lt;&gt;0"),"")</f>
        <v>30000</v>
      </c>
      <c r="AE29" s="17" t="n">
        <f aca="false">IFERROR(AVERAGEIF(V29:Z29,"&lt;&gt;0"),"")</f>
        <v>30000</v>
      </c>
      <c r="AF29" s="17" t="n">
        <f aca="false">IFERROR(AVERAGEIF(D29:Z29,"&lt;&gt;0"),"")</f>
        <v>30000</v>
      </c>
    </row>
    <row r="30" customFormat="false" ht="15" hidden="false" customHeight="true" outlineLevel="0" collapsed="false">
      <c r="A30" s="5" t="n">
        <v>26</v>
      </c>
      <c r="B30" s="6" t="s">
        <v>412</v>
      </c>
      <c r="C30" s="5" t="s">
        <v>407</v>
      </c>
      <c r="D30" s="37" t="n">
        <v>8000</v>
      </c>
      <c r="E30" s="37" t="n">
        <v>8000</v>
      </c>
      <c r="F30" s="37" t="n">
        <v>8000</v>
      </c>
      <c r="G30" s="37" t="n">
        <v>8000</v>
      </c>
      <c r="H30" s="37" t="n">
        <v>8000</v>
      </c>
      <c r="I30" s="37" t="n">
        <v>8000</v>
      </c>
      <c r="J30" s="37" t="n">
        <v>8000</v>
      </c>
      <c r="K30" s="37" t="n">
        <v>8000</v>
      </c>
      <c r="L30" s="37" t="n">
        <v>8000</v>
      </c>
      <c r="M30" s="37" t="n">
        <v>8000</v>
      </c>
      <c r="N30" s="37" t="n">
        <v>8000</v>
      </c>
      <c r="O30" s="37" t="n">
        <v>8000</v>
      </c>
      <c r="P30" s="37" t="n">
        <v>8000</v>
      </c>
      <c r="Q30" s="37" t="n">
        <v>8000</v>
      </c>
      <c r="R30" s="37" t="n">
        <v>8000</v>
      </c>
      <c r="S30" s="37" t="n">
        <v>8000</v>
      </c>
      <c r="T30" s="37" t="n">
        <v>8000</v>
      </c>
      <c r="U30" s="37" t="n">
        <v>8000</v>
      </c>
      <c r="V30" s="37" t="n">
        <v>8000</v>
      </c>
      <c r="W30" s="37" t="n">
        <v>8000</v>
      </c>
      <c r="X30" s="37" t="n">
        <v>8000</v>
      </c>
      <c r="Y30" s="37" t="n">
        <v>8000</v>
      </c>
      <c r="Z30" s="37" t="n">
        <v>8000</v>
      </c>
      <c r="AA30" s="17" t="n">
        <f aca="false">IFERROR(AVERAGEIF(D30:F30,"&lt;&gt;0"),"")</f>
        <v>8000</v>
      </c>
      <c r="AB30" s="17" t="n">
        <f aca="false">IFERROR(AVERAGEIF(G30:K30,"&lt;&gt;0"),"")</f>
        <v>8000</v>
      </c>
      <c r="AC30" s="17" t="n">
        <f aca="false">IFERROR(AVERAGEIF(L30:P30,"&lt;&gt;0"),"")</f>
        <v>8000</v>
      </c>
      <c r="AD30" s="17" t="n">
        <f aca="false">IFERROR(AVERAGEIF(Q30:U30,"&lt;&gt;0"),"")</f>
        <v>8000</v>
      </c>
      <c r="AE30" s="17" t="n">
        <f aca="false">IFERROR(AVERAGEIF(V30:Z30,"&lt;&gt;0"),"")</f>
        <v>8000</v>
      </c>
      <c r="AF30" s="17" t="n">
        <f aca="false">IFERROR(AVERAGEIF(D30:Z30,"&lt;&gt;0"),"")</f>
        <v>8000</v>
      </c>
    </row>
    <row r="31" customFormat="false" ht="15" hidden="false" customHeight="true" outlineLevel="0" collapsed="false">
      <c r="A31" s="5" t="n">
        <v>27</v>
      </c>
      <c r="B31" s="6" t="s">
        <v>358</v>
      </c>
      <c r="C31" s="5" t="s">
        <v>455</v>
      </c>
      <c r="D31" s="37" t="n">
        <v>10500</v>
      </c>
      <c r="E31" s="37" t="n">
        <v>10500</v>
      </c>
      <c r="F31" s="37" t="n">
        <v>10500</v>
      </c>
      <c r="G31" s="37" t="n">
        <v>10500</v>
      </c>
      <c r="H31" s="37" t="n">
        <v>10500</v>
      </c>
      <c r="I31" s="37" t="n">
        <v>10500</v>
      </c>
      <c r="J31" s="37" t="n">
        <v>10500</v>
      </c>
      <c r="K31" s="37" t="n">
        <v>10500</v>
      </c>
      <c r="L31" s="37" t="n">
        <v>10500</v>
      </c>
      <c r="M31" s="37" t="n">
        <v>10500</v>
      </c>
      <c r="N31" s="37" t="n">
        <v>10500</v>
      </c>
      <c r="O31" s="37" t="n">
        <v>10500</v>
      </c>
      <c r="P31" s="37" t="n">
        <v>10500</v>
      </c>
      <c r="Q31" s="37" t="n">
        <v>10500</v>
      </c>
      <c r="R31" s="37" t="n">
        <v>10500</v>
      </c>
      <c r="S31" s="37" t="n">
        <v>10500</v>
      </c>
      <c r="T31" s="37" t="n">
        <v>10500</v>
      </c>
      <c r="U31" s="37" t="n">
        <v>10500</v>
      </c>
      <c r="V31" s="37" t="n">
        <v>10500</v>
      </c>
      <c r="W31" s="37" t="n">
        <v>10500</v>
      </c>
      <c r="X31" s="37" t="n">
        <v>10500</v>
      </c>
      <c r="Y31" s="37" t="n">
        <v>10500</v>
      </c>
      <c r="Z31" s="37" t="n">
        <v>10500</v>
      </c>
      <c r="AA31" s="17" t="n">
        <f aca="false">IFERROR(AVERAGEIF(D31:F31,"&lt;&gt;0"),"")</f>
        <v>10500</v>
      </c>
      <c r="AB31" s="17" t="n">
        <f aca="false">IFERROR(AVERAGEIF(G31:K31,"&lt;&gt;0"),"")</f>
        <v>10500</v>
      </c>
      <c r="AC31" s="17" t="n">
        <f aca="false">IFERROR(AVERAGEIF(L31:P31,"&lt;&gt;0"),"")</f>
        <v>10500</v>
      </c>
      <c r="AD31" s="17" t="n">
        <f aca="false">IFERROR(AVERAGEIF(Q31:U31,"&lt;&gt;0"),"")</f>
        <v>10500</v>
      </c>
      <c r="AE31" s="17" t="n">
        <f aca="false">IFERROR(AVERAGEIF(V31:Z31,"&lt;&gt;0"),"")</f>
        <v>10500</v>
      </c>
      <c r="AF31" s="17" t="n">
        <f aca="false">IFERROR(AVERAGEIF(D31:Z31,"&lt;&gt;0"),"")</f>
        <v>10500</v>
      </c>
    </row>
    <row r="32" customFormat="false" ht="15" hidden="false" customHeight="true" outlineLevel="0" collapsed="false">
      <c r="A32" s="5" t="n">
        <v>28</v>
      </c>
      <c r="B32" s="6" t="s">
        <v>352</v>
      </c>
      <c r="C32" s="5" t="s">
        <v>456</v>
      </c>
      <c r="D32" s="37" t="n">
        <v>42000</v>
      </c>
      <c r="E32" s="37" t="n">
        <v>42000</v>
      </c>
      <c r="F32" s="37" t="n">
        <v>42000</v>
      </c>
      <c r="G32" s="37" t="n">
        <v>42000</v>
      </c>
      <c r="H32" s="37" t="n">
        <v>42000</v>
      </c>
      <c r="I32" s="37" t="n">
        <v>42000</v>
      </c>
      <c r="J32" s="37" t="n">
        <v>42000</v>
      </c>
      <c r="K32" s="37" t="n">
        <v>42000</v>
      </c>
      <c r="L32" s="37" t="n">
        <v>42000</v>
      </c>
      <c r="M32" s="37" t="n">
        <v>42000</v>
      </c>
      <c r="N32" s="37" t="n">
        <v>42000</v>
      </c>
      <c r="O32" s="37" t="n">
        <v>42000</v>
      </c>
      <c r="P32" s="37" t="n">
        <v>42000</v>
      </c>
      <c r="Q32" s="37" t="n">
        <v>42000</v>
      </c>
      <c r="R32" s="37" t="n">
        <v>42000</v>
      </c>
      <c r="S32" s="37" t="n">
        <v>42000</v>
      </c>
      <c r="T32" s="37" t="n">
        <v>42000</v>
      </c>
      <c r="U32" s="37" t="n">
        <v>42000</v>
      </c>
      <c r="V32" s="37" t="n">
        <v>42000</v>
      </c>
      <c r="W32" s="37" t="n">
        <v>42000</v>
      </c>
      <c r="X32" s="37" t="n">
        <v>42000</v>
      </c>
      <c r="Y32" s="37" t="n">
        <v>42000</v>
      </c>
      <c r="Z32" s="37" t="n">
        <v>42000</v>
      </c>
      <c r="AA32" s="17" t="n">
        <f aca="false">IFERROR(AVERAGEIF(D32:F32,"&lt;&gt;0"),"")</f>
        <v>42000</v>
      </c>
      <c r="AB32" s="17" t="n">
        <f aca="false">IFERROR(AVERAGEIF(G32:K32,"&lt;&gt;0"),"")</f>
        <v>42000</v>
      </c>
      <c r="AC32" s="17" t="n">
        <f aca="false">IFERROR(AVERAGEIF(L32:P32,"&lt;&gt;0"),"")</f>
        <v>42000</v>
      </c>
      <c r="AD32" s="17" t="n">
        <f aca="false">IFERROR(AVERAGEIF(Q32:U32,"&lt;&gt;0"),"")</f>
        <v>42000</v>
      </c>
      <c r="AE32" s="17" t="n">
        <f aca="false">IFERROR(AVERAGEIF(V32:Z32,"&lt;&gt;0"),"")</f>
        <v>42000</v>
      </c>
      <c r="AF32" s="17" t="n">
        <f aca="false">IFERROR(AVERAGEIF(D32:Z32,"&lt;&gt;0"),"")</f>
        <v>42000</v>
      </c>
    </row>
    <row r="33" customFormat="false" ht="15" hidden="false" customHeight="true" outlineLevel="0" collapsed="false">
      <c r="A33" s="5" t="n">
        <v>29</v>
      </c>
      <c r="B33" s="6" t="s">
        <v>365</v>
      </c>
      <c r="C33" s="5" t="s">
        <v>407</v>
      </c>
      <c r="D33" s="37" t="n">
        <v>11000</v>
      </c>
      <c r="E33" s="37" t="n">
        <v>11000</v>
      </c>
      <c r="F33" s="37" t="n">
        <v>11000</v>
      </c>
      <c r="G33" s="37" t="n">
        <v>11000</v>
      </c>
      <c r="H33" s="37" t="n">
        <v>11000</v>
      </c>
      <c r="I33" s="37" t="n">
        <v>11000</v>
      </c>
      <c r="J33" s="37" t="n">
        <v>11000</v>
      </c>
      <c r="K33" s="37" t="n">
        <v>11000</v>
      </c>
      <c r="L33" s="37" t="n">
        <v>11000</v>
      </c>
      <c r="M33" s="37" t="n">
        <v>11000</v>
      </c>
      <c r="N33" s="37" t="n">
        <v>11000</v>
      </c>
      <c r="O33" s="37" t="n">
        <v>11000</v>
      </c>
      <c r="P33" s="37" t="n">
        <v>11000</v>
      </c>
      <c r="Q33" s="37" t="n">
        <v>11000</v>
      </c>
      <c r="R33" s="37" t="n">
        <v>11000</v>
      </c>
      <c r="S33" s="37" t="n">
        <v>11000</v>
      </c>
      <c r="T33" s="37" t="n">
        <v>11000</v>
      </c>
      <c r="U33" s="37" t="n">
        <v>11000</v>
      </c>
      <c r="V33" s="37" t="n">
        <v>11000</v>
      </c>
      <c r="W33" s="37" t="n">
        <v>11000</v>
      </c>
      <c r="X33" s="37" t="n">
        <v>11000</v>
      </c>
      <c r="Y33" s="37" t="n">
        <v>11000</v>
      </c>
      <c r="Z33" s="37" t="n">
        <v>11000</v>
      </c>
      <c r="AA33" s="17" t="n">
        <f aca="false">IFERROR(AVERAGEIF(D33:F33,"&lt;&gt;0"),"")</f>
        <v>11000</v>
      </c>
      <c r="AB33" s="17" t="n">
        <f aca="false">IFERROR(AVERAGEIF(G33:K33,"&lt;&gt;0"),"")</f>
        <v>11000</v>
      </c>
      <c r="AC33" s="17" t="n">
        <f aca="false">IFERROR(AVERAGEIF(L33:P33,"&lt;&gt;0"),"")</f>
        <v>11000</v>
      </c>
      <c r="AD33" s="17" t="n">
        <f aca="false">IFERROR(AVERAGEIF(Q33:U33,"&lt;&gt;0"),"")</f>
        <v>11000</v>
      </c>
      <c r="AE33" s="17" t="n">
        <f aca="false">IFERROR(AVERAGEIF(V33:Z33,"&lt;&gt;0"),"")</f>
        <v>11000</v>
      </c>
      <c r="AF33" s="17" t="n">
        <f aca="false">IFERROR(AVERAGEIF(D33:Z33,"&lt;&gt;0"),"")</f>
        <v>11000</v>
      </c>
    </row>
    <row r="34" customFormat="false" ht="15" hidden="false" customHeight="true" outlineLevel="0" collapsed="false">
      <c r="A34" s="5" t="n">
        <v>30</v>
      </c>
      <c r="B34" s="6" t="s">
        <v>338</v>
      </c>
      <c r="C34" s="5" t="s">
        <v>407</v>
      </c>
      <c r="D34" s="37" t="n">
        <v>6000</v>
      </c>
      <c r="E34" s="37" t="n">
        <v>6000</v>
      </c>
      <c r="F34" s="37" t="n">
        <v>6000</v>
      </c>
      <c r="G34" s="37" t="n">
        <v>6000</v>
      </c>
      <c r="H34" s="37" t="n">
        <v>6000</v>
      </c>
      <c r="I34" s="37" t="n">
        <v>6000</v>
      </c>
      <c r="J34" s="37" t="n">
        <v>6000</v>
      </c>
      <c r="K34" s="37" t="n">
        <v>6000</v>
      </c>
      <c r="L34" s="37" t="n">
        <v>6000</v>
      </c>
      <c r="M34" s="37" t="n">
        <v>6000</v>
      </c>
      <c r="N34" s="37" t="n">
        <v>6000</v>
      </c>
      <c r="O34" s="37" t="n">
        <v>6000</v>
      </c>
      <c r="P34" s="37" t="n">
        <v>6000</v>
      </c>
      <c r="Q34" s="37" t="n">
        <v>6000</v>
      </c>
      <c r="R34" s="37" t="n">
        <v>6000</v>
      </c>
      <c r="S34" s="37" t="n">
        <v>6000</v>
      </c>
      <c r="T34" s="37" t="n">
        <v>6000</v>
      </c>
      <c r="U34" s="37" t="n">
        <v>6000</v>
      </c>
      <c r="V34" s="37" t="n">
        <v>6000</v>
      </c>
      <c r="W34" s="37" t="n">
        <v>6000</v>
      </c>
      <c r="X34" s="37" t="n">
        <v>6000</v>
      </c>
      <c r="Y34" s="37" t="n">
        <v>6000</v>
      </c>
      <c r="Z34" s="37" t="n">
        <v>6000</v>
      </c>
      <c r="AA34" s="17" t="n">
        <f aca="false">IFERROR(AVERAGEIF(D34:F34,"&lt;&gt;0"),"")</f>
        <v>6000</v>
      </c>
      <c r="AB34" s="17" t="n">
        <f aca="false">IFERROR(AVERAGEIF(G34:K34,"&lt;&gt;0"),"")</f>
        <v>6000</v>
      </c>
      <c r="AC34" s="17" t="n">
        <f aca="false">IFERROR(AVERAGEIF(L34:P34,"&lt;&gt;0"),"")</f>
        <v>6000</v>
      </c>
      <c r="AD34" s="17" t="n">
        <f aca="false">IFERROR(AVERAGEIF(Q34:U34,"&lt;&gt;0"),"")</f>
        <v>6000</v>
      </c>
      <c r="AE34" s="17" t="n">
        <f aca="false">IFERROR(AVERAGEIF(V34:Z34,"&lt;&gt;0"),"")</f>
        <v>6000</v>
      </c>
      <c r="AF34" s="17" t="n">
        <f aca="false">IFERROR(AVERAGEIF(D34:Z34,"&lt;&gt;0"),"")</f>
        <v>6000</v>
      </c>
    </row>
    <row r="35" customFormat="false" ht="15" hidden="false" customHeight="true" outlineLevel="0" collapsed="false">
      <c r="A35" s="5" t="n">
        <v>31</v>
      </c>
      <c r="B35" s="6" t="s">
        <v>343</v>
      </c>
      <c r="C35" s="5" t="s">
        <v>407</v>
      </c>
      <c r="D35" s="37" t="n">
        <v>70000</v>
      </c>
      <c r="E35" s="37" t="n">
        <v>70000</v>
      </c>
      <c r="F35" s="37" t="n">
        <v>70000</v>
      </c>
      <c r="G35" s="37" t="n">
        <v>70000</v>
      </c>
      <c r="H35" s="37" t="n">
        <v>70000</v>
      </c>
      <c r="I35" s="37" t="n">
        <v>70000</v>
      </c>
      <c r="J35" s="37" t="n">
        <v>70000</v>
      </c>
      <c r="K35" s="37" t="n">
        <v>70000</v>
      </c>
      <c r="L35" s="37" t="n">
        <v>70000</v>
      </c>
      <c r="M35" s="37" t="n">
        <v>70000</v>
      </c>
      <c r="N35" s="37" t="n">
        <v>70000</v>
      </c>
      <c r="O35" s="37" t="n">
        <v>70000</v>
      </c>
      <c r="P35" s="37" t="n">
        <v>70000</v>
      </c>
      <c r="Q35" s="37" t="n">
        <v>70000</v>
      </c>
      <c r="R35" s="37" t="n">
        <v>70000</v>
      </c>
      <c r="S35" s="37" t="n">
        <v>70000</v>
      </c>
      <c r="T35" s="37" t="n">
        <v>70000</v>
      </c>
      <c r="U35" s="37" t="n">
        <v>70000</v>
      </c>
      <c r="V35" s="37" t="n">
        <v>70000</v>
      </c>
      <c r="W35" s="37" t="n">
        <v>70000</v>
      </c>
      <c r="X35" s="37" t="n">
        <v>70000</v>
      </c>
      <c r="Y35" s="37" t="n">
        <v>70000</v>
      </c>
      <c r="Z35" s="37" t="n">
        <v>70000</v>
      </c>
      <c r="AA35" s="17" t="n">
        <f aca="false">IFERROR(AVERAGEIF(D35:F35,"&lt;&gt;0"),"")</f>
        <v>70000</v>
      </c>
      <c r="AB35" s="17" t="n">
        <f aca="false">IFERROR(AVERAGEIF(G35:K35,"&lt;&gt;0"),"")</f>
        <v>70000</v>
      </c>
      <c r="AC35" s="17" t="n">
        <f aca="false">IFERROR(AVERAGEIF(L35:P35,"&lt;&gt;0"),"")</f>
        <v>70000</v>
      </c>
      <c r="AD35" s="17" t="n">
        <f aca="false">IFERROR(AVERAGEIF(Q35:U35,"&lt;&gt;0"),"")</f>
        <v>70000</v>
      </c>
      <c r="AE35" s="17" t="n">
        <f aca="false">IFERROR(AVERAGEIF(V35:Z35,"&lt;&gt;0"),"")</f>
        <v>70000</v>
      </c>
      <c r="AF35" s="17" t="n">
        <f aca="false">IFERROR(AVERAGEIF(D35:Z35,"&lt;&gt;0"),"")</f>
        <v>70000</v>
      </c>
    </row>
    <row r="36" customFormat="false" ht="15" hidden="false" customHeight="true" outlineLevel="0" collapsed="false">
      <c r="A36" s="5" t="n">
        <v>32</v>
      </c>
      <c r="B36" s="6" t="s">
        <v>345</v>
      </c>
      <c r="C36" s="5" t="s">
        <v>407</v>
      </c>
      <c r="D36" s="37" t="n">
        <v>12000</v>
      </c>
      <c r="E36" s="37" t="n">
        <v>12000</v>
      </c>
      <c r="F36" s="37" t="n">
        <v>12000</v>
      </c>
      <c r="G36" s="37" t="n">
        <v>12000</v>
      </c>
      <c r="H36" s="37" t="n">
        <v>12000</v>
      </c>
      <c r="I36" s="37" t="n">
        <v>12000</v>
      </c>
      <c r="J36" s="37" t="n">
        <v>12000</v>
      </c>
      <c r="K36" s="37" t="n">
        <v>12000</v>
      </c>
      <c r="L36" s="37" t="n">
        <v>12000</v>
      </c>
      <c r="M36" s="37" t="n">
        <v>12000</v>
      </c>
      <c r="N36" s="37" t="n">
        <v>12000</v>
      </c>
      <c r="O36" s="37" t="n">
        <v>12000</v>
      </c>
      <c r="P36" s="37" t="n">
        <v>12000</v>
      </c>
      <c r="Q36" s="37" t="n">
        <v>12000</v>
      </c>
      <c r="R36" s="37" t="n">
        <v>12000</v>
      </c>
      <c r="S36" s="37" t="n">
        <v>12000</v>
      </c>
      <c r="T36" s="37" t="n">
        <v>12000</v>
      </c>
      <c r="U36" s="37" t="n">
        <v>12000</v>
      </c>
      <c r="V36" s="37" t="n">
        <v>12000</v>
      </c>
      <c r="W36" s="37" t="n">
        <v>12000</v>
      </c>
      <c r="X36" s="37" t="n">
        <v>12000</v>
      </c>
      <c r="Y36" s="37" t="n">
        <v>12000</v>
      </c>
      <c r="Z36" s="37" t="n">
        <v>12000</v>
      </c>
      <c r="AA36" s="17" t="n">
        <f aca="false">IFERROR(AVERAGEIF(D36:F36,"&lt;&gt;0"),"")</f>
        <v>12000</v>
      </c>
      <c r="AB36" s="17" t="n">
        <f aca="false">IFERROR(AVERAGEIF(G36:K36,"&lt;&gt;0"),"")</f>
        <v>12000</v>
      </c>
      <c r="AC36" s="17" t="n">
        <f aca="false">IFERROR(AVERAGEIF(L36:P36,"&lt;&gt;0"),"")</f>
        <v>12000</v>
      </c>
      <c r="AD36" s="17" t="n">
        <f aca="false">IFERROR(AVERAGEIF(Q36:U36,"&lt;&gt;0"),"")</f>
        <v>12000</v>
      </c>
      <c r="AE36" s="17" t="n">
        <f aca="false">IFERROR(AVERAGEIF(V36:Z36,"&lt;&gt;0"),"")</f>
        <v>12000</v>
      </c>
      <c r="AF36" s="17" t="n">
        <f aca="false">IFERROR(AVERAGEIF(D36:Z36,"&lt;&gt;0"),"")</f>
        <v>12000</v>
      </c>
    </row>
    <row r="37" customFormat="false" ht="15" hidden="false" customHeight="true" outlineLevel="0" collapsed="false">
      <c r="A37" s="5" t="n">
        <v>33</v>
      </c>
      <c r="B37" s="6" t="s">
        <v>366</v>
      </c>
      <c r="C37" s="5" t="s">
        <v>407</v>
      </c>
      <c r="D37" s="37" t="n">
        <v>8000</v>
      </c>
      <c r="E37" s="37" t="n">
        <v>8000</v>
      </c>
      <c r="F37" s="37" t="n">
        <v>8000</v>
      </c>
      <c r="G37" s="37" t="n">
        <v>8000</v>
      </c>
      <c r="H37" s="37" t="n">
        <v>8000</v>
      </c>
      <c r="I37" s="37" t="n">
        <v>8000</v>
      </c>
      <c r="J37" s="37" t="n">
        <v>8000</v>
      </c>
      <c r="K37" s="37" t="n">
        <v>8000</v>
      </c>
      <c r="L37" s="37" t="n">
        <v>8000</v>
      </c>
      <c r="M37" s="37" t="n">
        <v>8000</v>
      </c>
      <c r="N37" s="37" t="n">
        <v>8000</v>
      </c>
      <c r="O37" s="37" t="n">
        <v>8000</v>
      </c>
      <c r="P37" s="37" t="n">
        <v>8000</v>
      </c>
      <c r="Q37" s="37" t="n">
        <v>8000</v>
      </c>
      <c r="R37" s="37" t="n">
        <v>8000</v>
      </c>
      <c r="S37" s="37" t="n">
        <v>8000</v>
      </c>
      <c r="T37" s="37" t="n">
        <v>8000</v>
      </c>
      <c r="U37" s="37" t="n">
        <v>8000</v>
      </c>
      <c r="V37" s="37" t="n">
        <v>8000</v>
      </c>
      <c r="W37" s="37" t="n">
        <v>8000</v>
      </c>
      <c r="X37" s="37" t="n">
        <v>8000</v>
      </c>
      <c r="Y37" s="37" t="n">
        <v>8000</v>
      </c>
      <c r="Z37" s="37" t="n">
        <v>8000</v>
      </c>
      <c r="AA37" s="17" t="n">
        <f aca="false">IFERROR(AVERAGEIF(D37:F37,"&lt;&gt;0"),"")</f>
        <v>8000</v>
      </c>
      <c r="AB37" s="17" t="n">
        <f aca="false">IFERROR(AVERAGEIF(G37:K37,"&lt;&gt;0"),"")</f>
        <v>8000</v>
      </c>
      <c r="AC37" s="17" t="n">
        <f aca="false">IFERROR(AVERAGEIF(L37:P37,"&lt;&gt;0"),"")</f>
        <v>8000</v>
      </c>
      <c r="AD37" s="17" t="n">
        <f aca="false">IFERROR(AVERAGEIF(Q37:U37,"&lt;&gt;0"),"")</f>
        <v>8000</v>
      </c>
      <c r="AE37" s="17" t="n">
        <f aca="false">IFERROR(AVERAGEIF(V37:Z37,"&lt;&gt;0"),"")</f>
        <v>8000</v>
      </c>
      <c r="AF37" s="17" t="n">
        <f aca="false">IFERROR(AVERAGEIF(D37:Z37,"&lt;&gt;0"),"")</f>
        <v>8000</v>
      </c>
    </row>
    <row r="38" customFormat="false" ht="15" hidden="false" customHeight="true" outlineLevel="0" collapsed="false">
      <c r="A38" s="5" t="n">
        <v>34</v>
      </c>
      <c r="B38" s="6" t="s">
        <v>413</v>
      </c>
      <c r="C38" s="5" t="s">
        <v>407</v>
      </c>
      <c r="D38" s="37" t="n">
        <v>8000</v>
      </c>
      <c r="E38" s="37" t="n">
        <v>8000</v>
      </c>
      <c r="F38" s="37" t="n">
        <v>8000</v>
      </c>
      <c r="G38" s="37" t="n">
        <v>8000</v>
      </c>
      <c r="H38" s="37" t="n">
        <v>8000</v>
      </c>
      <c r="I38" s="37" t="n">
        <v>8000</v>
      </c>
      <c r="J38" s="37" t="n">
        <v>8000</v>
      </c>
      <c r="K38" s="37" t="n">
        <v>8000</v>
      </c>
      <c r="L38" s="37" t="n">
        <v>8000</v>
      </c>
      <c r="M38" s="37" t="n">
        <v>8000</v>
      </c>
      <c r="N38" s="37" t="n">
        <v>8000</v>
      </c>
      <c r="O38" s="37" t="n">
        <v>8000</v>
      </c>
      <c r="P38" s="37" t="n">
        <v>8000</v>
      </c>
      <c r="Q38" s="37" t="n">
        <v>8000</v>
      </c>
      <c r="R38" s="37" t="n">
        <v>8000</v>
      </c>
      <c r="S38" s="37" t="n">
        <v>8000</v>
      </c>
      <c r="T38" s="37" t="n">
        <v>8000</v>
      </c>
      <c r="U38" s="37" t="n">
        <v>8000</v>
      </c>
      <c r="V38" s="37" t="n">
        <v>8000</v>
      </c>
      <c r="W38" s="37" t="n">
        <v>8000</v>
      </c>
      <c r="X38" s="37" t="n">
        <v>8000</v>
      </c>
      <c r="Y38" s="37" t="n">
        <v>8000</v>
      </c>
      <c r="Z38" s="37" t="n">
        <v>8000</v>
      </c>
      <c r="AA38" s="17" t="n">
        <f aca="false">IFERROR(AVERAGEIF(D38:F38,"&lt;&gt;0"),"")</f>
        <v>8000</v>
      </c>
      <c r="AB38" s="17" t="n">
        <f aca="false">IFERROR(AVERAGEIF(G38:K38,"&lt;&gt;0"),"")</f>
        <v>8000</v>
      </c>
      <c r="AC38" s="17" t="n">
        <f aca="false">IFERROR(AVERAGEIF(L38:P38,"&lt;&gt;0"),"")</f>
        <v>8000</v>
      </c>
      <c r="AD38" s="17" t="n">
        <f aca="false">IFERROR(AVERAGEIF(Q38:U38,"&lt;&gt;0"),"")</f>
        <v>8000</v>
      </c>
      <c r="AE38" s="17" t="n">
        <f aca="false">IFERROR(AVERAGEIF(V38:Z38,"&lt;&gt;0"),"")</f>
        <v>8000</v>
      </c>
      <c r="AF38" s="17" t="n">
        <f aca="false">IFERROR(AVERAGEIF(D38:Z38,"&lt;&gt;0"),"")</f>
        <v>8000</v>
      </c>
    </row>
    <row r="39" customFormat="false" ht="15" hidden="false" customHeight="true" outlineLevel="0" collapsed="false">
      <c r="A39" s="5" t="n">
        <v>35</v>
      </c>
      <c r="B39" s="6" t="s">
        <v>414</v>
      </c>
      <c r="C39" s="5" t="s">
        <v>407</v>
      </c>
      <c r="D39" s="37" t="n">
        <v>15000</v>
      </c>
      <c r="E39" s="37" t="n">
        <v>15000</v>
      </c>
      <c r="F39" s="37" t="n">
        <v>15000</v>
      </c>
      <c r="G39" s="37" t="n">
        <v>15000</v>
      </c>
      <c r="H39" s="37" t="n">
        <v>15000</v>
      </c>
      <c r="I39" s="37" t="n">
        <v>15000</v>
      </c>
      <c r="J39" s="37" t="n">
        <v>15000</v>
      </c>
      <c r="K39" s="37" t="n">
        <v>15000</v>
      </c>
      <c r="L39" s="37" t="n">
        <v>15000</v>
      </c>
      <c r="M39" s="37" t="n">
        <v>15000</v>
      </c>
      <c r="N39" s="37" t="n">
        <v>15000</v>
      </c>
      <c r="O39" s="37" t="n">
        <v>15000</v>
      </c>
      <c r="P39" s="37" t="n">
        <v>15000</v>
      </c>
      <c r="Q39" s="37" t="n">
        <v>15000</v>
      </c>
      <c r="R39" s="37" t="n">
        <v>15000</v>
      </c>
      <c r="S39" s="37" t="n">
        <v>15000</v>
      </c>
      <c r="T39" s="37" t="n">
        <v>15000</v>
      </c>
      <c r="U39" s="37" t="n">
        <v>15000</v>
      </c>
      <c r="V39" s="37" t="n">
        <v>15000</v>
      </c>
      <c r="W39" s="37" t="n">
        <v>15000</v>
      </c>
      <c r="X39" s="37" t="n">
        <v>15000</v>
      </c>
      <c r="Y39" s="37" t="n">
        <v>15000</v>
      </c>
      <c r="Z39" s="37" t="n">
        <v>15000</v>
      </c>
      <c r="AA39" s="17" t="n">
        <f aca="false">IFERROR(AVERAGEIF(D39:F39,"&lt;&gt;0"),"")</f>
        <v>15000</v>
      </c>
      <c r="AB39" s="17" t="n">
        <f aca="false">IFERROR(AVERAGEIF(G39:K39,"&lt;&gt;0"),"")</f>
        <v>15000</v>
      </c>
      <c r="AC39" s="17" t="n">
        <f aca="false">IFERROR(AVERAGEIF(L39:P39,"&lt;&gt;0"),"")</f>
        <v>15000</v>
      </c>
      <c r="AD39" s="17" t="n">
        <f aca="false">IFERROR(AVERAGEIF(Q39:U39,"&lt;&gt;0"),"")</f>
        <v>15000</v>
      </c>
      <c r="AE39" s="17" t="n">
        <f aca="false">IFERROR(AVERAGEIF(V39:Z39,"&lt;&gt;0"),"")</f>
        <v>15000</v>
      </c>
      <c r="AF39" s="17" t="n">
        <f aca="false">IFERROR(AVERAGEIF(D39:Z39,"&lt;&gt;0"),"")</f>
        <v>15000</v>
      </c>
    </row>
    <row r="40" customFormat="false" ht="15" hidden="false" customHeight="true" outlineLevel="0" collapsed="false">
      <c r="A40" s="5" t="n">
        <v>36</v>
      </c>
      <c r="B40" s="6" t="s">
        <v>415</v>
      </c>
      <c r="C40" s="5" t="s">
        <v>407</v>
      </c>
      <c r="D40" s="37" t="n">
        <v>10000</v>
      </c>
      <c r="E40" s="37" t="n">
        <v>10000</v>
      </c>
      <c r="F40" s="37" t="n">
        <v>10000</v>
      </c>
      <c r="G40" s="37" t="n">
        <v>10000</v>
      </c>
      <c r="H40" s="37" t="n">
        <v>10000</v>
      </c>
      <c r="I40" s="37" t="n">
        <v>10000</v>
      </c>
      <c r="J40" s="37" t="n">
        <v>10000</v>
      </c>
      <c r="K40" s="37" t="n">
        <v>10000</v>
      </c>
      <c r="L40" s="37" t="n">
        <v>10000</v>
      </c>
      <c r="M40" s="37" t="n">
        <v>10000</v>
      </c>
      <c r="N40" s="37" t="n">
        <v>10000</v>
      </c>
      <c r="O40" s="37" t="n">
        <v>10000</v>
      </c>
      <c r="P40" s="37" t="n">
        <v>10000</v>
      </c>
      <c r="Q40" s="37" t="n">
        <v>10000</v>
      </c>
      <c r="R40" s="37" t="n">
        <v>10000</v>
      </c>
      <c r="S40" s="37" t="n">
        <v>10000</v>
      </c>
      <c r="T40" s="37" t="n">
        <v>10000</v>
      </c>
      <c r="U40" s="37" t="n">
        <v>10000</v>
      </c>
      <c r="V40" s="37" t="n">
        <v>10000</v>
      </c>
      <c r="W40" s="37" t="n">
        <v>10000</v>
      </c>
      <c r="X40" s="37" t="n">
        <v>10000</v>
      </c>
      <c r="Y40" s="37" t="n">
        <v>10000</v>
      </c>
      <c r="Z40" s="37" t="n">
        <v>10000</v>
      </c>
      <c r="AA40" s="17" t="n">
        <f aca="false">IFERROR(AVERAGEIF(D40:F40,"&lt;&gt;0"),"")</f>
        <v>10000</v>
      </c>
      <c r="AB40" s="17" t="n">
        <f aca="false">IFERROR(AVERAGEIF(G40:K40,"&lt;&gt;0"),"")</f>
        <v>10000</v>
      </c>
      <c r="AC40" s="17" t="n">
        <f aca="false">IFERROR(AVERAGEIF(L40:P40,"&lt;&gt;0"),"")</f>
        <v>10000</v>
      </c>
      <c r="AD40" s="17" t="n">
        <f aca="false">IFERROR(AVERAGEIF(Q40:U40,"&lt;&gt;0"),"")</f>
        <v>10000</v>
      </c>
      <c r="AE40" s="17" t="n">
        <f aca="false">IFERROR(AVERAGEIF(V40:Z40,"&lt;&gt;0"),"")</f>
        <v>10000</v>
      </c>
      <c r="AF40" s="17" t="n">
        <f aca="false">IFERROR(AVERAGEIF(D40:Z40,"&lt;&gt;0"),"")</f>
        <v>10000</v>
      </c>
    </row>
    <row r="41" customFormat="false" ht="15" hidden="false" customHeight="true" outlineLevel="0" collapsed="false">
      <c r="A41" s="5" t="n">
        <v>37</v>
      </c>
      <c r="B41" s="6" t="s">
        <v>416</v>
      </c>
      <c r="C41" s="5" t="s">
        <v>407</v>
      </c>
      <c r="D41" s="37" t="n">
        <v>5000</v>
      </c>
      <c r="E41" s="37" t="n">
        <v>5000</v>
      </c>
      <c r="F41" s="37" t="n">
        <v>5000</v>
      </c>
      <c r="G41" s="37" t="n">
        <v>5000</v>
      </c>
      <c r="H41" s="37" t="n">
        <v>5000</v>
      </c>
      <c r="I41" s="37" t="n">
        <v>5000</v>
      </c>
      <c r="J41" s="37" t="n">
        <v>5000</v>
      </c>
      <c r="K41" s="37" t="n">
        <v>5000</v>
      </c>
      <c r="L41" s="37" t="n">
        <v>5000</v>
      </c>
      <c r="M41" s="37" t="n">
        <v>5000</v>
      </c>
      <c r="N41" s="37" t="n">
        <v>5000</v>
      </c>
      <c r="O41" s="37" t="n">
        <v>5000</v>
      </c>
      <c r="P41" s="37" t="n">
        <v>5000</v>
      </c>
      <c r="Q41" s="37" t="n">
        <v>5000</v>
      </c>
      <c r="R41" s="37" t="n">
        <v>5000</v>
      </c>
      <c r="S41" s="37" t="n">
        <v>5000</v>
      </c>
      <c r="T41" s="37" t="n">
        <v>5000</v>
      </c>
      <c r="U41" s="37" t="n">
        <v>5000</v>
      </c>
      <c r="V41" s="37" t="n">
        <v>5000</v>
      </c>
      <c r="W41" s="37" t="n">
        <v>5000</v>
      </c>
      <c r="X41" s="37" t="n">
        <v>5000</v>
      </c>
      <c r="Y41" s="37" t="n">
        <v>5000</v>
      </c>
      <c r="Z41" s="37" t="n">
        <v>5000</v>
      </c>
      <c r="AA41" s="17" t="n">
        <f aca="false">IFERROR(AVERAGEIF(D41:F41,"&lt;&gt;0"),"")</f>
        <v>5000</v>
      </c>
      <c r="AB41" s="17" t="n">
        <f aca="false">IFERROR(AVERAGEIF(G41:K41,"&lt;&gt;0"),"")</f>
        <v>5000</v>
      </c>
      <c r="AC41" s="17" t="n">
        <f aca="false">IFERROR(AVERAGEIF(L41:P41,"&lt;&gt;0"),"")</f>
        <v>5000</v>
      </c>
      <c r="AD41" s="17" t="n">
        <f aca="false">IFERROR(AVERAGEIF(Q41:U41,"&lt;&gt;0"),"")</f>
        <v>5000</v>
      </c>
      <c r="AE41" s="17" t="n">
        <f aca="false">IFERROR(AVERAGEIF(V41:Z41,"&lt;&gt;0"),"")</f>
        <v>5000</v>
      </c>
      <c r="AF41" s="17" t="n">
        <f aca="false">IFERROR(AVERAGEIF(D41:Z41,"&lt;&gt;0"),"")</f>
        <v>5000</v>
      </c>
    </row>
    <row r="42" customFormat="false" ht="15" hidden="false" customHeight="true" outlineLevel="0" collapsed="false">
      <c r="A42" s="5" t="n">
        <v>38</v>
      </c>
      <c r="B42" s="6" t="s">
        <v>417</v>
      </c>
      <c r="C42" s="5" t="s">
        <v>407</v>
      </c>
      <c r="D42" s="37" t="n">
        <v>5000</v>
      </c>
      <c r="E42" s="37" t="n">
        <v>5000</v>
      </c>
      <c r="F42" s="37" t="n">
        <v>5000</v>
      </c>
      <c r="G42" s="37" t="n">
        <v>5000</v>
      </c>
      <c r="H42" s="37" t="n">
        <v>5000</v>
      </c>
      <c r="I42" s="37" t="n">
        <v>5000</v>
      </c>
      <c r="J42" s="37" t="n">
        <v>5000</v>
      </c>
      <c r="K42" s="37" t="n">
        <v>5000</v>
      </c>
      <c r="L42" s="37" t="n">
        <v>5000</v>
      </c>
      <c r="M42" s="37" t="n">
        <v>5000</v>
      </c>
      <c r="N42" s="37" t="n">
        <v>5000</v>
      </c>
      <c r="O42" s="37" t="n">
        <v>5000</v>
      </c>
      <c r="P42" s="37" t="n">
        <v>5000</v>
      </c>
      <c r="Q42" s="37" t="n">
        <v>5000</v>
      </c>
      <c r="R42" s="37" t="n">
        <v>5000</v>
      </c>
      <c r="S42" s="37" t="n">
        <v>5000</v>
      </c>
      <c r="T42" s="37" t="n">
        <v>5000</v>
      </c>
      <c r="U42" s="37" t="n">
        <v>7000</v>
      </c>
      <c r="V42" s="37" t="n">
        <v>7000</v>
      </c>
      <c r="W42" s="37" t="n">
        <v>7000</v>
      </c>
      <c r="X42" s="37" t="n">
        <v>7000</v>
      </c>
      <c r="Y42" s="37" t="n">
        <v>7000</v>
      </c>
      <c r="Z42" s="37" t="n">
        <v>7000</v>
      </c>
      <c r="AA42" s="17" t="n">
        <f aca="false">IFERROR(AVERAGEIF(D42:F42,"&lt;&gt;0"),"")</f>
        <v>5000</v>
      </c>
      <c r="AB42" s="17" t="n">
        <f aca="false">IFERROR(AVERAGEIF(G42:K42,"&lt;&gt;0"),"")</f>
        <v>5000</v>
      </c>
      <c r="AC42" s="17" t="n">
        <f aca="false">IFERROR(AVERAGEIF(L42:P42,"&lt;&gt;0"),"")</f>
        <v>5000</v>
      </c>
      <c r="AD42" s="17" t="n">
        <f aca="false">IFERROR(AVERAGEIF(Q42:U42,"&lt;&gt;0"),"")</f>
        <v>5400</v>
      </c>
      <c r="AE42" s="17" t="n">
        <f aca="false">IFERROR(AVERAGEIF(V42:Z42,"&lt;&gt;0"),"")</f>
        <v>7000</v>
      </c>
      <c r="AF42" s="17" t="n">
        <f aca="false">IFERROR(AVERAGEIF(D42:Z42,"&lt;&gt;0"),"")</f>
        <v>5521.73913043478</v>
      </c>
    </row>
    <row r="43" customFormat="false" ht="15" hidden="false" customHeight="true" outlineLevel="0" collapsed="false">
      <c r="A43" s="5" t="n">
        <v>39</v>
      </c>
      <c r="B43" s="6" t="s">
        <v>418</v>
      </c>
      <c r="C43" s="5" t="s">
        <v>407</v>
      </c>
      <c r="D43" s="37" t="n">
        <v>6000</v>
      </c>
      <c r="E43" s="37" t="n">
        <v>6000</v>
      </c>
      <c r="F43" s="37" t="n">
        <v>6000</v>
      </c>
      <c r="G43" s="37" t="n">
        <v>6000</v>
      </c>
      <c r="H43" s="37" t="n">
        <v>6000</v>
      </c>
      <c r="I43" s="37" t="n">
        <v>6000</v>
      </c>
      <c r="J43" s="37" t="n">
        <v>6000</v>
      </c>
      <c r="K43" s="37" t="n">
        <v>6000</v>
      </c>
      <c r="L43" s="37" t="n">
        <v>6000</v>
      </c>
      <c r="M43" s="37" t="n">
        <v>6000</v>
      </c>
      <c r="N43" s="37" t="n">
        <v>6000</v>
      </c>
      <c r="O43" s="37" t="n">
        <v>6000</v>
      </c>
      <c r="P43" s="37" t="n">
        <v>6000</v>
      </c>
      <c r="Q43" s="37" t="n">
        <v>6000</v>
      </c>
      <c r="R43" s="37" t="n">
        <v>6000</v>
      </c>
      <c r="S43" s="37" t="n">
        <v>6000</v>
      </c>
      <c r="T43" s="37" t="n">
        <v>6000</v>
      </c>
      <c r="U43" s="37" t="n">
        <v>6000</v>
      </c>
      <c r="V43" s="37" t="n">
        <v>6000</v>
      </c>
      <c r="W43" s="37" t="n">
        <v>6000</v>
      </c>
      <c r="X43" s="37" t="n">
        <v>6000</v>
      </c>
      <c r="Y43" s="37" t="n">
        <v>6000</v>
      </c>
      <c r="Z43" s="37" t="n">
        <v>6000</v>
      </c>
      <c r="AA43" s="17" t="n">
        <f aca="false">IFERROR(AVERAGEIF(D43:F43,"&lt;&gt;0"),"")</f>
        <v>6000</v>
      </c>
      <c r="AB43" s="17" t="n">
        <f aca="false">IFERROR(AVERAGEIF(G43:K43,"&lt;&gt;0"),"")</f>
        <v>6000</v>
      </c>
      <c r="AC43" s="17" t="n">
        <f aca="false">IFERROR(AVERAGEIF(L43:P43,"&lt;&gt;0"),"")</f>
        <v>6000</v>
      </c>
      <c r="AD43" s="17" t="n">
        <f aca="false">IFERROR(AVERAGEIF(Q43:U43,"&lt;&gt;0"),"")</f>
        <v>6000</v>
      </c>
      <c r="AE43" s="17" t="n">
        <f aca="false">IFERROR(AVERAGEIF(V43:Z43,"&lt;&gt;0"),"")</f>
        <v>6000</v>
      </c>
      <c r="AF43" s="17" t="n">
        <f aca="false">IFERROR(AVERAGEIF(D43:Z43,"&lt;&gt;0"),"")</f>
        <v>6000</v>
      </c>
    </row>
    <row r="44" customFormat="false" ht="15" hidden="false" customHeight="true" outlineLevel="0" collapsed="false">
      <c r="A44" s="5" t="n">
        <v>40</v>
      </c>
      <c r="B44" s="6" t="s">
        <v>419</v>
      </c>
      <c r="C44" s="5" t="s">
        <v>407</v>
      </c>
      <c r="D44" s="37" t="n">
        <v>5000</v>
      </c>
      <c r="E44" s="37" t="n">
        <v>5000</v>
      </c>
      <c r="F44" s="37" t="n">
        <v>5000</v>
      </c>
      <c r="G44" s="37" t="n">
        <v>5000</v>
      </c>
      <c r="H44" s="37" t="n">
        <v>5000</v>
      </c>
      <c r="I44" s="37" t="n">
        <v>5000</v>
      </c>
      <c r="J44" s="37" t="n">
        <v>5000</v>
      </c>
      <c r="K44" s="37" t="n">
        <v>5000</v>
      </c>
      <c r="L44" s="37" t="n">
        <v>5000</v>
      </c>
      <c r="M44" s="37" t="n">
        <v>5000</v>
      </c>
      <c r="N44" s="37" t="n">
        <v>5000</v>
      </c>
      <c r="O44" s="37" t="n">
        <v>5000</v>
      </c>
      <c r="P44" s="37" t="n">
        <v>5000</v>
      </c>
      <c r="Q44" s="37" t="n">
        <v>5000</v>
      </c>
      <c r="R44" s="37" t="n">
        <v>5000</v>
      </c>
      <c r="S44" s="37" t="n">
        <v>5000</v>
      </c>
      <c r="T44" s="37" t="n">
        <v>5000</v>
      </c>
      <c r="U44" s="37" t="n">
        <v>5000</v>
      </c>
      <c r="V44" s="37" t="n">
        <v>5000</v>
      </c>
      <c r="W44" s="37" t="n">
        <v>5000</v>
      </c>
      <c r="X44" s="37" t="n">
        <v>5000</v>
      </c>
      <c r="Y44" s="37" t="n">
        <v>5000</v>
      </c>
      <c r="Z44" s="37" t="n">
        <v>5000</v>
      </c>
      <c r="AA44" s="17" t="n">
        <f aca="false">IFERROR(AVERAGEIF(D44:F44,"&lt;&gt;0"),"")</f>
        <v>5000</v>
      </c>
      <c r="AB44" s="17" t="n">
        <f aca="false">IFERROR(AVERAGEIF(G44:K44,"&lt;&gt;0"),"")</f>
        <v>5000</v>
      </c>
      <c r="AC44" s="17" t="n">
        <f aca="false">IFERROR(AVERAGEIF(L44:P44,"&lt;&gt;0"),"")</f>
        <v>5000</v>
      </c>
      <c r="AD44" s="17" t="n">
        <f aca="false">IFERROR(AVERAGEIF(Q44:U44,"&lt;&gt;0"),"")</f>
        <v>5000</v>
      </c>
      <c r="AE44" s="17" t="n">
        <f aca="false">IFERROR(AVERAGEIF(V44:Z44,"&lt;&gt;0"),"")</f>
        <v>5000</v>
      </c>
      <c r="AF44" s="17" t="n">
        <f aca="false">IFERROR(AVERAGEIF(D44:Z44,"&lt;&gt;0"),"")</f>
        <v>5000</v>
      </c>
    </row>
    <row r="45" customFormat="false" ht="15" hidden="false" customHeight="true" outlineLevel="0" collapsed="false">
      <c r="A45" s="5" t="n">
        <v>41</v>
      </c>
      <c r="B45" s="6" t="s">
        <v>420</v>
      </c>
      <c r="C45" s="5" t="s">
        <v>457</v>
      </c>
      <c r="D45" s="37" t="n">
        <v>65000</v>
      </c>
      <c r="E45" s="37" t="n">
        <v>65000</v>
      </c>
      <c r="F45" s="37" t="n">
        <v>65000</v>
      </c>
      <c r="G45" s="37" t="n">
        <v>65000</v>
      </c>
      <c r="H45" s="37" t="n">
        <v>65000</v>
      </c>
      <c r="I45" s="37" t="n">
        <v>65000</v>
      </c>
      <c r="J45" s="37" t="n">
        <v>65000</v>
      </c>
      <c r="K45" s="37" t="n">
        <v>65000</v>
      </c>
      <c r="L45" s="37" t="n">
        <v>65000</v>
      </c>
      <c r="M45" s="37" t="n">
        <v>65000</v>
      </c>
      <c r="N45" s="37" t="n">
        <v>65000</v>
      </c>
      <c r="O45" s="37" t="n">
        <v>65000</v>
      </c>
      <c r="P45" s="37" t="n">
        <v>65000</v>
      </c>
      <c r="Q45" s="37" t="n">
        <v>65000</v>
      </c>
      <c r="R45" s="37" t="n">
        <v>65000</v>
      </c>
      <c r="S45" s="37" t="n">
        <v>65000</v>
      </c>
      <c r="T45" s="37" t="n">
        <v>65000</v>
      </c>
      <c r="U45" s="37" t="n">
        <v>65000</v>
      </c>
      <c r="V45" s="37" t="n">
        <v>65000</v>
      </c>
      <c r="W45" s="37" t="n">
        <v>65000</v>
      </c>
      <c r="X45" s="37" t="n">
        <v>65000</v>
      </c>
      <c r="Y45" s="37" t="n">
        <v>65000</v>
      </c>
      <c r="Z45" s="37" t="n">
        <v>65000</v>
      </c>
      <c r="AA45" s="17" t="n">
        <f aca="false">IFERROR(AVERAGEIF(D45:F45,"&lt;&gt;0"),"")</f>
        <v>65000</v>
      </c>
      <c r="AB45" s="17" t="n">
        <f aca="false">IFERROR(AVERAGEIF(G45:K45,"&lt;&gt;0"),"")</f>
        <v>65000</v>
      </c>
      <c r="AC45" s="17" t="n">
        <f aca="false">IFERROR(AVERAGEIF(L45:P45,"&lt;&gt;0"),"")</f>
        <v>65000</v>
      </c>
      <c r="AD45" s="17" t="n">
        <f aca="false">IFERROR(AVERAGEIF(Q45:U45,"&lt;&gt;0"),"")</f>
        <v>65000</v>
      </c>
      <c r="AE45" s="17" t="n">
        <f aca="false">IFERROR(AVERAGEIF(V45:Z45,"&lt;&gt;0"),"")</f>
        <v>65000</v>
      </c>
      <c r="AF45" s="17" t="n">
        <f aca="false">IFERROR(AVERAGEIF(D45:Z45,"&lt;&gt;0"),"")</f>
        <v>65000</v>
      </c>
    </row>
    <row r="46" customFormat="false" ht="15" hidden="false" customHeight="true" outlineLevel="0" collapsed="false">
      <c r="A46" s="5" t="n">
        <v>42</v>
      </c>
      <c r="B46" s="6" t="s">
        <v>421</v>
      </c>
      <c r="C46" s="5" t="s">
        <v>407</v>
      </c>
      <c r="D46" s="37" t="n">
        <v>40000</v>
      </c>
      <c r="E46" s="37" t="n">
        <v>40000</v>
      </c>
      <c r="F46" s="37" t="n">
        <v>40000</v>
      </c>
      <c r="G46" s="37" t="n">
        <v>40000</v>
      </c>
      <c r="H46" s="37" t="n">
        <v>40000</v>
      </c>
      <c r="I46" s="37" t="n">
        <v>40000</v>
      </c>
      <c r="J46" s="37" t="n">
        <v>40000</v>
      </c>
      <c r="K46" s="37" t="n">
        <v>40000</v>
      </c>
      <c r="L46" s="37" t="n">
        <v>40000</v>
      </c>
      <c r="M46" s="37" t="n">
        <v>40000</v>
      </c>
      <c r="N46" s="37" t="n">
        <v>40000</v>
      </c>
      <c r="O46" s="37" t="n">
        <v>40000</v>
      </c>
      <c r="P46" s="37" t="n">
        <v>40000</v>
      </c>
      <c r="Q46" s="37" t="n">
        <v>40000</v>
      </c>
      <c r="R46" s="37" t="n">
        <v>40000</v>
      </c>
      <c r="S46" s="37" t="n">
        <v>40000</v>
      </c>
      <c r="T46" s="37" t="n">
        <v>40000</v>
      </c>
      <c r="U46" s="37" t="n">
        <v>40000</v>
      </c>
      <c r="V46" s="37" t="n">
        <v>40000</v>
      </c>
      <c r="W46" s="37" t="n">
        <v>40000</v>
      </c>
      <c r="X46" s="37" t="n">
        <v>40000</v>
      </c>
      <c r="Y46" s="37" t="n">
        <v>40000</v>
      </c>
      <c r="Z46" s="37" t="n">
        <v>40000</v>
      </c>
      <c r="AA46" s="17" t="n">
        <f aca="false">IFERROR(AVERAGEIF(D46:F46,"&lt;&gt;0"),"")</f>
        <v>40000</v>
      </c>
      <c r="AB46" s="17" t="n">
        <f aca="false">IFERROR(AVERAGEIF(G46:K46,"&lt;&gt;0"),"")</f>
        <v>40000</v>
      </c>
      <c r="AC46" s="17" t="n">
        <f aca="false">IFERROR(AVERAGEIF(L46:P46,"&lt;&gt;0"),"")</f>
        <v>40000</v>
      </c>
      <c r="AD46" s="17" t="n">
        <f aca="false">IFERROR(AVERAGEIF(Q46:U46,"&lt;&gt;0"),"")</f>
        <v>40000</v>
      </c>
      <c r="AE46" s="17" t="n">
        <f aca="false">IFERROR(AVERAGEIF(V46:Z46,"&lt;&gt;0"),"")</f>
        <v>40000</v>
      </c>
      <c r="AF46" s="17" t="n">
        <f aca="false">IFERROR(AVERAGEIF(D46:Z46,"&lt;&gt;0"),"")</f>
        <v>40000</v>
      </c>
    </row>
    <row r="47" customFormat="false" ht="15" hidden="false" customHeight="true" outlineLevel="0" collapsed="false">
      <c r="A47" s="5" t="n">
        <v>43</v>
      </c>
      <c r="B47" s="6" t="s">
        <v>422</v>
      </c>
      <c r="C47" s="5" t="s">
        <v>407</v>
      </c>
      <c r="D47" s="37" t="n">
        <v>34000</v>
      </c>
      <c r="E47" s="37" t="n">
        <v>34000</v>
      </c>
      <c r="F47" s="37" t="n">
        <v>34000</v>
      </c>
      <c r="G47" s="37" t="n">
        <v>34000</v>
      </c>
      <c r="H47" s="37" t="n">
        <v>34000</v>
      </c>
      <c r="I47" s="37" t="n">
        <v>34000</v>
      </c>
      <c r="J47" s="37" t="n">
        <v>34000</v>
      </c>
      <c r="K47" s="37" t="n">
        <v>34000</v>
      </c>
      <c r="L47" s="37" t="n">
        <v>34000</v>
      </c>
      <c r="M47" s="37" t="n">
        <v>34000</v>
      </c>
      <c r="N47" s="37" t="n">
        <v>34000</v>
      </c>
      <c r="O47" s="37" t="n">
        <v>34000</v>
      </c>
      <c r="P47" s="37" t="n">
        <v>34000</v>
      </c>
      <c r="Q47" s="37" t="n">
        <v>34000</v>
      </c>
      <c r="R47" s="37" t="n">
        <v>34000</v>
      </c>
      <c r="S47" s="37" t="n">
        <v>34000</v>
      </c>
      <c r="T47" s="37" t="n">
        <v>34000</v>
      </c>
      <c r="U47" s="37" t="n">
        <v>34000</v>
      </c>
      <c r="V47" s="37" t="n">
        <v>34000</v>
      </c>
      <c r="W47" s="37" t="n">
        <v>34000</v>
      </c>
      <c r="X47" s="37" t="n">
        <v>36000</v>
      </c>
      <c r="Y47" s="37" t="n">
        <v>36000</v>
      </c>
      <c r="Z47" s="37" t="n">
        <v>36000</v>
      </c>
      <c r="AA47" s="17" t="n">
        <f aca="false">IFERROR(AVERAGEIF(D47:F47,"&lt;&gt;0"),"")</f>
        <v>34000</v>
      </c>
      <c r="AB47" s="17" t="n">
        <f aca="false">IFERROR(AVERAGEIF(G47:K47,"&lt;&gt;0"),"")</f>
        <v>34000</v>
      </c>
      <c r="AC47" s="17" t="n">
        <f aca="false">IFERROR(AVERAGEIF(L47:P47,"&lt;&gt;0"),"")</f>
        <v>34000</v>
      </c>
      <c r="AD47" s="17" t="n">
        <f aca="false">IFERROR(AVERAGEIF(Q47:U47,"&lt;&gt;0"),"")</f>
        <v>34000</v>
      </c>
      <c r="AE47" s="17" t="n">
        <f aca="false">IFERROR(AVERAGEIF(V47:Z47,"&lt;&gt;0"),"")</f>
        <v>35200</v>
      </c>
      <c r="AF47" s="17" t="n">
        <f aca="false">IFERROR(AVERAGEIF(D47:Z47,"&lt;&gt;0"),"")</f>
        <v>34260.8695652174</v>
      </c>
    </row>
    <row r="48" customFormat="false" ht="15" hidden="false" customHeight="true" outlineLevel="0" collapsed="false">
      <c r="A48" s="5" t="n">
        <v>44</v>
      </c>
      <c r="B48" s="6" t="s">
        <v>423</v>
      </c>
      <c r="C48" s="5" t="s">
        <v>407</v>
      </c>
      <c r="D48" s="37" t="n">
        <v>28000</v>
      </c>
      <c r="E48" s="37" t="n">
        <v>28000</v>
      </c>
      <c r="F48" s="37" t="n">
        <v>28000</v>
      </c>
      <c r="G48" s="37" t="n">
        <v>28000</v>
      </c>
      <c r="H48" s="37" t="n">
        <v>28000</v>
      </c>
      <c r="I48" s="37" t="n">
        <v>28000</v>
      </c>
      <c r="J48" s="37" t="n">
        <v>28000</v>
      </c>
      <c r="K48" s="37" t="n">
        <v>28000</v>
      </c>
      <c r="L48" s="37" t="n">
        <v>28000</v>
      </c>
      <c r="M48" s="37" t="n">
        <v>28000</v>
      </c>
      <c r="N48" s="37" t="n">
        <v>28000</v>
      </c>
      <c r="O48" s="37" t="n">
        <v>28000</v>
      </c>
      <c r="P48" s="37" t="n">
        <v>28000</v>
      </c>
      <c r="Q48" s="37" t="n">
        <v>28000</v>
      </c>
      <c r="R48" s="37" t="n">
        <v>28000</v>
      </c>
      <c r="S48" s="37" t="n">
        <v>28000</v>
      </c>
      <c r="T48" s="37" t="n">
        <v>28000</v>
      </c>
      <c r="U48" s="37" t="n">
        <v>28000</v>
      </c>
      <c r="V48" s="37" t="n">
        <v>28000</v>
      </c>
      <c r="W48" s="37" t="n">
        <v>28000</v>
      </c>
      <c r="X48" s="37" t="n">
        <v>28000</v>
      </c>
      <c r="Y48" s="37" t="n">
        <v>28000</v>
      </c>
      <c r="Z48" s="37" t="n">
        <v>28000</v>
      </c>
      <c r="AA48" s="17" t="n">
        <f aca="false">IFERROR(AVERAGEIF(D48:F48,"&lt;&gt;0"),"")</f>
        <v>28000</v>
      </c>
      <c r="AB48" s="17" t="n">
        <f aca="false">IFERROR(AVERAGEIF(G48:K48,"&lt;&gt;0"),"")</f>
        <v>28000</v>
      </c>
      <c r="AC48" s="17" t="n">
        <f aca="false">IFERROR(AVERAGEIF(L48:P48,"&lt;&gt;0"),"")</f>
        <v>28000</v>
      </c>
      <c r="AD48" s="17" t="n">
        <f aca="false">IFERROR(AVERAGEIF(Q48:U48,"&lt;&gt;0"),"")</f>
        <v>28000</v>
      </c>
      <c r="AE48" s="17" t="n">
        <f aca="false">IFERROR(AVERAGEIF(V48:Z48,"&lt;&gt;0"),"")</f>
        <v>28000</v>
      </c>
      <c r="AF48" s="17" t="n">
        <f aca="false">IFERROR(AVERAGEIF(D48:Z48,"&lt;&gt;0"),"")</f>
        <v>28000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6"/>
    <col collapsed="false" customWidth="true" hidden="false" outlineLevel="0" max="24" min="4" style="1" width="11"/>
    <col collapsed="false" customWidth="true" hidden="false" outlineLevel="0" max="29" min="25" style="1" width="13"/>
    <col collapsed="false" customWidth="true" hidden="false" outlineLevel="0" max="30" min="30" style="1" width="14"/>
  </cols>
  <sheetData>
    <row r="1" customFormat="false" ht="26.25" hidden="false" customHeight="true" outlineLevel="0" collapsed="false">
      <c r="A1" s="2" t="s">
        <v>617</v>
      </c>
      <c r="B1" s="2"/>
      <c r="C1" s="2"/>
      <c r="D1" s="2"/>
    </row>
    <row r="2" customFormat="false" ht="18.75" hidden="false" customHeight="true" outlineLevel="0" collapsed="false">
      <c r="A2" s="12" t="s">
        <v>375</v>
      </c>
      <c r="B2" s="12"/>
      <c r="C2" s="12"/>
      <c r="D2" s="12"/>
    </row>
    <row r="4" customFormat="false" ht="25.5" hidden="false" customHeight="true" outlineLevel="0" collapsed="false">
      <c r="A4" s="3" t="s">
        <v>1</v>
      </c>
      <c r="B4" s="3" t="s">
        <v>376</v>
      </c>
      <c r="C4" s="3" t="s">
        <v>377</v>
      </c>
      <c r="D4" s="3" t="s">
        <v>618</v>
      </c>
      <c r="E4" s="3" t="s">
        <v>619</v>
      </c>
      <c r="F4" s="3" t="s">
        <v>620</v>
      </c>
      <c r="G4" s="3" t="s">
        <v>621</v>
      </c>
      <c r="H4" s="3" t="s">
        <v>622</v>
      </c>
      <c r="I4" s="3" t="s">
        <v>623</v>
      </c>
      <c r="J4" s="3" t="s">
        <v>624</v>
      </c>
      <c r="K4" s="3" t="s">
        <v>625</v>
      </c>
      <c r="L4" s="3" t="s">
        <v>626</v>
      </c>
      <c r="M4" s="3" t="s">
        <v>627</v>
      </c>
      <c r="N4" s="3" t="s">
        <v>628</v>
      </c>
      <c r="O4" s="3" t="s">
        <v>629</v>
      </c>
      <c r="P4" s="3" t="s">
        <v>630</v>
      </c>
      <c r="Q4" s="3" t="s">
        <v>631</v>
      </c>
      <c r="R4" s="3" t="s">
        <v>632</v>
      </c>
      <c r="S4" s="3" t="s">
        <v>633</v>
      </c>
      <c r="T4" s="3" t="s">
        <v>634</v>
      </c>
      <c r="U4" s="3" t="s">
        <v>635</v>
      </c>
      <c r="V4" s="3" t="s">
        <v>636</v>
      </c>
      <c r="W4" s="3" t="s">
        <v>637</v>
      </c>
      <c r="X4" s="3" t="s">
        <v>638</v>
      </c>
      <c r="Y4" s="35" t="s">
        <v>639</v>
      </c>
      <c r="Z4" s="35" t="s">
        <v>640</v>
      </c>
      <c r="AA4" s="35" t="s">
        <v>641</v>
      </c>
      <c r="AB4" s="35" t="s">
        <v>642</v>
      </c>
      <c r="AC4" s="35" t="s">
        <v>643</v>
      </c>
      <c r="AD4" s="36" t="s">
        <v>644</v>
      </c>
    </row>
    <row r="5" customFormat="false" ht="15" hidden="false" customHeight="true" outlineLevel="0" collapsed="false">
      <c r="A5" s="5" t="n">
        <v>1</v>
      </c>
      <c r="B5" s="6" t="s">
        <v>334</v>
      </c>
      <c r="C5" s="5" t="s">
        <v>407</v>
      </c>
      <c r="D5" s="37" t="n">
        <v>12500</v>
      </c>
      <c r="E5" s="37" t="n">
        <v>12500</v>
      </c>
      <c r="F5" s="37" t="n">
        <v>12500</v>
      </c>
      <c r="G5" s="37" t="n">
        <v>12500</v>
      </c>
      <c r="H5" s="37" t="n">
        <v>12500</v>
      </c>
      <c r="I5" s="37" t="n">
        <v>12500</v>
      </c>
      <c r="J5" s="37" t="n">
        <v>12500</v>
      </c>
      <c r="K5" s="37" t="n">
        <v>12500</v>
      </c>
      <c r="L5" s="37" t="n">
        <v>12500</v>
      </c>
      <c r="M5" s="37" t="n">
        <v>12500</v>
      </c>
      <c r="N5" s="37" t="n">
        <v>0</v>
      </c>
      <c r="O5" s="37" t="n">
        <v>12500</v>
      </c>
      <c r="P5" s="37" t="n">
        <v>12500</v>
      </c>
      <c r="Q5" s="37" t="n">
        <v>12500</v>
      </c>
      <c r="R5" s="37" t="n">
        <v>12500</v>
      </c>
      <c r="S5" s="37" t="n">
        <v>12500</v>
      </c>
      <c r="T5" s="37" t="n">
        <v>0</v>
      </c>
      <c r="U5" s="37" t="n">
        <v>12525</v>
      </c>
      <c r="V5" s="37" t="n">
        <v>12525</v>
      </c>
      <c r="W5" s="37" t="n">
        <v>12525</v>
      </c>
      <c r="X5" s="37" t="n">
        <v>0</v>
      </c>
      <c r="Y5" s="17" t="n">
        <f aca="false">IFERROR(AVERAGEIF(D5:H5,"&lt;&gt;0"),"")</f>
        <v>12500</v>
      </c>
      <c r="Z5" s="17" t="n">
        <f aca="false">IFERROR(AVERAGEIF(I5:M5,"&lt;&gt;0"),"")</f>
        <v>12500</v>
      </c>
      <c r="AA5" s="17" t="n">
        <f aca="false">IFERROR(AVERAGEIF(N5:R5,"&lt;&gt;0"),"")</f>
        <v>12500</v>
      </c>
      <c r="AB5" s="17" t="n">
        <f aca="false">IFERROR(AVERAGEIF(S5:W5,"&lt;&gt;0"),"")</f>
        <v>12518.75</v>
      </c>
      <c r="AC5" s="17" t="str">
        <f aca="false">IFERROR(AVERAGEIF(X5:X5,"&lt;&gt;0"),"")</f>
        <v/>
      </c>
      <c r="AD5" s="17" t="n">
        <f aca="false">IFERROR(AVERAGEIF(D5:X5,"&lt;&gt;0"),"")</f>
        <v>12504.1666666667</v>
      </c>
    </row>
    <row r="6" customFormat="false" ht="15" hidden="false" customHeight="true" outlineLevel="0" collapsed="false">
      <c r="A6" s="5" t="n">
        <v>2</v>
      </c>
      <c r="B6" s="6" t="s">
        <v>335</v>
      </c>
      <c r="C6" s="5" t="s">
        <v>407</v>
      </c>
      <c r="D6" s="37" t="n">
        <v>14300</v>
      </c>
      <c r="E6" s="37" t="n">
        <v>14300</v>
      </c>
      <c r="F6" s="37" t="n">
        <v>14300</v>
      </c>
      <c r="G6" s="37" t="n">
        <v>14300</v>
      </c>
      <c r="H6" s="37" t="n">
        <v>14300</v>
      </c>
      <c r="I6" s="37" t="n">
        <v>14300</v>
      </c>
      <c r="J6" s="37" t="n">
        <v>14300</v>
      </c>
      <c r="K6" s="37" t="n">
        <v>14300</v>
      </c>
      <c r="L6" s="37" t="n">
        <v>14300</v>
      </c>
      <c r="M6" s="37" t="n">
        <v>14300</v>
      </c>
      <c r="N6" s="37" t="n">
        <v>0</v>
      </c>
      <c r="O6" s="37" t="n">
        <v>14300</v>
      </c>
      <c r="P6" s="37" t="n">
        <v>14300</v>
      </c>
      <c r="Q6" s="37" t="n">
        <v>14300</v>
      </c>
      <c r="R6" s="37" t="n">
        <v>14300</v>
      </c>
      <c r="S6" s="37" t="n">
        <v>14300</v>
      </c>
      <c r="T6" s="37" t="n">
        <v>0</v>
      </c>
      <c r="U6" s="37" t="n">
        <v>14325</v>
      </c>
      <c r="V6" s="37" t="n">
        <v>14325</v>
      </c>
      <c r="W6" s="37" t="n">
        <v>14325</v>
      </c>
      <c r="X6" s="37" t="n">
        <v>0</v>
      </c>
      <c r="Y6" s="17" t="n">
        <f aca="false">IFERROR(AVERAGEIF(D6:H6,"&lt;&gt;0"),"")</f>
        <v>14300</v>
      </c>
      <c r="Z6" s="17" t="n">
        <f aca="false">IFERROR(AVERAGEIF(I6:M6,"&lt;&gt;0"),"")</f>
        <v>14300</v>
      </c>
      <c r="AA6" s="17" t="n">
        <f aca="false">IFERROR(AVERAGEIF(N6:R6,"&lt;&gt;0"),"")</f>
        <v>14300</v>
      </c>
      <c r="AB6" s="17" t="n">
        <f aca="false">IFERROR(AVERAGEIF(S6:W6,"&lt;&gt;0"),"")</f>
        <v>14318.75</v>
      </c>
      <c r="AC6" s="17" t="str">
        <f aca="false">IFERROR(AVERAGEIF(X6:X6,"&lt;&gt;0"),"")</f>
        <v/>
      </c>
      <c r="AD6" s="17" t="n">
        <f aca="false">IFERROR(AVERAGEIF(D6:X6,"&lt;&gt;0"),"")</f>
        <v>14304.1666666667</v>
      </c>
    </row>
    <row r="7" customFormat="false" ht="15" hidden="false" customHeight="true" outlineLevel="0" collapsed="false">
      <c r="A7" s="5" t="n">
        <v>3</v>
      </c>
      <c r="B7" s="6" t="s">
        <v>336</v>
      </c>
      <c r="C7" s="5" t="s">
        <v>407</v>
      </c>
      <c r="D7" s="37" t="n">
        <v>11800</v>
      </c>
      <c r="E7" s="37" t="n">
        <v>11800</v>
      </c>
      <c r="F7" s="37" t="n">
        <v>11800</v>
      </c>
      <c r="G7" s="37" t="n">
        <v>11800</v>
      </c>
      <c r="H7" s="37" t="n">
        <v>11800</v>
      </c>
      <c r="I7" s="37" t="n">
        <v>11800</v>
      </c>
      <c r="J7" s="37" t="n">
        <v>11800</v>
      </c>
      <c r="K7" s="37" t="n">
        <v>11800</v>
      </c>
      <c r="L7" s="37" t="n">
        <v>11800</v>
      </c>
      <c r="M7" s="37" t="n">
        <v>11800</v>
      </c>
      <c r="N7" s="37" t="n">
        <v>0</v>
      </c>
      <c r="O7" s="37" t="n">
        <v>11800</v>
      </c>
      <c r="P7" s="37" t="n">
        <v>11800</v>
      </c>
      <c r="Q7" s="37" t="n">
        <v>11800</v>
      </c>
      <c r="R7" s="37" t="n">
        <v>11800</v>
      </c>
      <c r="S7" s="37" t="n">
        <v>11800</v>
      </c>
      <c r="T7" s="37" t="n">
        <v>0</v>
      </c>
      <c r="U7" s="37" t="n">
        <v>11800</v>
      </c>
      <c r="V7" s="37" t="n">
        <v>11800</v>
      </c>
      <c r="W7" s="37" t="n">
        <v>11800</v>
      </c>
      <c r="X7" s="37" t="n">
        <v>0</v>
      </c>
      <c r="Y7" s="17" t="n">
        <f aca="false">IFERROR(AVERAGEIF(D7:H7,"&lt;&gt;0"),"")</f>
        <v>11800</v>
      </c>
      <c r="Z7" s="17" t="n">
        <f aca="false">IFERROR(AVERAGEIF(I7:M7,"&lt;&gt;0"),"")</f>
        <v>11800</v>
      </c>
      <c r="AA7" s="17" t="n">
        <f aca="false">IFERROR(AVERAGEIF(N7:R7,"&lt;&gt;0"),"")</f>
        <v>11800</v>
      </c>
      <c r="AB7" s="17" t="n">
        <f aca="false">IFERROR(AVERAGEIF(S7:W7,"&lt;&gt;0"),"")</f>
        <v>11800</v>
      </c>
      <c r="AC7" s="17" t="str">
        <f aca="false">IFERROR(AVERAGEIF(X7:X7,"&lt;&gt;0"),"")</f>
        <v/>
      </c>
      <c r="AD7" s="17" t="n">
        <f aca="false">IFERROR(AVERAGEIF(D7:X7,"&lt;&gt;0"),"")</f>
        <v>11800</v>
      </c>
    </row>
    <row r="8" customFormat="false" ht="15" hidden="false" customHeight="true" outlineLevel="0" collapsed="false">
      <c r="A8" s="5" t="n">
        <v>4</v>
      </c>
      <c r="B8" s="6" t="s">
        <v>408</v>
      </c>
      <c r="C8" s="5" t="s">
        <v>407</v>
      </c>
      <c r="D8" s="37" t="n">
        <v>11000</v>
      </c>
      <c r="E8" s="37" t="n">
        <v>11000</v>
      </c>
      <c r="F8" s="37" t="n">
        <v>11000</v>
      </c>
      <c r="G8" s="37" t="n">
        <v>11000</v>
      </c>
      <c r="H8" s="37" t="n">
        <v>11000</v>
      </c>
      <c r="I8" s="37" t="n">
        <v>11000</v>
      </c>
      <c r="J8" s="37" t="n">
        <v>11000</v>
      </c>
      <c r="K8" s="37" t="n">
        <v>11000</v>
      </c>
      <c r="L8" s="37" t="n">
        <v>11000</v>
      </c>
      <c r="M8" s="37" t="n">
        <v>11000</v>
      </c>
      <c r="N8" s="37" t="n">
        <v>0</v>
      </c>
      <c r="O8" s="37" t="n">
        <v>11000</v>
      </c>
      <c r="P8" s="37" t="n">
        <v>11000</v>
      </c>
      <c r="Q8" s="37" t="n">
        <v>11000</v>
      </c>
      <c r="R8" s="37" t="n">
        <v>11000</v>
      </c>
      <c r="S8" s="37" t="n">
        <v>11000</v>
      </c>
      <c r="T8" s="37" t="n">
        <v>0</v>
      </c>
      <c r="U8" s="37" t="n">
        <v>11000</v>
      </c>
      <c r="V8" s="37" t="n">
        <v>11000</v>
      </c>
      <c r="W8" s="37" t="n">
        <v>11000</v>
      </c>
      <c r="X8" s="37" t="n">
        <v>0</v>
      </c>
      <c r="Y8" s="17" t="n">
        <f aca="false">IFERROR(AVERAGEIF(D8:H8,"&lt;&gt;0"),"")</f>
        <v>11000</v>
      </c>
      <c r="Z8" s="17" t="n">
        <f aca="false">IFERROR(AVERAGEIF(I8:M8,"&lt;&gt;0"),"")</f>
        <v>11000</v>
      </c>
      <c r="AA8" s="17" t="n">
        <f aca="false">IFERROR(AVERAGEIF(N8:R8,"&lt;&gt;0"),"")</f>
        <v>11000</v>
      </c>
      <c r="AB8" s="17" t="n">
        <f aca="false">IFERROR(AVERAGEIF(S8:W8,"&lt;&gt;0"),"")</f>
        <v>11000</v>
      </c>
      <c r="AC8" s="17" t="str">
        <f aca="false">IFERROR(AVERAGEIF(X8:X8,"&lt;&gt;0"),"")</f>
        <v/>
      </c>
      <c r="AD8" s="17" t="n">
        <f aca="false">IFERROR(AVERAGEIF(D8:X8,"&lt;&gt;0"),"")</f>
        <v>11000</v>
      </c>
    </row>
    <row r="9" customFormat="false" ht="15" hidden="false" customHeight="true" outlineLevel="0" collapsed="false">
      <c r="A9" s="5" t="n">
        <v>5</v>
      </c>
      <c r="B9" s="6" t="s">
        <v>360</v>
      </c>
      <c r="C9" s="5" t="s">
        <v>407</v>
      </c>
      <c r="D9" s="37" t="n">
        <v>30000</v>
      </c>
      <c r="E9" s="37" t="n">
        <v>30000</v>
      </c>
      <c r="F9" s="37" t="n">
        <v>30000</v>
      </c>
      <c r="G9" s="37" t="n">
        <v>30000</v>
      </c>
      <c r="H9" s="37" t="n">
        <v>30000</v>
      </c>
      <c r="I9" s="37" t="n">
        <v>30000</v>
      </c>
      <c r="J9" s="37" t="n">
        <v>30000</v>
      </c>
      <c r="K9" s="37" t="n">
        <v>30000</v>
      </c>
      <c r="L9" s="37" t="n">
        <v>30000</v>
      </c>
      <c r="M9" s="37" t="n">
        <v>30000</v>
      </c>
      <c r="N9" s="37" t="n">
        <v>0</v>
      </c>
      <c r="O9" s="37" t="n">
        <v>30000</v>
      </c>
      <c r="P9" s="37" t="n">
        <v>28000</v>
      </c>
      <c r="Q9" s="37" t="n">
        <v>28000</v>
      </c>
      <c r="R9" s="37" t="n">
        <v>28000</v>
      </c>
      <c r="S9" s="37" t="n">
        <v>28000</v>
      </c>
      <c r="T9" s="37" t="n">
        <v>0</v>
      </c>
      <c r="U9" s="37" t="n">
        <v>28000</v>
      </c>
      <c r="V9" s="37" t="n">
        <v>28000</v>
      </c>
      <c r="W9" s="37" t="n">
        <v>28000</v>
      </c>
      <c r="X9" s="37" t="n">
        <v>0</v>
      </c>
      <c r="Y9" s="17" t="n">
        <f aca="false">IFERROR(AVERAGEIF(D9:H9,"&lt;&gt;0"),"")</f>
        <v>30000</v>
      </c>
      <c r="Z9" s="17" t="n">
        <f aca="false">IFERROR(AVERAGEIF(I9:M9,"&lt;&gt;0"),"")</f>
        <v>30000</v>
      </c>
      <c r="AA9" s="17" t="n">
        <f aca="false">IFERROR(AVERAGEIF(N9:R9,"&lt;&gt;0"),"")</f>
        <v>28500</v>
      </c>
      <c r="AB9" s="17" t="n">
        <f aca="false">IFERROR(AVERAGEIF(S9:W9,"&lt;&gt;0"),"")</f>
        <v>28000</v>
      </c>
      <c r="AC9" s="17" t="str">
        <f aca="false">IFERROR(AVERAGEIF(X9:X9,"&lt;&gt;0"),"")</f>
        <v/>
      </c>
      <c r="AD9" s="17" t="n">
        <f aca="false">IFERROR(AVERAGEIF(D9:X9,"&lt;&gt;0"),"")</f>
        <v>29222.2222222222</v>
      </c>
    </row>
    <row r="10" customFormat="false" ht="15" hidden="false" customHeight="true" outlineLevel="0" collapsed="false">
      <c r="A10" s="5" t="n">
        <v>6</v>
      </c>
      <c r="B10" s="6" t="s">
        <v>361</v>
      </c>
      <c r="C10" s="5" t="s">
        <v>407</v>
      </c>
      <c r="D10" s="37" t="n">
        <v>28000</v>
      </c>
      <c r="E10" s="37" t="n">
        <v>28000</v>
      </c>
      <c r="F10" s="37" t="n">
        <v>28000</v>
      </c>
      <c r="G10" s="37" t="n">
        <v>28000</v>
      </c>
      <c r="H10" s="37" t="n">
        <v>28000</v>
      </c>
      <c r="I10" s="37" t="n">
        <v>28000</v>
      </c>
      <c r="J10" s="37" t="n">
        <v>28000</v>
      </c>
      <c r="K10" s="37" t="n">
        <v>28000</v>
      </c>
      <c r="L10" s="37" t="n">
        <v>28000</v>
      </c>
      <c r="M10" s="37" t="n">
        <v>28000</v>
      </c>
      <c r="N10" s="37" t="n">
        <v>0</v>
      </c>
      <c r="O10" s="37" t="n">
        <v>28000</v>
      </c>
      <c r="P10" s="37" t="n">
        <v>26000</v>
      </c>
      <c r="Q10" s="37" t="n">
        <v>26000</v>
      </c>
      <c r="R10" s="37" t="n">
        <v>26000</v>
      </c>
      <c r="S10" s="37" t="n">
        <v>26000</v>
      </c>
      <c r="T10" s="37" t="n">
        <v>0</v>
      </c>
      <c r="U10" s="37" t="n">
        <v>26000</v>
      </c>
      <c r="V10" s="37" t="n">
        <v>26000</v>
      </c>
      <c r="W10" s="37" t="n">
        <v>26000</v>
      </c>
      <c r="X10" s="37" t="n">
        <v>0</v>
      </c>
      <c r="Y10" s="17" t="n">
        <f aca="false">IFERROR(AVERAGEIF(D10:H10,"&lt;&gt;0"),"")</f>
        <v>28000</v>
      </c>
      <c r="Z10" s="17" t="n">
        <f aca="false">IFERROR(AVERAGEIF(I10:M10,"&lt;&gt;0"),"")</f>
        <v>28000</v>
      </c>
      <c r="AA10" s="17" t="n">
        <f aca="false">IFERROR(AVERAGEIF(N10:R10,"&lt;&gt;0"),"")</f>
        <v>26500</v>
      </c>
      <c r="AB10" s="17" t="n">
        <f aca="false">IFERROR(AVERAGEIF(S10:W10,"&lt;&gt;0"),"")</f>
        <v>26000</v>
      </c>
      <c r="AC10" s="17" t="str">
        <f aca="false">IFERROR(AVERAGEIF(X10:X10,"&lt;&gt;0"),"")</f>
        <v/>
      </c>
      <c r="AD10" s="17" t="n">
        <f aca="false">IFERROR(AVERAGEIF(D10:X10,"&lt;&gt;0"),"")</f>
        <v>27222.2222222222</v>
      </c>
    </row>
    <row r="11" customFormat="false" ht="15" hidden="false" customHeight="true" outlineLevel="0" collapsed="false">
      <c r="A11" s="5" t="n">
        <v>7</v>
      </c>
      <c r="B11" s="6" t="s">
        <v>347</v>
      </c>
      <c r="C11" s="5" t="s">
        <v>407</v>
      </c>
      <c r="D11" s="37" t="n">
        <v>42000</v>
      </c>
      <c r="E11" s="37" t="n">
        <v>40000</v>
      </c>
      <c r="F11" s="37" t="n">
        <v>40000</v>
      </c>
      <c r="G11" s="37" t="n">
        <v>40000</v>
      </c>
      <c r="H11" s="37" t="n">
        <v>40000</v>
      </c>
      <c r="I11" s="37" t="n">
        <v>40000</v>
      </c>
      <c r="J11" s="37" t="n">
        <v>40000</v>
      </c>
      <c r="K11" s="37" t="n">
        <v>40000</v>
      </c>
      <c r="L11" s="37" t="n">
        <v>40000</v>
      </c>
      <c r="M11" s="37" t="n">
        <v>40000</v>
      </c>
      <c r="N11" s="37" t="n">
        <v>0</v>
      </c>
      <c r="O11" s="37" t="n">
        <v>40000</v>
      </c>
      <c r="P11" s="37" t="n">
        <v>42000</v>
      </c>
      <c r="Q11" s="37" t="n">
        <v>42000</v>
      </c>
      <c r="R11" s="37" t="n">
        <v>42000</v>
      </c>
      <c r="S11" s="37" t="n">
        <v>42000</v>
      </c>
      <c r="T11" s="37" t="n">
        <v>0</v>
      </c>
      <c r="U11" s="37" t="n">
        <v>43000</v>
      </c>
      <c r="V11" s="37" t="n">
        <v>43000</v>
      </c>
      <c r="W11" s="37" t="n">
        <v>43000</v>
      </c>
      <c r="X11" s="37" t="n">
        <v>0</v>
      </c>
      <c r="Y11" s="17" t="n">
        <f aca="false">IFERROR(AVERAGEIF(D11:H11,"&lt;&gt;0"),"")</f>
        <v>40400</v>
      </c>
      <c r="Z11" s="17" t="n">
        <f aca="false">IFERROR(AVERAGEIF(I11:M11,"&lt;&gt;0"),"")</f>
        <v>40000</v>
      </c>
      <c r="AA11" s="17" t="n">
        <f aca="false">IFERROR(AVERAGEIF(N11:R11,"&lt;&gt;0"),"")</f>
        <v>41500</v>
      </c>
      <c r="AB11" s="17" t="n">
        <f aca="false">IFERROR(AVERAGEIF(S11:W11,"&lt;&gt;0"),"")</f>
        <v>42750</v>
      </c>
      <c r="AC11" s="17" t="str">
        <f aca="false">IFERROR(AVERAGEIF(X11:X11,"&lt;&gt;0"),"")</f>
        <v/>
      </c>
      <c r="AD11" s="17" t="n">
        <f aca="false">IFERROR(AVERAGEIF(D11:X11,"&lt;&gt;0"),"")</f>
        <v>41055.5555555556</v>
      </c>
    </row>
    <row r="12" customFormat="false" ht="15" hidden="false" customHeight="true" outlineLevel="0" collapsed="false">
      <c r="A12" s="5" t="n">
        <v>8</v>
      </c>
      <c r="B12" s="6" t="s">
        <v>354</v>
      </c>
      <c r="C12" s="5" t="s">
        <v>407</v>
      </c>
      <c r="D12" s="37" t="n">
        <v>32000</v>
      </c>
      <c r="E12" s="37" t="n">
        <v>32000</v>
      </c>
      <c r="F12" s="37" t="n">
        <v>30000</v>
      </c>
      <c r="G12" s="37" t="n">
        <v>30000</v>
      </c>
      <c r="H12" s="37" t="n">
        <v>30000</v>
      </c>
      <c r="I12" s="37" t="n">
        <v>30000</v>
      </c>
      <c r="J12" s="37" t="n">
        <v>30000</v>
      </c>
      <c r="K12" s="37" t="n">
        <v>30000</v>
      </c>
      <c r="L12" s="37" t="n">
        <v>30000</v>
      </c>
      <c r="M12" s="37" t="n">
        <v>30000</v>
      </c>
      <c r="N12" s="37" t="n">
        <v>0</v>
      </c>
      <c r="O12" s="37" t="n">
        <v>30000</v>
      </c>
      <c r="P12" s="37" t="n">
        <v>30000</v>
      </c>
      <c r="Q12" s="37" t="n">
        <v>30000</v>
      </c>
      <c r="R12" s="37" t="n">
        <v>30000</v>
      </c>
      <c r="S12" s="37" t="n">
        <v>30000</v>
      </c>
      <c r="T12" s="37" t="n">
        <v>0</v>
      </c>
      <c r="U12" s="37" t="n">
        <v>30000</v>
      </c>
      <c r="V12" s="37" t="n">
        <v>30000</v>
      </c>
      <c r="W12" s="37" t="n">
        <v>30000</v>
      </c>
      <c r="X12" s="37" t="n">
        <v>0</v>
      </c>
      <c r="Y12" s="17" t="n">
        <f aca="false">IFERROR(AVERAGEIF(D12:H12,"&lt;&gt;0"),"")</f>
        <v>30800</v>
      </c>
      <c r="Z12" s="17" t="n">
        <f aca="false">IFERROR(AVERAGEIF(I12:M12,"&lt;&gt;0"),"")</f>
        <v>30000</v>
      </c>
      <c r="AA12" s="17" t="n">
        <f aca="false">IFERROR(AVERAGEIF(N12:R12,"&lt;&gt;0"),"")</f>
        <v>30000</v>
      </c>
      <c r="AB12" s="17" t="n">
        <f aca="false">IFERROR(AVERAGEIF(S12:W12,"&lt;&gt;0"),"")</f>
        <v>30000</v>
      </c>
      <c r="AC12" s="17" t="str">
        <f aca="false">IFERROR(AVERAGEIF(X12:X12,"&lt;&gt;0"),"")</f>
        <v/>
      </c>
      <c r="AD12" s="17" t="n">
        <f aca="false">IFERROR(AVERAGEIF(D12:X12,"&lt;&gt;0"),"")</f>
        <v>30222.2222222222</v>
      </c>
    </row>
    <row r="13" customFormat="false" ht="15" hidden="false" customHeight="true" outlineLevel="0" collapsed="false">
      <c r="A13" s="5" t="n">
        <v>9</v>
      </c>
      <c r="B13" s="6" t="s">
        <v>349</v>
      </c>
      <c r="C13" s="5" t="s">
        <v>407</v>
      </c>
      <c r="D13" s="37" t="n">
        <v>16500</v>
      </c>
      <c r="E13" s="37" t="n">
        <v>16500</v>
      </c>
      <c r="F13" s="37" t="n">
        <v>16500</v>
      </c>
      <c r="G13" s="37" t="n">
        <v>16500</v>
      </c>
      <c r="H13" s="37" t="n">
        <v>16500</v>
      </c>
      <c r="I13" s="37" t="n">
        <v>16500</v>
      </c>
      <c r="J13" s="37" t="n">
        <v>16500</v>
      </c>
      <c r="K13" s="37" t="n">
        <v>16500</v>
      </c>
      <c r="L13" s="37" t="n">
        <v>16500</v>
      </c>
      <c r="M13" s="37" t="n">
        <v>16500</v>
      </c>
      <c r="N13" s="37" t="n">
        <v>0</v>
      </c>
      <c r="O13" s="37" t="n">
        <v>16500</v>
      </c>
      <c r="P13" s="37" t="n">
        <v>16500</v>
      </c>
      <c r="Q13" s="37" t="n">
        <v>16500</v>
      </c>
      <c r="R13" s="37" t="n">
        <v>16500</v>
      </c>
      <c r="S13" s="37" t="n">
        <v>16500</v>
      </c>
      <c r="T13" s="37" t="n">
        <v>0</v>
      </c>
      <c r="U13" s="37" t="n">
        <v>16500</v>
      </c>
      <c r="V13" s="37" t="n">
        <v>16500</v>
      </c>
      <c r="W13" s="37" t="n">
        <v>16500</v>
      </c>
      <c r="X13" s="37" t="n">
        <v>0</v>
      </c>
      <c r="Y13" s="17" t="n">
        <f aca="false">IFERROR(AVERAGEIF(D13:H13,"&lt;&gt;0"),"")</f>
        <v>16500</v>
      </c>
      <c r="Z13" s="17" t="n">
        <f aca="false">IFERROR(AVERAGEIF(I13:M13,"&lt;&gt;0"),"")</f>
        <v>16500</v>
      </c>
      <c r="AA13" s="17" t="n">
        <f aca="false">IFERROR(AVERAGEIF(N13:R13,"&lt;&gt;0"),"")</f>
        <v>16500</v>
      </c>
      <c r="AB13" s="17" t="n">
        <f aca="false">IFERROR(AVERAGEIF(S13:W13,"&lt;&gt;0"),"")</f>
        <v>16500</v>
      </c>
      <c r="AC13" s="17" t="str">
        <f aca="false">IFERROR(AVERAGEIF(X13:X13,"&lt;&gt;0"),"")</f>
        <v/>
      </c>
      <c r="AD13" s="17" t="n">
        <f aca="false">IFERROR(AVERAGEIF(D13:X13,"&lt;&gt;0"),"")</f>
        <v>16500</v>
      </c>
    </row>
    <row r="14" customFormat="false" ht="15" hidden="false" customHeight="true" outlineLevel="0" collapsed="false">
      <c r="A14" s="5" t="n">
        <v>10</v>
      </c>
      <c r="B14" s="6" t="s">
        <v>340</v>
      </c>
      <c r="C14" s="5" t="s">
        <v>453</v>
      </c>
      <c r="D14" s="37" t="n">
        <v>18450</v>
      </c>
      <c r="E14" s="37" t="n">
        <v>18450</v>
      </c>
      <c r="F14" s="37" t="n">
        <v>18450</v>
      </c>
      <c r="G14" s="37" t="n">
        <v>18450</v>
      </c>
      <c r="H14" s="37" t="n">
        <v>18450</v>
      </c>
      <c r="I14" s="37" t="n">
        <v>18450</v>
      </c>
      <c r="J14" s="37" t="n">
        <v>18450</v>
      </c>
      <c r="K14" s="37" t="n">
        <v>18450</v>
      </c>
      <c r="L14" s="37" t="n">
        <v>18450</v>
      </c>
      <c r="M14" s="37" t="n">
        <v>18450</v>
      </c>
      <c r="N14" s="37" t="n">
        <v>0</v>
      </c>
      <c r="O14" s="37" t="n">
        <v>18450</v>
      </c>
      <c r="P14" s="37" t="n">
        <v>18450</v>
      </c>
      <c r="Q14" s="37" t="n">
        <v>18450</v>
      </c>
      <c r="R14" s="37" t="n">
        <v>18450</v>
      </c>
      <c r="S14" s="37" t="n">
        <v>18450</v>
      </c>
      <c r="T14" s="37" t="n">
        <v>0</v>
      </c>
      <c r="U14" s="37" t="n">
        <v>18450</v>
      </c>
      <c r="V14" s="37" t="n">
        <v>18450</v>
      </c>
      <c r="W14" s="37" t="n">
        <v>18450</v>
      </c>
      <c r="X14" s="37" t="n">
        <v>0</v>
      </c>
      <c r="Y14" s="17" t="n">
        <f aca="false">IFERROR(AVERAGEIF(D14:H14,"&lt;&gt;0"),"")</f>
        <v>18450</v>
      </c>
      <c r="Z14" s="17" t="n">
        <f aca="false">IFERROR(AVERAGEIF(I14:M14,"&lt;&gt;0"),"")</f>
        <v>18450</v>
      </c>
      <c r="AA14" s="17" t="n">
        <f aca="false">IFERROR(AVERAGEIF(N14:R14,"&lt;&gt;0"),"")</f>
        <v>18450</v>
      </c>
      <c r="AB14" s="17" t="n">
        <f aca="false">IFERROR(AVERAGEIF(S14:W14,"&lt;&gt;0"),"")</f>
        <v>18450</v>
      </c>
      <c r="AC14" s="17" t="str">
        <f aca="false">IFERROR(AVERAGEIF(X14:X14,"&lt;&gt;0"),"")</f>
        <v/>
      </c>
      <c r="AD14" s="17" t="n">
        <f aca="false">IFERROR(AVERAGEIF(D14:X14,"&lt;&gt;0"),"")</f>
        <v>18450</v>
      </c>
    </row>
    <row r="15" customFormat="false" ht="21.75" hidden="false" customHeight="true" outlineLevel="0" collapsed="false">
      <c r="A15" s="5" t="n">
        <v>11</v>
      </c>
      <c r="B15" s="6" t="s">
        <v>341</v>
      </c>
      <c r="C15" s="5" t="s">
        <v>453</v>
      </c>
      <c r="D15" s="37" t="n">
        <v>23000</v>
      </c>
      <c r="E15" s="37" t="n">
        <v>23000</v>
      </c>
      <c r="F15" s="37" t="n">
        <v>23000</v>
      </c>
      <c r="G15" s="37" t="n">
        <v>23000</v>
      </c>
      <c r="H15" s="37" t="n">
        <v>23000</v>
      </c>
      <c r="I15" s="37" t="n">
        <v>23000</v>
      </c>
      <c r="J15" s="37" t="n">
        <v>23000</v>
      </c>
      <c r="K15" s="37" t="n">
        <v>23000</v>
      </c>
      <c r="L15" s="37" t="n">
        <v>23000</v>
      </c>
      <c r="M15" s="37" t="n">
        <v>23000</v>
      </c>
      <c r="N15" s="37" t="n">
        <v>0</v>
      </c>
      <c r="O15" s="37" t="n">
        <v>23000</v>
      </c>
      <c r="P15" s="37" t="n">
        <v>23000</v>
      </c>
      <c r="Q15" s="37" t="n">
        <v>23000</v>
      </c>
      <c r="R15" s="37" t="n">
        <v>23000</v>
      </c>
      <c r="S15" s="37" t="n">
        <v>23000</v>
      </c>
      <c r="T15" s="37" t="n">
        <v>0</v>
      </c>
      <c r="U15" s="37" t="n">
        <v>23000</v>
      </c>
      <c r="V15" s="37" t="n">
        <v>23000</v>
      </c>
      <c r="W15" s="37" t="n">
        <v>23000</v>
      </c>
      <c r="X15" s="37" t="n">
        <v>0</v>
      </c>
      <c r="Y15" s="17" t="n">
        <f aca="false">IFERROR(AVERAGEIF(D15:H15,"&lt;&gt;0"),"")</f>
        <v>23000</v>
      </c>
      <c r="Z15" s="17" t="n">
        <f aca="false">IFERROR(AVERAGEIF(I15:M15,"&lt;&gt;0"),"")</f>
        <v>23000</v>
      </c>
      <c r="AA15" s="17" t="n">
        <f aca="false">IFERROR(AVERAGEIF(N15:R15,"&lt;&gt;0"),"")</f>
        <v>23000</v>
      </c>
      <c r="AB15" s="17" t="n">
        <f aca="false">IFERROR(AVERAGEIF(S15:W15,"&lt;&gt;0"),"")</f>
        <v>23000</v>
      </c>
      <c r="AC15" s="17" t="str">
        <f aca="false">IFERROR(AVERAGEIF(X15:X15,"&lt;&gt;0"),"")</f>
        <v/>
      </c>
      <c r="AD15" s="17" t="n">
        <f aca="false">IFERROR(AVERAGEIF(D15:X15,"&lt;&gt;0"),"")</f>
        <v>23000</v>
      </c>
    </row>
    <row r="16" customFormat="false" ht="15" hidden="false" customHeight="true" outlineLevel="0" collapsed="false">
      <c r="A16" s="5" t="n">
        <v>12</v>
      </c>
      <c r="B16" s="6" t="s">
        <v>342</v>
      </c>
      <c r="C16" s="5" t="s">
        <v>453</v>
      </c>
      <c r="D16" s="37" t="n">
        <v>15500</v>
      </c>
      <c r="E16" s="37" t="n">
        <v>15500</v>
      </c>
      <c r="F16" s="37" t="n">
        <v>15500</v>
      </c>
      <c r="G16" s="37" t="n">
        <v>15500</v>
      </c>
      <c r="H16" s="37" t="n">
        <v>15500</v>
      </c>
      <c r="I16" s="37" t="n">
        <v>15500</v>
      </c>
      <c r="J16" s="37" t="n">
        <v>15500</v>
      </c>
      <c r="K16" s="37" t="n">
        <v>15500</v>
      </c>
      <c r="L16" s="37" t="n">
        <v>15500</v>
      </c>
      <c r="M16" s="37" t="n">
        <v>15500</v>
      </c>
      <c r="N16" s="37" t="n">
        <v>0</v>
      </c>
      <c r="O16" s="37" t="n">
        <v>15500</v>
      </c>
      <c r="P16" s="37" t="n">
        <v>15500</v>
      </c>
      <c r="Q16" s="37" t="n">
        <v>15500</v>
      </c>
      <c r="R16" s="37" t="n">
        <v>15500</v>
      </c>
      <c r="S16" s="37" t="n">
        <v>15500</v>
      </c>
      <c r="T16" s="37" t="n">
        <v>0</v>
      </c>
      <c r="U16" s="37" t="n">
        <v>15500</v>
      </c>
      <c r="V16" s="37" t="n">
        <v>15500</v>
      </c>
      <c r="W16" s="37" t="n">
        <v>15500</v>
      </c>
      <c r="X16" s="37" t="n">
        <v>0</v>
      </c>
      <c r="Y16" s="17" t="n">
        <f aca="false">IFERROR(AVERAGEIF(D16:H16,"&lt;&gt;0"),"")</f>
        <v>15500</v>
      </c>
      <c r="Z16" s="17" t="n">
        <f aca="false">IFERROR(AVERAGEIF(I16:M16,"&lt;&gt;0"),"")</f>
        <v>15500</v>
      </c>
      <c r="AA16" s="17" t="n">
        <f aca="false">IFERROR(AVERAGEIF(N16:R16,"&lt;&gt;0"),"")</f>
        <v>15500</v>
      </c>
      <c r="AB16" s="17" t="n">
        <f aca="false">IFERROR(AVERAGEIF(S16:W16,"&lt;&gt;0"),"")</f>
        <v>15500</v>
      </c>
      <c r="AC16" s="17" t="str">
        <f aca="false">IFERROR(AVERAGEIF(X16:X16,"&lt;&gt;0"),"")</f>
        <v/>
      </c>
      <c r="AD16" s="17" t="n">
        <f aca="false">IFERROR(AVERAGEIF(D16:X16,"&lt;&gt;0"),"")</f>
        <v>15500</v>
      </c>
    </row>
    <row r="17" customFormat="false" ht="15" hidden="false" customHeight="true" outlineLevel="0" collapsed="false">
      <c r="A17" s="5" t="n">
        <v>13</v>
      </c>
      <c r="B17" s="6" t="s">
        <v>337</v>
      </c>
      <c r="C17" s="5" t="s">
        <v>407</v>
      </c>
      <c r="D17" s="37" t="n">
        <v>11000</v>
      </c>
      <c r="E17" s="37" t="n">
        <v>11000</v>
      </c>
      <c r="F17" s="37" t="n">
        <v>11000</v>
      </c>
      <c r="G17" s="37" t="n">
        <v>11000</v>
      </c>
      <c r="H17" s="37" t="n">
        <v>11000</v>
      </c>
      <c r="I17" s="37" t="n">
        <v>11000</v>
      </c>
      <c r="J17" s="37" t="n">
        <v>11000</v>
      </c>
      <c r="K17" s="37" t="n">
        <v>11000</v>
      </c>
      <c r="L17" s="37" t="n">
        <v>11000</v>
      </c>
      <c r="M17" s="37" t="n">
        <v>11000</v>
      </c>
      <c r="N17" s="37" t="n">
        <v>0</v>
      </c>
      <c r="O17" s="37" t="n">
        <v>11000</v>
      </c>
      <c r="P17" s="37" t="n">
        <v>11000</v>
      </c>
      <c r="Q17" s="37" t="n">
        <v>11000</v>
      </c>
      <c r="R17" s="37" t="n">
        <v>11000</v>
      </c>
      <c r="S17" s="37" t="n">
        <v>11000</v>
      </c>
      <c r="T17" s="37" t="n">
        <v>0</v>
      </c>
      <c r="U17" s="37" t="n">
        <v>11000</v>
      </c>
      <c r="V17" s="37" t="n">
        <v>11000</v>
      </c>
      <c r="W17" s="37" t="n">
        <v>11000</v>
      </c>
      <c r="X17" s="37" t="n">
        <v>0</v>
      </c>
      <c r="Y17" s="17" t="n">
        <f aca="false">IFERROR(AVERAGEIF(D17:H17,"&lt;&gt;0"),"")</f>
        <v>11000</v>
      </c>
      <c r="Z17" s="17" t="n">
        <f aca="false">IFERROR(AVERAGEIF(I17:M17,"&lt;&gt;0"),"")</f>
        <v>11000</v>
      </c>
      <c r="AA17" s="17" t="n">
        <f aca="false">IFERROR(AVERAGEIF(N17:R17,"&lt;&gt;0"),"")</f>
        <v>11000</v>
      </c>
      <c r="AB17" s="17" t="n">
        <f aca="false">IFERROR(AVERAGEIF(S17:W17,"&lt;&gt;0"),"")</f>
        <v>11000</v>
      </c>
      <c r="AC17" s="17" t="str">
        <f aca="false">IFERROR(AVERAGEIF(X17:X17,"&lt;&gt;0"),"")</f>
        <v/>
      </c>
      <c r="AD17" s="17" t="n">
        <f aca="false">IFERROR(AVERAGEIF(D17:X17,"&lt;&gt;0"),"")</f>
        <v>11000</v>
      </c>
    </row>
    <row r="18" customFormat="false" ht="15" hidden="false" customHeight="true" outlineLevel="0" collapsed="false">
      <c r="A18" s="5" t="n">
        <v>14</v>
      </c>
      <c r="B18" s="6" t="s">
        <v>339</v>
      </c>
      <c r="C18" s="5" t="s">
        <v>407</v>
      </c>
      <c r="D18" s="37" t="n">
        <v>34000</v>
      </c>
      <c r="E18" s="37" t="n">
        <v>34000</v>
      </c>
      <c r="F18" s="37" t="n">
        <v>34000</v>
      </c>
      <c r="G18" s="37" t="n">
        <v>34000</v>
      </c>
      <c r="H18" s="37" t="n">
        <v>34000</v>
      </c>
      <c r="I18" s="37" t="n">
        <v>34000</v>
      </c>
      <c r="J18" s="37" t="n">
        <v>34000</v>
      </c>
      <c r="K18" s="37" t="n">
        <v>34000</v>
      </c>
      <c r="L18" s="37" t="n">
        <v>34000</v>
      </c>
      <c r="M18" s="37" t="n">
        <v>34000</v>
      </c>
      <c r="N18" s="37" t="n">
        <v>0</v>
      </c>
      <c r="O18" s="37" t="n">
        <v>34000</v>
      </c>
      <c r="P18" s="37" t="n">
        <v>36000</v>
      </c>
      <c r="Q18" s="37" t="n">
        <v>36000</v>
      </c>
      <c r="R18" s="37" t="n">
        <v>36000</v>
      </c>
      <c r="S18" s="37" t="n">
        <v>36000</v>
      </c>
      <c r="T18" s="37" t="n">
        <v>0</v>
      </c>
      <c r="U18" s="37" t="n">
        <v>36000</v>
      </c>
      <c r="V18" s="37" t="n">
        <v>36000</v>
      </c>
      <c r="W18" s="37" t="n">
        <v>36000</v>
      </c>
      <c r="X18" s="37" t="n">
        <v>0</v>
      </c>
      <c r="Y18" s="17" t="n">
        <f aca="false">IFERROR(AVERAGEIF(D18:H18,"&lt;&gt;0"),"")</f>
        <v>34000</v>
      </c>
      <c r="Z18" s="17" t="n">
        <f aca="false">IFERROR(AVERAGEIF(I18:M18,"&lt;&gt;0"),"")</f>
        <v>34000</v>
      </c>
      <c r="AA18" s="17" t="n">
        <f aca="false">IFERROR(AVERAGEIF(N18:R18,"&lt;&gt;0"),"")</f>
        <v>35500</v>
      </c>
      <c r="AB18" s="17" t="n">
        <f aca="false">IFERROR(AVERAGEIF(S18:W18,"&lt;&gt;0"),"")</f>
        <v>36000</v>
      </c>
      <c r="AC18" s="17" t="str">
        <f aca="false">IFERROR(AVERAGEIF(X18:X18,"&lt;&gt;0"),"")</f>
        <v/>
      </c>
      <c r="AD18" s="17" t="n">
        <f aca="false">IFERROR(AVERAGEIF(D18:X18,"&lt;&gt;0"),"")</f>
        <v>34777.7777777778</v>
      </c>
    </row>
    <row r="19" customFormat="false" ht="15" hidden="false" customHeight="true" outlineLevel="0" collapsed="false">
      <c r="A19" s="5" t="n">
        <v>15</v>
      </c>
      <c r="B19" s="6" t="s">
        <v>348</v>
      </c>
      <c r="C19" s="5" t="s">
        <v>407</v>
      </c>
      <c r="D19" s="37" t="n">
        <v>22500</v>
      </c>
      <c r="E19" s="37" t="n">
        <v>22500</v>
      </c>
      <c r="F19" s="37" t="n">
        <v>22000</v>
      </c>
      <c r="G19" s="37" t="n">
        <v>22000</v>
      </c>
      <c r="H19" s="37" t="n">
        <v>22000</v>
      </c>
      <c r="I19" s="37" t="n">
        <v>22000</v>
      </c>
      <c r="J19" s="37" t="n">
        <v>22000</v>
      </c>
      <c r="K19" s="37" t="n">
        <v>22000</v>
      </c>
      <c r="L19" s="37" t="n">
        <v>22000</v>
      </c>
      <c r="M19" s="37" t="n">
        <v>22000</v>
      </c>
      <c r="N19" s="37" t="n">
        <v>0</v>
      </c>
      <c r="O19" s="37" t="n">
        <v>22000</v>
      </c>
      <c r="P19" s="37" t="n">
        <v>22000</v>
      </c>
      <c r="Q19" s="37" t="n">
        <v>22000</v>
      </c>
      <c r="R19" s="37" t="n">
        <v>22000</v>
      </c>
      <c r="S19" s="37" t="n">
        <v>22000</v>
      </c>
      <c r="T19" s="37" t="n">
        <v>0</v>
      </c>
      <c r="U19" s="37" t="n">
        <v>23000</v>
      </c>
      <c r="V19" s="37" t="n">
        <v>23000</v>
      </c>
      <c r="W19" s="37" t="n">
        <v>23000</v>
      </c>
      <c r="X19" s="37" t="n">
        <v>0</v>
      </c>
      <c r="Y19" s="17" t="n">
        <f aca="false">IFERROR(AVERAGEIF(D19:H19,"&lt;&gt;0"),"")</f>
        <v>22200</v>
      </c>
      <c r="Z19" s="17" t="n">
        <f aca="false">IFERROR(AVERAGEIF(I19:M19,"&lt;&gt;0"),"")</f>
        <v>22000</v>
      </c>
      <c r="AA19" s="17" t="n">
        <f aca="false">IFERROR(AVERAGEIF(N19:R19,"&lt;&gt;0"),"")</f>
        <v>22000</v>
      </c>
      <c r="AB19" s="17" t="n">
        <f aca="false">IFERROR(AVERAGEIF(S19:W19,"&lt;&gt;0"),"")</f>
        <v>22750</v>
      </c>
      <c r="AC19" s="17" t="str">
        <f aca="false">IFERROR(AVERAGEIF(X19:X19,"&lt;&gt;0"),"")</f>
        <v/>
      </c>
      <c r="AD19" s="17" t="n">
        <f aca="false">IFERROR(AVERAGEIF(D19:X19,"&lt;&gt;0"),"")</f>
        <v>22222.2222222222</v>
      </c>
    </row>
    <row r="20" customFormat="false" ht="15" hidden="false" customHeight="true" outlineLevel="0" collapsed="false">
      <c r="A20" s="5" t="n">
        <v>16</v>
      </c>
      <c r="B20" s="6" t="s">
        <v>362</v>
      </c>
      <c r="C20" s="5" t="s">
        <v>407</v>
      </c>
      <c r="D20" s="37" t="n">
        <v>120000</v>
      </c>
      <c r="E20" s="37" t="n">
        <v>120000</v>
      </c>
      <c r="F20" s="37" t="n">
        <v>120000</v>
      </c>
      <c r="G20" s="37" t="n">
        <v>120000</v>
      </c>
      <c r="H20" s="37" t="n">
        <v>120000</v>
      </c>
      <c r="I20" s="37" t="n">
        <v>120000</v>
      </c>
      <c r="J20" s="37" t="n">
        <v>120000</v>
      </c>
      <c r="K20" s="37" t="n">
        <v>120000</v>
      </c>
      <c r="L20" s="37" t="n">
        <v>120000</v>
      </c>
      <c r="M20" s="37" t="n">
        <v>120000</v>
      </c>
      <c r="N20" s="37" t="n">
        <v>0</v>
      </c>
      <c r="O20" s="37" t="n">
        <v>120000</v>
      </c>
      <c r="P20" s="37" t="n">
        <v>120000</v>
      </c>
      <c r="Q20" s="37" t="n">
        <v>120000</v>
      </c>
      <c r="R20" s="37" t="n">
        <v>120000</v>
      </c>
      <c r="S20" s="37" t="n">
        <v>120000</v>
      </c>
      <c r="T20" s="37" t="n">
        <v>0</v>
      </c>
      <c r="U20" s="37" t="n">
        <v>120000</v>
      </c>
      <c r="V20" s="37" t="n">
        <v>120000</v>
      </c>
      <c r="W20" s="37" t="n">
        <v>120000</v>
      </c>
      <c r="X20" s="37" t="n">
        <v>0</v>
      </c>
      <c r="Y20" s="17" t="n">
        <f aca="false">IFERROR(AVERAGEIF(D20:H20,"&lt;&gt;0"),"")</f>
        <v>120000</v>
      </c>
      <c r="Z20" s="17" t="n">
        <f aca="false">IFERROR(AVERAGEIF(I20:M20,"&lt;&gt;0"),"")</f>
        <v>120000</v>
      </c>
      <c r="AA20" s="17" t="n">
        <f aca="false">IFERROR(AVERAGEIF(N20:R20,"&lt;&gt;0"),"")</f>
        <v>120000</v>
      </c>
      <c r="AB20" s="17" t="n">
        <f aca="false">IFERROR(AVERAGEIF(S20:W20,"&lt;&gt;0"),"")</f>
        <v>120000</v>
      </c>
      <c r="AC20" s="17" t="str">
        <f aca="false">IFERROR(AVERAGEIF(X20:X20,"&lt;&gt;0"),"")</f>
        <v/>
      </c>
      <c r="AD20" s="17" t="n">
        <f aca="false">IFERROR(AVERAGEIF(D20:X20,"&lt;&gt;0"),"")</f>
        <v>120000</v>
      </c>
    </row>
    <row r="21" customFormat="false" ht="15" hidden="false" customHeight="true" outlineLevel="0" collapsed="false">
      <c r="A21" s="5" t="n">
        <v>17</v>
      </c>
      <c r="B21" s="6" t="s">
        <v>363</v>
      </c>
      <c r="C21" s="5" t="s">
        <v>407</v>
      </c>
      <c r="D21" s="37" t="n">
        <v>70000</v>
      </c>
      <c r="E21" s="37" t="n">
        <v>70000</v>
      </c>
      <c r="F21" s="37" t="n">
        <v>70000</v>
      </c>
      <c r="G21" s="37" t="n">
        <v>70000</v>
      </c>
      <c r="H21" s="37" t="n">
        <v>70000</v>
      </c>
      <c r="I21" s="37" t="n">
        <v>70000</v>
      </c>
      <c r="J21" s="37" t="n">
        <v>70000</v>
      </c>
      <c r="K21" s="37" t="n">
        <v>70000</v>
      </c>
      <c r="L21" s="37" t="n">
        <v>70000</v>
      </c>
      <c r="M21" s="37" t="n">
        <v>70000</v>
      </c>
      <c r="N21" s="37" t="n">
        <v>0</v>
      </c>
      <c r="O21" s="37" t="n">
        <v>70000</v>
      </c>
      <c r="P21" s="37" t="n">
        <v>70000</v>
      </c>
      <c r="Q21" s="37" t="n">
        <v>70000</v>
      </c>
      <c r="R21" s="37" t="n">
        <v>70000</v>
      </c>
      <c r="S21" s="37" t="n">
        <v>70000</v>
      </c>
      <c r="T21" s="37" t="n">
        <v>0</v>
      </c>
      <c r="U21" s="37" t="n">
        <v>70000</v>
      </c>
      <c r="V21" s="37" t="n">
        <v>70000</v>
      </c>
      <c r="W21" s="37" t="n">
        <v>70000</v>
      </c>
      <c r="X21" s="37" t="n">
        <v>0</v>
      </c>
      <c r="Y21" s="17" t="n">
        <f aca="false">IFERROR(AVERAGEIF(D21:H21,"&lt;&gt;0"),"")</f>
        <v>70000</v>
      </c>
      <c r="Z21" s="17" t="n">
        <f aca="false">IFERROR(AVERAGEIF(I21:M21,"&lt;&gt;0"),"")</f>
        <v>70000</v>
      </c>
      <c r="AA21" s="17" t="n">
        <f aca="false">IFERROR(AVERAGEIF(N21:R21,"&lt;&gt;0"),"")</f>
        <v>70000</v>
      </c>
      <c r="AB21" s="17" t="n">
        <f aca="false">IFERROR(AVERAGEIF(S21:W21,"&lt;&gt;0"),"")</f>
        <v>70000</v>
      </c>
      <c r="AC21" s="17" t="str">
        <f aca="false">IFERROR(AVERAGEIF(X21:X21,"&lt;&gt;0"),"")</f>
        <v/>
      </c>
      <c r="AD21" s="17" t="n">
        <f aca="false">IFERROR(AVERAGEIF(D21:X21,"&lt;&gt;0"),"")</f>
        <v>70000</v>
      </c>
    </row>
    <row r="22" customFormat="false" ht="15" hidden="false" customHeight="true" outlineLevel="0" collapsed="false">
      <c r="A22" s="5" t="n">
        <v>18</v>
      </c>
      <c r="B22" s="6" t="s">
        <v>364</v>
      </c>
      <c r="C22" s="5" t="s">
        <v>407</v>
      </c>
      <c r="D22" s="37" t="n">
        <v>80000</v>
      </c>
      <c r="E22" s="37" t="n">
        <v>80000</v>
      </c>
      <c r="F22" s="37" t="n">
        <v>80000</v>
      </c>
      <c r="G22" s="37" t="n">
        <v>80000</v>
      </c>
      <c r="H22" s="37" t="n">
        <v>80000</v>
      </c>
      <c r="I22" s="37" t="n">
        <v>80000</v>
      </c>
      <c r="J22" s="37" t="n">
        <v>80000</v>
      </c>
      <c r="K22" s="37" t="n">
        <v>80000</v>
      </c>
      <c r="L22" s="37" t="n">
        <v>80000</v>
      </c>
      <c r="M22" s="37" t="n">
        <v>80000</v>
      </c>
      <c r="N22" s="37" t="n">
        <v>0</v>
      </c>
      <c r="O22" s="37" t="n">
        <v>80000</v>
      </c>
      <c r="P22" s="37" t="n">
        <v>80000</v>
      </c>
      <c r="Q22" s="37" t="n">
        <v>80000</v>
      </c>
      <c r="R22" s="37" t="n">
        <v>80000</v>
      </c>
      <c r="S22" s="37" t="n">
        <v>80000</v>
      </c>
      <c r="T22" s="37" t="n">
        <v>0</v>
      </c>
      <c r="U22" s="37" t="n">
        <v>80000</v>
      </c>
      <c r="V22" s="37" t="n">
        <v>80000</v>
      </c>
      <c r="W22" s="37" t="n">
        <v>80000</v>
      </c>
      <c r="X22" s="37" t="n">
        <v>0</v>
      </c>
      <c r="Y22" s="17" t="n">
        <f aca="false">IFERROR(AVERAGEIF(D22:H22,"&lt;&gt;0"),"")</f>
        <v>80000</v>
      </c>
      <c r="Z22" s="17" t="n">
        <f aca="false">IFERROR(AVERAGEIF(I22:M22,"&lt;&gt;0"),"")</f>
        <v>80000</v>
      </c>
      <c r="AA22" s="17" t="n">
        <f aca="false">IFERROR(AVERAGEIF(N22:R22,"&lt;&gt;0"),"")</f>
        <v>80000</v>
      </c>
      <c r="AB22" s="17" t="n">
        <f aca="false">IFERROR(AVERAGEIF(S22:W22,"&lt;&gt;0"),"")</f>
        <v>80000</v>
      </c>
      <c r="AC22" s="17" t="str">
        <f aca="false">IFERROR(AVERAGEIF(X22:X22,"&lt;&gt;0"),"")</f>
        <v/>
      </c>
      <c r="AD22" s="17" t="n">
        <f aca="false">IFERROR(AVERAGEIF(D22:X22,"&lt;&gt;0"),"")</f>
        <v>80000</v>
      </c>
    </row>
    <row r="23" customFormat="false" ht="15" hidden="false" customHeight="true" outlineLevel="0" collapsed="false">
      <c r="A23" s="5" t="n">
        <v>19</v>
      </c>
      <c r="B23" s="6" t="s">
        <v>409</v>
      </c>
      <c r="C23" s="5" t="s">
        <v>407</v>
      </c>
      <c r="D23" s="37" t="n">
        <v>35000</v>
      </c>
      <c r="E23" s="37" t="n">
        <v>35000</v>
      </c>
      <c r="F23" s="37" t="n">
        <v>35000</v>
      </c>
      <c r="G23" s="37" t="n">
        <v>35000</v>
      </c>
      <c r="H23" s="37" t="n">
        <v>35000</v>
      </c>
      <c r="I23" s="37" t="n">
        <v>35000</v>
      </c>
      <c r="J23" s="37" t="n">
        <v>35000</v>
      </c>
      <c r="K23" s="37" t="n">
        <v>35000</v>
      </c>
      <c r="L23" s="37" t="n">
        <v>35000</v>
      </c>
      <c r="M23" s="37" t="n">
        <v>35000</v>
      </c>
      <c r="N23" s="37" t="n">
        <v>0</v>
      </c>
      <c r="O23" s="37" t="n">
        <v>35000</v>
      </c>
      <c r="P23" s="37" t="n">
        <v>35000</v>
      </c>
      <c r="Q23" s="37" t="n">
        <v>35000</v>
      </c>
      <c r="R23" s="37" t="n">
        <v>35000</v>
      </c>
      <c r="S23" s="37" t="n">
        <v>35000</v>
      </c>
      <c r="T23" s="37" t="n">
        <v>0</v>
      </c>
      <c r="U23" s="37" t="n">
        <v>35000</v>
      </c>
      <c r="V23" s="37" t="n">
        <v>35000</v>
      </c>
      <c r="W23" s="37" t="n">
        <v>35000</v>
      </c>
      <c r="X23" s="37" t="n">
        <v>0</v>
      </c>
      <c r="Y23" s="17" t="n">
        <f aca="false">IFERROR(AVERAGEIF(D23:H23,"&lt;&gt;0"),"")</f>
        <v>35000</v>
      </c>
      <c r="Z23" s="17" t="n">
        <f aca="false">IFERROR(AVERAGEIF(I23:M23,"&lt;&gt;0"),"")</f>
        <v>35000</v>
      </c>
      <c r="AA23" s="17" t="n">
        <f aca="false">IFERROR(AVERAGEIF(N23:R23,"&lt;&gt;0"),"")</f>
        <v>35000</v>
      </c>
      <c r="AB23" s="17" t="n">
        <f aca="false">IFERROR(AVERAGEIF(S23:W23,"&lt;&gt;0"),"")</f>
        <v>35000</v>
      </c>
      <c r="AC23" s="17" t="str">
        <f aca="false">IFERROR(AVERAGEIF(X23:X23,"&lt;&gt;0"),"")</f>
        <v/>
      </c>
      <c r="AD23" s="17" t="n">
        <f aca="false">IFERROR(AVERAGEIF(D23:X23,"&lt;&gt;0"),"")</f>
        <v>35000</v>
      </c>
    </row>
    <row r="24" customFormat="false" ht="15" hidden="false" customHeight="true" outlineLevel="0" collapsed="false">
      <c r="A24" s="5" t="n">
        <v>20</v>
      </c>
      <c r="B24" s="6" t="s">
        <v>350</v>
      </c>
      <c r="C24" s="5" t="s">
        <v>407</v>
      </c>
      <c r="D24" s="37" t="n">
        <v>45000</v>
      </c>
      <c r="E24" s="37" t="n">
        <v>45000</v>
      </c>
      <c r="F24" s="37" t="n">
        <v>45000</v>
      </c>
      <c r="G24" s="37" t="n">
        <v>45000</v>
      </c>
      <c r="H24" s="37" t="n">
        <v>45000</v>
      </c>
      <c r="I24" s="37" t="n">
        <v>45000</v>
      </c>
      <c r="J24" s="37" t="n">
        <v>45000</v>
      </c>
      <c r="K24" s="37" t="n">
        <v>45000</v>
      </c>
      <c r="L24" s="37" t="n">
        <v>45000</v>
      </c>
      <c r="M24" s="37" t="n">
        <v>45000</v>
      </c>
      <c r="N24" s="37" t="n">
        <v>0</v>
      </c>
      <c r="O24" s="37" t="n">
        <v>45000</v>
      </c>
      <c r="P24" s="37" t="n">
        <v>45000</v>
      </c>
      <c r="Q24" s="37" t="n">
        <v>45000</v>
      </c>
      <c r="R24" s="37" t="n">
        <v>45000</v>
      </c>
      <c r="S24" s="37" t="n">
        <v>45000</v>
      </c>
      <c r="T24" s="37" t="n">
        <v>0</v>
      </c>
      <c r="U24" s="37" t="n">
        <v>45000</v>
      </c>
      <c r="V24" s="37" t="n">
        <v>45000</v>
      </c>
      <c r="W24" s="37" t="n">
        <v>45000</v>
      </c>
      <c r="X24" s="37" t="n">
        <v>0</v>
      </c>
      <c r="Y24" s="17" t="n">
        <f aca="false">IFERROR(AVERAGEIF(D24:H24,"&lt;&gt;0"),"")</f>
        <v>45000</v>
      </c>
      <c r="Z24" s="17" t="n">
        <f aca="false">IFERROR(AVERAGEIF(I24:M24,"&lt;&gt;0"),"")</f>
        <v>45000</v>
      </c>
      <c r="AA24" s="17" t="n">
        <f aca="false">IFERROR(AVERAGEIF(N24:R24,"&lt;&gt;0"),"")</f>
        <v>45000</v>
      </c>
      <c r="AB24" s="17" t="n">
        <f aca="false">IFERROR(AVERAGEIF(S24:W24,"&lt;&gt;0"),"")</f>
        <v>45000</v>
      </c>
      <c r="AC24" s="17" t="str">
        <f aca="false">IFERROR(AVERAGEIF(X24:X24,"&lt;&gt;0"),"")</f>
        <v/>
      </c>
      <c r="AD24" s="17" t="n">
        <f aca="false">IFERROR(AVERAGEIF(D24:X24,"&lt;&gt;0"),"")</f>
        <v>45000</v>
      </c>
    </row>
    <row r="25" customFormat="false" ht="15" hidden="false" customHeight="true" outlineLevel="0" collapsed="false">
      <c r="A25" s="5" t="n">
        <v>21</v>
      </c>
      <c r="B25" s="6" t="s">
        <v>410</v>
      </c>
      <c r="C25" s="5" t="s">
        <v>407</v>
      </c>
      <c r="D25" s="37" t="n">
        <v>80000</v>
      </c>
      <c r="E25" s="37" t="n">
        <v>80000</v>
      </c>
      <c r="F25" s="37" t="n">
        <v>80000</v>
      </c>
      <c r="G25" s="37" t="n">
        <v>80000</v>
      </c>
      <c r="H25" s="37" t="n">
        <v>80000</v>
      </c>
      <c r="I25" s="37" t="n">
        <v>80000</v>
      </c>
      <c r="J25" s="37" t="n">
        <v>80000</v>
      </c>
      <c r="K25" s="37" t="n">
        <v>80000</v>
      </c>
      <c r="L25" s="37" t="n">
        <v>80000</v>
      </c>
      <c r="M25" s="37" t="n">
        <v>80000</v>
      </c>
      <c r="N25" s="37" t="n">
        <v>0</v>
      </c>
      <c r="O25" s="37" t="n">
        <v>80000</v>
      </c>
      <c r="P25" s="37" t="n">
        <v>80000</v>
      </c>
      <c r="Q25" s="37" t="n">
        <v>80000</v>
      </c>
      <c r="R25" s="37" t="n">
        <v>80000</v>
      </c>
      <c r="S25" s="37" t="n">
        <v>80000</v>
      </c>
      <c r="T25" s="37" t="n">
        <v>0</v>
      </c>
      <c r="U25" s="37" t="n">
        <v>80000</v>
      </c>
      <c r="V25" s="37" t="n">
        <v>80000</v>
      </c>
      <c r="W25" s="37" t="n">
        <v>80000</v>
      </c>
      <c r="X25" s="37" t="n">
        <v>0</v>
      </c>
      <c r="Y25" s="17" t="n">
        <f aca="false">IFERROR(AVERAGEIF(D25:H25,"&lt;&gt;0"),"")</f>
        <v>80000</v>
      </c>
      <c r="Z25" s="17" t="n">
        <f aca="false">IFERROR(AVERAGEIF(I25:M25,"&lt;&gt;0"),"")</f>
        <v>80000</v>
      </c>
      <c r="AA25" s="17" t="n">
        <f aca="false">IFERROR(AVERAGEIF(N25:R25,"&lt;&gt;0"),"")</f>
        <v>80000</v>
      </c>
      <c r="AB25" s="17" t="n">
        <f aca="false">IFERROR(AVERAGEIF(S25:W25,"&lt;&gt;0"),"")</f>
        <v>80000</v>
      </c>
      <c r="AC25" s="17" t="str">
        <f aca="false">IFERROR(AVERAGEIF(X25:X25,"&lt;&gt;0"),"")</f>
        <v/>
      </c>
      <c r="AD25" s="17" t="n">
        <f aca="false">IFERROR(AVERAGEIF(D25:X25,"&lt;&gt;0"),"")</f>
        <v>80000</v>
      </c>
    </row>
    <row r="26" customFormat="false" ht="21.75" hidden="false" customHeight="true" outlineLevel="0" collapsed="false">
      <c r="A26" s="5" t="n">
        <v>22</v>
      </c>
      <c r="B26" s="6" t="s">
        <v>357</v>
      </c>
      <c r="C26" s="5" t="s">
        <v>454</v>
      </c>
      <c r="D26" s="37" t="n">
        <v>2800</v>
      </c>
      <c r="E26" s="37" t="n">
        <v>2800</v>
      </c>
      <c r="F26" s="37" t="n">
        <v>2800</v>
      </c>
      <c r="G26" s="37" t="n">
        <v>2800</v>
      </c>
      <c r="H26" s="37" t="n">
        <v>2800</v>
      </c>
      <c r="I26" s="37" t="n">
        <v>2800</v>
      </c>
      <c r="J26" s="37" t="n">
        <v>2800</v>
      </c>
      <c r="K26" s="37" t="n">
        <v>2800</v>
      </c>
      <c r="L26" s="37" t="n">
        <v>2800</v>
      </c>
      <c r="M26" s="37" t="n">
        <v>2800</v>
      </c>
      <c r="N26" s="37" t="n">
        <v>0</v>
      </c>
      <c r="O26" s="37" t="n">
        <v>2800</v>
      </c>
      <c r="P26" s="37" t="n">
        <v>2800</v>
      </c>
      <c r="Q26" s="37" t="n">
        <v>2800</v>
      </c>
      <c r="R26" s="37" t="n">
        <v>2800</v>
      </c>
      <c r="S26" s="37" t="n">
        <v>2800</v>
      </c>
      <c r="T26" s="37" t="n">
        <v>0</v>
      </c>
      <c r="U26" s="37" t="n">
        <v>2800</v>
      </c>
      <c r="V26" s="37" t="n">
        <v>2800</v>
      </c>
      <c r="W26" s="37" t="n">
        <v>2800</v>
      </c>
      <c r="X26" s="37" t="n">
        <v>0</v>
      </c>
      <c r="Y26" s="17" t="n">
        <f aca="false">IFERROR(AVERAGEIF(D26:H26,"&lt;&gt;0"),"")</f>
        <v>2800</v>
      </c>
      <c r="Z26" s="17" t="n">
        <f aca="false">IFERROR(AVERAGEIF(I26:M26,"&lt;&gt;0"),"")</f>
        <v>2800</v>
      </c>
      <c r="AA26" s="17" t="n">
        <f aca="false">IFERROR(AVERAGEIF(N26:R26,"&lt;&gt;0"),"")</f>
        <v>2800</v>
      </c>
      <c r="AB26" s="17" t="n">
        <f aca="false">IFERROR(AVERAGEIF(S26:W26,"&lt;&gt;0"),"")</f>
        <v>2800</v>
      </c>
      <c r="AC26" s="17" t="str">
        <f aca="false">IFERROR(AVERAGEIF(X26:X26,"&lt;&gt;0"),"")</f>
        <v/>
      </c>
      <c r="AD26" s="17" t="n">
        <f aca="false">IFERROR(AVERAGEIF(D26:X26,"&lt;&gt;0"),"")</f>
        <v>2800</v>
      </c>
    </row>
    <row r="27" customFormat="false" ht="15" hidden="false" customHeight="true" outlineLevel="0" collapsed="false">
      <c r="A27" s="5" t="n">
        <v>23</v>
      </c>
      <c r="B27" s="6" t="s">
        <v>355</v>
      </c>
      <c r="C27" s="5" t="s">
        <v>407</v>
      </c>
      <c r="D27" s="37" t="n">
        <v>32000</v>
      </c>
      <c r="E27" s="37" t="n">
        <v>32000</v>
      </c>
      <c r="F27" s="37" t="n">
        <v>30000</v>
      </c>
      <c r="G27" s="37" t="n">
        <v>30000</v>
      </c>
      <c r="H27" s="37" t="n">
        <v>30000</v>
      </c>
      <c r="I27" s="37" t="n">
        <v>30000</v>
      </c>
      <c r="J27" s="37" t="n">
        <v>30000</v>
      </c>
      <c r="K27" s="37" t="n">
        <v>30000</v>
      </c>
      <c r="L27" s="37" t="n">
        <v>30000</v>
      </c>
      <c r="M27" s="37" t="n">
        <v>30000</v>
      </c>
      <c r="N27" s="37" t="n">
        <v>0</v>
      </c>
      <c r="O27" s="37" t="n">
        <v>30000</v>
      </c>
      <c r="P27" s="37" t="n">
        <v>30000</v>
      </c>
      <c r="Q27" s="37" t="n">
        <v>30000</v>
      </c>
      <c r="R27" s="37" t="n">
        <v>30000</v>
      </c>
      <c r="S27" s="37" t="n">
        <v>30000</v>
      </c>
      <c r="T27" s="37" t="n">
        <v>0</v>
      </c>
      <c r="U27" s="37" t="n">
        <v>30000</v>
      </c>
      <c r="V27" s="37" t="n">
        <v>30000</v>
      </c>
      <c r="W27" s="37" t="n">
        <v>30000</v>
      </c>
      <c r="X27" s="37" t="n">
        <v>0</v>
      </c>
      <c r="Y27" s="17" t="n">
        <f aca="false">IFERROR(AVERAGEIF(D27:H27,"&lt;&gt;0"),"")</f>
        <v>30800</v>
      </c>
      <c r="Z27" s="17" t="n">
        <f aca="false">IFERROR(AVERAGEIF(I27:M27,"&lt;&gt;0"),"")</f>
        <v>30000</v>
      </c>
      <c r="AA27" s="17" t="n">
        <f aca="false">IFERROR(AVERAGEIF(N27:R27,"&lt;&gt;0"),"")</f>
        <v>30000</v>
      </c>
      <c r="AB27" s="17" t="n">
        <f aca="false">IFERROR(AVERAGEIF(S27:W27,"&lt;&gt;0"),"")</f>
        <v>30000</v>
      </c>
      <c r="AC27" s="17" t="str">
        <f aca="false">IFERROR(AVERAGEIF(X27:X27,"&lt;&gt;0"),"")</f>
        <v/>
      </c>
      <c r="AD27" s="17" t="n">
        <f aca="false">IFERROR(AVERAGEIF(D27:X27,"&lt;&gt;0"),"")</f>
        <v>30222.2222222222</v>
      </c>
    </row>
    <row r="28" customFormat="false" ht="15" hidden="false" customHeight="true" outlineLevel="0" collapsed="false">
      <c r="A28" s="5" t="n">
        <v>24</v>
      </c>
      <c r="B28" s="6" t="s">
        <v>356</v>
      </c>
      <c r="C28" s="5" t="s">
        <v>407</v>
      </c>
      <c r="D28" s="37" t="n">
        <v>38000</v>
      </c>
      <c r="E28" s="37" t="n">
        <v>38000</v>
      </c>
      <c r="F28" s="37" t="n">
        <v>38000</v>
      </c>
      <c r="G28" s="37" t="n">
        <v>38000</v>
      </c>
      <c r="H28" s="37" t="n">
        <v>38000</v>
      </c>
      <c r="I28" s="37" t="n">
        <v>38000</v>
      </c>
      <c r="J28" s="37" t="n">
        <v>38000</v>
      </c>
      <c r="K28" s="37" t="n">
        <v>38000</v>
      </c>
      <c r="L28" s="37" t="n">
        <v>38000</v>
      </c>
      <c r="M28" s="37" t="n">
        <v>38000</v>
      </c>
      <c r="N28" s="37" t="n">
        <v>0</v>
      </c>
      <c r="O28" s="37" t="n">
        <v>38000</v>
      </c>
      <c r="P28" s="37" t="n">
        <v>38000</v>
      </c>
      <c r="Q28" s="37" t="n">
        <v>38000</v>
      </c>
      <c r="R28" s="37" t="n">
        <v>38000</v>
      </c>
      <c r="S28" s="37" t="n">
        <v>38000</v>
      </c>
      <c r="T28" s="37" t="n">
        <v>0</v>
      </c>
      <c r="U28" s="37" t="n">
        <v>38000</v>
      </c>
      <c r="V28" s="37" t="n">
        <v>38000</v>
      </c>
      <c r="W28" s="37" t="n">
        <v>38000</v>
      </c>
      <c r="X28" s="37" t="n">
        <v>0</v>
      </c>
      <c r="Y28" s="17" t="n">
        <f aca="false">IFERROR(AVERAGEIF(D28:H28,"&lt;&gt;0"),"")</f>
        <v>38000</v>
      </c>
      <c r="Z28" s="17" t="n">
        <f aca="false">IFERROR(AVERAGEIF(I28:M28,"&lt;&gt;0"),"")</f>
        <v>38000</v>
      </c>
      <c r="AA28" s="17" t="n">
        <f aca="false">IFERROR(AVERAGEIF(N28:R28,"&lt;&gt;0"),"")</f>
        <v>38000</v>
      </c>
      <c r="AB28" s="17" t="n">
        <f aca="false">IFERROR(AVERAGEIF(S28:W28,"&lt;&gt;0"),"")</f>
        <v>38000</v>
      </c>
      <c r="AC28" s="17" t="str">
        <f aca="false">IFERROR(AVERAGEIF(X28:X28,"&lt;&gt;0"),"")</f>
        <v/>
      </c>
      <c r="AD28" s="17" t="n">
        <f aca="false">IFERROR(AVERAGEIF(D28:X28,"&lt;&gt;0"),"")</f>
        <v>38000</v>
      </c>
    </row>
    <row r="29" customFormat="false" ht="15" hidden="false" customHeight="true" outlineLevel="0" collapsed="false">
      <c r="A29" s="5" t="n">
        <v>25</v>
      </c>
      <c r="B29" s="6" t="s">
        <v>411</v>
      </c>
      <c r="C29" s="5" t="s">
        <v>407</v>
      </c>
      <c r="D29" s="37" t="n">
        <v>30000</v>
      </c>
      <c r="E29" s="37" t="n">
        <v>30000</v>
      </c>
      <c r="F29" s="37" t="n">
        <v>30000</v>
      </c>
      <c r="G29" s="37" t="n">
        <v>30000</v>
      </c>
      <c r="H29" s="37" t="n">
        <v>30000</v>
      </c>
      <c r="I29" s="37" t="n">
        <v>30000</v>
      </c>
      <c r="J29" s="37" t="n">
        <v>30000</v>
      </c>
      <c r="K29" s="37" t="n">
        <v>30000</v>
      </c>
      <c r="L29" s="37" t="n">
        <v>30000</v>
      </c>
      <c r="M29" s="37" t="n">
        <v>30000</v>
      </c>
      <c r="N29" s="37" t="n">
        <v>0</v>
      </c>
      <c r="O29" s="37" t="n">
        <v>30000</v>
      </c>
      <c r="P29" s="37" t="n">
        <v>30000</v>
      </c>
      <c r="Q29" s="37" t="n">
        <v>30000</v>
      </c>
      <c r="R29" s="37" t="n">
        <v>30000</v>
      </c>
      <c r="S29" s="37" t="n">
        <v>30000</v>
      </c>
      <c r="T29" s="37" t="n">
        <v>0</v>
      </c>
      <c r="U29" s="37" t="n">
        <v>30000</v>
      </c>
      <c r="V29" s="37" t="n">
        <v>30000</v>
      </c>
      <c r="W29" s="37" t="n">
        <v>30000</v>
      </c>
      <c r="X29" s="37" t="n">
        <v>0</v>
      </c>
      <c r="Y29" s="17" t="n">
        <f aca="false">IFERROR(AVERAGEIF(D29:H29,"&lt;&gt;0"),"")</f>
        <v>30000</v>
      </c>
      <c r="Z29" s="17" t="n">
        <f aca="false">IFERROR(AVERAGEIF(I29:M29,"&lt;&gt;0"),"")</f>
        <v>30000</v>
      </c>
      <c r="AA29" s="17" t="n">
        <f aca="false">IFERROR(AVERAGEIF(N29:R29,"&lt;&gt;0"),"")</f>
        <v>30000</v>
      </c>
      <c r="AB29" s="17" t="n">
        <f aca="false">IFERROR(AVERAGEIF(S29:W29,"&lt;&gt;0"),"")</f>
        <v>30000</v>
      </c>
      <c r="AC29" s="17" t="str">
        <f aca="false">IFERROR(AVERAGEIF(X29:X29,"&lt;&gt;0"),"")</f>
        <v/>
      </c>
      <c r="AD29" s="17" t="n">
        <f aca="false">IFERROR(AVERAGEIF(D29:X29,"&lt;&gt;0"),"")</f>
        <v>30000</v>
      </c>
    </row>
    <row r="30" customFormat="false" ht="15" hidden="false" customHeight="true" outlineLevel="0" collapsed="false">
      <c r="A30" s="5" t="n">
        <v>26</v>
      </c>
      <c r="B30" s="6" t="s">
        <v>412</v>
      </c>
      <c r="C30" s="5" t="s">
        <v>407</v>
      </c>
      <c r="D30" s="37" t="n">
        <v>8000</v>
      </c>
      <c r="E30" s="37" t="n">
        <v>8000</v>
      </c>
      <c r="F30" s="37" t="n">
        <v>8000</v>
      </c>
      <c r="G30" s="37" t="n">
        <v>8000</v>
      </c>
      <c r="H30" s="37" t="n">
        <v>8000</v>
      </c>
      <c r="I30" s="37" t="n">
        <v>8000</v>
      </c>
      <c r="J30" s="37" t="n">
        <v>8000</v>
      </c>
      <c r="K30" s="37" t="n">
        <v>8000</v>
      </c>
      <c r="L30" s="37" t="n">
        <v>8000</v>
      </c>
      <c r="M30" s="37" t="n">
        <v>8000</v>
      </c>
      <c r="N30" s="37" t="n">
        <v>0</v>
      </c>
      <c r="O30" s="37" t="n">
        <v>8000</v>
      </c>
      <c r="P30" s="37" t="n">
        <v>8000</v>
      </c>
      <c r="Q30" s="37" t="n">
        <v>8000</v>
      </c>
      <c r="R30" s="37" t="n">
        <v>8000</v>
      </c>
      <c r="S30" s="37" t="n">
        <v>8000</v>
      </c>
      <c r="T30" s="37" t="n">
        <v>0</v>
      </c>
      <c r="U30" s="37" t="n">
        <v>8000</v>
      </c>
      <c r="V30" s="37" t="n">
        <v>8000</v>
      </c>
      <c r="W30" s="37" t="n">
        <v>8000</v>
      </c>
      <c r="X30" s="37" t="n">
        <v>0</v>
      </c>
      <c r="Y30" s="17" t="n">
        <f aca="false">IFERROR(AVERAGEIF(D30:H30,"&lt;&gt;0"),"")</f>
        <v>8000</v>
      </c>
      <c r="Z30" s="17" t="n">
        <f aca="false">IFERROR(AVERAGEIF(I30:M30,"&lt;&gt;0"),"")</f>
        <v>8000</v>
      </c>
      <c r="AA30" s="17" t="n">
        <f aca="false">IFERROR(AVERAGEIF(N30:R30,"&lt;&gt;0"),"")</f>
        <v>8000</v>
      </c>
      <c r="AB30" s="17" t="n">
        <f aca="false">IFERROR(AVERAGEIF(S30:W30,"&lt;&gt;0"),"")</f>
        <v>8000</v>
      </c>
      <c r="AC30" s="17" t="str">
        <f aca="false">IFERROR(AVERAGEIF(X30:X30,"&lt;&gt;0"),"")</f>
        <v/>
      </c>
      <c r="AD30" s="17" t="n">
        <f aca="false">IFERROR(AVERAGEIF(D30:X30,"&lt;&gt;0"),"")</f>
        <v>8000</v>
      </c>
    </row>
    <row r="31" customFormat="false" ht="15" hidden="false" customHeight="true" outlineLevel="0" collapsed="false">
      <c r="A31" s="5" t="n">
        <v>27</v>
      </c>
      <c r="B31" s="6" t="s">
        <v>358</v>
      </c>
      <c r="C31" s="5" t="s">
        <v>455</v>
      </c>
      <c r="D31" s="37" t="n">
        <v>10500</v>
      </c>
      <c r="E31" s="37" t="n">
        <v>10500</v>
      </c>
      <c r="F31" s="37" t="n">
        <v>10500</v>
      </c>
      <c r="G31" s="37" t="n">
        <v>10500</v>
      </c>
      <c r="H31" s="37" t="n">
        <v>10500</v>
      </c>
      <c r="I31" s="37" t="n">
        <v>10500</v>
      </c>
      <c r="J31" s="37" t="n">
        <v>10500</v>
      </c>
      <c r="K31" s="37" t="n">
        <v>10500</v>
      </c>
      <c r="L31" s="37" t="n">
        <v>10500</v>
      </c>
      <c r="M31" s="37" t="n">
        <v>10500</v>
      </c>
      <c r="N31" s="37" t="n">
        <v>0</v>
      </c>
      <c r="O31" s="37" t="n">
        <v>10500</v>
      </c>
      <c r="P31" s="37" t="n">
        <v>10500</v>
      </c>
      <c r="Q31" s="37" t="n">
        <v>10500</v>
      </c>
      <c r="R31" s="37" t="n">
        <v>10500</v>
      </c>
      <c r="S31" s="37" t="n">
        <v>10500</v>
      </c>
      <c r="T31" s="37" t="n">
        <v>0</v>
      </c>
      <c r="U31" s="37" t="n">
        <v>10500</v>
      </c>
      <c r="V31" s="37" t="n">
        <v>10500</v>
      </c>
      <c r="W31" s="37" t="n">
        <v>10500</v>
      </c>
      <c r="X31" s="37" t="n">
        <v>0</v>
      </c>
      <c r="Y31" s="17" t="n">
        <f aca="false">IFERROR(AVERAGEIF(D31:H31,"&lt;&gt;0"),"")</f>
        <v>10500</v>
      </c>
      <c r="Z31" s="17" t="n">
        <f aca="false">IFERROR(AVERAGEIF(I31:M31,"&lt;&gt;0"),"")</f>
        <v>10500</v>
      </c>
      <c r="AA31" s="17" t="n">
        <f aca="false">IFERROR(AVERAGEIF(N31:R31,"&lt;&gt;0"),"")</f>
        <v>10500</v>
      </c>
      <c r="AB31" s="17" t="n">
        <f aca="false">IFERROR(AVERAGEIF(S31:W31,"&lt;&gt;0"),"")</f>
        <v>10500</v>
      </c>
      <c r="AC31" s="17" t="str">
        <f aca="false">IFERROR(AVERAGEIF(X31:X31,"&lt;&gt;0"),"")</f>
        <v/>
      </c>
      <c r="AD31" s="17" t="n">
        <f aca="false">IFERROR(AVERAGEIF(D31:X31,"&lt;&gt;0"),"")</f>
        <v>10500</v>
      </c>
    </row>
    <row r="32" customFormat="false" ht="15" hidden="false" customHeight="true" outlineLevel="0" collapsed="false">
      <c r="A32" s="5" t="n">
        <v>28</v>
      </c>
      <c r="B32" s="6" t="s">
        <v>352</v>
      </c>
      <c r="C32" s="5" t="s">
        <v>456</v>
      </c>
      <c r="D32" s="37" t="n">
        <v>42000</v>
      </c>
      <c r="E32" s="37" t="n">
        <v>42000</v>
      </c>
      <c r="F32" s="37" t="n">
        <v>42000</v>
      </c>
      <c r="G32" s="37" t="n">
        <v>42000</v>
      </c>
      <c r="H32" s="37" t="n">
        <v>42000</v>
      </c>
      <c r="I32" s="37" t="n">
        <v>42000</v>
      </c>
      <c r="J32" s="37" t="n">
        <v>42000</v>
      </c>
      <c r="K32" s="37" t="n">
        <v>42000</v>
      </c>
      <c r="L32" s="37" t="n">
        <v>42000</v>
      </c>
      <c r="M32" s="37" t="n">
        <v>42000</v>
      </c>
      <c r="N32" s="37" t="n">
        <v>0</v>
      </c>
      <c r="O32" s="37" t="n">
        <v>42000</v>
      </c>
      <c r="P32" s="37" t="n">
        <v>42000</v>
      </c>
      <c r="Q32" s="37" t="n">
        <v>42000</v>
      </c>
      <c r="R32" s="37" t="n">
        <v>42000</v>
      </c>
      <c r="S32" s="37" t="n">
        <v>42000</v>
      </c>
      <c r="T32" s="37" t="n">
        <v>0</v>
      </c>
      <c r="U32" s="37" t="n">
        <v>42000</v>
      </c>
      <c r="V32" s="37" t="n">
        <v>42000</v>
      </c>
      <c r="W32" s="37" t="n">
        <v>42000</v>
      </c>
      <c r="X32" s="37" t="n">
        <v>0</v>
      </c>
      <c r="Y32" s="17" t="n">
        <f aca="false">IFERROR(AVERAGEIF(D32:H32,"&lt;&gt;0"),"")</f>
        <v>42000</v>
      </c>
      <c r="Z32" s="17" t="n">
        <f aca="false">IFERROR(AVERAGEIF(I32:M32,"&lt;&gt;0"),"")</f>
        <v>42000</v>
      </c>
      <c r="AA32" s="17" t="n">
        <f aca="false">IFERROR(AVERAGEIF(N32:R32,"&lt;&gt;0"),"")</f>
        <v>42000</v>
      </c>
      <c r="AB32" s="17" t="n">
        <f aca="false">IFERROR(AVERAGEIF(S32:W32,"&lt;&gt;0"),"")</f>
        <v>42000</v>
      </c>
      <c r="AC32" s="17" t="str">
        <f aca="false">IFERROR(AVERAGEIF(X32:X32,"&lt;&gt;0"),"")</f>
        <v/>
      </c>
      <c r="AD32" s="17" t="n">
        <f aca="false">IFERROR(AVERAGEIF(D32:X32,"&lt;&gt;0"),"")</f>
        <v>42000</v>
      </c>
    </row>
    <row r="33" customFormat="false" ht="15" hidden="false" customHeight="true" outlineLevel="0" collapsed="false">
      <c r="A33" s="5" t="n">
        <v>29</v>
      </c>
      <c r="B33" s="6" t="s">
        <v>365</v>
      </c>
      <c r="C33" s="5" t="s">
        <v>407</v>
      </c>
      <c r="D33" s="37" t="n">
        <v>11000</v>
      </c>
      <c r="E33" s="37" t="n">
        <v>11000</v>
      </c>
      <c r="F33" s="37" t="n">
        <v>11000</v>
      </c>
      <c r="G33" s="37" t="n">
        <v>11000</v>
      </c>
      <c r="H33" s="37" t="n">
        <v>11000</v>
      </c>
      <c r="I33" s="37" t="n">
        <v>11000</v>
      </c>
      <c r="J33" s="37" t="n">
        <v>11000</v>
      </c>
      <c r="K33" s="37" t="n">
        <v>11000</v>
      </c>
      <c r="L33" s="37" t="n">
        <v>11000</v>
      </c>
      <c r="M33" s="37" t="n">
        <v>11000</v>
      </c>
      <c r="N33" s="37" t="n">
        <v>0</v>
      </c>
      <c r="O33" s="37" t="n">
        <v>11000</v>
      </c>
      <c r="P33" s="37" t="n">
        <v>11000</v>
      </c>
      <c r="Q33" s="37" t="n">
        <v>11000</v>
      </c>
      <c r="R33" s="37" t="n">
        <v>11000</v>
      </c>
      <c r="S33" s="37" t="n">
        <v>11000</v>
      </c>
      <c r="T33" s="37" t="n">
        <v>0</v>
      </c>
      <c r="U33" s="37" t="n">
        <v>11000</v>
      </c>
      <c r="V33" s="37" t="n">
        <v>11000</v>
      </c>
      <c r="W33" s="37" t="n">
        <v>11000</v>
      </c>
      <c r="X33" s="37" t="n">
        <v>0</v>
      </c>
      <c r="Y33" s="17" t="n">
        <f aca="false">IFERROR(AVERAGEIF(D33:H33,"&lt;&gt;0"),"")</f>
        <v>11000</v>
      </c>
      <c r="Z33" s="17" t="n">
        <f aca="false">IFERROR(AVERAGEIF(I33:M33,"&lt;&gt;0"),"")</f>
        <v>11000</v>
      </c>
      <c r="AA33" s="17" t="n">
        <f aca="false">IFERROR(AVERAGEIF(N33:R33,"&lt;&gt;0"),"")</f>
        <v>11000</v>
      </c>
      <c r="AB33" s="17" t="n">
        <f aca="false">IFERROR(AVERAGEIF(S33:W33,"&lt;&gt;0"),"")</f>
        <v>11000</v>
      </c>
      <c r="AC33" s="17" t="str">
        <f aca="false">IFERROR(AVERAGEIF(X33:X33,"&lt;&gt;0"),"")</f>
        <v/>
      </c>
      <c r="AD33" s="17" t="n">
        <f aca="false">IFERROR(AVERAGEIF(D33:X33,"&lt;&gt;0"),"")</f>
        <v>11000</v>
      </c>
    </row>
    <row r="34" customFormat="false" ht="15" hidden="false" customHeight="true" outlineLevel="0" collapsed="false">
      <c r="A34" s="5" t="n">
        <v>30</v>
      </c>
      <c r="B34" s="6" t="s">
        <v>338</v>
      </c>
      <c r="C34" s="5" t="s">
        <v>407</v>
      </c>
      <c r="D34" s="37" t="n">
        <v>6000</v>
      </c>
      <c r="E34" s="37" t="n">
        <v>6000</v>
      </c>
      <c r="F34" s="37" t="n">
        <v>6000</v>
      </c>
      <c r="G34" s="37" t="n">
        <v>6000</v>
      </c>
      <c r="H34" s="37" t="n">
        <v>6000</v>
      </c>
      <c r="I34" s="37" t="n">
        <v>6000</v>
      </c>
      <c r="J34" s="37" t="n">
        <v>6000</v>
      </c>
      <c r="K34" s="37" t="n">
        <v>6000</v>
      </c>
      <c r="L34" s="37" t="n">
        <v>6000</v>
      </c>
      <c r="M34" s="37" t="n">
        <v>6000</v>
      </c>
      <c r="N34" s="37" t="n">
        <v>0</v>
      </c>
      <c r="O34" s="37" t="n">
        <v>6000</v>
      </c>
      <c r="P34" s="37" t="n">
        <v>6000</v>
      </c>
      <c r="Q34" s="37" t="n">
        <v>6000</v>
      </c>
      <c r="R34" s="37" t="n">
        <v>6000</v>
      </c>
      <c r="S34" s="37" t="n">
        <v>6000</v>
      </c>
      <c r="T34" s="37" t="n">
        <v>0</v>
      </c>
      <c r="U34" s="37" t="n">
        <v>6000</v>
      </c>
      <c r="V34" s="37" t="n">
        <v>6000</v>
      </c>
      <c r="W34" s="37" t="n">
        <v>6000</v>
      </c>
      <c r="X34" s="37" t="n">
        <v>0</v>
      </c>
      <c r="Y34" s="17" t="n">
        <f aca="false">IFERROR(AVERAGEIF(D34:H34,"&lt;&gt;0"),"")</f>
        <v>6000</v>
      </c>
      <c r="Z34" s="17" t="n">
        <f aca="false">IFERROR(AVERAGEIF(I34:M34,"&lt;&gt;0"),"")</f>
        <v>6000</v>
      </c>
      <c r="AA34" s="17" t="n">
        <f aca="false">IFERROR(AVERAGEIF(N34:R34,"&lt;&gt;0"),"")</f>
        <v>6000</v>
      </c>
      <c r="AB34" s="17" t="n">
        <f aca="false">IFERROR(AVERAGEIF(S34:W34,"&lt;&gt;0"),"")</f>
        <v>6000</v>
      </c>
      <c r="AC34" s="17" t="str">
        <f aca="false">IFERROR(AVERAGEIF(X34:X34,"&lt;&gt;0"),"")</f>
        <v/>
      </c>
      <c r="AD34" s="17" t="n">
        <f aca="false">IFERROR(AVERAGEIF(D34:X34,"&lt;&gt;0"),"")</f>
        <v>6000</v>
      </c>
    </row>
    <row r="35" customFormat="false" ht="15" hidden="false" customHeight="true" outlineLevel="0" collapsed="false">
      <c r="A35" s="5" t="n">
        <v>31</v>
      </c>
      <c r="B35" s="6" t="s">
        <v>343</v>
      </c>
      <c r="C35" s="5" t="s">
        <v>407</v>
      </c>
      <c r="D35" s="37" t="n">
        <v>70000</v>
      </c>
      <c r="E35" s="37" t="n">
        <v>70000</v>
      </c>
      <c r="F35" s="37" t="n">
        <v>70000</v>
      </c>
      <c r="G35" s="37" t="n">
        <v>70000</v>
      </c>
      <c r="H35" s="37" t="n">
        <v>70000</v>
      </c>
      <c r="I35" s="37" t="n">
        <v>70000</v>
      </c>
      <c r="J35" s="37" t="n">
        <v>70000</v>
      </c>
      <c r="K35" s="37" t="n">
        <v>70000</v>
      </c>
      <c r="L35" s="37" t="n">
        <v>70000</v>
      </c>
      <c r="M35" s="37" t="n">
        <v>70000</v>
      </c>
      <c r="N35" s="37" t="n">
        <v>0</v>
      </c>
      <c r="O35" s="37" t="n">
        <v>70000</v>
      </c>
      <c r="P35" s="37" t="n">
        <v>70000</v>
      </c>
      <c r="Q35" s="37" t="n">
        <v>70000</v>
      </c>
      <c r="R35" s="37" t="n">
        <v>70000</v>
      </c>
      <c r="S35" s="37" t="n">
        <v>70000</v>
      </c>
      <c r="T35" s="37" t="n">
        <v>0</v>
      </c>
      <c r="U35" s="37" t="n">
        <v>70000</v>
      </c>
      <c r="V35" s="37" t="n">
        <v>70000</v>
      </c>
      <c r="W35" s="37" t="n">
        <v>70000</v>
      </c>
      <c r="X35" s="37" t="n">
        <v>0</v>
      </c>
      <c r="Y35" s="17" t="n">
        <f aca="false">IFERROR(AVERAGEIF(D35:H35,"&lt;&gt;0"),"")</f>
        <v>70000</v>
      </c>
      <c r="Z35" s="17" t="n">
        <f aca="false">IFERROR(AVERAGEIF(I35:M35,"&lt;&gt;0"),"")</f>
        <v>70000</v>
      </c>
      <c r="AA35" s="17" t="n">
        <f aca="false">IFERROR(AVERAGEIF(N35:R35,"&lt;&gt;0"),"")</f>
        <v>70000</v>
      </c>
      <c r="AB35" s="17" t="n">
        <f aca="false">IFERROR(AVERAGEIF(S35:W35,"&lt;&gt;0"),"")</f>
        <v>70000</v>
      </c>
      <c r="AC35" s="17" t="str">
        <f aca="false">IFERROR(AVERAGEIF(X35:X35,"&lt;&gt;0"),"")</f>
        <v/>
      </c>
      <c r="AD35" s="17" t="n">
        <f aca="false">IFERROR(AVERAGEIF(D35:X35,"&lt;&gt;0"),"")</f>
        <v>70000</v>
      </c>
    </row>
    <row r="36" customFormat="false" ht="15" hidden="false" customHeight="true" outlineLevel="0" collapsed="false">
      <c r="A36" s="5" t="n">
        <v>32</v>
      </c>
      <c r="B36" s="6" t="s">
        <v>345</v>
      </c>
      <c r="C36" s="5" t="s">
        <v>407</v>
      </c>
      <c r="D36" s="37" t="n">
        <v>12000</v>
      </c>
      <c r="E36" s="37" t="n">
        <v>12000</v>
      </c>
      <c r="F36" s="37" t="n">
        <v>12000</v>
      </c>
      <c r="G36" s="37" t="n">
        <v>12000</v>
      </c>
      <c r="H36" s="37" t="n">
        <v>12000</v>
      </c>
      <c r="I36" s="37" t="n">
        <v>12000</v>
      </c>
      <c r="J36" s="37" t="n">
        <v>12000</v>
      </c>
      <c r="K36" s="37" t="n">
        <v>12000</v>
      </c>
      <c r="L36" s="37" t="n">
        <v>12000</v>
      </c>
      <c r="M36" s="37" t="n">
        <v>12000</v>
      </c>
      <c r="N36" s="37" t="n">
        <v>0</v>
      </c>
      <c r="O36" s="37" t="n">
        <v>12000</v>
      </c>
      <c r="P36" s="37" t="n">
        <v>12000</v>
      </c>
      <c r="Q36" s="37" t="n">
        <v>12000</v>
      </c>
      <c r="R36" s="37" t="n">
        <v>12000</v>
      </c>
      <c r="S36" s="37" t="n">
        <v>12000</v>
      </c>
      <c r="T36" s="37" t="n">
        <v>0</v>
      </c>
      <c r="U36" s="37" t="n">
        <v>12000</v>
      </c>
      <c r="V36" s="37" t="n">
        <v>12000</v>
      </c>
      <c r="W36" s="37" t="n">
        <v>12000</v>
      </c>
      <c r="X36" s="37" t="n">
        <v>0</v>
      </c>
      <c r="Y36" s="17" t="n">
        <f aca="false">IFERROR(AVERAGEIF(D36:H36,"&lt;&gt;0"),"")</f>
        <v>12000</v>
      </c>
      <c r="Z36" s="17" t="n">
        <f aca="false">IFERROR(AVERAGEIF(I36:M36,"&lt;&gt;0"),"")</f>
        <v>12000</v>
      </c>
      <c r="AA36" s="17" t="n">
        <f aca="false">IFERROR(AVERAGEIF(N36:R36,"&lt;&gt;0"),"")</f>
        <v>12000</v>
      </c>
      <c r="AB36" s="17" t="n">
        <f aca="false">IFERROR(AVERAGEIF(S36:W36,"&lt;&gt;0"),"")</f>
        <v>12000</v>
      </c>
      <c r="AC36" s="17" t="str">
        <f aca="false">IFERROR(AVERAGEIF(X36:X36,"&lt;&gt;0"),"")</f>
        <v/>
      </c>
      <c r="AD36" s="17" t="n">
        <f aca="false">IFERROR(AVERAGEIF(D36:X36,"&lt;&gt;0"),"")</f>
        <v>12000</v>
      </c>
    </row>
    <row r="37" customFormat="false" ht="15" hidden="false" customHeight="true" outlineLevel="0" collapsed="false">
      <c r="A37" s="5" t="n">
        <v>33</v>
      </c>
      <c r="B37" s="6" t="s">
        <v>366</v>
      </c>
      <c r="C37" s="5" t="s">
        <v>407</v>
      </c>
      <c r="D37" s="37" t="n">
        <v>8000</v>
      </c>
      <c r="E37" s="37" t="n">
        <v>8000</v>
      </c>
      <c r="F37" s="37" t="n">
        <v>8000</v>
      </c>
      <c r="G37" s="37" t="n">
        <v>8000</v>
      </c>
      <c r="H37" s="37" t="n">
        <v>8000</v>
      </c>
      <c r="I37" s="37" t="n">
        <v>8000</v>
      </c>
      <c r="J37" s="37" t="n">
        <v>8000</v>
      </c>
      <c r="K37" s="37" t="n">
        <v>8000</v>
      </c>
      <c r="L37" s="37" t="n">
        <v>8000</v>
      </c>
      <c r="M37" s="37" t="n">
        <v>8000</v>
      </c>
      <c r="N37" s="37" t="n">
        <v>0</v>
      </c>
      <c r="O37" s="37" t="n">
        <v>8000</v>
      </c>
      <c r="P37" s="37" t="n">
        <v>8000</v>
      </c>
      <c r="Q37" s="37" t="n">
        <v>8000</v>
      </c>
      <c r="R37" s="37" t="n">
        <v>8000</v>
      </c>
      <c r="S37" s="37" t="n">
        <v>8000</v>
      </c>
      <c r="T37" s="37" t="n">
        <v>0</v>
      </c>
      <c r="U37" s="37" t="n">
        <v>8000</v>
      </c>
      <c r="V37" s="37" t="n">
        <v>8000</v>
      </c>
      <c r="W37" s="37" t="n">
        <v>8000</v>
      </c>
      <c r="X37" s="37" t="n">
        <v>0</v>
      </c>
      <c r="Y37" s="17" t="n">
        <f aca="false">IFERROR(AVERAGEIF(D37:H37,"&lt;&gt;0"),"")</f>
        <v>8000</v>
      </c>
      <c r="Z37" s="17" t="n">
        <f aca="false">IFERROR(AVERAGEIF(I37:M37,"&lt;&gt;0"),"")</f>
        <v>8000</v>
      </c>
      <c r="AA37" s="17" t="n">
        <f aca="false">IFERROR(AVERAGEIF(N37:R37,"&lt;&gt;0"),"")</f>
        <v>8000</v>
      </c>
      <c r="AB37" s="17" t="n">
        <f aca="false">IFERROR(AVERAGEIF(S37:W37,"&lt;&gt;0"),"")</f>
        <v>8000</v>
      </c>
      <c r="AC37" s="17" t="str">
        <f aca="false">IFERROR(AVERAGEIF(X37:X37,"&lt;&gt;0"),"")</f>
        <v/>
      </c>
      <c r="AD37" s="17" t="n">
        <f aca="false">IFERROR(AVERAGEIF(D37:X37,"&lt;&gt;0"),"")</f>
        <v>8000</v>
      </c>
    </row>
    <row r="38" customFormat="false" ht="15" hidden="false" customHeight="true" outlineLevel="0" collapsed="false">
      <c r="A38" s="5" t="n">
        <v>34</v>
      </c>
      <c r="B38" s="6" t="s">
        <v>413</v>
      </c>
      <c r="C38" s="5" t="s">
        <v>407</v>
      </c>
      <c r="D38" s="37" t="n">
        <v>8000</v>
      </c>
      <c r="E38" s="37" t="n">
        <v>8000</v>
      </c>
      <c r="F38" s="37" t="n">
        <v>8000</v>
      </c>
      <c r="G38" s="37" t="n">
        <v>8000</v>
      </c>
      <c r="H38" s="37" t="n">
        <v>8000</v>
      </c>
      <c r="I38" s="37" t="n">
        <v>8000</v>
      </c>
      <c r="J38" s="37" t="n">
        <v>8000</v>
      </c>
      <c r="K38" s="37" t="n">
        <v>8000</v>
      </c>
      <c r="L38" s="37" t="n">
        <v>8000</v>
      </c>
      <c r="M38" s="37" t="n">
        <v>8000</v>
      </c>
      <c r="N38" s="37" t="n">
        <v>0</v>
      </c>
      <c r="O38" s="37" t="n">
        <v>8000</v>
      </c>
      <c r="P38" s="37" t="n">
        <v>8000</v>
      </c>
      <c r="Q38" s="37" t="n">
        <v>8000</v>
      </c>
      <c r="R38" s="37" t="n">
        <v>8000</v>
      </c>
      <c r="S38" s="37" t="n">
        <v>8000</v>
      </c>
      <c r="T38" s="37" t="n">
        <v>0</v>
      </c>
      <c r="U38" s="37" t="n">
        <v>8000</v>
      </c>
      <c r="V38" s="37" t="n">
        <v>8000</v>
      </c>
      <c r="W38" s="37" t="n">
        <v>8000</v>
      </c>
      <c r="X38" s="37" t="n">
        <v>0</v>
      </c>
      <c r="Y38" s="17" t="n">
        <f aca="false">IFERROR(AVERAGEIF(D38:H38,"&lt;&gt;0"),"")</f>
        <v>8000</v>
      </c>
      <c r="Z38" s="17" t="n">
        <f aca="false">IFERROR(AVERAGEIF(I38:M38,"&lt;&gt;0"),"")</f>
        <v>8000</v>
      </c>
      <c r="AA38" s="17" t="n">
        <f aca="false">IFERROR(AVERAGEIF(N38:R38,"&lt;&gt;0"),"")</f>
        <v>8000</v>
      </c>
      <c r="AB38" s="17" t="n">
        <f aca="false">IFERROR(AVERAGEIF(S38:W38,"&lt;&gt;0"),"")</f>
        <v>8000</v>
      </c>
      <c r="AC38" s="17" t="str">
        <f aca="false">IFERROR(AVERAGEIF(X38:X38,"&lt;&gt;0"),"")</f>
        <v/>
      </c>
      <c r="AD38" s="17" t="n">
        <f aca="false">IFERROR(AVERAGEIF(D38:X38,"&lt;&gt;0"),"")</f>
        <v>8000</v>
      </c>
    </row>
    <row r="39" customFormat="false" ht="15" hidden="false" customHeight="true" outlineLevel="0" collapsed="false">
      <c r="A39" s="5" t="n">
        <v>35</v>
      </c>
      <c r="B39" s="6" t="s">
        <v>414</v>
      </c>
      <c r="C39" s="5" t="s">
        <v>407</v>
      </c>
      <c r="D39" s="37" t="n">
        <v>15000</v>
      </c>
      <c r="E39" s="37" t="n">
        <v>15000</v>
      </c>
      <c r="F39" s="37" t="n">
        <v>15000</v>
      </c>
      <c r="G39" s="37" t="n">
        <v>15000</v>
      </c>
      <c r="H39" s="37" t="n">
        <v>15000</v>
      </c>
      <c r="I39" s="37" t="n">
        <v>15000</v>
      </c>
      <c r="J39" s="37" t="n">
        <v>15000</v>
      </c>
      <c r="K39" s="37" t="n">
        <v>15000</v>
      </c>
      <c r="L39" s="37" t="n">
        <v>15000</v>
      </c>
      <c r="M39" s="37" t="n">
        <v>15000</v>
      </c>
      <c r="N39" s="37" t="n">
        <v>0</v>
      </c>
      <c r="O39" s="37" t="n">
        <v>15000</v>
      </c>
      <c r="P39" s="37" t="n">
        <v>15000</v>
      </c>
      <c r="Q39" s="37" t="n">
        <v>15000</v>
      </c>
      <c r="R39" s="37" t="n">
        <v>15000</v>
      </c>
      <c r="S39" s="37" t="n">
        <v>15000</v>
      </c>
      <c r="T39" s="37" t="n">
        <v>0</v>
      </c>
      <c r="U39" s="37" t="n">
        <v>15000</v>
      </c>
      <c r="V39" s="37" t="n">
        <v>15000</v>
      </c>
      <c r="W39" s="37" t="n">
        <v>15000</v>
      </c>
      <c r="X39" s="37" t="n">
        <v>0</v>
      </c>
      <c r="Y39" s="17" t="n">
        <f aca="false">IFERROR(AVERAGEIF(D39:H39,"&lt;&gt;0"),"")</f>
        <v>15000</v>
      </c>
      <c r="Z39" s="17" t="n">
        <f aca="false">IFERROR(AVERAGEIF(I39:M39,"&lt;&gt;0"),"")</f>
        <v>15000</v>
      </c>
      <c r="AA39" s="17" t="n">
        <f aca="false">IFERROR(AVERAGEIF(N39:R39,"&lt;&gt;0"),"")</f>
        <v>15000</v>
      </c>
      <c r="AB39" s="17" t="n">
        <f aca="false">IFERROR(AVERAGEIF(S39:W39,"&lt;&gt;0"),"")</f>
        <v>15000</v>
      </c>
      <c r="AC39" s="17" t="str">
        <f aca="false">IFERROR(AVERAGEIF(X39:X39,"&lt;&gt;0"),"")</f>
        <v/>
      </c>
      <c r="AD39" s="17" t="n">
        <f aca="false">IFERROR(AVERAGEIF(D39:X39,"&lt;&gt;0"),"")</f>
        <v>15000</v>
      </c>
    </row>
    <row r="40" customFormat="false" ht="15" hidden="false" customHeight="true" outlineLevel="0" collapsed="false">
      <c r="A40" s="5" t="n">
        <v>36</v>
      </c>
      <c r="B40" s="6" t="s">
        <v>415</v>
      </c>
      <c r="C40" s="5" t="s">
        <v>407</v>
      </c>
      <c r="D40" s="37" t="n">
        <v>10000</v>
      </c>
      <c r="E40" s="37" t="n">
        <v>10000</v>
      </c>
      <c r="F40" s="37" t="n">
        <v>10000</v>
      </c>
      <c r="G40" s="37" t="n">
        <v>10000</v>
      </c>
      <c r="H40" s="37" t="n">
        <v>10000</v>
      </c>
      <c r="I40" s="37" t="n">
        <v>10000</v>
      </c>
      <c r="J40" s="37" t="n">
        <v>10000</v>
      </c>
      <c r="K40" s="37" t="n">
        <v>10000</v>
      </c>
      <c r="L40" s="37" t="n">
        <v>10000</v>
      </c>
      <c r="M40" s="37" t="n">
        <v>10000</v>
      </c>
      <c r="N40" s="37" t="n">
        <v>0</v>
      </c>
      <c r="O40" s="37" t="n">
        <v>10000</v>
      </c>
      <c r="P40" s="37" t="n">
        <v>10000</v>
      </c>
      <c r="Q40" s="37" t="n">
        <v>10000</v>
      </c>
      <c r="R40" s="37" t="n">
        <v>10000</v>
      </c>
      <c r="S40" s="37" t="n">
        <v>10000</v>
      </c>
      <c r="T40" s="37" t="n">
        <v>0</v>
      </c>
      <c r="U40" s="37" t="n">
        <v>10000</v>
      </c>
      <c r="V40" s="37" t="n">
        <v>10000</v>
      </c>
      <c r="W40" s="37" t="n">
        <v>10000</v>
      </c>
      <c r="X40" s="37" t="n">
        <v>0</v>
      </c>
      <c r="Y40" s="17" t="n">
        <f aca="false">IFERROR(AVERAGEIF(D40:H40,"&lt;&gt;0"),"")</f>
        <v>10000</v>
      </c>
      <c r="Z40" s="17" t="n">
        <f aca="false">IFERROR(AVERAGEIF(I40:M40,"&lt;&gt;0"),"")</f>
        <v>10000</v>
      </c>
      <c r="AA40" s="17" t="n">
        <f aca="false">IFERROR(AVERAGEIF(N40:R40,"&lt;&gt;0"),"")</f>
        <v>10000</v>
      </c>
      <c r="AB40" s="17" t="n">
        <f aca="false">IFERROR(AVERAGEIF(S40:W40,"&lt;&gt;0"),"")</f>
        <v>10000</v>
      </c>
      <c r="AC40" s="17" t="str">
        <f aca="false">IFERROR(AVERAGEIF(X40:X40,"&lt;&gt;0"),"")</f>
        <v/>
      </c>
      <c r="AD40" s="17" t="n">
        <f aca="false">IFERROR(AVERAGEIF(D40:X40,"&lt;&gt;0"),"")</f>
        <v>10000</v>
      </c>
    </row>
    <row r="41" customFormat="false" ht="15" hidden="false" customHeight="true" outlineLevel="0" collapsed="false">
      <c r="A41" s="5" t="n">
        <v>37</v>
      </c>
      <c r="B41" s="6" t="s">
        <v>416</v>
      </c>
      <c r="C41" s="5" t="s">
        <v>407</v>
      </c>
      <c r="D41" s="37" t="n">
        <v>5000</v>
      </c>
      <c r="E41" s="37" t="n">
        <v>5000</v>
      </c>
      <c r="F41" s="37" t="n">
        <v>5000</v>
      </c>
      <c r="G41" s="37" t="n">
        <v>5000</v>
      </c>
      <c r="H41" s="37" t="n">
        <v>5000</v>
      </c>
      <c r="I41" s="37" t="n">
        <v>5000</v>
      </c>
      <c r="J41" s="37" t="n">
        <v>5000</v>
      </c>
      <c r="K41" s="37" t="n">
        <v>5000</v>
      </c>
      <c r="L41" s="37" t="n">
        <v>5000</v>
      </c>
      <c r="M41" s="37" t="n">
        <v>5000</v>
      </c>
      <c r="N41" s="37" t="n">
        <v>0</v>
      </c>
      <c r="O41" s="37" t="n">
        <v>5000</v>
      </c>
      <c r="P41" s="37" t="n">
        <v>5000</v>
      </c>
      <c r="Q41" s="37" t="n">
        <v>5000</v>
      </c>
      <c r="R41" s="37" t="n">
        <v>5000</v>
      </c>
      <c r="S41" s="37" t="n">
        <v>5000</v>
      </c>
      <c r="T41" s="37" t="n">
        <v>0</v>
      </c>
      <c r="U41" s="37" t="n">
        <v>5000</v>
      </c>
      <c r="V41" s="37" t="n">
        <v>5000</v>
      </c>
      <c r="W41" s="37" t="n">
        <v>5000</v>
      </c>
      <c r="X41" s="37" t="n">
        <v>0</v>
      </c>
      <c r="Y41" s="17" t="n">
        <f aca="false">IFERROR(AVERAGEIF(D41:H41,"&lt;&gt;0"),"")</f>
        <v>5000</v>
      </c>
      <c r="Z41" s="17" t="n">
        <f aca="false">IFERROR(AVERAGEIF(I41:M41,"&lt;&gt;0"),"")</f>
        <v>5000</v>
      </c>
      <c r="AA41" s="17" t="n">
        <f aca="false">IFERROR(AVERAGEIF(N41:R41,"&lt;&gt;0"),"")</f>
        <v>5000</v>
      </c>
      <c r="AB41" s="17" t="n">
        <f aca="false">IFERROR(AVERAGEIF(S41:W41,"&lt;&gt;0"),"")</f>
        <v>5000</v>
      </c>
      <c r="AC41" s="17" t="str">
        <f aca="false">IFERROR(AVERAGEIF(X41:X41,"&lt;&gt;0"),"")</f>
        <v/>
      </c>
      <c r="AD41" s="17" t="n">
        <f aca="false">IFERROR(AVERAGEIF(D41:X41,"&lt;&gt;0"),"")</f>
        <v>5000</v>
      </c>
    </row>
    <row r="42" customFormat="false" ht="15" hidden="false" customHeight="true" outlineLevel="0" collapsed="false">
      <c r="A42" s="5" t="n">
        <v>38</v>
      </c>
      <c r="B42" s="6" t="s">
        <v>417</v>
      </c>
      <c r="C42" s="5" t="s">
        <v>407</v>
      </c>
      <c r="D42" s="37" t="n">
        <v>7000</v>
      </c>
      <c r="E42" s="37" t="n">
        <v>7000</v>
      </c>
      <c r="F42" s="37" t="n">
        <v>7000</v>
      </c>
      <c r="G42" s="37" t="n">
        <v>7000</v>
      </c>
      <c r="H42" s="37" t="n">
        <v>7000</v>
      </c>
      <c r="I42" s="37" t="n">
        <v>7000</v>
      </c>
      <c r="J42" s="37" t="n">
        <v>7000</v>
      </c>
      <c r="K42" s="37" t="n">
        <v>7000</v>
      </c>
      <c r="L42" s="37" t="n">
        <v>7000</v>
      </c>
      <c r="M42" s="37" t="n">
        <v>7000</v>
      </c>
      <c r="N42" s="37" t="n">
        <v>0</v>
      </c>
      <c r="O42" s="37" t="n">
        <v>7000</v>
      </c>
      <c r="P42" s="37" t="n">
        <v>7000</v>
      </c>
      <c r="Q42" s="37" t="n">
        <v>7000</v>
      </c>
      <c r="R42" s="37" t="n">
        <v>7000</v>
      </c>
      <c r="S42" s="37" t="n">
        <v>7000</v>
      </c>
      <c r="T42" s="37" t="n">
        <v>0</v>
      </c>
      <c r="U42" s="37" t="n">
        <v>7000</v>
      </c>
      <c r="V42" s="37" t="n">
        <v>7000</v>
      </c>
      <c r="W42" s="37" t="n">
        <v>7000</v>
      </c>
      <c r="X42" s="37" t="n">
        <v>0</v>
      </c>
      <c r="Y42" s="17" t="n">
        <f aca="false">IFERROR(AVERAGEIF(D42:H42,"&lt;&gt;0"),"")</f>
        <v>7000</v>
      </c>
      <c r="Z42" s="17" t="n">
        <f aca="false">IFERROR(AVERAGEIF(I42:M42,"&lt;&gt;0"),"")</f>
        <v>7000</v>
      </c>
      <c r="AA42" s="17" t="n">
        <f aca="false">IFERROR(AVERAGEIF(N42:R42,"&lt;&gt;0"),"")</f>
        <v>7000</v>
      </c>
      <c r="AB42" s="17" t="n">
        <f aca="false">IFERROR(AVERAGEIF(S42:W42,"&lt;&gt;0"),"")</f>
        <v>7000</v>
      </c>
      <c r="AC42" s="17" t="str">
        <f aca="false">IFERROR(AVERAGEIF(X42:X42,"&lt;&gt;0"),"")</f>
        <v/>
      </c>
      <c r="AD42" s="17" t="n">
        <f aca="false">IFERROR(AVERAGEIF(D42:X42,"&lt;&gt;0"),"")</f>
        <v>7000</v>
      </c>
    </row>
    <row r="43" customFormat="false" ht="15" hidden="false" customHeight="true" outlineLevel="0" collapsed="false">
      <c r="A43" s="5" t="n">
        <v>39</v>
      </c>
      <c r="B43" s="6" t="s">
        <v>418</v>
      </c>
      <c r="C43" s="5" t="s">
        <v>407</v>
      </c>
      <c r="D43" s="37" t="n">
        <v>6000</v>
      </c>
      <c r="E43" s="37" t="n">
        <v>6000</v>
      </c>
      <c r="F43" s="37" t="n">
        <v>6000</v>
      </c>
      <c r="G43" s="37" t="n">
        <v>6000</v>
      </c>
      <c r="H43" s="37" t="n">
        <v>6000</v>
      </c>
      <c r="I43" s="37" t="n">
        <v>6000</v>
      </c>
      <c r="J43" s="37" t="n">
        <v>6000</v>
      </c>
      <c r="K43" s="37" t="n">
        <v>6000</v>
      </c>
      <c r="L43" s="37" t="n">
        <v>6000</v>
      </c>
      <c r="M43" s="37" t="n">
        <v>6000</v>
      </c>
      <c r="N43" s="37" t="n">
        <v>0</v>
      </c>
      <c r="O43" s="37" t="n">
        <v>6000</v>
      </c>
      <c r="P43" s="37" t="n">
        <v>6000</v>
      </c>
      <c r="Q43" s="37" t="n">
        <v>6000</v>
      </c>
      <c r="R43" s="37" t="n">
        <v>6000</v>
      </c>
      <c r="S43" s="37" t="n">
        <v>6000</v>
      </c>
      <c r="T43" s="37" t="n">
        <v>0</v>
      </c>
      <c r="U43" s="37" t="n">
        <v>6000</v>
      </c>
      <c r="V43" s="37" t="n">
        <v>6000</v>
      </c>
      <c r="W43" s="37" t="n">
        <v>6000</v>
      </c>
      <c r="X43" s="37" t="n">
        <v>0</v>
      </c>
      <c r="Y43" s="17" t="n">
        <f aca="false">IFERROR(AVERAGEIF(D43:H43,"&lt;&gt;0"),"")</f>
        <v>6000</v>
      </c>
      <c r="Z43" s="17" t="n">
        <f aca="false">IFERROR(AVERAGEIF(I43:M43,"&lt;&gt;0"),"")</f>
        <v>6000</v>
      </c>
      <c r="AA43" s="17" t="n">
        <f aca="false">IFERROR(AVERAGEIF(N43:R43,"&lt;&gt;0"),"")</f>
        <v>6000</v>
      </c>
      <c r="AB43" s="17" t="n">
        <f aca="false">IFERROR(AVERAGEIF(S43:W43,"&lt;&gt;0"),"")</f>
        <v>6000</v>
      </c>
      <c r="AC43" s="17" t="str">
        <f aca="false">IFERROR(AVERAGEIF(X43:X43,"&lt;&gt;0"),"")</f>
        <v/>
      </c>
      <c r="AD43" s="17" t="n">
        <f aca="false">IFERROR(AVERAGEIF(D43:X43,"&lt;&gt;0"),"")</f>
        <v>6000</v>
      </c>
    </row>
    <row r="44" customFormat="false" ht="15" hidden="false" customHeight="true" outlineLevel="0" collapsed="false">
      <c r="A44" s="5" t="n">
        <v>40</v>
      </c>
      <c r="B44" s="6" t="s">
        <v>419</v>
      </c>
      <c r="C44" s="5" t="s">
        <v>407</v>
      </c>
      <c r="D44" s="37" t="n">
        <v>5000</v>
      </c>
      <c r="E44" s="37" t="n">
        <v>5000</v>
      </c>
      <c r="F44" s="37" t="n">
        <v>5000</v>
      </c>
      <c r="G44" s="37" t="n">
        <v>5000</v>
      </c>
      <c r="H44" s="37" t="n">
        <v>5000</v>
      </c>
      <c r="I44" s="37" t="n">
        <v>5000</v>
      </c>
      <c r="J44" s="37" t="n">
        <v>5000</v>
      </c>
      <c r="K44" s="37" t="n">
        <v>5000</v>
      </c>
      <c r="L44" s="37" t="n">
        <v>5000</v>
      </c>
      <c r="M44" s="37" t="n">
        <v>5000</v>
      </c>
      <c r="N44" s="37" t="n">
        <v>0</v>
      </c>
      <c r="O44" s="37" t="n">
        <v>5000</v>
      </c>
      <c r="P44" s="37" t="n">
        <v>5000</v>
      </c>
      <c r="Q44" s="37" t="n">
        <v>5000</v>
      </c>
      <c r="R44" s="37" t="n">
        <v>5000</v>
      </c>
      <c r="S44" s="37" t="n">
        <v>5000</v>
      </c>
      <c r="T44" s="37" t="n">
        <v>0</v>
      </c>
      <c r="U44" s="37" t="n">
        <v>5000</v>
      </c>
      <c r="V44" s="37" t="n">
        <v>5000</v>
      </c>
      <c r="W44" s="37" t="n">
        <v>5000</v>
      </c>
      <c r="X44" s="37" t="n">
        <v>0</v>
      </c>
      <c r="Y44" s="17" t="n">
        <f aca="false">IFERROR(AVERAGEIF(D44:H44,"&lt;&gt;0"),"")</f>
        <v>5000</v>
      </c>
      <c r="Z44" s="17" t="n">
        <f aca="false">IFERROR(AVERAGEIF(I44:M44,"&lt;&gt;0"),"")</f>
        <v>5000</v>
      </c>
      <c r="AA44" s="17" t="n">
        <f aca="false">IFERROR(AVERAGEIF(N44:R44,"&lt;&gt;0"),"")</f>
        <v>5000</v>
      </c>
      <c r="AB44" s="17" t="n">
        <f aca="false">IFERROR(AVERAGEIF(S44:W44,"&lt;&gt;0"),"")</f>
        <v>5000</v>
      </c>
      <c r="AC44" s="17" t="str">
        <f aca="false">IFERROR(AVERAGEIF(X44:X44,"&lt;&gt;0"),"")</f>
        <v/>
      </c>
      <c r="AD44" s="17" t="n">
        <f aca="false">IFERROR(AVERAGEIF(D44:X44,"&lt;&gt;0"),"")</f>
        <v>5000</v>
      </c>
    </row>
    <row r="45" customFormat="false" ht="15" hidden="false" customHeight="true" outlineLevel="0" collapsed="false">
      <c r="A45" s="5" t="n">
        <v>41</v>
      </c>
      <c r="B45" s="6" t="s">
        <v>420</v>
      </c>
      <c r="C45" s="5" t="s">
        <v>457</v>
      </c>
      <c r="D45" s="37" t="n">
        <v>65000</v>
      </c>
      <c r="E45" s="37" t="n">
        <v>65000</v>
      </c>
      <c r="F45" s="37" t="n">
        <v>65000</v>
      </c>
      <c r="G45" s="37" t="n">
        <v>65000</v>
      </c>
      <c r="H45" s="37" t="n">
        <v>65000</v>
      </c>
      <c r="I45" s="37" t="n">
        <v>65000</v>
      </c>
      <c r="J45" s="37" t="n">
        <v>65000</v>
      </c>
      <c r="K45" s="37" t="n">
        <v>65000</v>
      </c>
      <c r="L45" s="37" t="n">
        <v>65000</v>
      </c>
      <c r="M45" s="37" t="n">
        <v>65000</v>
      </c>
      <c r="N45" s="37" t="n">
        <v>0</v>
      </c>
      <c r="O45" s="37" t="n">
        <v>65000</v>
      </c>
      <c r="P45" s="37" t="n">
        <v>65000</v>
      </c>
      <c r="Q45" s="37" t="n">
        <v>65000</v>
      </c>
      <c r="R45" s="37" t="n">
        <v>65000</v>
      </c>
      <c r="S45" s="37" t="n">
        <v>65000</v>
      </c>
      <c r="T45" s="37" t="n">
        <v>0</v>
      </c>
      <c r="U45" s="37" t="n">
        <v>65000</v>
      </c>
      <c r="V45" s="37" t="n">
        <v>65000</v>
      </c>
      <c r="W45" s="37" t="n">
        <v>65000</v>
      </c>
      <c r="X45" s="37" t="n">
        <v>0</v>
      </c>
      <c r="Y45" s="17" t="n">
        <f aca="false">IFERROR(AVERAGEIF(D45:H45,"&lt;&gt;0"),"")</f>
        <v>65000</v>
      </c>
      <c r="Z45" s="17" t="n">
        <f aca="false">IFERROR(AVERAGEIF(I45:M45,"&lt;&gt;0"),"")</f>
        <v>65000</v>
      </c>
      <c r="AA45" s="17" t="n">
        <f aca="false">IFERROR(AVERAGEIF(N45:R45,"&lt;&gt;0"),"")</f>
        <v>65000</v>
      </c>
      <c r="AB45" s="17" t="n">
        <f aca="false">IFERROR(AVERAGEIF(S45:W45,"&lt;&gt;0"),"")</f>
        <v>65000</v>
      </c>
      <c r="AC45" s="17" t="str">
        <f aca="false">IFERROR(AVERAGEIF(X45:X45,"&lt;&gt;0"),"")</f>
        <v/>
      </c>
      <c r="AD45" s="17" t="n">
        <f aca="false">IFERROR(AVERAGEIF(D45:X45,"&lt;&gt;0"),"")</f>
        <v>65000</v>
      </c>
    </row>
    <row r="46" customFormat="false" ht="15" hidden="false" customHeight="true" outlineLevel="0" collapsed="false">
      <c r="A46" s="5" t="n">
        <v>42</v>
      </c>
      <c r="B46" s="6" t="s">
        <v>421</v>
      </c>
      <c r="C46" s="5" t="s">
        <v>407</v>
      </c>
      <c r="D46" s="37" t="n">
        <v>40000</v>
      </c>
      <c r="E46" s="37" t="n">
        <v>40000</v>
      </c>
      <c r="F46" s="37" t="n">
        <v>40000</v>
      </c>
      <c r="G46" s="37" t="n">
        <v>40000</v>
      </c>
      <c r="H46" s="37" t="n">
        <v>40000</v>
      </c>
      <c r="I46" s="37" t="n">
        <v>40000</v>
      </c>
      <c r="J46" s="37" t="n">
        <v>40000</v>
      </c>
      <c r="K46" s="37" t="n">
        <v>40000</v>
      </c>
      <c r="L46" s="37" t="n">
        <v>40000</v>
      </c>
      <c r="M46" s="37" t="n">
        <v>40000</v>
      </c>
      <c r="N46" s="37" t="n">
        <v>0</v>
      </c>
      <c r="O46" s="37" t="n">
        <v>40000</v>
      </c>
      <c r="P46" s="37" t="n">
        <v>40000</v>
      </c>
      <c r="Q46" s="37" t="n">
        <v>40000</v>
      </c>
      <c r="R46" s="37" t="n">
        <v>40000</v>
      </c>
      <c r="S46" s="37" t="n">
        <v>40000</v>
      </c>
      <c r="T46" s="37" t="n">
        <v>0</v>
      </c>
      <c r="U46" s="37" t="n">
        <v>40000</v>
      </c>
      <c r="V46" s="37" t="n">
        <v>40000</v>
      </c>
      <c r="W46" s="37" t="n">
        <v>40000</v>
      </c>
      <c r="X46" s="37" t="n">
        <v>0</v>
      </c>
      <c r="Y46" s="17" t="n">
        <f aca="false">IFERROR(AVERAGEIF(D46:H46,"&lt;&gt;0"),"")</f>
        <v>40000</v>
      </c>
      <c r="Z46" s="17" t="n">
        <f aca="false">IFERROR(AVERAGEIF(I46:M46,"&lt;&gt;0"),"")</f>
        <v>40000</v>
      </c>
      <c r="AA46" s="17" t="n">
        <f aca="false">IFERROR(AVERAGEIF(N46:R46,"&lt;&gt;0"),"")</f>
        <v>40000</v>
      </c>
      <c r="AB46" s="17" t="n">
        <f aca="false">IFERROR(AVERAGEIF(S46:W46,"&lt;&gt;0"),"")</f>
        <v>40000</v>
      </c>
      <c r="AC46" s="17" t="str">
        <f aca="false">IFERROR(AVERAGEIF(X46:X46,"&lt;&gt;0"),"")</f>
        <v/>
      </c>
      <c r="AD46" s="17" t="n">
        <f aca="false">IFERROR(AVERAGEIF(D46:X46,"&lt;&gt;0"),"")</f>
        <v>40000</v>
      </c>
    </row>
    <row r="47" customFormat="false" ht="15" hidden="false" customHeight="true" outlineLevel="0" collapsed="false">
      <c r="A47" s="5" t="n">
        <v>43</v>
      </c>
      <c r="B47" s="6" t="s">
        <v>422</v>
      </c>
      <c r="C47" s="5" t="s">
        <v>407</v>
      </c>
      <c r="D47" s="37" t="n">
        <v>36000</v>
      </c>
      <c r="E47" s="37" t="n">
        <v>36000</v>
      </c>
      <c r="F47" s="37" t="n">
        <v>36000</v>
      </c>
      <c r="G47" s="37" t="n">
        <v>36000</v>
      </c>
      <c r="H47" s="37" t="n">
        <v>36000</v>
      </c>
      <c r="I47" s="37" t="n">
        <v>36000</v>
      </c>
      <c r="J47" s="37" t="n">
        <v>36000</v>
      </c>
      <c r="K47" s="37" t="n">
        <v>36000</v>
      </c>
      <c r="L47" s="37" t="n">
        <v>36000</v>
      </c>
      <c r="M47" s="37" t="n">
        <v>36000</v>
      </c>
      <c r="N47" s="37" t="n">
        <v>0</v>
      </c>
      <c r="O47" s="37" t="n">
        <v>36000</v>
      </c>
      <c r="P47" s="37" t="n">
        <v>36000</v>
      </c>
      <c r="Q47" s="37" t="n">
        <v>36000</v>
      </c>
      <c r="R47" s="37" t="n">
        <v>36000</v>
      </c>
      <c r="S47" s="37" t="n">
        <v>36000</v>
      </c>
      <c r="T47" s="37" t="n">
        <v>0</v>
      </c>
      <c r="U47" s="37" t="n">
        <v>36000</v>
      </c>
      <c r="V47" s="37" t="n">
        <v>36000</v>
      </c>
      <c r="W47" s="37" t="n">
        <v>36000</v>
      </c>
      <c r="X47" s="37" t="n">
        <v>0</v>
      </c>
      <c r="Y47" s="17" t="n">
        <f aca="false">IFERROR(AVERAGEIF(D47:H47,"&lt;&gt;0"),"")</f>
        <v>36000</v>
      </c>
      <c r="Z47" s="17" t="n">
        <f aca="false">IFERROR(AVERAGEIF(I47:M47,"&lt;&gt;0"),"")</f>
        <v>36000</v>
      </c>
      <c r="AA47" s="17" t="n">
        <f aca="false">IFERROR(AVERAGEIF(N47:R47,"&lt;&gt;0"),"")</f>
        <v>36000</v>
      </c>
      <c r="AB47" s="17" t="n">
        <f aca="false">IFERROR(AVERAGEIF(S47:W47,"&lt;&gt;0"),"")</f>
        <v>36000</v>
      </c>
      <c r="AC47" s="17" t="str">
        <f aca="false">IFERROR(AVERAGEIF(X47:X47,"&lt;&gt;0"),"")</f>
        <v/>
      </c>
      <c r="AD47" s="17" t="n">
        <f aca="false">IFERROR(AVERAGEIF(D47:X47,"&lt;&gt;0"),"")</f>
        <v>36000</v>
      </c>
    </row>
    <row r="48" customFormat="false" ht="15" hidden="false" customHeight="true" outlineLevel="0" collapsed="false">
      <c r="A48" s="5" t="n">
        <v>44</v>
      </c>
      <c r="B48" s="6" t="s">
        <v>423</v>
      </c>
      <c r="C48" s="5" t="s">
        <v>407</v>
      </c>
      <c r="D48" s="37" t="n">
        <v>28000</v>
      </c>
      <c r="E48" s="37" t="n">
        <v>28000</v>
      </c>
      <c r="F48" s="37" t="n">
        <v>28000</v>
      </c>
      <c r="G48" s="37" t="n">
        <v>28000</v>
      </c>
      <c r="H48" s="37" t="n">
        <v>28000</v>
      </c>
      <c r="I48" s="37" t="n">
        <v>28000</v>
      </c>
      <c r="J48" s="37" t="n">
        <v>28000</v>
      </c>
      <c r="K48" s="37" t="n">
        <v>28000</v>
      </c>
      <c r="L48" s="37" t="n">
        <v>28000</v>
      </c>
      <c r="M48" s="37" t="n">
        <v>28000</v>
      </c>
      <c r="N48" s="37" t="n">
        <v>0</v>
      </c>
      <c r="O48" s="37" t="n">
        <v>28000</v>
      </c>
      <c r="P48" s="37" t="n">
        <v>28000</v>
      </c>
      <c r="Q48" s="37" t="n">
        <v>28000</v>
      </c>
      <c r="R48" s="37" t="n">
        <v>28000</v>
      </c>
      <c r="S48" s="37" t="n">
        <v>28000</v>
      </c>
      <c r="T48" s="37" t="n">
        <v>0</v>
      </c>
      <c r="U48" s="37" t="n">
        <v>28000</v>
      </c>
      <c r="V48" s="37" t="n">
        <v>28000</v>
      </c>
      <c r="W48" s="37" t="n">
        <v>28000</v>
      </c>
      <c r="X48" s="37" t="n">
        <v>0</v>
      </c>
      <c r="Y48" s="17" t="n">
        <f aca="false">IFERROR(AVERAGEIF(D48:H48,"&lt;&gt;0"),"")</f>
        <v>28000</v>
      </c>
      <c r="Z48" s="17" t="n">
        <f aca="false">IFERROR(AVERAGEIF(I48:M48,"&lt;&gt;0"),"")</f>
        <v>28000</v>
      </c>
      <c r="AA48" s="17" t="n">
        <f aca="false">IFERROR(AVERAGEIF(N48:R48,"&lt;&gt;0"),"")</f>
        <v>28000</v>
      </c>
      <c r="AB48" s="17" t="n">
        <f aca="false">IFERROR(AVERAGEIF(S48:W48,"&lt;&gt;0"),"")</f>
        <v>28000</v>
      </c>
      <c r="AC48" s="17" t="str">
        <f aca="false">IFERROR(AVERAGEIF(X48:X48,"&lt;&gt;0"),"")</f>
        <v/>
      </c>
      <c r="AD48" s="17" t="n">
        <f aca="false">IFERROR(AVERAGEIF(D48:X48,"&lt;&gt;0"),"")</f>
        <v>28000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6"/>
    <col collapsed="false" customWidth="true" hidden="false" outlineLevel="0" max="26" min="4" style="1" width="11"/>
    <col collapsed="false" customWidth="true" hidden="false" outlineLevel="0" max="31" min="27" style="1" width="13"/>
    <col collapsed="false" customWidth="true" hidden="false" outlineLevel="0" max="32" min="32" style="1" width="14"/>
  </cols>
  <sheetData>
    <row r="1" customFormat="false" ht="64.5" hidden="false" customHeight="true" outlineLevel="0" collapsed="false">
      <c r="A1" s="2" t="s">
        <v>645</v>
      </c>
      <c r="B1" s="2"/>
      <c r="C1" s="2"/>
      <c r="D1" s="2"/>
    </row>
    <row r="2" customFormat="false" ht="36.75" hidden="false" customHeight="true" outlineLevel="0" collapsed="false">
      <c r="A2" s="12" t="s">
        <v>646</v>
      </c>
      <c r="B2" s="12"/>
      <c r="C2" s="12"/>
      <c r="D2" s="12"/>
    </row>
    <row r="4" customFormat="false" ht="25.5" hidden="false" customHeight="true" outlineLevel="0" collapsed="false">
      <c r="A4" s="3" t="s">
        <v>1</v>
      </c>
      <c r="B4" s="3" t="s">
        <v>376</v>
      </c>
      <c r="C4" s="3" t="s">
        <v>377</v>
      </c>
      <c r="D4" s="3" t="s">
        <v>638</v>
      </c>
      <c r="E4" s="3" t="s">
        <v>647</v>
      </c>
      <c r="F4" s="3" t="s">
        <v>648</v>
      </c>
      <c r="G4" s="3" t="s">
        <v>649</v>
      </c>
      <c r="H4" s="3" t="s">
        <v>650</v>
      </c>
      <c r="I4" s="3" t="s">
        <v>651</v>
      </c>
      <c r="J4" s="3" t="s">
        <v>652</v>
      </c>
      <c r="K4" s="3" t="s">
        <v>653</v>
      </c>
      <c r="L4" s="3" t="s">
        <v>654</v>
      </c>
      <c r="M4" s="3" t="s">
        <v>655</v>
      </c>
      <c r="N4" s="3" t="s">
        <v>656</v>
      </c>
      <c r="O4" s="3" t="s">
        <v>657</v>
      </c>
      <c r="P4" s="3" t="s">
        <v>658</v>
      </c>
      <c r="Q4" s="3" t="s">
        <v>659</v>
      </c>
      <c r="R4" s="3" t="s">
        <v>660</v>
      </c>
      <c r="S4" s="3" t="s">
        <v>661</v>
      </c>
      <c r="T4" s="3" t="s">
        <v>662</v>
      </c>
      <c r="U4" s="3" t="s">
        <v>663</v>
      </c>
      <c r="V4" s="3" t="s">
        <v>664</v>
      </c>
      <c r="W4" s="3" t="s">
        <v>665</v>
      </c>
      <c r="X4" s="3" t="s">
        <v>666</v>
      </c>
      <c r="Y4" s="3" t="s">
        <v>667</v>
      </c>
      <c r="Z4" s="3" t="s">
        <v>668</v>
      </c>
      <c r="AA4" s="35" t="s">
        <v>669</v>
      </c>
      <c r="AB4" s="35" t="s">
        <v>670</v>
      </c>
      <c r="AC4" s="35" t="s">
        <v>671</v>
      </c>
      <c r="AD4" s="35" t="s">
        <v>672</v>
      </c>
      <c r="AE4" s="35" t="s">
        <v>673</v>
      </c>
      <c r="AF4" s="36" t="s">
        <v>674</v>
      </c>
    </row>
    <row r="5" customFormat="false" ht="15" hidden="false" customHeight="true" outlineLevel="0" collapsed="false">
      <c r="A5" s="5" t="n">
        <v>1</v>
      </c>
      <c r="B5" s="6" t="s">
        <v>334</v>
      </c>
      <c r="C5" s="5" t="s">
        <v>407</v>
      </c>
      <c r="D5" s="37" t="n">
        <v>12525</v>
      </c>
      <c r="E5" s="37" t="n">
        <v>12525</v>
      </c>
      <c r="F5" s="37" t="n">
        <v>0</v>
      </c>
      <c r="G5" s="37" t="n">
        <v>0</v>
      </c>
      <c r="H5" s="37" t="n">
        <v>0</v>
      </c>
      <c r="I5" s="37" t="n">
        <v>0</v>
      </c>
      <c r="J5" s="37" t="n">
        <v>0</v>
      </c>
      <c r="K5" s="37" t="n">
        <v>0</v>
      </c>
      <c r="L5" s="37" t="n">
        <v>0</v>
      </c>
      <c r="M5" s="37" t="n">
        <v>0</v>
      </c>
      <c r="N5" s="37" t="n">
        <v>0</v>
      </c>
      <c r="O5" s="37" t="n">
        <v>0</v>
      </c>
      <c r="P5" s="37" t="n">
        <v>0</v>
      </c>
      <c r="Q5" s="37" t="n">
        <v>0</v>
      </c>
      <c r="R5" s="37" t="n">
        <v>0</v>
      </c>
      <c r="S5" s="37" t="n">
        <v>0</v>
      </c>
      <c r="T5" s="37" t="n">
        <v>0</v>
      </c>
      <c r="U5" s="37" t="n">
        <v>0</v>
      </c>
      <c r="V5" s="37" t="n">
        <v>0</v>
      </c>
      <c r="W5" s="37" t="n">
        <v>0</v>
      </c>
      <c r="X5" s="37" t="n">
        <v>0</v>
      </c>
      <c r="Y5" s="37" t="n">
        <v>0</v>
      </c>
      <c r="Z5" s="37" t="n">
        <v>0</v>
      </c>
      <c r="AA5" s="17" t="n">
        <f aca="false">IFERROR(AVERAGEIF(D5:H5,"&lt;&gt;0"),"")</f>
        <v>12525</v>
      </c>
      <c r="AB5" s="17" t="str">
        <f aca="false">IFERROR(AVERAGEIF(I5:M5,"&lt;&gt;0"),"")</f>
        <v/>
      </c>
      <c r="AC5" s="17" t="str">
        <f aca="false">IFERROR(AVERAGEIF(N5:R5,"&lt;&gt;0"),"")</f>
        <v/>
      </c>
      <c r="AD5" s="17" t="str">
        <f aca="false">IFERROR(AVERAGEIF(S5:W5,"&lt;&gt;0"),"")</f>
        <v/>
      </c>
      <c r="AE5" s="17" t="str">
        <f aca="false">IFERROR(AVERAGEIF(X5:Z5,"&lt;&gt;0"),"")</f>
        <v/>
      </c>
      <c r="AF5" s="17" t="n">
        <f aca="false">IFERROR(AVERAGEIF(D5:Z5,"&lt;&gt;0"),"")</f>
        <v>12525</v>
      </c>
    </row>
    <row r="6" customFormat="false" ht="15" hidden="false" customHeight="true" outlineLevel="0" collapsed="false">
      <c r="A6" s="5" t="n">
        <v>2</v>
      </c>
      <c r="B6" s="6" t="s">
        <v>335</v>
      </c>
      <c r="C6" s="5" t="s">
        <v>407</v>
      </c>
      <c r="D6" s="37" t="n">
        <v>14325</v>
      </c>
      <c r="E6" s="37" t="n">
        <v>14325</v>
      </c>
      <c r="F6" s="37" t="n">
        <v>0</v>
      </c>
      <c r="G6" s="37" t="n">
        <v>0</v>
      </c>
      <c r="H6" s="37" t="n">
        <v>0</v>
      </c>
      <c r="I6" s="37" t="n">
        <v>0</v>
      </c>
      <c r="J6" s="37" t="n">
        <v>0</v>
      </c>
      <c r="K6" s="37" t="n">
        <v>0</v>
      </c>
      <c r="L6" s="37" t="n">
        <v>0</v>
      </c>
      <c r="M6" s="37" t="n">
        <v>0</v>
      </c>
      <c r="N6" s="37" t="n">
        <v>0</v>
      </c>
      <c r="O6" s="37" t="n">
        <v>0</v>
      </c>
      <c r="P6" s="37" t="n">
        <v>0</v>
      </c>
      <c r="Q6" s="37" t="n">
        <v>0</v>
      </c>
      <c r="R6" s="37" t="n">
        <v>0</v>
      </c>
      <c r="S6" s="37" t="n">
        <v>0</v>
      </c>
      <c r="T6" s="37" t="n">
        <v>0</v>
      </c>
      <c r="U6" s="37" t="n">
        <v>0</v>
      </c>
      <c r="V6" s="37" t="n">
        <v>0</v>
      </c>
      <c r="W6" s="37" t="n">
        <v>0</v>
      </c>
      <c r="X6" s="37" t="n">
        <v>0</v>
      </c>
      <c r="Y6" s="37" t="n">
        <v>0</v>
      </c>
      <c r="Z6" s="37" t="n">
        <v>0</v>
      </c>
      <c r="AA6" s="17" t="n">
        <f aca="false">IFERROR(AVERAGEIF(D6:H6,"&lt;&gt;0"),"")</f>
        <v>14325</v>
      </c>
      <c r="AB6" s="17" t="str">
        <f aca="false">IFERROR(AVERAGEIF(I6:M6,"&lt;&gt;0"),"")</f>
        <v/>
      </c>
      <c r="AC6" s="17" t="str">
        <f aca="false">IFERROR(AVERAGEIF(N6:R6,"&lt;&gt;0"),"")</f>
        <v/>
      </c>
      <c r="AD6" s="17" t="str">
        <f aca="false">IFERROR(AVERAGEIF(S6:W6,"&lt;&gt;0"),"")</f>
        <v/>
      </c>
      <c r="AE6" s="17" t="str">
        <f aca="false">IFERROR(AVERAGEIF(X6:Z6,"&lt;&gt;0"),"")</f>
        <v/>
      </c>
      <c r="AF6" s="17" t="n">
        <f aca="false">IFERROR(AVERAGEIF(D6:Z6,"&lt;&gt;0"),"")</f>
        <v>14325</v>
      </c>
    </row>
    <row r="7" customFormat="false" ht="15" hidden="false" customHeight="true" outlineLevel="0" collapsed="false">
      <c r="A7" s="5" t="n">
        <v>3</v>
      </c>
      <c r="B7" s="6" t="s">
        <v>336</v>
      </c>
      <c r="C7" s="5" t="s">
        <v>407</v>
      </c>
      <c r="D7" s="37" t="n">
        <v>11800</v>
      </c>
      <c r="E7" s="37" t="n">
        <v>11800</v>
      </c>
      <c r="F7" s="37" t="n">
        <v>0</v>
      </c>
      <c r="G7" s="37" t="n">
        <v>0</v>
      </c>
      <c r="H7" s="37" t="n">
        <v>0</v>
      </c>
      <c r="I7" s="37" t="n">
        <v>0</v>
      </c>
      <c r="J7" s="37" t="n">
        <v>0</v>
      </c>
      <c r="K7" s="37" t="n">
        <v>0</v>
      </c>
      <c r="L7" s="37" t="n">
        <v>0</v>
      </c>
      <c r="M7" s="37" t="n">
        <v>0</v>
      </c>
      <c r="N7" s="37" t="n">
        <v>0</v>
      </c>
      <c r="O7" s="37" t="n">
        <v>0</v>
      </c>
      <c r="P7" s="37" t="n">
        <v>0</v>
      </c>
      <c r="Q7" s="37" t="n">
        <v>0</v>
      </c>
      <c r="R7" s="37" t="n">
        <v>0</v>
      </c>
      <c r="S7" s="37" t="n">
        <v>0</v>
      </c>
      <c r="T7" s="37" t="n">
        <v>0</v>
      </c>
      <c r="U7" s="37" t="n">
        <v>0</v>
      </c>
      <c r="V7" s="37" t="n">
        <v>0</v>
      </c>
      <c r="W7" s="37" t="n">
        <v>0</v>
      </c>
      <c r="X7" s="37" t="n">
        <v>0</v>
      </c>
      <c r="Y7" s="37" t="n">
        <v>0</v>
      </c>
      <c r="Z7" s="37" t="n">
        <v>0</v>
      </c>
      <c r="AA7" s="17" t="n">
        <f aca="false">IFERROR(AVERAGEIF(D7:H7,"&lt;&gt;0"),"")</f>
        <v>11800</v>
      </c>
      <c r="AB7" s="17" t="str">
        <f aca="false">IFERROR(AVERAGEIF(I7:M7,"&lt;&gt;0"),"")</f>
        <v/>
      </c>
      <c r="AC7" s="17" t="str">
        <f aca="false">IFERROR(AVERAGEIF(N7:R7,"&lt;&gt;0"),"")</f>
        <v/>
      </c>
      <c r="AD7" s="17" t="str">
        <f aca="false">IFERROR(AVERAGEIF(S7:W7,"&lt;&gt;0"),"")</f>
        <v/>
      </c>
      <c r="AE7" s="17" t="str">
        <f aca="false">IFERROR(AVERAGEIF(X7:Z7,"&lt;&gt;0"),"")</f>
        <v/>
      </c>
      <c r="AF7" s="17" t="n">
        <f aca="false">IFERROR(AVERAGEIF(D7:Z7,"&lt;&gt;0"),"")</f>
        <v>11800</v>
      </c>
    </row>
    <row r="8" customFormat="false" ht="15" hidden="false" customHeight="true" outlineLevel="0" collapsed="false">
      <c r="A8" s="5" t="n">
        <v>4</v>
      </c>
      <c r="B8" s="6" t="s">
        <v>408</v>
      </c>
      <c r="C8" s="5" t="s">
        <v>407</v>
      </c>
      <c r="D8" s="37" t="n">
        <v>11000</v>
      </c>
      <c r="E8" s="37" t="n">
        <v>11000</v>
      </c>
      <c r="F8" s="37" t="n">
        <v>0</v>
      </c>
      <c r="G8" s="37" t="n">
        <v>0</v>
      </c>
      <c r="H8" s="37" t="n">
        <v>0</v>
      </c>
      <c r="I8" s="37" t="n">
        <v>0</v>
      </c>
      <c r="J8" s="37" t="n">
        <v>0</v>
      </c>
      <c r="K8" s="37" t="n">
        <v>0</v>
      </c>
      <c r="L8" s="37" t="n">
        <v>0</v>
      </c>
      <c r="M8" s="37" t="n">
        <v>0</v>
      </c>
      <c r="N8" s="37" t="n">
        <v>0</v>
      </c>
      <c r="O8" s="37" t="n">
        <v>0</v>
      </c>
      <c r="P8" s="37" t="n">
        <v>0</v>
      </c>
      <c r="Q8" s="37" t="n">
        <v>0</v>
      </c>
      <c r="R8" s="37" t="n">
        <v>0</v>
      </c>
      <c r="S8" s="37" t="n">
        <v>0</v>
      </c>
      <c r="T8" s="37" t="n">
        <v>0</v>
      </c>
      <c r="U8" s="37" t="n">
        <v>0</v>
      </c>
      <c r="V8" s="37" t="n">
        <v>0</v>
      </c>
      <c r="W8" s="37" t="n">
        <v>0</v>
      </c>
      <c r="X8" s="37" t="n">
        <v>0</v>
      </c>
      <c r="Y8" s="37" t="n">
        <v>0</v>
      </c>
      <c r="Z8" s="37" t="n">
        <v>0</v>
      </c>
      <c r="AA8" s="17" t="n">
        <f aca="false">IFERROR(AVERAGEIF(D8:H8,"&lt;&gt;0"),"")</f>
        <v>11000</v>
      </c>
      <c r="AB8" s="17" t="str">
        <f aca="false">IFERROR(AVERAGEIF(I8:M8,"&lt;&gt;0"),"")</f>
        <v/>
      </c>
      <c r="AC8" s="17" t="str">
        <f aca="false">IFERROR(AVERAGEIF(N8:R8,"&lt;&gt;0"),"")</f>
        <v/>
      </c>
      <c r="AD8" s="17" t="str">
        <f aca="false">IFERROR(AVERAGEIF(S8:W8,"&lt;&gt;0"),"")</f>
        <v/>
      </c>
      <c r="AE8" s="17" t="str">
        <f aca="false">IFERROR(AVERAGEIF(X8:Z8,"&lt;&gt;0"),"")</f>
        <v/>
      </c>
      <c r="AF8" s="17" t="n">
        <f aca="false">IFERROR(AVERAGEIF(D8:Z8,"&lt;&gt;0"),"")</f>
        <v>11000</v>
      </c>
    </row>
    <row r="9" customFormat="false" ht="15" hidden="false" customHeight="true" outlineLevel="0" collapsed="false">
      <c r="A9" s="5" t="n">
        <v>5</v>
      </c>
      <c r="B9" s="6" t="s">
        <v>360</v>
      </c>
      <c r="C9" s="5" t="s">
        <v>407</v>
      </c>
      <c r="D9" s="37" t="n">
        <v>28000</v>
      </c>
      <c r="E9" s="37" t="n">
        <v>28000</v>
      </c>
      <c r="F9" s="37" t="n">
        <v>0</v>
      </c>
      <c r="G9" s="37" t="n">
        <v>0</v>
      </c>
      <c r="H9" s="37" t="n">
        <v>0</v>
      </c>
      <c r="I9" s="37" t="n">
        <v>0</v>
      </c>
      <c r="J9" s="37" t="n">
        <v>0</v>
      </c>
      <c r="K9" s="37" t="n">
        <v>0</v>
      </c>
      <c r="L9" s="37" t="n">
        <v>0</v>
      </c>
      <c r="M9" s="37" t="n">
        <v>0</v>
      </c>
      <c r="N9" s="37" t="n">
        <v>0</v>
      </c>
      <c r="O9" s="37" t="n">
        <v>0</v>
      </c>
      <c r="P9" s="37" t="n">
        <v>0</v>
      </c>
      <c r="Q9" s="37" t="n">
        <v>0</v>
      </c>
      <c r="R9" s="37" t="n">
        <v>0</v>
      </c>
      <c r="S9" s="37" t="n">
        <v>0</v>
      </c>
      <c r="T9" s="37" t="n">
        <v>0</v>
      </c>
      <c r="U9" s="37" t="n">
        <v>0</v>
      </c>
      <c r="V9" s="37" t="n">
        <v>0</v>
      </c>
      <c r="W9" s="37" t="n">
        <v>0</v>
      </c>
      <c r="X9" s="37" t="n">
        <v>0</v>
      </c>
      <c r="Y9" s="37" t="n">
        <v>0</v>
      </c>
      <c r="Z9" s="37" t="n">
        <v>0</v>
      </c>
      <c r="AA9" s="17" t="n">
        <f aca="false">IFERROR(AVERAGEIF(D9:H9,"&lt;&gt;0"),"")</f>
        <v>28000</v>
      </c>
      <c r="AB9" s="17" t="str">
        <f aca="false">IFERROR(AVERAGEIF(I9:M9,"&lt;&gt;0"),"")</f>
        <v/>
      </c>
      <c r="AC9" s="17" t="str">
        <f aca="false">IFERROR(AVERAGEIF(N9:R9,"&lt;&gt;0"),"")</f>
        <v/>
      </c>
      <c r="AD9" s="17" t="str">
        <f aca="false">IFERROR(AVERAGEIF(S9:W9,"&lt;&gt;0"),"")</f>
        <v/>
      </c>
      <c r="AE9" s="17" t="str">
        <f aca="false">IFERROR(AVERAGEIF(X9:Z9,"&lt;&gt;0"),"")</f>
        <v/>
      </c>
      <c r="AF9" s="17" t="n">
        <f aca="false">IFERROR(AVERAGEIF(D9:Z9,"&lt;&gt;0"),"")</f>
        <v>28000</v>
      </c>
    </row>
    <row r="10" customFormat="false" ht="15" hidden="false" customHeight="true" outlineLevel="0" collapsed="false">
      <c r="A10" s="5" t="n">
        <v>6</v>
      </c>
      <c r="B10" s="6" t="s">
        <v>361</v>
      </c>
      <c r="C10" s="5" t="s">
        <v>407</v>
      </c>
      <c r="D10" s="37" t="n">
        <v>26000</v>
      </c>
      <c r="E10" s="37" t="n">
        <v>26000</v>
      </c>
      <c r="F10" s="37" t="n">
        <v>0</v>
      </c>
      <c r="G10" s="37" t="n">
        <v>0</v>
      </c>
      <c r="H10" s="37" t="n">
        <v>0</v>
      </c>
      <c r="I10" s="37" t="n">
        <v>0</v>
      </c>
      <c r="J10" s="37" t="n">
        <v>0</v>
      </c>
      <c r="K10" s="37" t="n">
        <v>0</v>
      </c>
      <c r="L10" s="37" t="n">
        <v>0</v>
      </c>
      <c r="M10" s="37" t="n">
        <v>0</v>
      </c>
      <c r="N10" s="37" t="n">
        <v>0</v>
      </c>
      <c r="O10" s="37" t="n">
        <v>0</v>
      </c>
      <c r="P10" s="37" t="n">
        <v>0</v>
      </c>
      <c r="Q10" s="37" t="n">
        <v>0</v>
      </c>
      <c r="R10" s="37" t="n">
        <v>0</v>
      </c>
      <c r="S10" s="37" t="n">
        <v>0</v>
      </c>
      <c r="T10" s="37" t="n">
        <v>0</v>
      </c>
      <c r="U10" s="37" t="n">
        <v>0</v>
      </c>
      <c r="V10" s="37" t="n">
        <v>0</v>
      </c>
      <c r="W10" s="37" t="n">
        <v>0</v>
      </c>
      <c r="X10" s="37" t="n">
        <v>0</v>
      </c>
      <c r="Y10" s="37" t="n">
        <v>0</v>
      </c>
      <c r="Z10" s="37" t="n">
        <v>0</v>
      </c>
      <c r="AA10" s="17" t="n">
        <f aca="false">IFERROR(AVERAGEIF(D10:H10,"&lt;&gt;0"),"")</f>
        <v>26000</v>
      </c>
      <c r="AB10" s="17" t="str">
        <f aca="false">IFERROR(AVERAGEIF(I10:M10,"&lt;&gt;0"),"")</f>
        <v/>
      </c>
      <c r="AC10" s="17" t="str">
        <f aca="false">IFERROR(AVERAGEIF(N10:R10,"&lt;&gt;0"),"")</f>
        <v/>
      </c>
      <c r="AD10" s="17" t="str">
        <f aca="false">IFERROR(AVERAGEIF(S10:W10,"&lt;&gt;0"),"")</f>
        <v/>
      </c>
      <c r="AE10" s="17" t="str">
        <f aca="false">IFERROR(AVERAGEIF(X10:Z10,"&lt;&gt;0"),"")</f>
        <v/>
      </c>
      <c r="AF10" s="17" t="n">
        <f aca="false">IFERROR(AVERAGEIF(D10:Z10,"&lt;&gt;0"),"")</f>
        <v>26000</v>
      </c>
    </row>
    <row r="11" customFormat="false" ht="15" hidden="false" customHeight="true" outlineLevel="0" collapsed="false">
      <c r="A11" s="5" t="n">
        <v>7</v>
      </c>
      <c r="B11" s="6" t="s">
        <v>347</v>
      </c>
      <c r="C11" s="5" t="s">
        <v>407</v>
      </c>
      <c r="D11" s="37" t="n">
        <v>43000</v>
      </c>
      <c r="E11" s="37" t="n">
        <v>43000</v>
      </c>
      <c r="F11" s="37" t="n">
        <v>0</v>
      </c>
      <c r="G11" s="37" t="n">
        <v>0</v>
      </c>
      <c r="H11" s="37" t="n">
        <v>0</v>
      </c>
      <c r="I11" s="37" t="n">
        <v>0</v>
      </c>
      <c r="J11" s="37" t="n">
        <v>0</v>
      </c>
      <c r="K11" s="37" t="n">
        <v>0</v>
      </c>
      <c r="L11" s="37" t="n">
        <v>0</v>
      </c>
      <c r="M11" s="37" t="n">
        <v>0</v>
      </c>
      <c r="N11" s="37" t="n">
        <v>0</v>
      </c>
      <c r="O11" s="37" t="n">
        <v>0</v>
      </c>
      <c r="P11" s="37" t="n">
        <v>0</v>
      </c>
      <c r="Q11" s="37" t="n">
        <v>0</v>
      </c>
      <c r="R11" s="37" t="n">
        <v>0</v>
      </c>
      <c r="S11" s="37" t="n">
        <v>0</v>
      </c>
      <c r="T11" s="37" t="n">
        <v>0</v>
      </c>
      <c r="U11" s="37" t="n">
        <v>0</v>
      </c>
      <c r="V11" s="37" t="n">
        <v>0</v>
      </c>
      <c r="W11" s="37" t="n">
        <v>0</v>
      </c>
      <c r="X11" s="37" t="n">
        <v>0</v>
      </c>
      <c r="Y11" s="37" t="n">
        <v>0</v>
      </c>
      <c r="Z11" s="37" t="n">
        <v>0</v>
      </c>
      <c r="AA11" s="17" t="n">
        <f aca="false">IFERROR(AVERAGEIF(D11:H11,"&lt;&gt;0"),"")</f>
        <v>43000</v>
      </c>
      <c r="AB11" s="17" t="str">
        <f aca="false">IFERROR(AVERAGEIF(I11:M11,"&lt;&gt;0"),"")</f>
        <v/>
      </c>
      <c r="AC11" s="17" t="str">
        <f aca="false">IFERROR(AVERAGEIF(N11:R11,"&lt;&gt;0"),"")</f>
        <v/>
      </c>
      <c r="AD11" s="17" t="str">
        <f aca="false">IFERROR(AVERAGEIF(S11:W11,"&lt;&gt;0"),"")</f>
        <v/>
      </c>
      <c r="AE11" s="17" t="str">
        <f aca="false">IFERROR(AVERAGEIF(X11:Z11,"&lt;&gt;0"),"")</f>
        <v/>
      </c>
      <c r="AF11" s="17" t="n">
        <f aca="false">IFERROR(AVERAGEIF(D11:Z11,"&lt;&gt;0"),"")</f>
        <v>43000</v>
      </c>
    </row>
    <row r="12" customFormat="false" ht="15" hidden="false" customHeight="true" outlineLevel="0" collapsed="false">
      <c r="A12" s="5" t="n">
        <v>8</v>
      </c>
      <c r="B12" s="6" t="s">
        <v>354</v>
      </c>
      <c r="C12" s="5" t="s">
        <v>407</v>
      </c>
      <c r="D12" s="37" t="n">
        <v>30000</v>
      </c>
      <c r="E12" s="37" t="n">
        <v>30000</v>
      </c>
      <c r="F12" s="37" t="n">
        <v>0</v>
      </c>
      <c r="G12" s="37" t="n">
        <v>0</v>
      </c>
      <c r="H12" s="37" t="n">
        <v>0</v>
      </c>
      <c r="I12" s="37" t="n">
        <v>0</v>
      </c>
      <c r="J12" s="37" t="n">
        <v>0</v>
      </c>
      <c r="K12" s="37" t="n">
        <v>0</v>
      </c>
      <c r="L12" s="37" t="n">
        <v>0</v>
      </c>
      <c r="M12" s="37" t="n">
        <v>0</v>
      </c>
      <c r="N12" s="37" t="n">
        <v>0</v>
      </c>
      <c r="O12" s="37" t="n">
        <v>0</v>
      </c>
      <c r="P12" s="37" t="n">
        <v>0</v>
      </c>
      <c r="Q12" s="37" t="n">
        <v>0</v>
      </c>
      <c r="R12" s="37" t="n">
        <v>0</v>
      </c>
      <c r="S12" s="37" t="n">
        <v>0</v>
      </c>
      <c r="T12" s="37" t="n">
        <v>0</v>
      </c>
      <c r="U12" s="37" t="n">
        <v>0</v>
      </c>
      <c r="V12" s="37" t="n">
        <v>0</v>
      </c>
      <c r="W12" s="37" t="n">
        <v>0</v>
      </c>
      <c r="X12" s="37" t="n">
        <v>0</v>
      </c>
      <c r="Y12" s="37" t="n">
        <v>0</v>
      </c>
      <c r="Z12" s="37" t="n">
        <v>0</v>
      </c>
      <c r="AA12" s="17" t="n">
        <f aca="false">IFERROR(AVERAGEIF(D12:H12,"&lt;&gt;0"),"")</f>
        <v>30000</v>
      </c>
      <c r="AB12" s="17" t="str">
        <f aca="false">IFERROR(AVERAGEIF(I12:M12,"&lt;&gt;0"),"")</f>
        <v/>
      </c>
      <c r="AC12" s="17" t="str">
        <f aca="false">IFERROR(AVERAGEIF(N12:R12,"&lt;&gt;0"),"")</f>
        <v/>
      </c>
      <c r="AD12" s="17" t="str">
        <f aca="false">IFERROR(AVERAGEIF(S12:W12,"&lt;&gt;0"),"")</f>
        <v/>
      </c>
      <c r="AE12" s="17" t="str">
        <f aca="false">IFERROR(AVERAGEIF(X12:Z12,"&lt;&gt;0"),"")</f>
        <v/>
      </c>
      <c r="AF12" s="17" t="n">
        <f aca="false">IFERROR(AVERAGEIF(D12:Z12,"&lt;&gt;0"),"")</f>
        <v>30000</v>
      </c>
    </row>
    <row r="13" customFormat="false" ht="15" hidden="false" customHeight="true" outlineLevel="0" collapsed="false">
      <c r="A13" s="5" t="n">
        <v>9</v>
      </c>
      <c r="B13" s="6" t="s">
        <v>349</v>
      </c>
      <c r="C13" s="5" t="s">
        <v>407</v>
      </c>
      <c r="D13" s="37" t="n">
        <v>16500</v>
      </c>
      <c r="E13" s="37" t="n">
        <v>16500</v>
      </c>
      <c r="F13" s="37" t="n">
        <v>0</v>
      </c>
      <c r="G13" s="37" t="n">
        <v>0</v>
      </c>
      <c r="H13" s="37" t="n">
        <v>0</v>
      </c>
      <c r="I13" s="37" t="n">
        <v>0</v>
      </c>
      <c r="J13" s="37" t="n">
        <v>0</v>
      </c>
      <c r="K13" s="37" t="n">
        <v>0</v>
      </c>
      <c r="L13" s="37" t="n">
        <v>0</v>
      </c>
      <c r="M13" s="37" t="n">
        <v>0</v>
      </c>
      <c r="N13" s="37" t="n">
        <v>0</v>
      </c>
      <c r="O13" s="37" t="n">
        <v>0</v>
      </c>
      <c r="P13" s="37" t="n">
        <v>0</v>
      </c>
      <c r="Q13" s="37" t="n">
        <v>0</v>
      </c>
      <c r="R13" s="37" t="n">
        <v>0</v>
      </c>
      <c r="S13" s="37" t="n">
        <v>0</v>
      </c>
      <c r="T13" s="37" t="n">
        <v>0</v>
      </c>
      <c r="U13" s="37" t="n">
        <v>0</v>
      </c>
      <c r="V13" s="37" t="n">
        <v>0</v>
      </c>
      <c r="W13" s="37" t="n">
        <v>0</v>
      </c>
      <c r="X13" s="37" t="n">
        <v>0</v>
      </c>
      <c r="Y13" s="37" t="n">
        <v>0</v>
      </c>
      <c r="Z13" s="37" t="n">
        <v>0</v>
      </c>
      <c r="AA13" s="17" t="n">
        <f aca="false">IFERROR(AVERAGEIF(D13:H13,"&lt;&gt;0"),"")</f>
        <v>16500</v>
      </c>
      <c r="AB13" s="17" t="str">
        <f aca="false">IFERROR(AVERAGEIF(I13:M13,"&lt;&gt;0"),"")</f>
        <v/>
      </c>
      <c r="AC13" s="17" t="str">
        <f aca="false">IFERROR(AVERAGEIF(N13:R13,"&lt;&gt;0"),"")</f>
        <v/>
      </c>
      <c r="AD13" s="17" t="str">
        <f aca="false">IFERROR(AVERAGEIF(S13:W13,"&lt;&gt;0"),"")</f>
        <v/>
      </c>
      <c r="AE13" s="17" t="str">
        <f aca="false">IFERROR(AVERAGEIF(X13:Z13,"&lt;&gt;0"),"")</f>
        <v/>
      </c>
      <c r="AF13" s="17" t="n">
        <f aca="false">IFERROR(AVERAGEIF(D13:Z13,"&lt;&gt;0"),"")</f>
        <v>16500</v>
      </c>
    </row>
    <row r="14" customFormat="false" ht="15" hidden="false" customHeight="true" outlineLevel="0" collapsed="false">
      <c r="A14" s="5" t="n">
        <v>10</v>
      </c>
      <c r="B14" s="6" t="s">
        <v>340</v>
      </c>
      <c r="C14" s="5" t="s">
        <v>453</v>
      </c>
      <c r="D14" s="37" t="n">
        <v>18450</v>
      </c>
      <c r="E14" s="37" t="n">
        <v>18450</v>
      </c>
      <c r="F14" s="37" t="n">
        <v>0</v>
      </c>
      <c r="G14" s="37" t="n">
        <v>0</v>
      </c>
      <c r="H14" s="37" t="n">
        <v>0</v>
      </c>
      <c r="I14" s="37" t="n">
        <v>0</v>
      </c>
      <c r="J14" s="37" t="n">
        <v>0</v>
      </c>
      <c r="K14" s="37" t="n">
        <v>0</v>
      </c>
      <c r="L14" s="37" t="n">
        <v>0</v>
      </c>
      <c r="M14" s="37" t="n">
        <v>0</v>
      </c>
      <c r="N14" s="37" t="n">
        <v>0</v>
      </c>
      <c r="O14" s="37" t="n">
        <v>0</v>
      </c>
      <c r="P14" s="37" t="n">
        <v>0</v>
      </c>
      <c r="Q14" s="37" t="n">
        <v>0</v>
      </c>
      <c r="R14" s="37" t="n">
        <v>0</v>
      </c>
      <c r="S14" s="37" t="n">
        <v>0</v>
      </c>
      <c r="T14" s="37" t="n">
        <v>0</v>
      </c>
      <c r="U14" s="37" t="n">
        <v>0</v>
      </c>
      <c r="V14" s="37" t="n">
        <v>0</v>
      </c>
      <c r="W14" s="37" t="n">
        <v>0</v>
      </c>
      <c r="X14" s="37" t="n">
        <v>0</v>
      </c>
      <c r="Y14" s="37" t="n">
        <v>0</v>
      </c>
      <c r="Z14" s="37" t="n">
        <v>0</v>
      </c>
      <c r="AA14" s="17" t="n">
        <f aca="false">IFERROR(AVERAGEIF(D14:H14,"&lt;&gt;0"),"")</f>
        <v>18450</v>
      </c>
      <c r="AB14" s="17" t="str">
        <f aca="false">IFERROR(AVERAGEIF(I14:M14,"&lt;&gt;0"),"")</f>
        <v/>
      </c>
      <c r="AC14" s="17" t="str">
        <f aca="false">IFERROR(AVERAGEIF(N14:R14,"&lt;&gt;0"),"")</f>
        <v/>
      </c>
      <c r="AD14" s="17" t="str">
        <f aca="false">IFERROR(AVERAGEIF(S14:W14,"&lt;&gt;0"),"")</f>
        <v/>
      </c>
      <c r="AE14" s="17" t="str">
        <f aca="false">IFERROR(AVERAGEIF(X14:Z14,"&lt;&gt;0"),"")</f>
        <v/>
      </c>
      <c r="AF14" s="17" t="n">
        <f aca="false">IFERROR(AVERAGEIF(D14:Z14,"&lt;&gt;0"),"")</f>
        <v>18450</v>
      </c>
    </row>
    <row r="15" customFormat="false" ht="21.75" hidden="false" customHeight="true" outlineLevel="0" collapsed="false">
      <c r="A15" s="5" t="n">
        <v>11</v>
      </c>
      <c r="B15" s="6" t="s">
        <v>341</v>
      </c>
      <c r="C15" s="5" t="s">
        <v>453</v>
      </c>
      <c r="D15" s="37" t="n">
        <v>23000</v>
      </c>
      <c r="E15" s="37" t="n">
        <v>23000</v>
      </c>
      <c r="F15" s="37" t="n">
        <v>0</v>
      </c>
      <c r="G15" s="37" t="n">
        <v>0</v>
      </c>
      <c r="H15" s="37" t="n">
        <v>0</v>
      </c>
      <c r="I15" s="37" t="n">
        <v>0</v>
      </c>
      <c r="J15" s="37" t="n">
        <v>0</v>
      </c>
      <c r="K15" s="37" t="n">
        <v>0</v>
      </c>
      <c r="L15" s="37" t="n">
        <v>0</v>
      </c>
      <c r="M15" s="37" t="n">
        <v>0</v>
      </c>
      <c r="N15" s="37" t="n">
        <v>0</v>
      </c>
      <c r="O15" s="37" t="n">
        <v>0</v>
      </c>
      <c r="P15" s="37" t="n">
        <v>0</v>
      </c>
      <c r="Q15" s="37" t="n">
        <v>0</v>
      </c>
      <c r="R15" s="37" t="n">
        <v>0</v>
      </c>
      <c r="S15" s="37" t="n">
        <v>0</v>
      </c>
      <c r="T15" s="37" t="n">
        <v>0</v>
      </c>
      <c r="U15" s="37" t="n">
        <v>0</v>
      </c>
      <c r="V15" s="37" t="n">
        <v>0</v>
      </c>
      <c r="W15" s="37" t="n">
        <v>0</v>
      </c>
      <c r="X15" s="37" t="n">
        <v>0</v>
      </c>
      <c r="Y15" s="37" t="n">
        <v>0</v>
      </c>
      <c r="Z15" s="37" t="n">
        <v>0</v>
      </c>
      <c r="AA15" s="17" t="n">
        <f aca="false">IFERROR(AVERAGEIF(D15:H15,"&lt;&gt;0"),"")</f>
        <v>23000</v>
      </c>
      <c r="AB15" s="17" t="str">
        <f aca="false">IFERROR(AVERAGEIF(I15:M15,"&lt;&gt;0"),"")</f>
        <v/>
      </c>
      <c r="AC15" s="17" t="str">
        <f aca="false">IFERROR(AVERAGEIF(N15:R15,"&lt;&gt;0"),"")</f>
        <v/>
      </c>
      <c r="AD15" s="17" t="str">
        <f aca="false">IFERROR(AVERAGEIF(S15:W15,"&lt;&gt;0"),"")</f>
        <v/>
      </c>
      <c r="AE15" s="17" t="str">
        <f aca="false">IFERROR(AVERAGEIF(X15:Z15,"&lt;&gt;0"),"")</f>
        <v/>
      </c>
      <c r="AF15" s="17" t="n">
        <f aca="false">IFERROR(AVERAGEIF(D15:Z15,"&lt;&gt;0"),"")</f>
        <v>23000</v>
      </c>
    </row>
    <row r="16" customFormat="false" ht="15" hidden="false" customHeight="true" outlineLevel="0" collapsed="false">
      <c r="A16" s="5" t="n">
        <v>12</v>
      </c>
      <c r="B16" s="6" t="s">
        <v>342</v>
      </c>
      <c r="C16" s="5" t="s">
        <v>453</v>
      </c>
      <c r="D16" s="37" t="n">
        <v>15500</v>
      </c>
      <c r="E16" s="37" t="n">
        <v>15500</v>
      </c>
      <c r="F16" s="37" t="n">
        <v>0</v>
      </c>
      <c r="G16" s="37" t="n">
        <v>0</v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7" t="n">
        <v>0</v>
      </c>
      <c r="W16" s="37" t="n">
        <v>0</v>
      </c>
      <c r="X16" s="37" t="n">
        <v>0</v>
      </c>
      <c r="Y16" s="37" t="n">
        <v>0</v>
      </c>
      <c r="Z16" s="37" t="n">
        <v>0</v>
      </c>
      <c r="AA16" s="17" t="n">
        <f aca="false">IFERROR(AVERAGEIF(D16:H16,"&lt;&gt;0"),"")</f>
        <v>15500</v>
      </c>
      <c r="AB16" s="17" t="str">
        <f aca="false">IFERROR(AVERAGEIF(I16:M16,"&lt;&gt;0"),"")</f>
        <v/>
      </c>
      <c r="AC16" s="17" t="str">
        <f aca="false">IFERROR(AVERAGEIF(N16:R16,"&lt;&gt;0"),"")</f>
        <v/>
      </c>
      <c r="AD16" s="17" t="str">
        <f aca="false">IFERROR(AVERAGEIF(S16:W16,"&lt;&gt;0"),"")</f>
        <v/>
      </c>
      <c r="AE16" s="17" t="str">
        <f aca="false">IFERROR(AVERAGEIF(X16:Z16,"&lt;&gt;0"),"")</f>
        <v/>
      </c>
      <c r="AF16" s="17" t="n">
        <f aca="false">IFERROR(AVERAGEIF(D16:Z16,"&lt;&gt;0"),"")</f>
        <v>15500</v>
      </c>
    </row>
    <row r="17" customFormat="false" ht="15" hidden="false" customHeight="true" outlineLevel="0" collapsed="false">
      <c r="A17" s="5" t="n">
        <v>13</v>
      </c>
      <c r="B17" s="6" t="s">
        <v>337</v>
      </c>
      <c r="C17" s="5" t="s">
        <v>407</v>
      </c>
      <c r="D17" s="37" t="n">
        <v>11000</v>
      </c>
      <c r="E17" s="37" t="n">
        <v>11000</v>
      </c>
      <c r="F17" s="37" t="n">
        <v>0</v>
      </c>
      <c r="G17" s="37" t="n">
        <v>0</v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37" t="n">
        <v>0</v>
      </c>
      <c r="U17" s="37" t="n">
        <v>0</v>
      </c>
      <c r="V17" s="37" t="n">
        <v>0</v>
      </c>
      <c r="W17" s="37" t="n">
        <v>0</v>
      </c>
      <c r="X17" s="37" t="n">
        <v>0</v>
      </c>
      <c r="Y17" s="37" t="n">
        <v>0</v>
      </c>
      <c r="Z17" s="37" t="n">
        <v>0</v>
      </c>
      <c r="AA17" s="17" t="n">
        <f aca="false">IFERROR(AVERAGEIF(D17:H17,"&lt;&gt;0"),"")</f>
        <v>11000</v>
      </c>
      <c r="AB17" s="17" t="str">
        <f aca="false">IFERROR(AVERAGEIF(I17:M17,"&lt;&gt;0"),"")</f>
        <v/>
      </c>
      <c r="AC17" s="17" t="str">
        <f aca="false">IFERROR(AVERAGEIF(N17:R17,"&lt;&gt;0"),"")</f>
        <v/>
      </c>
      <c r="AD17" s="17" t="str">
        <f aca="false">IFERROR(AVERAGEIF(S17:W17,"&lt;&gt;0"),"")</f>
        <v/>
      </c>
      <c r="AE17" s="17" t="str">
        <f aca="false">IFERROR(AVERAGEIF(X17:Z17,"&lt;&gt;0"),"")</f>
        <v/>
      </c>
      <c r="AF17" s="17" t="n">
        <f aca="false">IFERROR(AVERAGEIF(D17:Z17,"&lt;&gt;0"),"")</f>
        <v>11000</v>
      </c>
    </row>
    <row r="18" customFormat="false" ht="15" hidden="false" customHeight="true" outlineLevel="0" collapsed="false">
      <c r="A18" s="5" t="n">
        <v>14</v>
      </c>
      <c r="B18" s="6" t="s">
        <v>339</v>
      </c>
      <c r="C18" s="5" t="s">
        <v>407</v>
      </c>
      <c r="D18" s="37" t="n">
        <v>36000</v>
      </c>
      <c r="E18" s="37" t="n">
        <v>36000</v>
      </c>
      <c r="F18" s="37" t="n">
        <v>0</v>
      </c>
      <c r="G18" s="37" t="n">
        <v>0</v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37" t="n">
        <v>0</v>
      </c>
      <c r="U18" s="37" t="n">
        <v>0</v>
      </c>
      <c r="V18" s="37" t="n">
        <v>0</v>
      </c>
      <c r="W18" s="37" t="n">
        <v>0</v>
      </c>
      <c r="X18" s="37" t="n">
        <v>0</v>
      </c>
      <c r="Y18" s="37" t="n">
        <v>0</v>
      </c>
      <c r="Z18" s="37" t="n">
        <v>0</v>
      </c>
      <c r="AA18" s="17" t="n">
        <f aca="false">IFERROR(AVERAGEIF(D18:H18,"&lt;&gt;0"),"")</f>
        <v>36000</v>
      </c>
      <c r="AB18" s="17" t="str">
        <f aca="false">IFERROR(AVERAGEIF(I18:M18,"&lt;&gt;0"),"")</f>
        <v/>
      </c>
      <c r="AC18" s="17" t="str">
        <f aca="false">IFERROR(AVERAGEIF(N18:R18,"&lt;&gt;0"),"")</f>
        <v/>
      </c>
      <c r="AD18" s="17" t="str">
        <f aca="false">IFERROR(AVERAGEIF(S18:W18,"&lt;&gt;0"),"")</f>
        <v/>
      </c>
      <c r="AE18" s="17" t="str">
        <f aca="false">IFERROR(AVERAGEIF(X18:Z18,"&lt;&gt;0"),"")</f>
        <v/>
      </c>
      <c r="AF18" s="17" t="n">
        <f aca="false">IFERROR(AVERAGEIF(D18:Z18,"&lt;&gt;0"),"")</f>
        <v>36000</v>
      </c>
    </row>
    <row r="19" customFormat="false" ht="15" hidden="false" customHeight="true" outlineLevel="0" collapsed="false">
      <c r="A19" s="5" t="n">
        <v>15</v>
      </c>
      <c r="B19" s="6" t="s">
        <v>348</v>
      </c>
      <c r="C19" s="5" t="s">
        <v>407</v>
      </c>
      <c r="D19" s="37" t="n">
        <v>23000</v>
      </c>
      <c r="E19" s="37" t="n">
        <v>23000</v>
      </c>
      <c r="F19" s="37" t="n">
        <v>0</v>
      </c>
      <c r="G19" s="37" t="n">
        <v>0</v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37" t="n">
        <v>0</v>
      </c>
      <c r="U19" s="37" t="n">
        <v>0</v>
      </c>
      <c r="V19" s="37" t="n">
        <v>0</v>
      </c>
      <c r="W19" s="37" t="n">
        <v>0</v>
      </c>
      <c r="X19" s="37" t="n">
        <v>0</v>
      </c>
      <c r="Y19" s="37" t="n">
        <v>0</v>
      </c>
      <c r="Z19" s="37" t="n">
        <v>0</v>
      </c>
      <c r="AA19" s="17" t="n">
        <f aca="false">IFERROR(AVERAGEIF(D19:H19,"&lt;&gt;0"),"")</f>
        <v>23000</v>
      </c>
      <c r="AB19" s="17" t="str">
        <f aca="false">IFERROR(AVERAGEIF(I19:M19,"&lt;&gt;0"),"")</f>
        <v/>
      </c>
      <c r="AC19" s="17" t="str">
        <f aca="false">IFERROR(AVERAGEIF(N19:R19,"&lt;&gt;0"),"")</f>
        <v/>
      </c>
      <c r="AD19" s="17" t="str">
        <f aca="false">IFERROR(AVERAGEIF(S19:W19,"&lt;&gt;0"),"")</f>
        <v/>
      </c>
      <c r="AE19" s="17" t="str">
        <f aca="false">IFERROR(AVERAGEIF(X19:Z19,"&lt;&gt;0"),"")</f>
        <v/>
      </c>
      <c r="AF19" s="17" t="n">
        <f aca="false">IFERROR(AVERAGEIF(D19:Z19,"&lt;&gt;0"),"")</f>
        <v>23000</v>
      </c>
    </row>
    <row r="20" customFormat="false" ht="15" hidden="false" customHeight="true" outlineLevel="0" collapsed="false">
      <c r="A20" s="5" t="n">
        <v>16</v>
      </c>
      <c r="B20" s="6" t="s">
        <v>362</v>
      </c>
      <c r="C20" s="5" t="s">
        <v>407</v>
      </c>
      <c r="D20" s="37" t="n">
        <v>120000</v>
      </c>
      <c r="E20" s="37" t="n">
        <v>120000</v>
      </c>
      <c r="F20" s="37" t="n">
        <v>0</v>
      </c>
      <c r="G20" s="37" t="n">
        <v>0</v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37" t="n">
        <v>0</v>
      </c>
      <c r="U20" s="37" t="n">
        <v>0</v>
      </c>
      <c r="V20" s="37" t="n">
        <v>0</v>
      </c>
      <c r="W20" s="37" t="n">
        <v>0</v>
      </c>
      <c r="X20" s="37" t="n">
        <v>0</v>
      </c>
      <c r="Y20" s="37" t="n">
        <v>0</v>
      </c>
      <c r="Z20" s="37" t="n">
        <v>0</v>
      </c>
      <c r="AA20" s="17" t="n">
        <f aca="false">IFERROR(AVERAGEIF(D20:H20,"&lt;&gt;0"),"")</f>
        <v>120000</v>
      </c>
      <c r="AB20" s="17" t="str">
        <f aca="false">IFERROR(AVERAGEIF(I20:M20,"&lt;&gt;0"),"")</f>
        <v/>
      </c>
      <c r="AC20" s="17" t="str">
        <f aca="false">IFERROR(AVERAGEIF(N20:R20,"&lt;&gt;0"),"")</f>
        <v/>
      </c>
      <c r="AD20" s="17" t="str">
        <f aca="false">IFERROR(AVERAGEIF(S20:W20,"&lt;&gt;0"),"")</f>
        <v/>
      </c>
      <c r="AE20" s="17" t="str">
        <f aca="false">IFERROR(AVERAGEIF(X20:Z20,"&lt;&gt;0"),"")</f>
        <v/>
      </c>
      <c r="AF20" s="17" t="n">
        <f aca="false">IFERROR(AVERAGEIF(D20:Z20,"&lt;&gt;0"),"")</f>
        <v>120000</v>
      </c>
    </row>
    <row r="21" customFormat="false" ht="15" hidden="false" customHeight="true" outlineLevel="0" collapsed="false">
      <c r="A21" s="5" t="n">
        <v>17</v>
      </c>
      <c r="B21" s="6" t="s">
        <v>363</v>
      </c>
      <c r="C21" s="5" t="s">
        <v>407</v>
      </c>
      <c r="D21" s="37" t="n">
        <v>70000</v>
      </c>
      <c r="E21" s="37" t="n">
        <v>70000</v>
      </c>
      <c r="F21" s="37" t="n">
        <v>0</v>
      </c>
      <c r="G21" s="37" t="n">
        <v>0</v>
      </c>
      <c r="H21" s="37" t="n">
        <v>0</v>
      </c>
      <c r="I21" s="37" t="n">
        <v>0</v>
      </c>
      <c r="J21" s="37" t="n">
        <v>0</v>
      </c>
      <c r="K21" s="37" t="n">
        <v>0</v>
      </c>
      <c r="L21" s="37" t="n">
        <v>0</v>
      </c>
      <c r="M21" s="37" t="n">
        <v>0</v>
      </c>
      <c r="N21" s="37" t="n">
        <v>0</v>
      </c>
      <c r="O21" s="37" t="n">
        <v>0</v>
      </c>
      <c r="P21" s="37" t="n">
        <v>0</v>
      </c>
      <c r="Q21" s="37" t="n">
        <v>0</v>
      </c>
      <c r="R21" s="37" t="n">
        <v>0</v>
      </c>
      <c r="S21" s="37" t="n">
        <v>0</v>
      </c>
      <c r="T21" s="37" t="n">
        <v>0</v>
      </c>
      <c r="U21" s="37" t="n">
        <v>0</v>
      </c>
      <c r="V21" s="37" t="n">
        <v>0</v>
      </c>
      <c r="W21" s="37" t="n">
        <v>0</v>
      </c>
      <c r="X21" s="37" t="n">
        <v>0</v>
      </c>
      <c r="Y21" s="37" t="n">
        <v>0</v>
      </c>
      <c r="Z21" s="37" t="n">
        <v>0</v>
      </c>
      <c r="AA21" s="17" t="n">
        <f aca="false">IFERROR(AVERAGEIF(D21:H21,"&lt;&gt;0"),"")</f>
        <v>70000</v>
      </c>
      <c r="AB21" s="17" t="str">
        <f aca="false">IFERROR(AVERAGEIF(I21:M21,"&lt;&gt;0"),"")</f>
        <v/>
      </c>
      <c r="AC21" s="17" t="str">
        <f aca="false">IFERROR(AVERAGEIF(N21:R21,"&lt;&gt;0"),"")</f>
        <v/>
      </c>
      <c r="AD21" s="17" t="str">
        <f aca="false">IFERROR(AVERAGEIF(S21:W21,"&lt;&gt;0"),"")</f>
        <v/>
      </c>
      <c r="AE21" s="17" t="str">
        <f aca="false">IFERROR(AVERAGEIF(X21:Z21,"&lt;&gt;0"),"")</f>
        <v/>
      </c>
      <c r="AF21" s="17" t="n">
        <f aca="false">IFERROR(AVERAGEIF(D21:Z21,"&lt;&gt;0"),"")</f>
        <v>70000</v>
      </c>
    </row>
    <row r="22" customFormat="false" ht="15" hidden="false" customHeight="true" outlineLevel="0" collapsed="false">
      <c r="A22" s="5" t="n">
        <v>18</v>
      </c>
      <c r="B22" s="6" t="s">
        <v>364</v>
      </c>
      <c r="C22" s="5" t="s">
        <v>407</v>
      </c>
      <c r="D22" s="37" t="n">
        <v>80000</v>
      </c>
      <c r="E22" s="37" t="n">
        <v>80000</v>
      </c>
      <c r="F22" s="37" t="n">
        <v>0</v>
      </c>
      <c r="G22" s="37" t="n">
        <v>0</v>
      </c>
      <c r="H22" s="37" t="n">
        <v>0</v>
      </c>
      <c r="I22" s="37" t="n">
        <v>0</v>
      </c>
      <c r="J22" s="37" t="n">
        <v>0</v>
      </c>
      <c r="K22" s="37" t="n">
        <v>0</v>
      </c>
      <c r="L22" s="37" t="n">
        <v>0</v>
      </c>
      <c r="M22" s="37" t="n">
        <v>0</v>
      </c>
      <c r="N22" s="37" t="n">
        <v>0</v>
      </c>
      <c r="O22" s="37" t="n">
        <v>0</v>
      </c>
      <c r="P22" s="37" t="n">
        <v>0</v>
      </c>
      <c r="Q22" s="37" t="n">
        <v>0</v>
      </c>
      <c r="R22" s="37" t="n">
        <v>0</v>
      </c>
      <c r="S22" s="37" t="n">
        <v>0</v>
      </c>
      <c r="T22" s="37" t="n">
        <v>0</v>
      </c>
      <c r="U22" s="37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17" t="n">
        <f aca="false">IFERROR(AVERAGEIF(D22:H22,"&lt;&gt;0"),"")</f>
        <v>80000</v>
      </c>
      <c r="AB22" s="17" t="str">
        <f aca="false">IFERROR(AVERAGEIF(I22:M22,"&lt;&gt;0"),"")</f>
        <v/>
      </c>
      <c r="AC22" s="17" t="str">
        <f aca="false">IFERROR(AVERAGEIF(N22:R22,"&lt;&gt;0"),"")</f>
        <v/>
      </c>
      <c r="AD22" s="17" t="str">
        <f aca="false">IFERROR(AVERAGEIF(S22:W22,"&lt;&gt;0"),"")</f>
        <v/>
      </c>
      <c r="AE22" s="17" t="str">
        <f aca="false">IFERROR(AVERAGEIF(X22:Z22,"&lt;&gt;0"),"")</f>
        <v/>
      </c>
      <c r="AF22" s="17" t="n">
        <f aca="false">IFERROR(AVERAGEIF(D22:Z22,"&lt;&gt;0"),"")</f>
        <v>80000</v>
      </c>
    </row>
    <row r="23" customFormat="false" ht="15" hidden="false" customHeight="true" outlineLevel="0" collapsed="false">
      <c r="A23" s="5" t="n">
        <v>19</v>
      </c>
      <c r="B23" s="6" t="s">
        <v>409</v>
      </c>
      <c r="C23" s="5" t="s">
        <v>407</v>
      </c>
      <c r="D23" s="37" t="n">
        <v>35000</v>
      </c>
      <c r="E23" s="37" t="n">
        <v>35000</v>
      </c>
      <c r="F23" s="37" t="n">
        <v>0</v>
      </c>
      <c r="G23" s="37" t="n">
        <v>0</v>
      </c>
      <c r="H23" s="37" t="n">
        <v>0</v>
      </c>
      <c r="I23" s="37" t="n">
        <v>0</v>
      </c>
      <c r="J23" s="37" t="n">
        <v>0</v>
      </c>
      <c r="K23" s="37" t="n">
        <v>0</v>
      </c>
      <c r="L23" s="37" t="n">
        <v>0</v>
      </c>
      <c r="M23" s="37" t="n">
        <v>0</v>
      </c>
      <c r="N23" s="37" t="n">
        <v>0</v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7" t="n">
        <v>0</v>
      </c>
      <c r="W23" s="37" t="n">
        <v>0</v>
      </c>
      <c r="X23" s="37" t="n">
        <v>0</v>
      </c>
      <c r="Y23" s="37" t="n">
        <v>0</v>
      </c>
      <c r="Z23" s="37" t="n">
        <v>0</v>
      </c>
      <c r="AA23" s="17" t="n">
        <f aca="false">IFERROR(AVERAGEIF(D23:H23,"&lt;&gt;0"),"")</f>
        <v>35000</v>
      </c>
      <c r="AB23" s="17" t="str">
        <f aca="false">IFERROR(AVERAGEIF(I23:M23,"&lt;&gt;0"),"")</f>
        <v/>
      </c>
      <c r="AC23" s="17" t="str">
        <f aca="false">IFERROR(AVERAGEIF(N23:R23,"&lt;&gt;0"),"")</f>
        <v/>
      </c>
      <c r="AD23" s="17" t="str">
        <f aca="false">IFERROR(AVERAGEIF(S23:W23,"&lt;&gt;0"),"")</f>
        <v/>
      </c>
      <c r="AE23" s="17" t="str">
        <f aca="false">IFERROR(AVERAGEIF(X23:Z23,"&lt;&gt;0"),"")</f>
        <v/>
      </c>
      <c r="AF23" s="17" t="n">
        <f aca="false">IFERROR(AVERAGEIF(D23:Z23,"&lt;&gt;0"),"")</f>
        <v>35000</v>
      </c>
    </row>
    <row r="24" customFormat="false" ht="15" hidden="false" customHeight="true" outlineLevel="0" collapsed="false">
      <c r="A24" s="5" t="n">
        <v>20</v>
      </c>
      <c r="B24" s="6" t="s">
        <v>350</v>
      </c>
      <c r="C24" s="5" t="s">
        <v>407</v>
      </c>
      <c r="D24" s="37" t="n">
        <v>45000</v>
      </c>
      <c r="E24" s="37" t="n">
        <v>45000</v>
      </c>
      <c r="F24" s="37" t="n">
        <v>0</v>
      </c>
      <c r="G24" s="37" t="n">
        <v>0</v>
      </c>
      <c r="H24" s="37" t="n">
        <v>0</v>
      </c>
      <c r="I24" s="37" t="n">
        <v>0</v>
      </c>
      <c r="J24" s="37" t="n">
        <v>0</v>
      </c>
      <c r="K24" s="37" t="n">
        <v>0</v>
      </c>
      <c r="L24" s="37" t="n">
        <v>0</v>
      </c>
      <c r="M24" s="37" t="n">
        <v>0</v>
      </c>
      <c r="N24" s="37" t="n">
        <v>0</v>
      </c>
      <c r="O24" s="37" t="n">
        <v>0</v>
      </c>
      <c r="P24" s="37" t="n">
        <v>0</v>
      </c>
      <c r="Q24" s="37" t="n">
        <v>0</v>
      </c>
      <c r="R24" s="37" t="n">
        <v>0</v>
      </c>
      <c r="S24" s="37" t="n">
        <v>0</v>
      </c>
      <c r="T24" s="37" t="n">
        <v>0</v>
      </c>
      <c r="U24" s="37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17" t="n">
        <f aca="false">IFERROR(AVERAGEIF(D24:H24,"&lt;&gt;0"),"")</f>
        <v>45000</v>
      </c>
      <c r="AB24" s="17" t="str">
        <f aca="false">IFERROR(AVERAGEIF(I24:M24,"&lt;&gt;0"),"")</f>
        <v/>
      </c>
      <c r="AC24" s="17" t="str">
        <f aca="false">IFERROR(AVERAGEIF(N24:R24,"&lt;&gt;0"),"")</f>
        <v/>
      </c>
      <c r="AD24" s="17" t="str">
        <f aca="false">IFERROR(AVERAGEIF(S24:W24,"&lt;&gt;0"),"")</f>
        <v/>
      </c>
      <c r="AE24" s="17" t="str">
        <f aca="false">IFERROR(AVERAGEIF(X24:Z24,"&lt;&gt;0"),"")</f>
        <v/>
      </c>
      <c r="AF24" s="17" t="n">
        <f aca="false">IFERROR(AVERAGEIF(D24:Z24,"&lt;&gt;0"),"")</f>
        <v>45000</v>
      </c>
    </row>
    <row r="25" customFormat="false" ht="15" hidden="false" customHeight="true" outlineLevel="0" collapsed="false">
      <c r="A25" s="5" t="n">
        <v>21</v>
      </c>
      <c r="B25" s="6" t="s">
        <v>410</v>
      </c>
      <c r="C25" s="5" t="s">
        <v>407</v>
      </c>
      <c r="D25" s="37" t="n">
        <v>80000</v>
      </c>
      <c r="E25" s="37" t="n">
        <v>80000</v>
      </c>
      <c r="F25" s="37" t="n">
        <v>0</v>
      </c>
      <c r="G25" s="37" t="n">
        <v>0</v>
      </c>
      <c r="H25" s="37" t="n">
        <v>0</v>
      </c>
      <c r="I25" s="37" t="n">
        <v>0</v>
      </c>
      <c r="J25" s="37" t="n">
        <v>0</v>
      </c>
      <c r="K25" s="37" t="n">
        <v>0</v>
      </c>
      <c r="L25" s="37" t="n">
        <v>0</v>
      </c>
      <c r="M25" s="37" t="n">
        <v>0</v>
      </c>
      <c r="N25" s="37" t="n">
        <v>0</v>
      </c>
      <c r="O25" s="37" t="n">
        <v>0</v>
      </c>
      <c r="P25" s="37" t="n">
        <v>0</v>
      </c>
      <c r="Q25" s="37" t="n">
        <v>0</v>
      </c>
      <c r="R25" s="37" t="n">
        <v>0</v>
      </c>
      <c r="S25" s="37" t="n">
        <v>0</v>
      </c>
      <c r="T25" s="37" t="n">
        <v>0</v>
      </c>
      <c r="U25" s="37" t="n">
        <v>0</v>
      </c>
      <c r="V25" s="37" t="n">
        <v>0</v>
      </c>
      <c r="W25" s="37" t="n">
        <v>0</v>
      </c>
      <c r="X25" s="37" t="n">
        <v>0</v>
      </c>
      <c r="Y25" s="37" t="n">
        <v>0</v>
      </c>
      <c r="Z25" s="37" t="n">
        <v>0</v>
      </c>
      <c r="AA25" s="17" t="n">
        <f aca="false">IFERROR(AVERAGEIF(D25:H25,"&lt;&gt;0"),"")</f>
        <v>80000</v>
      </c>
      <c r="AB25" s="17" t="str">
        <f aca="false">IFERROR(AVERAGEIF(I25:M25,"&lt;&gt;0"),"")</f>
        <v/>
      </c>
      <c r="AC25" s="17" t="str">
        <f aca="false">IFERROR(AVERAGEIF(N25:R25,"&lt;&gt;0"),"")</f>
        <v/>
      </c>
      <c r="AD25" s="17" t="str">
        <f aca="false">IFERROR(AVERAGEIF(S25:W25,"&lt;&gt;0"),"")</f>
        <v/>
      </c>
      <c r="AE25" s="17" t="str">
        <f aca="false">IFERROR(AVERAGEIF(X25:Z25,"&lt;&gt;0"),"")</f>
        <v/>
      </c>
      <c r="AF25" s="17" t="n">
        <f aca="false">IFERROR(AVERAGEIF(D25:Z25,"&lt;&gt;0"),"")</f>
        <v>80000</v>
      </c>
    </row>
    <row r="26" customFormat="false" ht="21.75" hidden="false" customHeight="true" outlineLevel="0" collapsed="false">
      <c r="A26" s="5" t="n">
        <v>22</v>
      </c>
      <c r="B26" s="6" t="s">
        <v>357</v>
      </c>
      <c r="C26" s="5" t="s">
        <v>454</v>
      </c>
      <c r="D26" s="37" t="n">
        <v>2800</v>
      </c>
      <c r="E26" s="37" t="n">
        <v>2800</v>
      </c>
      <c r="F26" s="37" t="n">
        <v>0</v>
      </c>
      <c r="G26" s="37" t="n">
        <v>0</v>
      </c>
      <c r="H26" s="37" t="n">
        <v>0</v>
      </c>
      <c r="I26" s="37" t="n">
        <v>0</v>
      </c>
      <c r="J26" s="37" t="n">
        <v>0</v>
      </c>
      <c r="K26" s="37" t="n">
        <v>0</v>
      </c>
      <c r="L26" s="37" t="n">
        <v>0</v>
      </c>
      <c r="M26" s="37" t="n">
        <v>0</v>
      </c>
      <c r="N26" s="37" t="n">
        <v>0</v>
      </c>
      <c r="O26" s="37" t="n">
        <v>0</v>
      </c>
      <c r="P26" s="37" t="n">
        <v>0</v>
      </c>
      <c r="Q26" s="37" t="n">
        <v>0</v>
      </c>
      <c r="R26" s="37" t="n">
        <v>0</v>
      </c>
      <c r="S26" s="37" t="n">
        <v>0</v>
      </c>
      <c r="T26" s="37" t="n">
        <v>0</v>
      </c>
      <c r="U26" s="37" t="n">
        <v>0</v>
      </c>
      <c r="V26" s="37" t="n">
        <v>0</v>
      </c>
      <c r="W26" s="37" t="n">
        <v>0</v>
      </c>
      <c r="X26" s="37" t="n">
        <v>0</v>
      </c>
      <c r="Y26" s="37" t="n">
        <v>0</v>
      </c>
      <c r="Z26" s="37" t="n">
        <v>0</v>
      </c>
      <c r="AA26" s="17" t="n">
        <f aca="false">IFERROR(AVERAGEIF(D26:H26,"&lt;&gt;0"),"")</f>
        <v>2800</v>
      </c>
      <c r="AB26" s="17" t="str">
        <f aca="false">IFERROR(AVERAGEIF(I26:M26,"&lt;&gt;0"),"")</f>
        <v/>
      </c>
      <c r="AC26" s="17" t="str">
        <f aca="false">IFERROR(AVERAGEIF(N26:R26,"&lt;&gt;0"),"")</f>
        <v/>
      </c>
      <c r="AD26" s="17" t="str">
        <f aca="false">IFERROR(AVERAGEIF(S26:W26,"&lt;&gt;0"),"")</f>
        <v/>
      </c>
      <c r="AE26" s="17" t="str">
        <f aca="false">IFERROR(AVERAGEIF(X26:Z26,"&lt;&gt;0"),"")</f>
        <v/>
      </c>
      <c r="AF26" s="17" t="n">
        <f aca="false">IFERROR(AVERAGEIF(D26:Z26,"&lt;&gt;0"),"")</f>
        <v>2800</v>
      </c>
    </row>
    <row r="27" customFormat="false" ht="15" hidden="false" customHeight="true" outlineLevel="0" collapsed="false">
      <c r="A27" s="5" t="n">
        <v>23</v>
      </c>
      <c r="B27" s="6" t="s">
        <v>355</v>
      </c>
      <c r="C27" s="5" t="s">
        <v>407</v>
      </c>
      <c r="D27" s="37" t="n">
        <v>30000</v>
      </c>
      <c r="E27" s="37" t="n">
        <v>30000</v>
      </c>
      <c r="F27" s="37" t="n">
        <v>0</v>
      </c>
      <c r="G27" s="37" t="n">
        <v>0</v>
      </c>
      <c r="H27" s="37" t="n">
        <v>0</v>
      </c>
      <c r="I27" s="37" t="n">
        <v>0</v>
      </c>
      <c r="J27" s="37" t="n">
        <v>0</v>
      </c>
      <c r="K27" s="37" t="n">
        <v>0</v>
      </c>
      <c r="L27" s="37" t="n">
        <v>0</v>
      </c>
      <c r="M27" s="37" t="n">
        <v>0</v>
      </c>
      <c r="N27" s="37" t="n">
        <v>0</v>
      </c>
      <c r="O27" s="37" t="n">
        <v>0</v>
      </c>
      <c r="P27" s="37" t="n">
        <v>0</v>
      </c>
      <c r="Q27" s="37" t="n">
        <v>0</v>
      </c>
      <c r="R27" s="37" t="n">
        <v>0</v>
      </c>
      <c r="S27" s="37" t="n">
        <v>0</v>
      </c>
      <c r="T27" s="37" t="n">
        <v>0</v>
      </c>
      <c r="U27" s="37" t="n">
        <v>0</v>
      </c>
      <c r="V27" s="37" t="n">
        <v>0</v>
      </c>
      <c r="W27" s="37" t="n">
        <v>0</v>
      </c>
      <c r="X27" s="37" t="n">
        <v>0</v>
      </c>
      <c r="Y27" s="37" t="n">
        <v>0</v>
      </c>
      <c r="Z27" s="37" t="n">
        <v>0</v>
      </c>
      <c r="AA27" s="17" t="n">
        <f aca="false">IFERROR(AVERAGEIF(D27:H27,"&lt;&gt;0"),"")</f>
        <v>30000</v>
      </c>
      <c r="AB27" s="17" t="str">
        <f aca="false">IFERROR(AVERAGEIF(I27:M27,"&lt;&gt;0"),"")</f>
        <v/>
      </c>
      <c r="AC27" s="17" t="str">
        <f aca="false">IFERROR(AVERAGEIF(N27:R27,"&lt;&gt;0"),"")</f>
        <v/>
      </c>
      <c r="AD27" s="17" t="str">
        <f aca="false">IFERROR(AVERAGEIF(S27:W27,"&lt;&gt;0"),"")</f>
        <v/>
      </c>
      <c r="AE27" s="17" t="str">
        <f aca="false">IFERROR(AVERAGEIF(X27:Z27,"&lt;&gt;0"),"")</f>
        <v/>
      </c>
      <c r="AF27" s="17" t="n">
        <f aca="false">IFERROR(AVERAGEIF(D27:Z27,"&lt;&gt;0"),"")</f>
        <v>30000</v>
      </c>
    </row>
    <row r="28" customFormat="false" ht="15" hidden="false" customHeight="true" outlineLevel="0" collapsed="false">
      <c r="A28" s="5" t="n">
        <v>24</v>
      </c>
      <c r="B28" s="6" t="s">
        <v>356</v>
      </c>
      <c r="C28" s="5" t="s">
        <v>407</v>
      </c>
      <c r="D28" s="37" t="n">
        <v>38000</v>
      </c>
      <c r="E28" s="37" t="n">
        <v>38000</v>
      </c>
      <c r="F28" s="37" t="n">
        <v>0</v>
      </c>
      <c r="G28" s="37" t="n">
        <v>0</v>
      </c>
      <c r="H28" s="37" t="n">
        <v>0</v>
      </c>
      <c r="I28" s="37" t="n">
        <v>0</v>
      </c>
      <c r="J28" s="37" t="n">
        <v>0</v>
      </c>
      <c r="K28" s="37" t="n">
        <v>0</v>
      </c>
      <c r="L28" s="37" t="n">
        <v>0</v>
      </c>
      <c r="M28" s="37" t="n">
        <v>0</v>
      </c>
      <c r="N28" s="37" t="n">
        <v>0</v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7" t="n">
        <v>0</v>
      </c>
      <c r="V28" s="37" t="n">
        <v>0</v>
      </c>
      <c r="W28" s="37" t="n">
        <v>0</v>
      </c>
      <c r="X28" s="37" t="n">
        <v>0</v>
      </c>
      <c r="Y28" s="37" t="n">
        <v>0</v>
      </c>
      <c r="Z28" s="37" t="n">
        <v>0</v>
      </c>
      <c r="AA28" s="17" t="n">
        <f aca="false">IFERROR(AVERAGEIF(D28:H28,"&lt;&gt;0"),"")</f>
        <v>38000</v>
      </c>
      <c r="AB28" s="17" t="str">
        <f aca="false">IFERROR(AVERAGEIF(I28:M28,"&lt;&gt;0"),"")</f>
        <v/>
      </c>
      <c r="AC28" s="17" t="str">
        <f aca="false">IFERROR(AVERAGEIF(N28:R28,"&lt;&gt;0"),"")</f>
        <v/>
      </c>
      <c r="AD28" s="17" t="str">
        <f aca="false">IFERROR(AVERAGEIF(S28:W28,"&lt;&gt;0"),"")</f>
        <v/>
      </c>
      <c r="AE28" s="17" t="str">
        <f aca="false">IFERROR(AVERAGEIF(X28:Z28,"&lt;&gt;0"),"")</f>
        <v/>
      </c>
      <c r="AF28" s="17" t="n">
        <f aca="false">IFERROR(AVERAGEIF(D28:Z28,"&lt;&gt;0"),"")</f>
        <v>38000</v>
      </c>
    </row>
    <row r="29" customFormat="false" ht="15" hidden="false" customHeight="true" outlineLevel="0" collapsed="false">
      <c r="A29" s="5" t="n">
        <v>25</v>
      </c>
      <c r="B29" s="6" t="s">
        <v>411</v>
      </c>
      <c r="C29" s="5" t="s">
        <v>407</v>
      </c>
      <c r="D29" s="37" t="n">
        <v>30000</v>
      </c>
      <c r="E29" s="37" t="n">
        <v>30000</v>
      </c>
      <c r="F29" s="37" t="n">
        <v>0</v>
      </c>
      <c r="G29" s="37" t="n">
        <v>0</v>
      </c>
      <c r="H29" s="37" t="n">
        <v>0</v>
      </c>
      <c r="I29" s="37" t="n">
        <v>0</v>
      </c>
      <c r="J29" s="37" t="n">
        <v>0</v>
      </c>
      <c r="K29" s="37" t="n">
        <v>0</v>
      </c>
      <c r="L29" s="37" t="n">
        <v>0</v>
      </c>
      <c r="M29" s="37" t="n">
        <v>0</v>
      </c>
      <c r="N29" s="37" t="n">
        <v>0</v>
      </c>
      <c r="O29" s="37" t="n">
        <v>0</v>
      </c>
      <c r="P29" s="37" t="n">
        <v>0</v>
      </c>
      <c r="Q29" s="37" t="n">
        <v>0</v>
      </c>
      <c r="R29" s="37" t="n">
        <v>0</v>
      </c>
      <c r="S29" s="37" t="n">
        <v>0</v>
      </c>
      <c r="T29" s="37" t="n">
        <v>0</v>
      </c>
      <c r="U29" s="37" t="n">
        <v>0</v>
      </c>
      <c r="V29" s="37" t="n">
        <v>0</v>
      </c>
      <c r="W29" s="37" t="n">
        <v>0</v>
      </c>
      <c r="X29" s="37" t="n">
        <v>0</v>
      </c>
      <c r="Y29" s="37" t="n">
        <v>0</v>
      </c>
      <c r="Z29" s="37" t="n">
        <v>0</v>
      </c>
      <c r="AA29" s="17" t="n">
        <f aca="false">IFERROR(AVERAGEIF(D29:H29,"&lt;&gt;0"),"")</f>
        <v>30000</v>
      </c>
      <c r="AB29" s="17" t="str">
        <f aca="false">IFERROR(AVERAGEIF(I29:M29,"&lt;&gt;0"),"")</f>
        <v/>
      </c>
      <c r="AC29" s="17" t="str">
        <f aca="false">IFERROR(AVERAGEIF(N29:R29,"&lt;&gt;0"),"")</f>
        <v/>
      </c>
      <c r="AD29" s="17" t="str">
        <f aca="false">IFERROR(AVERAGEIF(S29:W29,"&lt;&gt;0"),"")</f>
        <v/>
      </c>
      <c r="AE29" s="17" t="str">
        <f aca="false">IFERROR(AVERAGEIF(X29:Z29,"&lt;&gt;0"),"")</f>
        <v/>
      </c>
      <c r="AF29" s="17" t="n">
        <f aca="false">IFERROR(AVERAGEIF(D29:Z29,"&lt;&gt;0"),"")</f>
        <v>30000</v>
      </c>
    </row>
    <row r="30" customFormat="false" ht="15" hidden="false" customHeight="true" outlineLevel="0" collapsed="false">
      <c r="A30" s="5" t="n">
        <v>26</v>
      </c>
      <c r="B30" s="6" t="s">
        <v>412</v>
      </c>
      <c r="C30" s="5" t="s">
        <v>407</v>
      </c>
      <c r="D30" s="37" t="n">
        <v>8000</v>
      </c>
      <c r="E30" s="37" t="n">
        <v>8000</v>
      </c>
      <c r="F30" s="37" t="n">
        <v>0</v>
      </c>
      <c r="G30" s="37" t="n">
        <v>0</v>
      </c>
      <c r="H30" s="37" t="n">
        <v>0</v>
      </c>
      <c r="I30" s="37" t="n">
        <v>0</v>
      </c>
      <c r="J30" s="37" t="n">
        <v>0</v>
      </c>
      <c r="K30" s="37" t="n">
        <v>0</v>
      </c>
      <c r="L30" s="37" t="n">
        <v>0</v>
      </c>
      <c r="M30" s="37" t="n">
        <v>0</v>
      </c>
      <c r="N30" s="37" t="n">
        <v>0</v>
      </c>
      <c r="O30" s="37" t="n">
        <v>0</v>
      </c>
      <c r="P30" s="37" t="n">
        <v>0</v>
      </c>
      <c r="Q30" s="37" t="n">
        <v>0</v>
      </c>
      <c r="R30" s="37" t="n">
        <v>0</v>
      </c>
      <c r="S30" s="37" t="n">
        <v>0</v>
      </c>
      <c r="T30" s="37" t="n">
        <v>0</v>
      </c>
      <c r="U30" s="37" t="n">
        <v>0</v>
      </c>
      <c r="V30" s="37" t="n">
        <v>0</v>
      </c>
      <c r="W30" s="37" t="n">
        <v>0</v>
      </c>
      <c r="X30" s="37" t="n">
        <v>0</v>
      </c>
      <c r="Y30" s="37" t="n">
        <v>0</v>
      </c>
      <c r="Z30" s="37" t="n">
        <v>0</v>
      </c>
      <c r="AA30" s="17" t="n">
        <f aca="false">IFERROR(AVERAGEIF(D30:H30,"&lt;&gt;0"),"")</f>
        <v>8000</v>
      </c>
      <c r="AB30" s="17" t="str">
        <f aca="false">IFERROR(AVERAGEIF(I30:M30,"&lt;&gt;0"),"")</f>
        <v/>
      </c>
      <c r="AC30" s="17" t="str">
        <f aca="false">IFERROR(AVERAGEIF(N30:R30,"&lt;&gt;0"),"")</f>
        <v/>
      </c>
      <c r="AD30" s="17" t="str">
        <f aca="false">IFERROR(AVERAGEIF(S30:W30,"&lt;&gt;0"),"")</f>
        <v/>
      </c>
      <c r="AE30" s="17" t="str">
        <f aca="false">IFERROR(AVERAGEIF(X30:Z30,"&lt;&gt;0"),"")</f>
        <v/>
      </c>
      <c r="AF30" s="17" t="n">
        <f aca="false">IFERROR(AVERAGEIF(D30:Z30,"&lt;&gt;0"),"")</f>
        <v>8000</v>
      </c>
    </row>
    <row r="31" customFormat="false" ht="15" hidden="false" customHeight="true" outlineLevel="0" collapsed="false">
      <c r="A31" s="5" t="n">
        <v>27</v>
      </c>
      <c r="B31" s="6" t="s">
        <v>358</v>
      </c>
      <c r="C31" s="5" t="s">
        <v>455</v>
      </c>
      <c r="D31" s="37" t="n">
        <v>10500</v>
      </c>
      <c r="E31" s="37" t="n">
        <v>10500</v>
      </c>
      <c r="F31" s="37" t="n">
        <v>0</v>
      </c>
      <c r="G31" s="37" t="n">
        <v>0</v>
      </c>
      <c r="H31" s="37" t="n">
        <v>0</v>
      </c>
      <c r="I31" s="37" t="n">
        <v>0</v>
      </c>
      <c r="J31" s="37" t="n">
        <v>0</v>
      </c>
      <c r="K31" s="37" t="n">
        <v>0</v>
      </c>
      <c r="L31" s="37" t="n">
        <v>0</v>
      </c>
      <c r="M31" s="37" t="n">
        <v>0</v>
      </c>
      <c r="N31" s="37" t="n">
        <v>0</v>
      </c>
      <c r="O31" s="37" t="n">
        <v>0</v>
      </c>
      <c r="P31" s="37" t="n">
        <v>0</v>
      </c>
      <c r="Q31" s="37" t="n">
        <v>0</v>
      </c>
      <c r="R31" s="37" t="n">
        <v>0</v>
      </c>
      <c r="S31" s="37" t="n">
        <v>0</v>
      </c>
      <c r="T31" s="37" t="n">
        <v>0</v>
      </c>
      <c r="U31" s="37" t="n">
        <v>0</v>
      </c>
      <c r="V31" s="37" t="n">
        <v>0</v>
      </c>
      <c r="W31" s="37" t="n">
        <v>0</v>
      </c>
      <c r="X31" s="37" t="n">
        <v>0</v>
      </c>
      <c r="Y31" s="37" t="n">
        <v>0</v>
      </c>
      <c r="Z31" s="37" t="n">
        <v>0</v>
      </c>
      <c r="AA31" s="17" t="n">
        <f aca="false">IFERROR(AVERAGEIF(D31:H31,"&lt;&gt;0"),"")</f>
        <v>10500</v>
      </c>
      <c r="AB31" s="17" t="str">
        <f aca="false">IFERROR(AVERAGEIF(I31:M31,"&lt;&gt;0"),"")</f>
        <v/>
      </c>
      <c r="AC31" s="17" t="str">
        <f aca="false">IFERROR(AVERAGEIF(N31:R31,"&lt;&gt;0"),"")</f>
        <v/>
      </c>
      <c r="AD31" s="17" t="str">
        <f aca="false">IFERROR(AVERAGEIF(S31:W31,"&lt;&gt;0"),"")</f>
        <v/>
      </c>
      <c r="AE31" s="17" t="str">
        <f aca="false">IFERROR(AVERAGEIF(X31:Z31,"&lt;&gt;0"),"")</f>
        <v/>
      </c>
      <c r="AF31" s="17" t="n">
        <f aca="false">IFERROR(AVERAGEIF(D31:Z31,"&lt;&gt;0"),"")</f>
        <v>10500</v>
      </c>
    </row>
    <row r="32" customFormat="false" ht="15" hidden="false" customHeight="true" outlineLevel="0" collapsed="false">
      <c r="A32" s="5" t="n">
        <v>28</v>
      </c>
      <c r="B32" s="6" t="s">
        <v>352</v>
      </c>
      <c r="C32" s="5" t="s">
        <v>456</v>
      </c>
      <c r="D32" s="37" t="n">
        <v>42000</v>
      </c>
      <c r="E32" s="37" t="n">
        <v>42000</v>
      </c>
      <c r="F32" s="37" t="n">
        <v>0</v>
      </c>
      <c r="G32" s="37" t="n">
        <v>0</v>
      </c>
      <c r="H32" s="37" t="n">
        <v>0</v>
      </c>
      <c r="I32" s="37" t="n">
        <v>0</v>
      </c>
      <c r="J32" s="37" t="n">
        <v>0</v>
      </c>
      <c r="K32" s="37" t="n">
        <v>0</v>
      </c>
      <c r="L32" s="37" t="n">
        <v>0</v>
      </c>
      <c r="M32" s="37" t="n">
        <v>0</v>
      </c>
      <c r="N32" s="37" t="n">
        <v>0</v>
      </c>
      <c r="O32" s="37" t="n">
        <v>0</v>
      </c>
      <c r="P32" s="37" t="n">
        <v>0</v>
      </c>
      <c r="Q32" s="37" t="n">
        <v>0</v>
      </c>
      <c r="R32" s="37" t="n">
        <v>0</v>
      </c>
      <c r="S32" s="37" t="n">
        <v>0</v>
      </c>
      <c r="T32" s="37" t="n">
        <v>0</v>
      </c>
      <c r="U32" s="37" t="n">
        <v>0</v>
      </c>
      <c r="V32" s="37" t="n">
        <v>0</v>
      </c>
      <c r="W32" s="37" t="n">
        <v>0</v>
      </c>
      <c r="X32" s="37" t="n">
        <v>0</v>
      </c>
      <c r="Y32" s="37" t="n">
        <v>0</v>
      </c>
      <c r="Z32" s="37" t="n">
        <v>0</v>
      </c>
      <c r="AA32" s="17" t="n">
        <f aca="false">IFERROR(AVERAGEIF(D32:H32,"&lt;&gt;0"),"")</f>
        <v>42000</v>
      </c>
      <c r="AB32" s="17" t="str">
        <f aca="false">IFERROR(AVERAGEIF(I32:M32,"&lt;&gt;0"),"")</f>
        <v/>
      </c>
      <c r="AC32" s="17" t="str">
        <f aca="false">IFERROR(AVERAGEIF(N32:R32,"&lt;&gt;0"),"")</f>
        <v/>
      </c>
      <c r="AD32" s="17" t="str">
        <f aca="false">IFERROR(AVERAGEIF(S32:W32,"&lt;&gt;0"),"")</f>
        <v/>
      </c>
      <c r="AE32" s="17" t="str">
        <f aca="false">IFERROR(AVERAGEIF(X32:Z32,"&lt;&gt;0"),"")</f>
        <v/>
      </c>
      <c r="AF32" s="17" t="n">
        <f aca="false">IFERROR(AVERAGEIF(D32:Z32,"&lt;&gt;0"),"")</f>
        <v>42000</v>
      </c>
    </row>
    <row r="33" customFormat="false" ht="15" hidden="false" customHeight="true" outlineLevel="0" collapsed="false">
      <c r="A33" s="5" t="n">
        <v>29</v>
      </c>
      <c r="B33" s="6" t="s">
        <v>365</v>
      </c>
      <c r="C33" s="5" t="s">
        <v>407</v>
      </c>
      <c r="D33" s="37" t="n">
        <v>11000</v>
      </c>
      <c r="E33" s="37" t="n">
        <v>11000</v>
      </c>
      <c r="F33" s="37" t="n">
        <v>0</v>
      </c>
      <c r="G33" s="37" t="n">
        <v>0</v>
      </c>
      <c r="H33" s="37" t="n">
        <v>0</v>
      </c>
      <c r="I33" s="37" t="n">
        <v>0</v>
      </c>
      <c r="J33" s="37" t="n">
        <v>0</v>
      </c>
      <c r="K33" s="37" t="n">
        <v>0</v>
      </c>
      <c r="L33" s="37" t="n">
        <v>0</v>
      </c>
      <c r="M33" s="37" t="n">
        <v>0</v>
      </c>
      <c r="N33" s="37" t="n">
        <v>0</v>
      </c>
      <c r="O33" s="37" t="n">
        <v>0</v>
      </c>
      <c r="P33" s="37" t="n">
        <v>0</v>
      </c>
      <c r="Q33" s="37" t="n">
        <v>0</v>
      </c>
      <c r="R33" s="37" t="n">
        <v>0</v>
      </c>
      <c r="S33" s="37" t="n">
        <v>0</v>
      </c>
      <c r="T33" s="37" t="n">
        <v>0</v>
      </c>
      <c r="U33" s="37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17" t="n">
        <f aca="false">IFERROR(AVERAGEIF(D33:H33,"&lt;&gt;0"),"")</f>
        <v>11000</v>
      </c>
      <c r="AB33" s="17" t="str">
        <f aca="false">IFERROR(AVERAGEIF(I33:M33,"&lt;&gt;0"),"")</f>
        <v/>
      </c>
      <c r="AC33" s="17" t="str">
        <f aca="false">IFERROR(AVERAGEIF(N33:R33,"&lt;&gt;0"),"")</f>
        <v/>
      </c>
      <c r="AD33" s="17" t="str">
        <f aca="false">IFERROR(AVERAGEIF(S33:W33,"&lt;&gt;0"),"")</f>
        <v/>
      </c>
      <c r="AE33" s="17" t="str">
        <f aca="false">IFERROR(AVERAGEIF(X33:Z33,"&lt;&gt;0"),"")</f>
        <v/>
      </c>
      <c r="AF33" s="17" t="n">
        <f aca="false">IFERROR(AVERAGEIF(D33:Z33,"&lt;&gt;0"),"")</f>
        <v>11000</v>
      </c>
    </row>
    <row r="34" customFormat="false" ht="15" hidden="false" customHeight="true" outlineLevel="0" collapsed="false">
      <c r="A34" s="5" t="n">
        <v>30</v>
      </c>
      <c r="B34" s="6" t="s">
        <v>338</v>
      </c>
      <c r="C34" s="5" t="s">
        <v>407</v>
      </c>
      <c r="D34" s="37" t="n">
        <v>6000</v>
      </c>
      <c r="E34" s="37" t="n">
        <v>6000</v>
      </c>
      <c r="F34" s="37" t="n">
        <v>0</v>
      </c>
      <c r="G34" s="37" t="n">
        <v>0</v>
      </c>
      <c r="H34" s="37" t="n">
        <v>0</v>
      </c>
      <c r="I34" s="37" t="n">
        <v>0</v>
      </c>
      <c r="J34" s="37" t="n">
        <v>0</v>
      </c>
      <c r="K34" s="37" t="n">
        <v>0</v>
      </c>
      <c r="L34" s="37" t="n">
        <v>0</v>
      </c>
      <c r="M34" s="37" t="n">
        <v>0</v>
      </c>
      <c r="N34" s="37" t="n">
        <v>0</v>
      </c>
      <c r="O34" s="37" t="n">
        <v>0</v>
      </c>
      <c r="P34" s="37" t="n">
        <v>0</v>
      </c>
      <c r="Q34" s="37" t="n">
        <v>0</v>
      </c>
      <c r="R34" s="37" t="n">
        <v>0</v>
      </c>
      <c r="S34" s="37" t="n">
        <v>0</v>
      </c>
      <c r="T34" s="37" t="n">
        <v>0</v>
      </c>
      <c r="U34" s="37" t="n">
        <v>0</v>
      </c>
      <c r="V34" s="37" t="n">
        <v>0</v>
      </c>
      <c r="W34" s="37" t="n">
        <v>0</v>
      </c>
      <c r="X34" s="37" t="n">
        <v>0</v>
      </c>
      <c r="Y34" s="37" t="n">
        <v>0</v>
      </c>
      <c r="Z34" s="37" t="n">
        <v>0</v>
      </c>
      <c r="AA34" s="17" t="n">
        <f aca="false">IFERROR(AVERAGEIF(D34:H34,"&lt;&gt;0"),"")</f>
        <v>6000</v>
      </c>
      <c r="AB34" s="17" t="str">
        <f aca="false">IFERROR(AVERAGEIF(I34:M34,"&lt;&gt;0"),"")</f>
        <v/>
      </c>
      <c r="AC34" s="17" t="str">
        <f aca="false">IFERROR(AVERAGEIF(N34:R34,"&lt;&gt;0"),"")</f>
        <v/>
      </c>
      <c r="AD34" s="17" t="str">
        <f aca="false">IFERROR(AVERAGEIF(S34:W34,"&lt;&gt;0"),"")</f>
        <v/>
      </c>
      <c r="AE34" s="17" t="str">
        <f aca="false">IFERROR(AVERAGEIF(X34:Z34,"&lt;&gt;0"),"")</f>
        <v/>
      </c>
      <c r="AF34" s="17" t="n">
        <f aca="false">IFERROR(AVERAGEIF(D34:Z34,"&lt;&gt;0"),"")</f>
        <v>6000</v>
      </c>
    </row>
    <row r="35" customFormat="false" ht="15" hidden="false" customHeight="true" outlineLevel="0" collapsed="false">
      <c r="A35" s="5" t="n">
        <v>31</v>
      </c>
      <c r="B35" s="6" t="s">
        <v>343</v>
      </c>
      <c r="C35" s="5" t="s">
        <v>407</v>
      </c>
      <c r="D35" s="37" t="n">
        <v>70000</v>
      </c>
      <c r="E35" s="37" t="n">
        <v>70000</v>
      </c>
      <c r="F35" s="37" t="n">
        <v>0</v>
      </c>
      <c r="G35" s="37" t="n">
        <v>0</v>
      </c>
      <c r="H35" s="37" t="n">
        <v>0</v>
      </c>
      <c r="I35" s="37" t="n">
        <v>0</v>
      </c>
      <c r="J35" s="37" t="n">
        <v>0</v>
      </c>
      <c r="K35" s="37" t="n">
        <v>0</v>
      </c>
      <c r="L35" s="37" t="n">
        <v>0</v>
      </c>
      <c r="M35" s="37" t="n">
        <v>0</v>
      </c>
      <c r="N35" s="37" t="n">
        <v>0</v>
      </c>
      <c r="O35" s="37" t="n">
        <v>0</v>
      </c>
      <c r="P35" s="37" t="n">
        <v>0</v>
      </c>
      <c r="Q35" s="37" t="n">
        <v>0</v>
      </c>
      <c r="R35" s="37" t="n">
        <v>0</v>
      </c>
      <c r="S35" s="37" t="n">
        <v>0</v>
      </c>
      <c r="T35" s="37" t="n">
        <v>0</v>
      </c>
      <c r="U35" s="37" t="n">
        <v>0</v>
      </c>
      <c r="V35" s="37" t="n">
        <v>0</v>
      </c>
      <c r="W35" s="37" t="n">
        <v>0</v>
      </c>
      <c r="X35" s="37" t="n">
        <v>0</v>
      </c>
      <c r="Y35" s="37" t="n">
        <v>0</v>
      </c>
      <c r="Z35" s="37" t="n">
        <v>0</v>
      </c>
      <c r="AA35" s="17" t="n">
        <f aca="false">IFERROR(AVERAGEIF(D35:H35,"&lt;&gt;0"),"")</f>
        <v>70000</v>
      </c>
      <c r="AB35" s="17" t="str">
        <f aca="false">IFERROR(AVERAGEIF(I35:M35,"&lt;&gt;0"),"")</f>
        <v/>
      </c>
      <c r="AC35" s="17" t="str">
        <f aca="false">IFERROR(AVERAGEIF(N35:R35,"&lt;&gt;0"),"")</f>
        <v/>
      </c>
      <c r="AD35" s="17" t="str">
        <f aca="false">IFERROR(AVERAGEIF(S35:W35,"&lt;&gt;0"),"")</f>
        <v/>
      </c>
      <c r="AE35" s="17" t="str">
        <f aca="false">IFERROR(AVERAGEIF(X35:Z35,"&lt;&gt;0"),"")</f>
        <v/>
      </c>
      <c r="AF35" s="17" t="n">
        <f aca="false">IFERROR(AVERAGEIF(D35:Z35,"&lt;&gt;0"),"")</f>
        <v>70000</v>
      </c>
    </row>
    <row r="36" customFormat="false" ht="15" hidden="false" customHeight="true" outlineLevel="0" collapsed="false">
      <c r="A36" s="5" t="n">
        <v>32</v>
      </c>
      <c r="B36" s="6" t="s">
        <v>345</v>
      </c>
      <c r="C36" s="5" t="s">
        <v>407</v>
      </c>
      <c r="D36" s="37" t="n">
        <v>12000</v>
      </c>
      <c r="E36" s="37" t="n">
        <v>12000</v>
      </c>
      <c r="F36" s="37" t="n">
        <v>0</v>
      </c>
      <c r="G36" s="37" t="n">
        <v>0</v>
      </c>
      <c r="H36" s="37" t="n">
        <v>0</v>
      </c>
      <c r="I36" s="37" t="n">
        <v>0</v>
      </c>
      <c r="J36" s="37" t="n">
        <v>0</v>
      </c>
      <c r="K36" s="37" t="n">
        <v>0</v>
      </c>
      <c r="L36" s="37" t="n">
        <v>0</v>
      </c>
      <c r="M36" s="37" t="n">
        <v>0</v>
      </c>
      <c r="N36" s="37" t="n">
        <v>0</v>
      </c>
      <c r="O36" s="37" t="n">
        <v>0</v>
      </c>
      <c r="P36" s="37" t="n">
        <v>0</v>
      </c>
      <c r="Q36" s="37" t="n">
        <v>0</v>
      </c>
      <c r="R36" s="37" t="n">
        <v>0</v>
      </c>
      <c r="S36" s="37" t="n">
        <v>0</v>
      </c>
      <c r="T36" s="37" t="n">
        <v>0</v>
      </c>
      <c r="U36" s="37" t="n">
        <v>0</v>
      </c>
      <c r="V36" s="37" t="n">
        <v>0</v>
      </c>
      <c r="W36" s="37" t="n">
        <v>0</v>
      </c>
      <c r="X36" s="37" t="n">
        <v>0</v>
      </c>
      <c r="Y36" s="37" t="n">
        <v>0</v>
      </c>
      <c r="Z36" s="37" t="n">
        <v>0</v>
      </c>
      <c r="AA36" s="17" t="n">
        <f aca="false">IFERROR(AVERAGEIF(D36:H36,"&lt;&gt;0"),"")</f>
        <v>12000</v>
      </c>
      <c r="AB36" s="17" t="str">
        <f aca="false">IFERROR(AVERAGEIF(I36:M36,"&lt;&gt;0"),"")</f>
        <v/>
      </c>
      <c r="AC36" s="17" t="str">
        <f aca="false">IFERROR(AVERAGEIF(N36:R36,"&lt;&gt;0"),"")</f>
        <v/>
      </c>
      <c r="AD36" s="17" t="str">
        <f aca="false">IFERROR(AVERAGEIF(S36:W36,"&lt;&gt;0"),"")</f>
        <v/>
      </c>
      <c r="AE36" s="17" t="str">
        <f aca="false">IFERROR(AVERAGEIF(X36:Z36,"&lt;&gt;0"),"")</f>
        <v/>
      </c>
      <c r="AF36" s="17" t="n">
        <f aca="false">IFERROR(AVERAGEIF(D36:Z36,"&lt;&gt;0"),"")</f>
        <v>12000</v>
      </c>
    </row>
    <row r="37" customFormat="false" ht="15" hidden="false" customHeight="true" outlineLevel="0" collapsed="false">
      <c r="A37" s="5" t="n">
        <v>33</v>
      </c>
      <c r="B37" s="6" t="s">
        <v>366</v>
      </c>
      <c r="C37" s="5" t="s">
        <v>407</v>
      </c>
      <c r="D37" s="37" t="n">
        <v>8000</v>
      </c>
      <c r="E37" s="37" t="n">
        <v>8000</v>
      </c>
      <c r="F37" s="37" t="n">
        <v>0</v>
      </c>
      <c r="G37" s="37" t="n">
        <v>0</v>
      </c>
      <c r="H37" s="37" t="n">
        <v>0</v>
      </c>
      <c r="I37" s="37" t="n">
        <v>0</v>
      </c>
      <c r="J37" s="37" t="n">
        <v>0</v>
      </c>
      <c r="K37" s="37" t="n">
        <v>0</v>
      </c>
      <c r="L37" s="37" t="n">
        <v>0</v>
      </c>
      <c r="M37" s="37" t="n">
        <v>0</v>
      </c>
      <c r="N37" s="37" t="n">
        <v>0</v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7" t="n">
        <v>0</v>
      </c>
      <c r="V37" s="37" t="n">
        <v>0</v>
      </c>
      <c r="W37" s="37" t="n">
        <v>0</v>
      </c>
      <c r="X37" s="37" t="n">
        <v>0</v>
      </c>
      <c r="Y37" s="37" t="n">
        <v>0</v>
      </c>
      <c r="Z37" s="37" t="n">
        <v>0</v>
      </c>
      <c r="AA37" s="17" t="n">
        <f aca="false">IFERROR(AVERAGEIF(D37:H37,"&lt;&gt;0"),"")</f>
        <v>8000</v>
      </c>
      <c r="AB37" s="17" t="str">
        <f aca="false">IFERROR(AVERAGEIF(I37:M37,"&lt;&gt;0"),"")</f>
        <v/>
      </c>
      <c r="AC37" s="17" t="str">
        <f aca="false">IFERROR(AVERAGEIF(N37:R37,"&lt;&gt;0"),"")</f>
        <v/>
      </c>
      <c r="AD37" s="17" t="str">
        <f aca="false">IFERROR(AVERAGEIF(S37:W37,"&lt;&gt;0"),"")</f>
        <v/>
      </c>
      <c r="AE37" s="17" t="str">
        <f aca="false">IFERROR(AVERAGEIF(X37:Z37,"&lt;&gt;0"),"")</f>
        <v/>
      </c>
      <c r="AF37" s="17" t="n">
        <f aca="false">IFERROR(AVERAGEIF(D37:Z37,"&lt;&gt;0"),"")</f>
        <v>8000</v>
      </c>
    </row>
    <row r="38" customFormat="false" ht="15" hidden="false" customHeight="true" outlineLevel="0" collapsed="false">
      <c r="A38" s="5" t="n">
        <v>34</v>
      </c>
      <c r="B38" s="6" t="s">
        <v>413</v>
      </c>
      <c r="C38" s="5" t="s">
        <v>407</v>
      </c>
      <c r="D38" s="37" t="n">
        <v>8000</v>
      </c>
      <c r="E38" s="37" t="n">
        <v>8000</v>
      </c>
      <c r="F38" s="37" t="n">
        <v>0</v>
      </c>
      <c r="G38" s="37" t="n">
        <v>0</v>
      </c>
      <c r="H38" s="37" t="n">
        <v>0</v>
      </c>
      <c r="I38" s="37" t="n">
        <v>0</v>
      </c>
      <c r="J38" s="37" t="n">
        <v>0</v>
      </c>
      <c r="K38" s="37" t="n">
        <v>0</v>
      </c>
      <c r="L38" s="37" t="n">
        <v>0</v>
      </c>
      <c r="M38" s="37" t="n">
        <v>0</v>
      </c>
      <c r="N38" s="37" t="n">
        <v>0</v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7" t="n">
        <v>0</v>
      </c>
      <c r="V38" s="37" t="n">
        <v>0</v>
      </c>
      <c r="W38" s="37" t="n">
        <v>0</v>
      </c>
      <c r="X38" s="37" t="n">
        <v>0</v>
      </c>
      <c r="Y38" s="37" t="n">
        <v>0</v>
      </c>
      <c r="Z38" s="37" t="n">
        <v>0</v>
      </c>
      <c r="AA38" s="17" t="n">
        <f aca="false">IFERROR(AVERAGEIF(D38:H38,"&lt;&gt;0"),"")</f>
        <v>8000</v>
      </c>
      <c r="AB38" s="17" t="str">
        <f aca="false">IFERROR(AVERAGEIF(I38:M38,"&lt;&gt;0"),"")</f>
        <v/>
      </c>
      <c r="AC38" s="17" t="str">
        <f aca="false">IFERROR(AVERAGEIF(N38:R38,"&lt;&gt;0"),"")</f>
        <v/>
      </c>
      <c r="AD38" s="17" t="str">
        <f aca="false">IFERROR(AVERAGEIF(S38:W38,"&lt;&gt;0"),"")</f>
        <v/>
      </c>
      <c r="AE38" s="17" t="str">
        <f aca="false">IFERROR(AVERAGEIF(X38:Z38,"&lt;&gt;0"),"")</f>
        <v/>
      </c>
      <c r="AF38" s="17" t="n">
        <f aca="false">IFERROR(AVERAGEIF(D38:Z38,"&lt;&gt;0"),"")</f>
        <v>8000</v>
      </c>
    </row>
    <row r="39" customFormat="false" ht="15" hidden="false" customHeight="true" outlineLevel="0" collapsed="false">
      <c r="A39" s="5" t="n">
        <v>35</v>
      </c>
      <c r="B39" s="6" t="s">
        <v>414</v>
      </c>
      <c r="C39" s="5" t="s">
        <v>407</v>
      </c>
      <c r="D39" s="37" t="n">
        <v>15000</v>
      </c>
      <c r="E39" s="37" t="n">
        <v>15000</v>
      </c>
      <c r="F39" s="37" t="n">
        <v>0</v>
      </c>
      <c r="G39" s="37" t="n">
        <v>0</v>
      </c>
      <c r="H39" s="37" t="n">
        <v>0</v>
      </c>
      <c r="I39" s="37" t="n">
        <v>0</v>
      </c>
      <c r="J39" s="37" t="n">
        <v>0</v>
      </c>
      <c r="K39" s="37" t="n">
        <v>0</v>
      </c>
      <c r="L39" s="37" t="n">
        <v>0</v>
      </c>
      <c r="M39" s="37" t="n">
        <v>0</v>
      </c>
      <c r="N39" s="37" t="n">
        <v>0</v>
      </c>
      <c r="O39" s="37" t="n">
        <v>0</v>
      </c>
      <c r="P39" s="37" t="n">
        <v>0</v>
      </c>
      <c r="Q39" s="37" t="n">
        <v>0</v>
      </c>
      <c r="R39" s="37" t="n">
        <v>0</v>
      </c>
      <c r="S39" s="37" t="n">
        <v>0</v>
      </c>
      <c r="T39" s="37" t="n">
        <v>0</v>
      </c>
      <c r="U39" s="37" t="n">
        <v>0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17" t="n">
        <f aca="false">IFERROR(AVERAGEIF(D39:H39,"&lt;&gt;0"),"")</f>
        <v>15000</v>
      </c>
      <c r="AB39" s="17" t="str">
        <f aca="false">IFERROR(AVERAGEIF(I39:M39,"&lt;&gt;0"),"")</f>
        <v/>
      </c>
      <c r="AC39" s="17" t="str">
        <f aca="false">IFERROR(AVERAGEIF(N39:R39,"&lt;&gt;0"),"")</f>
        <v/>
      </c>
      <c r="AD39" s="17" t="str">
        <f aca="false">IFERROR(AVERAGEIF(S39:W39,"&lt;&gt;0"),"")</f>
        <v/>
      </c>
      <c r="AE39" s="17" t="str">
        <f aca="false">IFERROR(AVERAGEIF(X39:Z39,"&lt;&gt;0"),"")</f>
        <v/>
      </c>
      <c r="AF39" s="17" t="n">
        <f aca="false">IFERROR(AVERAGEIF(D39:Z39,"&lt;&gt;0"),"")</f>
        <v>15000</v>
      </c>
    </row>
    <row r="40" customFormat="false" ht="15" hidden="false" customHeight="true" outlineLevel="0" collapsed="false">
      <c r="A40" s="5" t="n">
        <v>36</v>
      </c>
      <c r="B40" s="6" t="s">
        <v>415</v>
      </c>
      <c r="C40" s="5" t="s">
        <v>407</v>
      </c>
      <c r="D40" s="37" t="n">
        <v>10000</v>
      </c>
      <c r="E40" s="37" t="n">
        <v>10000</v>
      </c>
      <c r="F40" s="37" t="n">
        <v>0</v>
      </c>
      <c r="G40" s="37" t="n">
        <v>0</v>
      </c>
      <c r="H40" s="37" t="n">
        <v>0</v>
      </c>
      <c r="I40" s="37" t="n">
        <v>0</v>
      </c>
      <c r="J40" s="37" t="n">
        <v>0</v>
      </c>
      <c r="K40" s="37" t="n">
        <v>0</v>
      </c>
      <c r="L40" s="37" t="n">
        <v>0</v>
      </c>
      <c r="M40" s="37" t="n">
        <v>0</v>
      </c>
      <c r="N40" s="37" t="n">
        <v>0</v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7" t="n">
        <v>0</v>
      </c>
      <c r="V40" s="37" t="n">
        <v>0</v>
      </c>
      <c r="W40" s="37" t="n">
        <v>0</v>
      </c>
      <c r="X40" s="37" t="n">
        <v>0</v>
      </c>
      <c r="Y40" s="37" t="n">
        <v>0</v>
      </c>
      <c r="Z40" s="37" t="n">
        <v>0</v>
      </c>
      <c r="AA40" s="17" t="n">
        <f aca="false">IFERROR(AVERAGEIF(D40:H40,"&lt;&gt;0"),"")</f>
        <v>10000</v>
      </c>
      <c r="AB40" s="17" t="str">
        <f aca="false">IFERROR(AVERAGEIF(I40:M40,"&lt;&gt;0"),"")</f>
        <v/>
      </c>
      <c r="AC40" s="17" t="str">
        <f aca="false">IFERROR(AVERAGEIF(N40:R40,"&lt;&gt;0"),"")</f>
        <v/>
      </c>
      <c r="AD40" s="17" t="str">
        <f aca="false">IFERROR(AVERAGEIF(S40:W40,"&lt;&gt;0"),"")</f>
        <v/>
      </c>
      <c r="AE40" s="17" t="str">
        <f aca="false">IFERROR(AVERAGEIF(X40:Z40,"&lt;&gt;0"),"")</f>
        <v/>
      </c>
      <c r="AF40" s="17" t="n">
        <f aca="false">IFERROR(AVERAGEIF(D40:Z40,"&lt;&gt;0"),"")</f>
        <v>10000</v>
      </c>
    </row>
    <row r="41" customFormat="false" ht="15" hidden="false" customHeight="true" outlineLevel="0" collapsed="false">
      <c r="A41" s="5" t="n">
        <v>37</v>
      </c>
      <c r="B41" s="6" t="s">
        <v>416</v>
      </c>
      <c r="C41" s="5" t="s">
        <v>407</v>
      </c>
      <c r="D41" s="37" t="n">
        <v>5000</v>
      </c>
      <c r="E41" s="37" t="n">
        <v>5000</v>
      </c>
      <c r="F41" s="37" t="n">
        <v>0</v>
      </c>
      <c r="G41" s="37" t="n">
        <v>0</v>
      </c>
      <c r="H41" s="37" t="n">
        <v>0</v>
      </c>
      <c r="I41" s="37" t="n">
        <v>0</v>
      </c>
      <c r="J41" s="37" t="n">
        <v>0</v>
      </c>
      <c r="K41" s="37" t="n">
        <v>0</v>
      </c>
      <c r="L41" s="37" t="n">
        <v>0</v>
      </c>
      <c r="M41" s="37" t="n">
        <v>0</v>
      </c>
      <c r="N41" s="37" t="n">
        <v>0</v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7" t="n">
        <v>0</v>
      </c>
      <c r="V41" s="37" t="n">
        <v>0</v>
      </c>
      <c r="W41" s="37" t="n">
        <v>0</v>
      </c>
      <c r="X41" s="37" t="n">
        <v>0</v>
      </c>
      <c r="Y41" s="37" t="n">
        <v>0</v>
      </c>
      <c r="Z41" s="37" t="n">
        <v>0</v>
      </c>
      <c r="AA41" s="17" t="n">
        <f aca="false">IFERROR(AVERAGEIF(D41:H41,"&lt;&gt;0"),"")</f>
        <v>5000</v>
      </c>
      <c r="AB41" s="17" t="str">
        <f aca="false">IFERROR(AVERAGEIF(I41:M41,"&lt;&gt;0"),"")</f>
        <v/>
      </c>
      <c r="AC41" s="17" t="str">
        <f aca="false">IFERROR(AVERAGEIF(N41:R41,"&lt;&gt;0"),"")</f>
        <v/>
      </c>
      <c r="AD41" s="17" t="str">
        <f aca="false">IFERROR(AVERAGEIF(S41:W41,"&lt;&gt;0"),"")</f>
        <v/>
      </c>
      <c r="AE41" s="17" t="str">
        <f aca="false">IFERROR(AVERAGEIF(X41:Z41,"&lt;&gt;0"),"")</f>
        <v/>
      </c>
      <c r="AF41" s="17" t="n">
        <f aca="false">IFERROR(AVERAGEIF(D41:Z41,"&lt;&gt;0"),"")</f>
        <v>5000</v>
      </c>
    </row>
    <row r="42" customFormat="false" ht="15" hidden="false" customHeight="true" outlineLevel="0" collapsed="false">
      <c r="A42" s="5" t="n">
        <v>38</v>
      </c>
      <c r="B42" s="6" t="s">
        <v>417</v>
      </c>
      <c r="C42" s="5" t="s">
        <v>407</v>
      </c>
      <c r="D42" s="37" t="n">
        <v>7000</v>
      </c>
      <c r="E42" s="37" t="n">
        <v>7000</v>
      </c>
      <c r="F42" s="37" t="n">
        <v>0</v>
      </c>
      <c r="G42" s="37" t="n">
        <v>0</v>
      </c>
      <c r="H42" s="37" t="n">
        <v>0</v>
      </c>
      <c r="I42" s="37" t="n">
        <v>0</v>
      </c>
      <c r="J42" s="37" t="n">
        <v>0</v>
      </c>
      <c r="K42" s="37" t="n">
        <v>0</v>
      </c>
      <c r="L42" s="37" t="n">
        <v>0</v>
      </c>
      <c r="M42" s="37" t="n">
        <v>0</v>
      </c>
      <c r="N42" s="37" t="n">
        <v>0</v>
      </c>
      <c r="O42" s="37" t="n">
        <v>0</v>
      </c>
      <c r="P42" s="37" t="n">
        <v>0</v>
      </c>
      <c r="Q42" s="37" t="n">
        <v>0</v>
      </c>
      <c r="R42" s="37" t="n">
        <v>0</v>
      </c>
      <c r="S42" s="37" t="n">
        <v>0</v>
      </c>
      <c r="T42" s="37" t="n">
        <v>0</v>
      </c>
      <c r="U42" s="37" t="n">
        <v>0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17" t="n">
        <f aca="false">IFERROR(AVERAGEIF(D42:H42,"&lt;&gt;0"),"")</f>
        <v>7000</v>
      </c>
      <c r="AB42" s="17" t="str">
        <f aca="false">IFERROR(AVERAGEIF(I42:M42,"&lt;&gt;0"),"")</f>
        <v/>
      </c>
      <c r="AC42" s="17" t="str">
        <f aca="false">IFERROR(AVERAGEIF(N42:R42,"&lt;&gt;0"),"")</f>
        <v/>
      </c>
      <c r="AD42" s="17" t="str">
        <f aca="false">IFERROR(AVERAGEIF(S42:W42,"&lt;&gt;0"),"")</f>
        <v/>
      </c>
      <c r="AE42" s="17" t="str">
        <f aca="false">IFERROR(AVERAGEIF(X42:Z42,"&lt;&gt;0"),"")</f>
        <v/>
      </c>
      <c r="AF42" s="17" t="n">
        <f aca="false">IFERROR(AVERAGEIF(D42:Z42,"&lt;&gt;0"),"")</f>
        <v>7000</v>
      </c>
    </row>
    <row r="43" customFormat="false" ht="15" hidden="false" customHeight="true" outlineLevel="0" collapsed="false">
      <c r="A43" s="5" t="n">
        <v>39</v>
      </c>
      <c r="B43" s="6" t="s">
        <v>418</v>
      </c>
      <c r="C43" s="5" t="s">
        <v>407</v>
      </c>
      <c r="D43" s="37" t="n">
        <v>6000</v>
      </c>
      <c r="E43" s="37" t="n">
        <v>6000</v>
      </c>
      <c r="F43" s="37" t="n">
        <v>0</v>
      </c>
      <c r="G43" s="37" t="n">
        <v>0</v>
      </c>
      <c r="H43" s="37" t="n">
        <v>0</v>
      </c>
      <c r="I43" s="37" t="n">
        <v>0</v>
      </c>
      <c r="J43" s="37" t="n">
        <v>0</v>
      </c>
      <c r="K43" s="37" t="n">
        <v>0</v>
      </c>
      <c r="L43" s="37" t="n">
        <v>0</v>
      </c>
      <c r="M43" s="37" t="n">
        <v>0</v>
      </c>
      <c r="N43" s="37" t="n">
        <v>0</v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7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17" t="n">
        <f aca="false">IFERROR(AVERAGEIF(D43:H43,"&lt;&gt;0"),"")</f>
        <v>6000</v>
      </c>
      <c r="AB43" s="17" t="str">
        <f aca="false">IFERROR(AVERAGEIF(I43:M43,"&lt;&gt;0"),"")</f>
        <v/>
      </c>
      <c r="AC43" s="17" t="str">
        <f aca="false">IFERROR(AVERAGEIF(N43:R43,"&lt;&gt;0"),"")</f>
        <v/>
      </c>
      <c r="AD43" s="17" t="str">
        <f aca="false">IFERROR(AVERAGEIF(S43:W43,"&lt;&gt;0"),"")</f>
        <v/>
      </c>
      <c r="AE43" s="17" t="str">
        <f aca="false">IFERROR(AVERAGEIF(X43:Z43,"&lt;&gt;0"),"")</f>
        <v/>
      </c>
      <c r="AF43" s="17" t="n">
        <f aca="false">IFERROR(AVERAGEIF(D43:Z43,"&lt;&gt;0"),"")</f>
        <v>6000</v>
      </c>
    </row>
    <row r="44" customFormat="false" ht="15" hidden="false" customHeight="true" outlineLevel="0" collapsed="false">
      <c r="A44" s="5" t="n">
        <v>40</v>
      </c>
      <c r="B44" s="6" t="s">
        <v>419</v>
      </c>
      <c r="C44" s="5" t="s">
        <v>407</v>
      </c>
      <c r="D44" s="37" t="n">
        <v>5000</v>
      </c>
      <c r="E44" s="37" t="n">
        <v>5000</v>
      </c>
      <c r="F44" s="37" t="n">
        <v>0</v>
      </c>
      <c r="G44" s="37" t="n">
        <v>0</v>
      </c>
      <c r="H44" s="37" t="n">
        <v>0</v>
      </c>
      <c r="I44" s="37" t="n">
        <v>0</v>
      </c>
      <c r="J44" s="37" t="n">
        <v>0</v>
      </c>
      <c r="K44" s="37" t="n">
        <v>0</v>
      </c>
      <c r="L44" s="37" t="n">
        <v>0</v>
      </c>
      <c r="M44" s="37" t="n">
        <v>0</v>
      </c>
      <c r="N44" s="37" t="n">
        <v>0</v>
      </c>
      <c r="O44" s="37" t="n">
        <v>0</v>
      </c>
      <c r="P44" s="37" t="n">
        <v>0</v>
      </c>
      <c r="Q44" s="37" t="n">
        <v>0</v>
      </c>
      <c r="R44" s="37" t="n">
        <v>0</v>
      </c>
      <c r="S44" s="37" t="n">
        <v>0</v>
      </c>
      <c r="T44" s="37" t="n">
        <v>0</v>
      </c>
      <c r="U44" s="37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17" t="n">
        <f aca="false">IFERROR(AVERAGEIF(D44:H44,"&lt;&gt;0"),"")</f>
        <v>5000</v>
      </c>
      <c r="AB44" s="17" t="str">
        <f aca="false">IFERROR(AVERAGEIF(I44:M44,"&lt;&gt;0"),"")</f>
        <v/>
      </c>
      <c r="AC44" s="17" t="str">
        <f aca="false">IFERROR(AVERAGEIF(N44:R44,"&lt;&gt;0"),"")</f>
        <v/>
      </c>
      <c r="AD44" s="17" t="str">
        <f aca="false">IFERROR(AVERAGEIF(S44:W44,"&lt;&gt;0"),"")</f>
        <v/>
      </c>
      <c r="AE44" s="17" t="str">
        <f aca="false">IFERROR(AVERAGEIF(X44:Z44,"&lt;&gt;0"),"")</f>
        <v/>
      </c>
      <c r="AF44" s="17" t="n">
        <f aca="false">IFERROR(AVERAGEIF(D44:Z44,"&lt;&gt;0"),"")</f>
        <v>5000</v>
      </c>
    </row>
    <row r="45" customFormat="false" ht="15" hidden="false" customHeight="true" outlineLevel="0" collapsed="false">
      <c r="A45" s="5" t="n">
        <v>41</v>
      </c>
      <c r="B45" s="6" t="s">
        <v>420</v>
      </c>
      <c r="C45" s="5" t="s">
        <v>457</v>
      </c>
      <c r="D45" s="37" t="n">
        <v>65000</v>
      </c>
      <c r="E45" s="37" t="n">
        <v>65000</v>
      </c>
      <c r="F45" s="37" t="n">
        <v>0</v>
      </c>
      <c r="G45" s="37" t="n">
        <v>0</v>
      </c>
      <c r="H45" s="37" t="n">
        <v>0</v>
      </c>
      <c r="I45" s="37" t="n">
        <v>0</v>
      </c>
      <c r="J45" s="37" t="n">
        <v>0</v>
      </c>
      <c r="K45" s="37" t="n">
        <v>0</v>
      </c>
      <c r="L45" s="37" t="n">
        <v>0</v>
      </c>
      <c r="M45" s="37" t="n">
        <v>0</v>
      </c>
      <c r="N45" s="37" t="n">
        <v>0</v>
      </c>
      <c r="O45" s="37" t="n">
        <v>0</v>
      </c>
      <c r="P45" s="37" t="n">
        <v>0</v>
      </c>
      <c r="Q45" s="37" t="n">
        <v>0</v>
      </c>
      <c r="R45" s="37" t="n">
        <v>0</v>
      </c>
      <c r="S45" s="37" t="n">
        <v>0</v>
      </c>
      <c r="T45" s="37" t="n">
        <v>0</v>
      </c>
      <c r="U45" s="37" t="n">
        <v>0</v>
      </c>
      <c r="V45" s="37" t="n">
        <v>0</v>
      </c>
      <c r="W45" s="37" t="n">
        <v>0</v>
      </c>
      <c r="X45" s="37" t="n">
        <v>0</v>
      </c>
      <c r="Y45" s="37" t="n">
        <v>0</v>
      </c>
      <c r="Z45" s="37" t="n">
        <v>0</v>
      </c>
      <c r="AA45" s="17" t="n">
        <f aca="false">IFERROR(AVERAGEIF(D45:H45,"&lt;&gt;0"),"")</f>
        <v>65000</v>
      </c>
      <c r="AB45" s="17" t="str">
        <f aca="false">IFERROR(AVERAGEIF(I45:M45,"&lt;&gt;0"),"")</f>
        <v/>
      </c>
      <c r="AC45" s="17" t="str">
        <f aca="false">IFERROR(AVERAGEIF(N45:R45,"&lt;&gt;0"),"")</f>
        <v/>
      </c>
      <c r="AD45" s="17" t="str">
        <f aca="false">IFERROR(AVERAGEIF(S45:W45,"&lt;&gt;0"),"")</f>
        <v/>
      </c>
      <c r="AE45" s="17" t="str">
        <f aca="false">IFERROR(AVERAGEIF(X45:Z45,"&lt;&gt;0"),"")</f>
        <v/>
      </c>
      <c r="AF45" s="17" t="n">
        <f aca="false">IFERROR(AVERAGEIF(D45:Z45,"&lt;&gt;0"),"")</f>
        <v>65000</v>
      </c>
    </row>
    <row r="46" customFormat="false" ht="15" hidden="false" customHeight="true" outlineLevel="0" collapsed="false">
      <c r="A46" s="5" t="n">
        <v>42</v>
      </c>
      <c r="B46" s="6" t="s">
        <v>421</v>
      </c>
      <c r="C46" s="5" t="s">
        <v>407</v>
      </c>
      <c r="D46" s="37" t="n">
        <v>40000</v>
      </c>
      <c r="E46" s="37" t="n">
        <v>40000</v>
      </c>
      <c r="F46" s="37" t="n">
        <v>0</v>
      </c>
      <c r="G46" s="37" t="n">
        <v>0</v>
      </c>
      <c r="H46" s="37" t="n">
        <v>0</v>
      </c>
      <c r="I46" s="37" t="n">
        <v>0</v>
      </c>
      <c r="J46" s="37" t="n">
        <v>0</v>
      </c>
      <c r="K46" s="37" t="n">
        <v>0</v>
      </c>
      <c r="L46" s="37" t="n">
        <v>0</v>
      </c>
      <c r="M46" s="37" t="n">
        <v>0</v>
      </c>
      <c r="N46" s="37" t="n">
        <v>0</v>
      </c>
      <c r="O46" s="37" t="n">
        <v>0</v>
      </c>
      <c r="P46" s="37" t="n">
        <v>0</v>
      </c>
      <c r="Q46" s="37" t="n">
        <v>0</v>
      </c>
      <c r="R46" s="37" t="n">
        <v>0</v>
      </c>
      <c r="S46" s="37" t="n">
        <v>0</v>
      </c>
      <c r="T46" s="37" t="n">
        <v>0</v>
      </c>
      <c r="U46" s="37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17" t="n">
        <f aca="false">IFERROR(AVERAGEIF(D46:H46,"&lt;&gt;0"),"")</f>
        <v>40000</v>
      </c>
      <c r="AB46" s="17" t="str">
        <f aca="false">IFERROR(AVERAGEIF(I46:M46,"&lt;&gt;0"),"")</f>
        <v/>
      </c>
      <c r="AC46" s="17" t="str">
        <f aca="false">IFERROR(AVERAGEIF(N46:R46,"&lt;&gt;0"),"")</f>
        <v/>
      </c>
      <c r="AD46" s="17" t="str">
        <f aca="false">IFERROR(AVERAGEIF(S46:W46,"&lt;&gt;0"),"")</f>
        <v/>
      </c>
      <c r="AE46" s="17" t="str">
        <f aca="false">IFERROR(AVERAGEIF(X46:Z46,"&lt;&gt;0"),"")</f>
        <v/>
      </c>
      <c r="AF46" s="17" t="n">
        <f aca="false">IFERROR(AVERAGEIF(D46:Z46,"&lt;&gt;0"),"")</f>
        <v>40000</v>
      </c>
    </row>
    <row r="47" customFormat="false" ht="15" hidden="false" customHeight="true" outlineLevel="0" collapsed="false">
      <c r="A47" s="5" t="n">
        <v>43</v>
      </c>
      <c r="B47" s="6" t="s">
        <v>422</v>
      </c>
      <c r="C47" s="5" t="s">
        <v>407</v>
      </c>
      <c r="D47" s="37" t="n">
        <v>36000</v>
      </c>
      <c r="E47" s="37" t="n">
        <v>36000</v>
      </c>
      <c r="F47" s="37" t="n">
        <v>0</v>
      </c>
      <c r="G47" s="37" t="n">
        <v>0</v>
      </c>
      <c r="H47" s="37" t="n">
        <v>0</v>
      </c>
      <c r="I47" s="37" t="n">
        <v>0</v>
      </c>
      <c r="J47" s="37" t="n">
        <v>0</v>
      </c>
      <c r="K47" s="37" t="n">
        <v>0</v>
      </c>
      <c r="L47" s="37" t="n">
        <v>0</v>
      </c>
      <c r="M47" s="37" t="n">
        <v>0</v>
      </c>
      <c r="N47" s="37" t="n">
        <v>0</v>
      </c>
      <c r="O47" s="37" t="n">
        <v>0</v>
      </c>
      <c r="P47" s="37" t="n">
        <v>0</v>
      </c>
      <c r="Q47" s="37" t="n">
        <v>0</v>
      </c>
      <c r="R47" s="37" t="n">
        <v>0</v>
      </c>
      <c r="S47" s="37" t="n">
        <v>0</v>
      </c>
      <c r="T47" s="37" t="n">
        <v>0</v>
      </c>
      <c r="U47" s="37" t="n">
        <v>0</v>
      </c>
      <c r="V47" s="37" t="n">
        <v>0</v>
      </c>
      <c r="W47" s="37" t="n">
        <v>0</v>
      </c>
      <c r="X47" s="37" t="n">
        <v>0</v>
      </c>
      <c r="Y47" s="37" t="n">
        <v>0</v>
      </c>
      <c r="Z47" s="37" t="n">
        <v>0</v>
      </c>
      <c r="AA47" s="17" t="n">
        <f aca="false">IFERROR(AVERAGEIF(D47:H47,"&lt;&gt;0"),"")</f>
        <v>36000</v>
      </c>
      <c r="AB47" s="17" t="str">
        <f aca="false">IFERROR(AVERAGEIF(I47:M47,"&lt;&gt;0"),"")</f>
        <v/>
      </c>
      <c r="AC47" s="17" t="str">
        <f aca="false">IFERROR(AVERAGEIF(N47:R47,"&lt;&gt;0"),"")</f>
        <v/>
      </c>
      <c r="AD47" s="17" t="str">
        <f aca="false">IFERROR(AVERAGEIF(S47:W47,"&lt;&gt;0"),"")</f>
        <v/>
      </c>
      <c r="AE47" s="17" t="str">
        <f aca="false">IFERROR(AVERAGEIF(X47:Z47,"&lt;&gt;0"),"")</f>
        <v/>
      </c>
      <c r="AF47" s="17" t="n">
        <f aca="false">IFERROR(AVERAGEIF(D47:Z47,"&lt;&gt;0"),"")</f>
        <v>36000</v>
      </c>
    </row>
    <row r="48" customFormat="false" ht="15" hidden="false" customHeight="true" outlineLevel="0" collapsed="false">
      <c r="A48" s="5" t="n">
        <v>44</v>
      </c>
      <c r="B48" s="6" t="s">
        <v>423</v>
      </c>
      <c r="C48" s="5" t="s">
        <v>407</v>
      </c>
      <c r="D48" s="37" t="n">
        <v>28000</v>
      </c>
      <c r="E48" s="37" t="n">
        <v>28000</v>
      </c>
      <c r="F48" s="37" t="n">
        <v>0</v>
      </c>
      <c r="G48" s="37" t="n">
        <v>0</v>
      </c>
      <c r="H48" s="37" t="n">
        <v>0</v>
      </c>
      <c r="I48" s="37" t="n">
        <v>0</v>
      </c>
      <c r="J48" s="37" t="n">
        <v>0</v>
      </c>
      <c r="K48" s="37" t="n">
        <v>0</v>
      </c>
      <c r="L48" s="37" t="n">
        <v>0</v>
      </c>
      <c r="M48" s="37" t="n">
        <v>0</v>
      </c>
      <c r="N48" s="37" t="n">
        <v>0</v>
      </c>
      <c r="O48" s="37" t="n">
        <v>0</v>
      </c>
      <c r="P48" s="37" t="n">
        <v>0</v>
      </c>
      <c r="Q48" s="37" t="n">
        <v>0</v>
      </c>
      <c r="R48" s="37" t="n">
        <v>0</v>
      </c>
      <c r="S48" s="37" t="n">
        <v>0</v>
      </c>
      <c r="T48" s="37" t="n">
        <v>0</v>
      </c>
      <c r="U48" s="37" t="n">
        <v>0</v>
      </c>
      <c r="V48" s="37" t="n">
        <v>0</v>
      </c>
      <c r="W48" s="37" t="n">
        <v>0</v>
      </c>
      <c r="X48" s="37" t="n">
        <v>0</v>
      </c>
      <c r="Y48" s="37" t="n">
        <v>0</v>
      </c>
      <c r="Z48" s="37" t="n">
        <v>0</v>
      </c>
      <c r="AA48" s="17" t="n">
        <f aca="false">IFERROR(AVERAGEIF(D48:H48,"&lt;&gt;0"),"")</f>
        <v>28000</v>
      </c>
      <c r="AB48" s="17" t="str">
        <f aca="false">IFERROR(AVERAGEIF(I48:M48,"&lt;&gt;0"),"")</f>
        <v/>
      </c>
      <c r="AC48" s="17" t="str">
        <f aca="false">IFERROR(AVERAGEIF(N48:R48,"&lt;&gt;0"),"")</f>
        <v/>
      </c>
      <c r="AD48" s="17" t="str">
        <f aca="false">IFERROR(AVERAGEIF(S48:W48,"&lt;&gt;0"),"")</f>
        <v/>
      </c>
      <c r="AE48" s="17" t="str">
        <f aca="false">IFERROR(AVERAGEIF(X48:Z48,"&lt;&gt;0"),"")</f>
        <v/>
      </c>
      <c r="AF48" s="17" t="n">
        <f aca="false">IFERROR(AVERAGEIF(D48:Z48,"&lt;&gt;0"),"")</f>
        <v>28000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2026-08-29T02:25:17Z</dcterms:created>
  <dc:creator>openpyxl</dc:creator>
  <dc:description/>
  <dc:language>en-US</dc:language>
  <cp:lastModifiedBy/>
  <dcterms:modified xsi:type="dcterms:W3CDTF">2026-09-01T07:34:04Z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