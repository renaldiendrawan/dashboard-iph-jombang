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 9 2 4\Downloads\"/>
    </mc:Choice>
  </mc:AlternateContent>
  <xr:revisionPtr revIDLastSave="0" documentId="13_ncr:1_{38E7FD83-327F-40CF-9A7C-5DEB143ADA24}" xr6:coauthVersionLast="47" xr6:coauthVersionMax="47" xr10:uidLastSave="{00000000-0000-0000-0000-000000000000}"/>
  <bookViews>
    <workbookView xWindow="-110" yWindow="-110" windowWidth="19420" windowHeight="10300" tabRatio="500" firstSheet="1" activeTab="2" xr2:uid="{00000000-000D-0000-FFFF-FFFF00000000}"/>
  </bookViews>
  <sheets>
    <sheet name="Ringkasan Mingguan 2026" sheetId="1" r:id="rId1"/>
    <sheet name="Perhitungan IPH Mingguan 2026" sheetId="2" r:id="rId2"/>
    <sheet name="Top 5 Andil per Minggu 2026" sheetId="3" r:id="rId3"/>
    <sheet name="Saran ke Pemkab 2026" sheetId="4" r:id="rId4"/>
    <sheet name="Pemetaan Variant" sheetId="5" r:id="rId5"/>
    <sheet name="P0Q0 Dasar 2022" sheetId="6" r:id="rId6"/>
    <sheet name="Data Des 2025" sheetId="7" r:id="rId7"/>
    <sheet name="Data Jan 2026" sheetId="8" r:id="rId8"/>
    <sheet name="Data Feb 2026" sheetId="9" r:id="rId9"/>
    <sheet name="Data Mar 2026" sheetId="10" r:id="rId10"/>
    <sheet name="Data Apr 2026" sheetId="11" r:id="rId11"/>
    <sheet name="Data Mei 2026" sheetId="12" r:id="rId12"/>
    <sheet name="Data Jun 2026" sheetId="13" r:id="rId13"/>
    <sheet name="Data Jul 2026" sheetId="14" r:id="rId14"/>
    <sheet name="Data Agu 2026" sheetId="15" r:id="rId15"/>
    <sheet name="Data Sep 202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F48" i="16" l="1"/>
  <c r="AE48" i="16"/>
  <c r="AD48" i="16"/>
  <c r="AC48" i="16"/>
  <c r="AB48" i="16"/>
  <c r="AA48" i="16"/>
  <c r="AF47" i="16"/>
  <c r="AE47" i="16"/>
  <c r="AD47" i="16"/>
  <c r="AC47" i="16"/>
  <c r="AB47" i="16"/>
  <c r="AA47" i="16"/>
  <c r="AF46" i="16"/>
  <c r="AE46" i="16"/>
  <c r="AD46" i="16"/>
  <c r="AC46" i="16"/>
  <c r="AB46" i="16"/>
  <c r="AA46" i="16"/>
  <c r="AF45" i="16"/>
  <c r="AE45" i="16"/>
  <c r="AD45" i="16"/>
  <c r="AC45" i="16"/>
  <c r="AB45" i="16"/>
  <c r="AA45" i="16"/>
  <c r="AF44" i="16"/>
  <c r="AE44" i="16"/>
  <c r="AD44" i="16"/>
  <c r="AC44" i="16"/>
  <c r="AB44" i="16"/>
  <c r="AA44" i="16"/>
  <c r="AF43" i="16"/>
  <c r="AE43" i="16"/>
  <c r="AD43" i="16"/>
  <c r="AC43" i="16"/>
  <c r="AB43" i="16"/>
  <c r="AA43" i="16"/>
  <c r="AF42" i="16"/>
  <c r="AE42" i="16"/>
  <c r="AD42" i="16"/>
  <c r="AC42" i="16"/>
  <c r="AB42" i="16"/>
  <c r="AA42" i="16"/>
  <c r="AF41" i="16"/>
  <c r="AE41" i="16"/>
  <c r="AD41" i="16"/>
  <c r="AC41" i="16"/>
  <c r="AB41" i="16"/>
  <c r="AA41" i="16"/>
  <c r="AF40" i="16"/>
  <c r="AE40" i="16"/>
  <c r="AD40" i="16"/>
  <c r="AC40" i="16"/>
  <c r="AB40" i="16"/>
  <c r="AA40" i="16"/>
  <c r="AF39" i="16"/>
  <c r="AE39" i="16"/>
  <c r="AD39" i="16"/>
  <c r="AC39" i="16"/>
  <c r="AB39" i="16"/>
  <c r="AA39" i="16"/>
  <c r="AF38" i="16"/>
  <c r="AE38" i="16"/>
  <c r="AD38" i="16"/>
  <c r="AC38" i="16"/>
  <c r="AB38" i="16"/>
  <c r="AA38" i="16"/>
  <c r="AF37" i="16"/>
  <c r="AE37" i="16"/>
  <c r="AD37" i="16"/>
  <c r="AC37" i="16"/>
  <c r="AB37" i="16"/>
  <c r="AA37" i="16"/>
  <c r="AF36" i="16"/>
  <c r="AE36" i="16"/>
  <c r="AD36" i="16"/>
  <c r="AC36" i="16"/>
  <c r="AB36" i="16"/>
  <c r="AA36" i="16"/>
  <c r="AF35" i="16"/>
  <c r="AE35" i="16"/>
  <c r="AD35" i="16"/>
  <c r="AC35" i="16"/>
  <c r="AB35" i="16"/>
  <c r="AA35" i="16"/>
  <c r="AF34" i="16"/>
  <c r="AE34" i="16"/>
  <c r="AD34" i="16"/>
  <c r="AC34" i="16"/>
  <c r="AB34" i="16"/>
  <c r="AA34" i="16"/>
  <c r="AF33" i="16"/>
  <c r="AE33" i="16"/>
  <c r="AD33" i="16"/>
  <c r="AC33" i="16"/>
  <c r="AB33" i="16"/>
  <c r="AA33" i="16"/>
  <c r="AF32" i="16"/>
  <c r="AE32" i="16"/>
  <c r="AD32" i="16"/>
  <c r="AC32" i="16"/>
  <c r="AB32" i="16"/>
  <c r="AA32" i="16"/>
  <c r="AF31" i="16"/>
  <c r="AE31" i="16"/>
  <c r="AD31" i="16"/>
  <c r="AC31" i="16"/>
  <c r="AB31" i="16"/>
  <c r="AA31" i="16"/>
  <c r="AF30" i="16"/>
  <c r="AE30" i="16"/>
  <c r="AD30" i="16"/>
  <c r="AC30" i="16"/>
  <c r="AB30" i="16"/>
  <c r="AA30" i="16"/>
  <c r="AF29" i="16"/>
  <c r="AE29" i="16"/>
  <c r="AD29" i="16"/>
  <c r="AC29" i="16"/>
  <c r="AB29" i="16"/>
  <c r="AA29" i="16"/>
  <c r="AF28" i="16"/>
  <c r="AE28" i="16"/>
  <c r="AD28" i="16"/>
  <c r="AC28" i="16"/>
  <c r="AB28" i="16"/>
  <c r="AA28" i="16"/>
  <c r="AF27" i="16"/>
  <c r="AE27" i="16"/>
  <c r="AD27" i="16"/>
  <c r="AC27" i="16"/>
  <c r="AB27" i="16"/>
  <c r="AA27" i="16"/>
  <c r="AF26" i="16"/>
  <c r="AE26" i="16"/>
  <c r="AD26" i="16"/>
  <c r="AC26" i="16"/>
  <c r="AB26" i="16"/>
  <c r="AA26" i="16"/>
  <c r="AF25" i="16"/>
  <c r="AE25" i="16"/>
  <c r="AD25" i="16"/>
  <c r="AC25" i="16"/>
  <c r="AB25" i="16"/>
  <c r="AA25" i="16"/>
  <c r="AF24" i="16"/>
  <c r="AE24" i="16"/>
  <c r="AD24" i="16"/>
  <c r="AC24" i="16"/>
  <c r="AB24" i="16"/>
  <c r="AA24" i="16"/>
  <c r="AF23" i="16"/>
  <c r="AE23" i="16"/>
  <c r="AD23" i="16"/>
  <c r="AC23" i="16"/>
  <c r="AB23" i="16"/>
  <c r="AA23" i="16"/>
  <c r="AF22" i="16"/>
  <c r="AE22" i="16"/>
  <c r="AD22" i="16"/>
  <c r="AC22" i="16"/>
  <c r="AB22" i="16"/>
  <c r="AA22" i="16"/>
  <c r="AF21" i="16"/>
  <c r="AE21" i="16"/>
  <c r="AD21" i="16"/>
  <c r="AC21" i="16"/>
  <c r="AB21" i="16"/>
  <c r="AA21" i="16"/>
  <c r="AF20" i="16"/>
  <c r="AE20" i="16"/>
  <c r="AD20" i="16"/>
  <c r="AC20" i="16"/>
  <c r="AB20" i="16"/>
  <c r="AA20" i="16"/>
  <c r="AF19" i="16"/>
  <c r="AE19" i="16"/>
  <c r="AD19" i="16"/>
  <c r="AC19" i="16"/>
  <c r="AB19" i="16"/>
  <c r="AA19" i="16"/>
  <c r="AF18" i="16"/>
  <c r="AE18" i="16"/>
  <c r="AD18" i="16"/>
  <c r="AC18" i="16"/>
  <c r="AB18" i="16"/>
  <c r="AA18" i="16"/>
  <c r="AF17" i="16"/>
  <c r="AE17" i="16"/>
  <c r="AD17" i="16"/>
  <c r="AC17" i="16"/>
  <c r="AB17" i="16"/>
  <c r="AA17" i="16"/>
  <c r="AF16" i="16"/>
  <c r="AE16" i="16"/>
  <c r="AD16" i="16"/>
  <c r="AC16" i="16"/>
  <c r="AB16" i="16"/>
  <c r="AA16" i="16"/>
  <c r="AF15" i="16"/>
  <c r="AE15" i="16"/>
  <c r="AD15" i="16"/>
  <c r="AC15" i="16"/>
  <c r="AB15" i="16"/>
  <c r="AA15" i="16"/>
  <c r="AF14" i="16"/>
  <c r="AE14" i="16"/>
  <c r="AD14" i="16"/>
  <c r="AC14" i="16"/>
  <c r="AB14" i="16"/>
  <c r="AA14" i="16"/>
  <c r="AF13" i="16"/>
  <c r="AE13" i="16"/>
  <c r="AD13" i="16"/>
  <c r="AC13" i="16"/>
  <c r="AB13" i="16"/>
  <c r="AA13" i="16"/>
  <c r="AF12" i="16"/>
  <c r="AE12" i="16"/>
  <c r="AD12" i="16"/>
  <c r="AC12" i="16"/>
  <c r="AB12" i="16"/>
  <c r="AA12" i="16"/>
  <c r="AF11" i="16"/>
  <c r="AE11" i="16"/>
  <c r="AD11" i="16"/>
  <c r="AC11" i="16"/>
  <c r="AB11" i="16"/>
  <c r="AA11" i="16"/>
  <c r="AF10" i="16"/>
  <c r="AE10" i="16"/>
  <c r="AD10" i="16"/>
  <c r="AC10" i="16"/>
  <c r="AB10" i="16"/>
  <c r="BA27" i="5" s="1"/>
  <c r="AA10" i="16"/>
  <c r="AF9" i="16"/>
  <c r="AE9" i="16"/>
  <c r="AD9" i="16"/>
  <c r="AC9" i="16"/>
  <c r="AB9" i="16"/>
  <c r="AA9" i="16"/>
  <c r="AF8" i="16"/>
  <c r="AE8" i="16"/>
  <c r="AD8" i="16"/>
  <c r="AC8" i="16"/>
  <c r="AB8" i="16"/>
  <c r="AA8" i="16"/>
  <c r="AF7" i="16"/>
  <c r="AE7" i="16"/>
  <c r="AD7" i="16"/>
  <c r="AC7" i="16"/>
  <c r="AB7" i="16"/>
  <c r="AA7" i="16"/>
  <c r="AF6" i="16"/>
  <c r="AE6" i="16"/>
  <c r="AD6" i="16"/>
  <c r="AC6" i="16"/>
  <c r="AB6" i="16"/>
  <c r="AA6" i="16"/>
  <c r="AF5" i="16"/>
  <c r="AE5" i="16"/>
  <c r="AD5" i="16"/>
  <c r="AC5" i="16"/>
  <c r="AB5" i="16"/>
  <c r="AA5" i="16"/>
  <c r="AC48" i="15"/>
  <c r="AB48" i="15"/>
  <c r="AA48" i="15"/>
  <c r="Z48" i="15"/>
  <c r="Y48" i="15"/>
  <c r="X48" i="15"/>
  <c r="AC47" i="15"/>
  <c r="AB47" i="15"/>
  <c r="AA47" i="15"/>
  <c r="Z47" i="15"/>
  <c r="Y47" i="15"/>
  <c r="X47" i="15"/>
  <c r="AC46" i="15"/>
  <c r="AB46" i="15"/>
  <c r="AA46" i="15"/>
  <c r="Z46" i="15"/>
  <c r="Y46" i="15"/>
  <c r="X46" i="15"/>
  <c r="AC45" i="15"/>
  <c r="AB45" i="15"/>
  <c r="AA45" i="15"/>
  <c r="Z45" i="15"/>
  <c r="Y45" i="15"/>
  <c r="X45" i="15"/>
  <c r="AC44" i="15"/>
  <c r="AB44" i="15"/>
  <c r="AA44" i="15"/>
  <c r="Z44" i="15"/>
  <c r="Y44" i="15"/>
  <c r="X44" i="15"/>
  <c r="AC43" i="15"/>
  <c r="AB43" i="15"/>
  <c r="AA43" i="15"/>
  <c r="Z43" i="15"/>
  <c r="Y43" i="15"/>
  <c r="X43" i="15"/>
  <c r="AC42" i="15"/>
  <c r="AB42" i="15"/>
  <c r="AA42" i="15"/>
  <c r="Z42" i="15"/>
  <c r="Y42" i="15"/>
  <c r="X42" i="15"/>
  <c r="AC41" i="15"/>
  <c r="AB41" i="15"/>
  <c r="AA41" i="15"/>
  <c r="Z41" i="15"/>
  <c r="Y41" i="15"/>
  <c r="X41" i="15"/>
  <c r="AC40" i="15"/>
  <c r="AB40" i="15"/>
  <c r="AA40" i="15"/>
  <c r="Z40" i="15"/>
  <c r="Y40" i="15"/>
  <c r="X40" i="15"/>
  <c r="AC39" i="15"/>
  <c r="AB39" i="15"/>
  <c r="AA39" i="15"/>
  <c r="Z39" i="15"/>
  <c r="Y39" i="15"/>
  <c r="X39" i="15"/>
  <c r="AC38" i="15"/>
  <c r="AB38" i="15"/>
  <c r="AA38" i="15"/>
  <c r="Z38" i="15"/>
  <c r="Y38" i="15"/>
  <c r="X38" i="15"/>
  <c r="AC37" i="15"/>
  <c r="AB37" i="15"/>
  <c r="AA37" i="15"/>
  <c r="Z37" i="15"/>
  <c r="Y37" i="15"/>
  <c r="AU32" i="5" s="1"/>
  <c r="DE25" i="2" s="1"/>
  <c r="DF25" i="2" s="1"/>
  <c r="DG25" i="2" s="1"/>
  <c r="FM25" i="2" s="1"/>
  <c r="X37" i="15"/>
  <c r="AT32" i="5" s="1"/>
  <c r="DB25" i="2" s="1"/>
  <c r="DC25" i="2" s="1"/>
  <c r="DD25" i="2" s="1"/>
  <c r="FL25" i="2" s="1"/>
  <c r="AC36" i="15"/>
  <c r="AB36" i="15"/>
  <c r="AA36" i="15"/>
  <c r="Z36" i="15"/>
  <c r="Y36" i="15"/>
  <c r="X36" i="15"/>
  <c r="AC35" i="15"/>
  <c r="AY14" i="5" s="1"/>
  <c r="AB35" i="15"/>
  <c r="AX14" i="5" s="1"/>
  <c r="FP11" i="2" s="1"/>
  <c r="AA35" i="15"/>
  <c r="Z35" i="15"/>
  <c r="Y35" i="15"/>
  <c r="X35" i="15"/>
  <c r="AC34" i="15"/>
  <c r="AB34" i="15"/>
  <c r="AA34" i="15"/>
  <c r="Z34" i="15"/>
  <c r="Y34" i="15"/>
  <c r="AU9" i="5" s="1"/>
  <c r="X34" i="15"/>
  <c r="AC33" i="15"/>
  <c r="AB33" i="15"/>
  <c r="AA33" i="15"/>
  <c r="Z33" i="15"/>
  <c r="Y33" i="15"/>
  <c r="AU31" i="5" s="1"/>
  <c r="DE24" i="2" s="1"/>
  <c r="DF24" i="2" s="1"/>
  <c r="X33" i="15"/>
  <c r="AT31" i="5" s="1"/>
  <c r="DB24" i="2" s="1"/>
  <c r="DC24" i="2" s="1"/>
  <c r="DD24" i="2" s="1"/>
  <c r="FL24" i="2" s="1"/>
  <c r="AC32" i="15"/>
  <c r="AB32" i="15"/>
  <c r="AA32" i="15"/>
  <c r="Z32" i="15"/>
  <c r="Y32" i="15"/>
  <c r="X32" i="15"/>
  <c r="AC31" i="15"/>
  <c r="AY25" i="5" s="1"/>
  <c r="DO21" i="2" s="1"/>
  <c r="DP21" i="2" s="1"/>
  <c r="FQ21" i="2" s="1"/>
  <c r="AB31" i="15"/>
  <c r="AX25" i="5" s="1"/>
  <c r="FP21" i="2" s="1"/>
  <c r="AA31" i="15"/>
  <c r="Z31" i="15"/>
  <c r="Y31" i="15"/>
  <c r="X31" i="15"/>
  <c r="AC30" i="15"/>
  <c r="AB30" i="15"/>
  <c r="AA30" i="15"/>
  <c r="Z30" i="15"/>
  <c r="Y30" i="15"/>
  <c r="X30" i="15"/>
  <c r="AC29" i="15"/>
  <c r="AB29" i="15"/>
  <c r="AA29" i="15"/>
  <c r="Z29" i="15"/>
  <c r="Y29" i="15"/>
  <c r="X29" i="15"/>
  <c r="AC28" i="15"/>
  <c r="AB28" i="15"/>
  <c r="AA28" i="15"/>
  <c r="Z28" i="15"/>
  <c r="Y28" i="15"/>
  <c r="X28" i="15"/>
  <c r="AC27" i="15"/>
  <c r="AY22" i="5" s="1"/>
  <c r="DO19" i="2" s="1"/>
  <c r="AB27" i="15"/>
  <c r="AX22" i="5" s="1"/>
  <c r="FP19" i="2" s="1"/>
  <c r="AA27" i="15"/>
  <c r="Z27" i="15"/>
  <c r="Y27" i="15"/>
  <c r="X27" i="15"/>
  <c r="AC26" i="15"/>
  <c r="AB26" i="15"/>
  <c r="AA26" i="15"/>
  <c r="AW24" i="5" s="1"/>
  <c r="DK20" i="2" s="1"/>
  <c r="DL20" i="2" s="1"/>
  <c r="DM20" i="2" s="1"/>
  <c r="FO20" i="2" s="1"/>
  <c r="Z26" i="15"/>
  <c r="AV24" i="5" s="1"/>
  <c r="DH20" i="2" s="1"/>
  <c r="DI20" i="2" s="1"/>
  <c r="Y26" i="15"/>
  <c r="X26" i="15"/>
  <c r="AC25" i="15"/>
  <c r="AB25" i="15"/>
  <c r="AA25" i="15"/>
  <c r="Z25" i="15"/>
  <c r="Y25" i="15"/>
  <c r="X25" i="15"/>
  <c r="AC24" i="15"/>
  <c r="AB24" i="15"/>
  <c r="AA24" i="15"/>
  <c r="Z24" i="15"/>
  <c r="Y24" i="15"/>
  <c r="X24" i="15"/>
  <c r="AC23" i="15"/>
  <c r="AB23" i="15"/>
  <c r="AA23" i="15"/>
  <c r="Z23" i="15"/>
  <c r="Y23" i="15"/>
  <c r="X23" i="15"/>
  <c r="AC22" i="15"/>
  <c r="AB22" i="15"/>
  <c r="AA22" i="15"/>
  <c r="AW30" i="5" s="1"/>
  <c r="Z22" i="15"/>
  <c r="AV30" i="5" s="1"/>
  <c r="DH23" i="2" s="1"/>
  <c r="DI23" i="2" s="1"/>
  <c r="DJ23" i="2" s="1"/>
  <c r="FN23" i="2" s="1"/>
  <c r="Y22" i="15"/>
  <c r="X22" i="15"/>
  <c r="AC21" i="15"/>
  <c r="AB21" i="15"/>
  <c r="AA21" i="15"/>
  <c r="Z21" i="15"/>
  <c r="Y21" i="15"/>
  <c r="X21" i="15"/>
  <c r="AC20" i="15"/>
  <c r="AB20" i="15"/>
  <c r="AA20" i="15"/>
  <c r="Z20" i="15"/>
  <c r="Y20" i="15"/>
  <c r="X20" i="15"/>
  <c r="AC19" i="15"/>
  <c r="AB19" i="15"/>
  <c r="AX17" i="5" s="1"/>
  <c r="FP14" i="2" s="1"/>
  <c r="AA19" i="15"/>
  <c r="Z19" i="15"/>
  <c r="Y19" i="15"/>
  <c r="X19" i="15"/>
  <c r="AC18" i="15"/>
  <c r="AB18" i="15"/>
  <c r="AA18" i="15"/>
  <c r="AW10" i="5" s="1"/>
  <c r="DK9" i="2" s="1"/>
  <c r="DL9" i="2" s="1"/>
  <c r="Z18" i="15"/>
  <c r="AV10" i="5" s="1"/>
  <c r="DH9" i="2" s="1"/>
  <c r="DI9" i="2" s="1"/>
  <c r="Y18" i="15"/>
  <c r="X18" i="15"/>
  <c r="AC17" i="15"/>
  <c r="AB17" i="15"/>
  <c r="AA17" i="15"/>
  <c r="Z17" i="15"/>
  <c r="Y17" i="15"/>
  <c r="X17" i="15"/>
  <c r="AC16" i="15"/>
  <c r="AY13" i="5" s="1"/>
  <c r="AB16" i="15"/>
  <c r="AA16" i="15"/>
  <c r="Z16" i="15"/>
  <c r="Y16" i="15"/>
  <c r="X16" i="15"/>
  <c r="AC15" i="15"/>
  <c r="AY12" i="5" s="1"/>
  <c r="AB15" i="15"/>
  <c r="AX12" i="5" s="1"/>
  <c r="FP10" i="2" s="1"/>
  <c r="AA15" i="15"/>
  <c r="Z15" i="15"/>
  <c r="Y15" i="15"/>
  <c r="X15" i="15"/>
  <c r="AC14" i="15"/>
  <c r="AB14" i="15"/>
  <c r="AA14" i="15"/>
  <c r="AW11" i="5" s="1"/>
  <c r="DK10" i="2" s="1"/>
  <c r="DL10" i="2" s="1"/>
  <c r="Z14" i="15"/>
  <c r="AV11" i="5" s="1"/>
  <c r="DH10" i="2" s="1"/>
  <c r="DI10" i="2" s="1"/>
  <c r="Y14" i="15"/>
  <c r="X14" i="15"/>
  <c r="AC13" i="15"/>
  <c r="AB13" i="15"/>
  <c r="AA13" i="15"/>
  <c r="Z13" i="15"/>
  <c r="Y13" i="15"/>
  <c r="AU18" i="5" s="1"/>
  <c r="DE15" i="2" s="1"/>
  <c r="DF15" i="2" s="1"/>
  <c r="X13" i="15"/>
  <c r="AT18" i="5" s="1"/>
  <c r="DB15" i="2" s="1"/>
  <c r="DC15" i="2" s="1"/>
  <c r="DD15" i="2" s="1"/>
  <c r="FL15" i="2" s="1"/>
  <c r="AC12" i="15"/>
  <c r="AY21" i="5" s="1"/>
  <c r="AB12" i="15"/>
  <c r="AA12" i="15"/>
  <c r="Z12" i="15"/>
  <c r="Y12" i="15"/>
  <c r="X12" i="15"/>
  <c r="AC11" i="15"/>
  <c r="AB11" i="15"/>
  <c r="AX16" i="5" s="1"/>
  <c r="FP13" i="2" s="1"/>
  <c r="AA11" i="15"/>
  <c r="AW16" i="5" s="1"/>
  <c r="DK13" i="2" s="1"/>
  <c r="DL13" i="2" s="1"/>
  <c r="Z11" i="15"/>
  <c r="Y11" i="15"/>
  <c r="X11" i="15"/>
  <c r="AC10" i="15"/>
  <c r="AB10" i="15"/>
  <c r="AA10" i="15"/>
  <c r="AW27" i="5" s="1"/>
  <c r="DK22" i="2" s="1"/>
  <c r="DL22" i="2" s="1"/>
  <c r="DM22" i="2" s="1"/>
  <c r="FO22" i="2" s="1"/>
  <c r="Z10" i="15"/>
  <c r="AV27" i="5" s="1"/>
  <c r="DH22" i="2" s="1"/>
  <c r="DI22" i="2" s="1"/>
  <c r="DJ22" i="2" s="1"/>
  <c r="FN22" i="2" s="1"/>
  <c r="Y10" i="15"/>
  <c r="X10" i="15"/>
  <c r="AC9" i="15"/>
  <c r="AB9" i="15"/>
  <c r="AA9" i="15"/>
  <c r="Z9" i="15"/>
  <c r="Y9" i="15"/>
  <c r="AU26" i="5" s="1"/>
  <c r="DE22" i="2" s="1"/>
  <c r="DF22" i="2" s="1"/>
  <c r="DG22" i="2" s="1"/>
  <c r="FM22" i="2" s="1"/>
  <c r="X9" i="15"/>
  <c r="AT26" i="5" s="1"/>
  <c r="DB22" i="2" s="1"/>
  <c r="DC22" i="2" s="1"/>
  <c r="DD22" i="2" s="1"/>
  <c r="FL22" i="2" s="1"/>
  <c r="AC8" i="15"/>
  <c r="AB8" i="15"/>
  <c r="AA8" i="15"/>
  <c r="Z8" i="15"/>
  <c r="Y8" i="15"/>
  <c r="X8" i="15"/>
  <c r="AC7" i="15"/>
  <c r="AY7" i="5" s="1"/>
  <c r="AB7" i="15"/>
  <c r="AX7" i="5" s="1"/>
  <c r="AA7" i="15"/>
  <c r="AW7" i="5" s="1"/>
  <c r="Z7" i="15"/>
  <c r="Y7" i="15"/>
  <c r="X7" i="15"/>
  <c r="AC6" i="15"/>
  <c r="AB6" i="15"/>
  <c r="AA6" i="15"/>
  <c r="Z6" i="15"/>
  <c r="Y6" i="15"/>
  <c r="X6" i="15"/>
  <c r="AC5" i="15"/>
  <c r="AB5" i="15"/>
  <c r="AA5" i="15"/>
  <c r="Z5" i="15"/>
  <c r="Y5" i="15"/>
  <c r="X5" i="15"/>
  <c r="AF48" i="14"/>
  <c r="AE48" i="14"/>
  <c r="AD48" i="14"/>
  <c r="AC48" i="14"/>
  <c r="AB48" i="14"/>
  <c r="AA48" i="14"/>
  <c r="AF47" i="14"/>
  <c r="AE47" i="14"/>
  <c r="AD47" i="14"/>
  <c r="AC47" i="14"/>
  <c r="AB47" i="14"/>
  <c r="AA47" i="14"/>
  <c r="AF46" i="14"/>
  <c r="AE46" i="14"/>
  <c r="AD46" i="14"/>
  <c r="AC46" i="14"/>
  <c r="AB46" i="14"/>
  <c r="AA46" i="14"/>
  <c r="AF45" i="14"/>
  <c r="AE45" i="14"/>
  <c r="AD45" i="14"/>
  <c r="AC45" i="14"/>
  <c r="AB45" i="14"/>
  <c r="AA45" i="14"/>
  <c r="AF44" i="14"/>
  <c r="AE44" i="14"/>
  <c r="AD44" i="14"/>
  <c r="AC44" i="14"/>
  <c r="AB44" i="14"/>
  <c r="AA44" i="14"/>
  <c r="AF43" i="14"/>
  <c r="AE43" i="14"/>
  <c r="AD43" i="14"/>
  <c r="AC43" i="14"/>
  <c r="AB43" i="14"/>
  <c r="AA43" i="14"/>
  <c r="AF42" i="14"/>
  <c r="AE42" i="14"/>
  <c r="AD42" i="14"/>
  <c r="AC42" i="14"/>
  <c r="AB42" i="14"/>
  <c r="AA42" i="14"/>
  <c r="AF41" i="14"/>
  <c r="AE41" i="14"/>
  <c r="AD41" i="14"/>
  <c r="AC41" i="14"/>
  <c r="AB41" i="14"/>
  <c r="AA41" i="14"/>
  <c r="AF40" i="14"/>
  <c r="AE40" i="14"/>
  <c r="AD40" i="14"/>
  <c r="AC40" i="14"/>
  <c r="AB40" i="14"/>
  <c r="AA40" i="14"/>
  <c r="AF39" i="14"/>
  <c r="AE39" i="14"/>
  <c r="AD39" i="14"/>
  <c r="AC39" i="14"/>
  <c r="AB39" i="14"/>
  <c r="AA39" i="14"/>
  <c r="AF38" i="14"/>
  <c r="AE38" i="14"/>
  <c r="AD38" i="14"/>
  <c r="AC38" i="14"/>
  <c r="AB38" i="14"/>
  <c r="AA38" i="14"/>
  <c r="AF37" i="14"/>
  <c r="AE37" i="14"/>
  <c r="AD37" i="14"/>
  <c r="AC37" i="14"/>
  <c r="AB37" i="14"/>
  <c r="AA37" i="14"/>
  <c r="AF36" i="14"/>
  <c r="AE36" i="14"/>
  <c r="AD36" i="14"/>
  <c r="AC36" i="14"/>
  <c r="AB36" i="14"/>
  <c r="AA36" i="14"/>
  <c r="AF35" i="14"/>
  <c r="AE35" i="14"/>
  <c r="AD35" i="14"/>
  <c r="AC35" i="14"/>
  <c r="AB35" i="14"/>
  <c r="AA35" i="14"/>
  <c r="AF34" i="14"/>
  <c r="AE34" i="14"/>
  <c r="AD34" i="14"/>
  <c r="AC34" i="14"/>
  <c r="AB34" i="14"/>
  <c r="AA34" i="14"/>
  <c r="AF33" i="14"/>
  <c r="AE33" i="14"/>
  <c r="AD33" i="14"/>
  <c r="AC33" i="14"/>
  <c r="AB33" i="14"/>
  <c r="AA33" i="14"/>
  <c r="AF32" i="14"/>
  <c r="K20" i="5" s="1"/>
  <c r="AE32" i="14"/>
  <c r="AD32" i="14"/>
  <c r="AC32" i="14"/>
  <c r="AB32" i="14"/>
  <c r="AA32" i="14"/>
  <c r="AF31" i="14"/>
  <c r="AE31" i="14"/>
  <c r="AD31" i="14"/>
  <c r="AC31" i="14"/>
  <c r="AB31" i="14"/>
  <c r="AA31" i="14"/>
  <c r="AF30" i="14"/>
  <c r="AE30" i="14"/>
  <c r="AD30" i="14"/>
  <c r="AC30" i="14"/>
  <c r="AB30" i="14"/>
  <c r="AA30" i="14"/>
  <c r="AF29" i="14"/>
  <c r="AE29" i="14"/>
  <c r="AD29" i="14"/>
  <c r="AC29" i="14"/>
  <c r="AB29" i="14"/>
  <c r="AA29" i="14"/>
  <c r="AF28" i="14"/>
  <c r="K23" i="5" s="1"/>
  <c r="AE28" i="14"/>
  <c r="AD28" i="14"/>
  <c r="AC28" i="14"/>
  <c r="AB28" i="14"/>
  <c r="AA28" i="14"/>
  <c r="AF27" i="14"/>
  <c r="AE27" i="14"/>
  <c r="AD27" i="14"/>
  <c r="AR22" i="5" s="1"/>
  <c r="AC27" i="14"/>
  <c r="AB27" i="14"/>
  <c r="AA27" i="14"/>
  <c r="AF26" i="14"/>
  <c r="AE26" i="14"/>
  <c r="AD26" i="14"/>
  <c r="AC26" i="14"/>
  <c r="AB26" i="14"/>
  <c r="AP24" i="5" s="1"/>
  <c r="AA26" i="14"/>
  <c r="AF25" i="14"/>
  <c r="AE25" i="14"/>
  <c r="AD25" i="14"/>
  <c r="AC25" i="14"/>
  <c r="AB25" i="14"/>
  <c r="AA25" i="14"/>
  <c r="AF24" i="14"/>
  <c r="K19" i="5" s="1"/>
  <c r="AE24" i="14"/>
  <c r="AD24" i="14"/>
  <c r="AC24" i="14"/>
  <c r="AB24" i="14"/>
  <c r="AA24" i="14"/>
  <c r="AF23" i="14"/>
  <c r="AE23" i="14"/>
  <c r="AD23" i="14"/>
  <c r="AC23" i="14"/>
  <c r="AB23" i="14"/>
  <c r="AA23" i="14"/>
  <c r="AF22" i="14"/>
  <c r="AE22" i="14"/>
  <c r="AD22" i="14"/>
  <c r="AC22" i="14"/>
  <c r="AB22" i="14"/>
  <c r="AP30" i="5" s="1"/>
  <c r="AA22" i="14"/>
  <c r="AF21" i="14"/>
  <c r="AE21" i="14"/>
  <c r="AD21" i="14"/>
  <c r="AC21" i="14"/>
  <c r="AB21" i="14"/>
  <c r="AA21" i="14"/>
  <c r="AF20" i="14"/>
  <c r="K28" i="5" s="1"/>
  <c r="AE20" i="14"/>
  <c r="AD20" i="14"/>
  <c r="AC20" i="14"/>
  <c r="AB20" i="14"/>
  <c r="AA20" i="14"/>
  <c r="AF19" i="14"/>
  <c r="AE19" i="14"/>
  <c r="AD19" i="14"/>
  <c r="AC19" i="14"/>
  <c r="AB19" i="14"/>
  <c r="AA19" i="14"/>
  <c r="AF18" i="14"/>
  <c r="AE18" i="14"/>
  <c r="AD18" i="14"/>
  <c r="AC18" i="14"/>
  <c r="AB18" i="14"/>
  <c r="AP10" i="5" s="1"/>
  <c r="AA18" i="14"/>
  <c r="AF17" i="14"/>
  <c r="AE17" i="14"/>
  <c r="AD17" i="14"/>
  <c r="AC17" i="14"/>
  <c r="AB17" i="14"/>
  <c r="AA17" i="14"/>
  <c r="AF16" i="14"/>
  <c r="K13" i="5" s="1"/>
  <c r="AE16" i="14"/>
  <c r="AD16" i="14"/>
  <c r="AC16" i="14"/>
  <c r="AB16" i="14"/>
  <c r="AA16" i="14"/>
  <c r="AF15" i="14"/>
  <c r="AE15" i="14"/>
  <c r="AD15" i="14"/>
  <c r="AR12" i="5" s="1"/>
  <c r="AC15" i="14"/>
  <c r="AB15" i="14"/>
  <c r="AA15" i="14"/>
  <c r="AF14" i="14"/>
  <c r="AE14" i="14"/>
  <c r="AD14" i="14"/>
  <c r="AC14" i="14"/>
  <c r="AB14" i="14"/>
  <c r="AA14" i="14"/>
  <c r="AF13" i="14"/>
  <c r="AE13" i="14"/>
  <c r="AD13" i="14"/>
  <c r="AC13" i="14"/>
  <c r="AB13" i="14"/>
  <c r="AA13" i="14"/>
  <c r="AF12" i="14"/>
  <c r="K21" i="5" s="1"/>
  <c r="AE12" i="14"/>
  <c r="AD12" i="14"/>
  <c r="AC12" i="14"/>
  <c r="AB12" i="14"/>
  <c r="AA12" i="14"/>
  <c r="AF11" i="14"/>
  <c r="AE11" i="14"/>
  <c r="AD11" i="14"/>
  <c r="AR16" i="5" s="1"/>
  <c r="AC11" i="14"/>
  <c r="AB11" i="14"/>
  <c r="AA11" i="14"/>
  <c r="AF10" i="14"/>
  <c r="AE10" i="14"/>
  <c r="AD10" i="14"/>
  <c r="AC10" i="14"/>
  <c r="AB10" i="14"/>
  <c r="AP27" i="5" s="1"/>
  <c r="AA10" i="14"/>
  <c r="AF9" i="14"/>
  <c r="AE9" i="14"/>
  <c r="AD9" i="14"/>
  <c r="AC9" i="14"/>
  <c r="AB9" i="14"/>
  <c r="AA9" i="14"/>
  <c r="AF8" i="14"/>
  <c r="AE8" i="14"/>
  <c r="AD8" i="14"/>
  <c r="AC8" i="14"/>
  <c r="AB8" i="14"/>
  <c r="AA8" i="14"/>
  <c r="AF7" i="14"/>
  <c r="AE7" i="14"/>
  <c r="AD7" i="14"/>
  <c r="AC7" i="14"/>
  <c r="AB7" i="14"/>
  <c r="AA7" i="14"/>
  <c r="AF6" i="14"/>
  <c r="AE6" i="14"/>
  <c r="AD6" i="14"/>
  <c r="AC6" i="14"/>
  <c r="AB6" i="14"/>
  <c r="AP6" i="5" s="1"/>
  <c r="AA6" i="14"/>
  <c r="AF5" i="14"/>
  <c r="AE5" i="14"/>
  <c r="AD5" i="14"/>
  <c r="AC5" i="14"/>
  <c r="AB5" i="14"/>
  <c r="AA5" i="14"/>
  <c r="AE48" i="13"/>
  <c r="AD48" i="13"/>
  <c r="AC48" i="13"/>
  <c r="AB48" i="13"/>
  <c r="AA48" i="13"/>
  <c r="Z48" i="13"/>
  <c r="AE47" i="13"/>
  <c r="AD47" i="13"/>
  <c r="AC47" i="13"/>
  <c r="AB47" i="13"/>
  <c r="AA47" i="13"/>
  <c r="Z47" i="13"/>
  <c r="AE46" i="13"/>
  <c r="AD46" i="13"/>
  <c r="AC46" i="13"/>
  <c r="AB46" i="13"/>
  <c r="AA46" i="13"/>
  <c r="Z46" i="13"/>
  <c r="AE45" i="13"/>
  <c r="AD45" i="13"/>
  <c r="AC45" i="13"/>
  <c r="AB45" i="13"/>
  <c r="AA45" i="13"/>
  <c r="Z45" i="13"/>
  <c r="AE44" i="13"/>
  <c r="AD44" i="13"/>
  <c r="AC44" i="13"/>
  <c r="AB44" i="13"/>
  <c r="AA44" i="13"/>
  <c r="Z44" i="13"/>
  <c r="AE43" i="13"/>
  <c r="AD43" i="13"/>
  <c r="AC43" i="13"/>
  <c r="AB43" i="13"/>
  <c r="AA43" i="13"/>
  <c r="Z43" i="13"/>
  <c r="AE42" i="13"/>
  <c r="AD42" i="13"/>
  <c r="AC42" i="13"/>
  <c r="AB42" i="13"/>
  <c r="AA42" i="13"/>
  <c r="Z42" i="13"/>
  <c r="AE41" i="13"/>
  <c r="AD41" i="13"/>
  <c r="AC41" i="13"/>
  <c r="AB41" i="13"/>
  <c r="AA41" i="13"/>
  <c r="Z41" i="13"/>
  <c r="AE40" i="13"/>
  <c r="AD40" i="13"/>
  <c r="AC40" i="13"/>
  <c r="AB40" i="13"/>
  <c r="AA40" i="13"/>
  <c r="Z40" i="13"/>
  <c r="AE39" i="13"/>
  <c r="AD39" i="13"/>
  <c r="AC39" i="13"/>
  <c r="AB39" i="13"/>
  <c r="AA39" i="13"/>
  <c r="Z39" i="13"/>
  <c r="AE38" i="13"/>
  <c r="AD38" i="13"/>
  <c r="AC38" i="13"/>
  <c r="AB38" i="13"/>
  <c r="AA38" i="13"/>
  <c r="Z38" i="13"/>
  <c r="AE37" i="13"/>
  <c r="AD37" i="13"/>
  <c r="AC37" i="13"/>
  <c r="AB37" i="13"/>
  <c r="AA37" i="13"/>
  <c r="Z37" i="13"/>
  <c r="AE36" i="13"/>
  <c r="J15" i="5" s="1"/>
  <c r="AD36" i="13"/>
  <c r="AC36" i="13"/>
  <c r="AB36" i="13"/>
  <c r="AA36" i="13"/>
  <c r="Z36" i="13"/>
  <c r="AE35" i="13"/>
  <c r="AD35" i="13"/>
  <c r="AC35" i="13"/>
  <c r="AM14" i="5" s="1"/>
  <c r="AB35" i="13"/>
  <c r="AA35" i="13"/>
  <c r="Z35" i="13"/>
  <c r="AE34" i="13"/>
  <c r="AD34" i="13"/>
  <c r="AC34" i="13"/>
  <c r="AB34" i="13"/>
  <c r="AA34" i="13"/>
  <c r="Z34" i="13"/>
  <c r="AE33" i="13"/>
  <c r="AD33" i="13"/>
  <c r="AC33" i="13"/>
  <c r="AB33" i="13"/>
  <c r="AA33" i="13"/>
  <c r="Z33" i="13"/>
  <c r="AE32" i="13"/>
  <c r="AD32" i="13"/>
  <c r="AC32" i="13"/>
  <c r="AB32" i="13"/>
  <c r="AA32" i="13"/>
  <c r="Z32" i="13"/>
  <c r="AE31" i="13"/>
  <c r="AD31" i="13"/>
  <c r="AC31" i="13"/>
  <c r="AM25" i="5" s="1"/>
  <c r="AB31" i="13"/>
  <c r="AA31" i="13"/>
  <c r="Z31" i="13"/>
  <c r="AE30" i="13"/>
  <c r="AD30" i="13"/>
  <c r="AC30" i="13"/>
  <c r="AB30" i="13"/>
  <c r="AA30" i="13"/>
  <c r="Z30" i="13"/>
  <c r="AE29" i="13"/>
  <c r="AD29" i="13"/>
  <c r="AC29" i="13"/>
  <c r="AB29" i="13"/>
  <c r="AA29" i="13"/>
  <c r="Z29" i="13"/>
  <c r="AE28" i="13"/>
  <c r="J23" i="5" s="1"/>
  <c r="AD28" i="13"/>
  <c r="AC28" i="13"/>
  <c r="AB28" i="13"/>
  <c r="AA28" i="13"/>
  <c r="Z28" i="13"/>
  <c r="AE27" i="13"/>
  <c r="AD27" i="13"/>
  <c r="AC27" i="13"/>
  <c r="AM22" i="5" s="1"/>
  <c r="AB27" i="13"/>
  <c r="AA27" i="13"/>
  <c r="Z27" i="13"/>
  <c r="AE26" i="13"/>
  <c r="AD26" i="13"/>
  <c r="AC26" i="13"/>
  <c r="AB26" i="13"/>
  <c r="AA26" i="13"/>
  <c r="AK24" i="5" s="1"/>
  <c r="Z26" i="13"/>
  <c r="AE25" i="13"/>
  <c r="AD25" i="13"/>
  <c r="AC25" i="13"/>
  <c r="AB25" i="13"/>
  <c r="AA25" i="13"/>
  <c r="Z25" i="13"/>
  <c r="AE24" i="13"/>
  <c r="AD24" i="13"/>
  <c r="AC24" i="13"/>
  <c r="AB24" i="13"/>
  <c r="AA24" i="13"/>
  <c r="Z24" i="13"/>
  <c r="AE23" i="13"/>
  <c r="AD23" i="13"/>
  <c r="AC23" i="13"/>
  <c r="AB23" i="13"/>
  <c r="AA23" i="13"/>
  <c r="Z23" i="13"/>
  <c r="AE22" i="13"/>
  <c r="AD22" i="13"/>
  <c r="AC22" i="13"/>
  <c r="AB22" i="13"/>
  <c r="AA22" i="13"/>
  <c r="Z22" i="13"/>
  <c r="AE21" i="13"/>
  <c r="AD21" i="13"/>
  <c r="AC21" i="13"/>
  <c r="AB21" i="13"/>
  <c r="AA21" i="13"/>
  <c r="Z21" i="13"/>
  <c r="AE20" i="13"/>
  <c r="AD20" i="13"/>
  <c r="AC20" i="13"/>
  <c r="AB20" i="13"/>
  <c r="AA20" i="13"/>
  <c r="Z20" i="13"/>
  <c r="AE19" i="13"/>
  <c r="AD19" i="13"/>
  <c r="AC19" i="13"/>
  <c r="AM17" i="5" s="1"/>
  <c r="AB19" i="13"/>
  <c r="AA19" i="13"/>
  <c r="Z19" i="13"/>
  <c r="AE18" i="13"/>
  <c r="AD18" i="13"/>
  <c r="AC18" i="13"/>
  <c r="AB18" i="13"/>
  <c r="AA18" i="13"/>
  <c r="AK10" i="5" s="1"/>
  <c r="Z18" i="13"/>
  <c r="AE17" i="13"/>
  <c r="AD17" i="13"/>
  <c r="AC17" i="13"/>
  <c r="AB17" i="13"/>
  <c r="AA17" i="13"/>
  <c r="Z17" i="13"/>
  <c r="AE16" i="13"/>
  <c r="J13" i="5" s="1"/>
  <c r="AD16" i="13"/>
  <c r="AC16" i="13"/>
  <c r="AB16" i="13"/>
  <c r="AA16" i="13"/>
  <c r="Z16" i="13"/>
  <c r="AE15" i="13"/>
  <c r="AD15" i="13"/>
  <c r="AC15" i="13"/>
  <c r="AM12" i="5" s="1"/>
  <c r="AB15" i="13"/>
  <c r="AA15" i="13"/>
  <c r="Z15" i="13"/>
  <c r="AE14" i="13"/>
  <c r="AD14" i="13"/>
  <c r="AC14" i="13"/>
  <c r="AB14" i="13"/>
  <c r="AA14" i="13"/>
  <c r="AK11" i="5" s="1"/>
  <c r="Z14" i="13"/>
  <c r="AE13" i="13"/>
  <c r="AD13" i="13"/>
  <c r="AC13" i="13"/>
  <c r="AB13" i="13"/>
  <c r="AA13" i="13"/>
  <c r="Z13" i="13"/>
  <c r="AE12" i="13"/>
  <c r="J21" i="5" s="1"/>
  <c r="AD12" i="13"/>
  <c r="AC12" i="13"/>
  <c r="AB12" i="13"/>
  <c r="AA12" i="13"/>
  <c r="Z12" i="13"/>
  <c r="AE11" i="13"/>
  <c r="AD11" i="13"/>
  <c r="AC11" i="13"/>
  <c r="AM16" i="5" s="1"/>
  <c r="AB11" i="13"/>
  <c r="AA11" i="13"/>
  <c r="Z11" i="13"/>
  <c r="AE10" i="13"/>
  <c r="AD10" i="13"/>
  <c r="AC10" i="13"/>
  <c r="AB10" i="13"/>
  <c r="AA10" i="13"/>
  <c r="AK27" i="5" s="1"/>
  <c r="Z10" i="13"/>
  <c r="AE9" i="13"/>
  <c r="AD9" i="13"/>
  <c r="AC9" i="13"/>
  <c r="AB9" i="13"/>
  <c r="AA9" i="13"/>
  <c r="Z9" i="13"/>
  <c r="AE8" i="13"/>
  <c r="AD8" i="13"/>
  <c r="AC8" i="13"/>
  <c r="AB8" i="13"/>
  <c r="AA8" i="13"/>
  <c r="Z8" i="13"/>
  <c r="AE7" i="13"/>
  <c r="AD7" i="13"/>
  <c r="AC7" i="13"/>
  <c r="AM7" i="5" s="1"/>
  <c r="AB7" i="13"/>
  <c r="AA7" i="13"/>
  <c r="Z7" i="13"/>
  <c r="AE6" i="13"/>
  <c r="AD6" i="13"/>
  <c r="AC6" i="13"/>
  <c r="AB6" i="13"/>
  <c r="AA6" i="13"/>
  <c r="AK6" i="5" s="1"/>
  <c r="Z6" i="13"/>
  <c r="AE5" i="13"/>
  <c r="AD5" i="13"/>
  <c r="AC5" i="13"/>
  <c r="AB5" i="13"/>
  <c r="AA5" i="13"/>
  <c r="Z5" i="13"/>
  <c r="AD48" i="12"/>
  <c r="AC48" i="12"/>
  <c r="AB48" i="12"/>
  <c r="AA48" i="12"/>
  <c r="Z48" i="12"/>
  <c r="Y48" i="12"/>
  <c r="AD47" i="12"/>
  <c r="AC47" i="12"/>
  <c r="AB47" i="12"/>
  <c r="AA47" i="12"/>
  <c r="Z47" i="12"/>
  <c r="Y47" i="12"/>
  <c r="AD46" i="12"/>
  <c r="AC46" i="12"/>
  <c r="AB46" i="12"/>
  <c r="AA46" i="12"/>
  <c r="Z46" i="12"/>
  <c r="Y46" i="12"/>
  <c r="AD45" i="12"/>
  <c r="AC45" i="12"/>
  <c r="AB45" i="12"/>
  <c r="AA45" i="12"/>
  <c r="Z45" i="12"/>
  <c r="Y45" i="12"/>
  <c r="AD44" i="12"/>
  <c r="AC44" i="12"/>
  <c r="AB44" i="12"/>
  <c r="AA44" i="12"/>
  <c r="Z44" i="12"/>
  <c r="Y44" i="12"/>
  <c r="AD43" i="12"/>
  <c r="AC43" i="12"/>
  <c r="AB43" i="12"/>
  <c r="AA43" i="12"/>
  <c r="Z43" i="12"/>
  <c r="Y43" i="12"/>
  <c r="AD42" i="12"/>
  <c r="AC42" i="12"/>
  <c r="AB42" i="12"/>
  <c r="AA42" i="12"/>
  <c r="Z42" i="12"/>
  <c r="Y42" i="12"/>
  <c r="AD41" i="12"/>
  <c r="AC41" i="12"/>
  <c r="AB41" i="12"/>
  <c r="AA41" i="12"/>
  <c r="Z41" i="12"/>
  <c r="Y41" i="12"/>
  <c r="AD40" i="12"/>
  <c r="AC40" i="12"/>
  <c r="AB40" i="12"/>
  <c r="AA40" i="12"/>
  <c r="Z40" i="12"/>
  <c r="Y40" i="12"/>
  <c r="AD39" i="12"/>
  <c r="AC39" i="12"/>
  <c r="AB39" i="12"/>
  <c r="AA39" i="12"/>
  <c r="Z39" i="12"/>
  <c r="Y39" i="12"/>
  <c r="AD38" i="12"/>
  <c r="AC38" i="12"/>
  <c r="AB38" i="12"/>
  <c r="AA38" i="12"/>
  <c r="Z38" i="12"/>
  <c r="Y38" i="12"/>
  <c r="AD37" i="12"/>
  <c r="AC37" i="12"/>
  <c r="AB37" i="12"/>
  <c r="AA37" i="12"/>
  <c r="Z37" i="12"/>
  <c r="Y37" i="12"/>
  <c r="AD36" i="12"/>
  <c r="I15" i="5" s="1"/>
  <c r="AC36" i="12"/>
  <c r="AB36" i="12"/>
  <c r="AA36" i="12"/>
  <c r="Z36" i="12"/>
  <c r="Y36" i="12"/>
  <c r="AD35" i="12"/>
  <c r="AC35" i="12"/>
  <c r="AB35" i="12"/>
  <c r="AH14" i="5" s="1"/>
  <c r="AA35" i="12"/>
  <c r="Z35" i="12"/>
  <c r="Y35" i="12"/>
  <c r="AD34" i="12"/>
  <c r="AC34" i="12"/>
  <c r="AB34" i="12"/>
  <c r="AA34" i="12"/>
  <c r="Z34" i="12"/>
  <c r="AF9" i="5" s="1"/>
  <c r="Y34" i="12"/>
  <c r="AD33" i="12"/>
  <c r="AC33" i="12"/>
  <c r="AB33" i="12"/>
  <c r="AA33" i="12"/>
  <c r="Z33" i="12"/>
  <c r="Y33" i="12"/>
  <c r="AD32" i="12"/>
  <c r="I20" i="5" s="1"/>
  <c r="AC32" i="12"/>
  <c r="AB32" i="12"/>
  <c r="AA32" i="12"/>
  <c r="Z32" i="12"/>
  <c r="Y32" i="12"/>
  <c r="AD31" i="12"/>
  <c r="AC31" i="12"/>
  <c r="AB31" i="12"/>
  <c r="AH25" i="5" s="1"/>
  <c r="AA31" i="12"/>
  <c r="Z31" i="12"/>
  <c r="Y31" i="12"/>
  <c r="AD30" i="12"/>
  <c r="AC30" i="12"/>
  <c r="AB30" i="12"/>
  <c r="AA30" i="12"/>
  <c r="Z30" i="12"/>
  <c r="Y30" i="12"/>
  <c r="AD29" i="12"/>
  <c r="AC29" i="12"/>
  <c r="AB29" i="12"/>
  <c r="AA29" i="12"/>
  <c r="Z29" i="12"/>
  <c r="Y29" i="12"/>
  <c r="AD28" i="12"/>
  <c r="I23" i="5" s="1"/>
  <c r="AC28" i="12"/>
  <c r="AB28" i="12"/>
  <c r="AA28" i="12"/>
  <c r="Z28" i="12"/>
  <c r="Y28" i="12"/>
  <c r="AD27" i="12"/>
  <c r="AC27" i="12"/>
  <c r="AB27" i="12"/>
  <c r="AH22" i="5" s="1"/>
  <c r="AA27" i="12"/>
  <c r="Z27" i="12"/>
  <c r="Y27" i="12"/>
  <c r="AD26" i="12"/>
  <c r="AC26" i="12"/>
  <c r="AB26" i="12"/>
  <c r="AA26" i="12"/>
  <c r="Z26" i="12"/>
  <c r="AF24" i="5" s="1"/>
  <c r="Y26" i="12"/>
  <c r="AD25" i="12"/>
  <c r="AC25" i="12"/>
  <c r="AB25" i="12"/>
  <c r="AA25" i="12"/>
  <c r="Z25" i="12"/>
  <c r="Y25" i="12"/>
  <c r="AD24" i="12"/>
  <c r="I19" i="5" s="1"/>
  <c r="AC24" i="12"/>
  <c r="AB24" i="12"/>
  <c r="AA24" i="12"/>
  <c r="Z24" i="12"/>
  <c r="Y24" i="12"/>
  <c r="AD23" i="12"/>
  <c r="AC23" i="12"/>
  <c r="AB23" i="12"/>
  <c r="AA23" i="12"/>
  <c r="Z23" i="12"/>
  <c r="Y23" i="12"/>
  <c r="AD22" i="12"/>
  <c r="AC22" i="12"/>
  <c r="AB22" i="12"/>
  <c r="AA22" i="12"/>
  <c r="Z22" i="12"/>
  <c r="AF30" i="5" s="1"/>
  <c r="Y22" i="12"/>
  <c r="AD21" i="12"/>
  <c r="AC21" i="12"/>
  <c r="AB21" i="12"/>
  <c r="AA21" i="12"/>
  <c r="Z21" i="12"/>
  <c r="Y21" i="12"/>
  <c r="AD20" i="12"/>
  <c r="I28" i="5" s="1"/>
  <c r="AC20" i="12"/>
  <c r="AB20" i="12"/>
  <c r="AA20" i="12"/>
  <c r="Z20" i="12"/>
  <c r="Y20" i="12"/>
  <c r="AD19" i="12"/>
  <c r="AC19" i="12"/>
  <c r="AB19" i="12"/>
  <c r="AH17" i="5" s="1"/>
  <c r="AA19" i="12"/>
  <c r="Z19" i="12"/>
  <c r="Y19" i="12"/>
  <c r="AD18" i="12"/>
  <c r="AC18" i="12"/>
  <c r="AB18" i="12"/>
  <c r="AA18" i="12"/>
  <c r="Z18" i="12"/>
  <c r="AF10" i="5" s="1"/>
  <c r="Y18" i="12"/>
  <c r="AD17" i="12"/>
  <c r="AC17" i="12"/>
  <c r="AB17" i="12"/>
  <c r="AA17" i="12"/>
  <c r="Z17" i="12"/>
  <c r="Y17" i="12"/>
  <c r="AD16" i="12"/>
  <c r="I13" i="5" s="1"/>
  <c r="AC16" i="12"/>
  <c r="AB16" i="12"/>
  <c r="AA16" i="12"/>
  <c r="Z16" i="12"/>
  <c r="Y16" i="12"/>
  <c r="AD15" i="12"/>
  <c r="AC15" i="12"/>
  <c r="AB15" i="12"/>
  <c r="AH12" i="5" s="1"/>
  <c r="AA15" i="12"/>
  <c r="Z15" i="12"/>
  <c r="Y15" i="12"/>
  <c r="AD14" i="12"/>
  <c r="AC14" i="12"/>
  <c r="AB14" i="12"/>
  <c r="AA14" i="12"/>
  <c r="Z14" i="12"/>
  <c r="AF11" i="5" s="1"/>
  <c r="Y14" i="12"/>
  <c r="AD13" i="12"/>
  <c r="AC13" i="12"/>
  <c r="AB13" i="12"/>
  <c r="AA13" i="12"/>
  <c r="Z13" i="12"/>
  <c r="Y13" i="12"/>
  <c r="AD12" i="12"/>
  <c r="I21" i="5" s="1"/>
  <c r="AC12" i="12"/>
  <c r="AB12" i="12"/>
  <c r="AA12" i="12"/>
  <c r="Z12" i="12"/>
  <c r="Y12" i="12"/>
  <c r="AD11" i="12"/>
  <c r="AC11" i="12"/>
  <c r="AB11" i="12"/>
  <c r="AH16" i="5" s="1"/>
  <c r="AA11" i="12"/>
  <c r="Z11" i="12"/>
  <c r="Y11" i="12"/>
  <c r="AD10" i="12"/>
  <c r="AC10" i="12"/>
  <c r="AB10" i="12"/>
  <c r="AA10" i="12"/>
  <c r="Z10" i="12"/>
  <c r="AF27" i="5" s="1"/>
  <c r="Y10" i="12"/>
  <c r="AD9" i="12"/>
  <c r="AC9" i="12"/>
  <c r="AB9" i="12"/>
  <c r="AA9" i="12"/>
  <c r="Z9" i="12"/>
  <c r="Y9" i="12"/>
  <c r="AD8" i="12"/>
  <c r="AC8" i="12"/>
  <c r="AB8" i="12"/>
  <c r="AA8" i="12"/>
  <c r="Z8" i="12"/>
  <c r="Y8" i="12"/>
  <c r="AD7" i="12"/>
  <c r="AC7" i="12"/>
  <c r="AB7" i="12"/>
  <c r="AH7" i="5" s="1"/>
  <c r="AA7" i="12"/>
  <c r="Z7" i="12"/>
  <c r="Y7" i="12"/>
  <c r="AD6" i="12"/>
  <c r="AC6" i="12"/>
  <c r="AB6" i="12"/>
  <c r="AA6" i="12"/>
  <c r="Z6" i="12"/>
  <c r="AF6" i="5" s="1"/>
  <c r="Y6" i="12"/>
  <c r="AD5" i="12"/>
  <c r="AC5" i="12"/>
  <c r="AB5" i="12"/>
  <c r="AA5" i="12"/>
  <c r="Z5" i="12"/>
  <c r="Y5" i="12"/>
  <c r="AE48" i="11"/>
  <c r="AD48" i="11"/>
  <c r="AC48" i="11"/>
  <c r="AB48" i="11"/>
  <c r="AA48" i="11"/>
  <c r="Z48" i="11"/>
  <c r="AE47" i="11"/>
  <c r="AD47" i="11"/>
  <c r="AC47" i="11"/>
  <c r="AB47" i="11"/>
  <c r="AA47" i="11"/>
  <c r="Z47" i="11"/>
  <c r="AE46" i="11"/>
  <c r="AD46" i="11"/>
  <c r="AC46" i="11"/>
  <c r="AB46" i="11"/>
  <c r="AA46" i="11"/>
  <c r="Z46" i="11"/>
  <c r="AE45" i="11"/>
  <c r="AD45" i="11"/>
  <c r="AC45" i="11"/>
  <c r="AB45" i="11"/>
  <c r="AA45" i="11"/>
  <c r="Z45" i="11"/>
  <c r="AE44" i="11"/>
  <c r="AD44" i="11"/>
  <c r="AC44" i="11"/>
  <c r="AB44" i="11"/>
  <c r="AA44" i="11"/>
  <c r="Z44" i="11"/>
  <c r="AE43" i="11"/>
  <c r="AD43" i="11"/>
  <c r="AC43" i="11"/>
  <c r="AB43" i="11"/>
  <c r="AA43" i="11"/>
  <c r="Z43" i="11"/>
  <c r="AE42" i="11"/>
  <c r="AD42" i="11"/>
  <c r="AC42" i="11"/>
  <c r="AB42" i="11"/>
  <c r="AA42" i="11"/>
  <c r="Z42" i="11"/>
  <c r="AE41" i="11"/>
  <c r="AD41" i="11"/>
  <c r="AC41" i="11"/>
  <c r="AB41" i="11"/>
  <c r="AA41" i="11"/>
  <c r="Z41" i="11"/>
  <c r="AE40" i="11"/>
  <c r="AD40" i="11"/>
  <c r="AC40" i="11"/>
  <c r="AB40" i="11"/>
  <c r="AA40" i="11"/>
  <c r="Z40" i="11"/>
  <c r="AE39" i="11"/>
  <c r="AD39" i="11"/>
  <c r="AC39" i="11"/>
  <c r="AB39" i="11"/>
  <c r="AA39" i="11"/>
  <c r="Z39" i="11"/>
  <c r="AE38" i="11"/>
  <c r="AD38" i="11"/>
  <c r="AC38" i="11"/>
  <c r="AB38" i="11"/>
  <c r="AA38" i="11"/>
  <c r="Z38" i="11"/>
  <c r="AE37" i="11"/>
  <c r="AD37" i="11"/>
  <c r="AC37" i="11"/>
  <c r="AB37" i="11"/>
  <c r="AA37" i="11"/>
  <c r="Z37" i="11"/>
  <c r="AE36" i="11"/>
  <c r="H15" i="5" s="1"/>
  <c r="AD36" i="11"/>
  <c r="AC36" i="11"/>
  <c r="AB36" i="11"/>
  <c r="AA36" i="11"/>
  <c r="Z36" i="11"/>
  <c r="AE35" i="11"/>
  <c r="AD35" i="11"/>
  <c r="AC35" i="11"/>
  <c r="AC14" i="5" s="1"/>
  <c r="AB35" i="11"/>
  <c r="AA35" i="11"/>
  <c r="Z35" i="11"/>
  <c r="AE34" i="11"/>
  <c r="AD34" i="11"/>
  <c r="AC34" i="11"/>
  <c r="AB34" i="11"/>
  <c r="AA34" i="11"/>
  <c r="AA9" i="5" s="1"/>
  <c r="Z34" i="11"/>
  <c r="AE33" i="11"/>
  <c r="AD33" i="11"/>
  <c r="AC33" i="11"/>
  <c r="AB33" i="11"/>
  <c r="AA33" i="11"/>
  <c r="Z33" i="11"/>
  <c r="AE32" i="11"/>
  <c r="H20" i="5" s="1"/>
  <c r="AD32" i="11"/>
  <c r="AC32" i="11"/>
  <c r="AB32" i="11"/>
  <c r="AA32" i="11"/>
  <c r="Z32" i="11"/>
  <c r="AE31" i="11"/>
  <c r="AD31" i="11"/>
  <c r="AC31" i="11"/>
  <c r="AC25" i="5" s="1"/>
  <c r="AB31" i="11"/>
  <c r="AA31" i="11"/>
  <c r="Z31" i="11"/>
  <c r="AE30" i="11"/>
  <c r="AD30" i="11"/>
  <c r="AC30" i="11"/>
  <c r="AB30" i="11"/>
  <c r="AA30" i="11"/>
  <c r="Z30" i="11"/>
  <c r="AE29" i="11"/>
  <c r="AD29" i="11"/>
  <c r="AC29" i="11"/>
  <c r="AB29" i="11"/>
  <c r="AA29" i="11"/>
  <c r="Z29" i="11"/>
  <c r="AE28" i="11"/>
  <c r="H23" i="5" s="1"/>
  <c r="AD28" i="11"/>
  <c r="AC28" i="11"/>
  <c r="AB28" i="11"/>
  <c r="AA28" i="11"/>
  <c r="Z28" i="11"/>
  <c r="AE27" i="11"/>
  <c r="AD27" i="11"/>
  <c r="AC27" i="11"/>
  <c r="AC22" i="5" s="1"/>
  <c r="AB27" i="11"/>
  <c r="AA27" i="11"/>
  <c r="Z27" i="11"/>
  <c r="AE26" i="11"/>
  <c r="AD26" i="11"/>
  <c r="AC26" i="11"/>
  <c r="AB26" i="11"/>
  <c r="AA26" i="11"/>
  <c r="AA24" i="5" s="1"/>
  <c r="Z26" i="11"/>
  <c r="AE25" i="11"/>
  <c r="AD25" i="11"/>
  <c r="AC25" i="11"/>
  <c r="AB25" i="11"/>
  <c r="AA25" i="11"/>
  <c r="Z25" i="11"/>
  <c r="AE24" i="11"/>
  <c r="H19" i="5" s="1"/>
  <c r="AD24" i="11"/>
  <c r="AC24" i="11"/>
  <c r="AB24" i="11"/>
  <c r="AA24" i="11"/>
  <c r="Z24" i="11"/>
  <c r="AE23" i="11"/>
  <c r="AD23" i="11"/>
  <c r="AC23" i="11"/>
  <c r="AB23" i="11"/>
  <c r="AA23" i="11"/>
  <c r="Z23" i="11"/>
  <c r="AE22" i="11"/>
  <c r="AD22" i="11"/>
  <c r="AC22" i="11"/>
  <c r="AB22" i="11"/>
  <c r="AA22" i="11"/>
  <c r="Z22" i="11"/>
  <c r="AE21" i="11"/>
  <c r="AD21" i="11"/>
  <c r="AC21" i="11"/>
  <c r="AB21" i="11"/>
  <c r="AA21" i="11"/>
  <c r="Z21" i="11"/>
  <c r="AE20" i="11"/>
  <c r="H28" i="5" s="1"/>
  <c r="AD20" i="11"/>
  <c r="AC20" i="11"/>
  <c r="AB20" i="11"/>
  <c r="AA20" i="11"/>
  <c r="Z20" i="11"/>
  <c r="AE19" i="11"/>
  <c r="AD19" i="11"/>
  <c r="AC19" i="11"/>
  <c r="AC17" i="5" s="1"/>
  <c r="AB19" i="11"/>
  <c r="AA19" i="11"/>
  <c r="Z19" i="11"/>
  <c r="AE18" i="11"/>
  <c r="AD18" i="11"/>
  <c r="AC18" i="11"/>
  <c r="AB18" i="11"/>
  <c r="AA18" i="11"/>
  <c r="AA10" i="5" s="1"/>
  <c r="Z18" i="11"/>
  <c r="AE17" i="11"/>
  <c r="AD17" i="11"/>
  <c r="AC17" i="11"/>
  <c r="AB17" i="11"/>
  <c r="AA17" i="11"/>
  <c r="Z17" i="11"/>
  <c r="AE16" i="11"/>
  <c r="H13" i="5" s="1"/>
  <c r="AD16" i="11"/>
  <c r="AC16" i="11"/>
  <c r="AB16" i="11"/>
  <c r="AA16" i="11"/>
  <c r="Z16" i="11"/>
  <c r="AE15" i="11"/>
  <c r="AD15" i="11"/>
  <c r="AC15" i="11"/>
  <c r="AC12" i="5" s="1"/>
  <c r="AB15" i="11"/>
  <c r="AA15" i="11"/>
  <c r="Z15" i="11"/>
  <c r="AE14" i="11"/>
  <c r="AD14" i="11"/>
  <c r="AC14" i="11"/>
  <c r="AB14" i="11"/>
  <c r="AA14" i="11"/>
  <c r="AA11" i="5" s="1"/>
  <c r="Z14" i="11"/>
  <c r="AE13" i="11"/>
  <c r="AD13" i="11"/>
  <c r="AC13" i="11"/>
  <c r="AB13" i="11"/>
  <c r="AA13" i="11"/>
  <c r="Z13" i="11"/>
  <c r="AE12" i="11"/>
  <c r="H21" i="5" s="1"/>
  <c r="AD12" i="11"/>
  <c r="AC12" i="11"/>
  <c r="AB12" i="11"/>
  <c r="AA12" i="11"/>
  <c r="Z12" i="11"/>
  <c r="AE11" i="11"/>
  <c r="AD11" i="11"/>
  <c r="AC11" i="11"/>
  <c r="AC16" i="5" s="1"/>
  <c r="AB11" i="11"/>
  <c r="AA11" i="11"/>
  <c r="Z11" i="11"/>
  <c r="AE10" i="11"/>
  <c r="AD10" i="11"/>
  <c r="AC10" i="11"/>
  <c r="AB10" i="11"/>
  <c r="AA10" i="11"/>
  <c r="AA27" i="5" s="1"/>
  <c r="Z10" i="11"/>
  <c r="AE9" i="11"/>
  <c r="AD9" i="11"/>
  <c r="AC9" i="11"/>
  <c r="AB9" i="11"/>
  <c r="AA9" i="11"/>
  <c r="Z9" i="11"/>
  <c r="AE8" i="11"/>
  <c r="AD8" i="11"/>
  <c r="AC8" i="11"/>
  <c r="AB8" i="11"/>
  <c r="AA8" i="11"/>
  <c r="Z8" i="11"/>
  <c r="AE7" i="11"/>
  <c r="AD7" i="11"/>
  <c r="AC7" i="11"/>
  <c r="AC7" i="5" s="1"/>
  <c r="AB7" i="11"/>
  <c r="AA7" i="11"/>
  <c r="Z7" i="11"/>
  <c r="AE6" i="11"/>
  <c r="AD6" i="11"/>
  <c r="AC6" i="11"/>
  <c r="AB6" i="11"/>
  <c r="AA6" i="11"/>
  <c r="AA6" i="5" s="1"/>
  <c r="Z6" i="11"/>
  <c r="AE5" i="11"/>
  <c r="AD5" i="11"/>
  <c r="AC5" i="11"/>
  <c r="AB5" i="11"/>
  <c r="AA5" i="11"/>
  <c r="Z5" i="11"/>
  <c r="AE48" i="10"/>
  <c r="AD48" i="10"/>
  <c r="AC48" i="10"/>
  <c r="AB48" i="10"/>
  <c r="AA48" i="10"/>
  <c r="Z48" i="10"/>
  <c r="AE47" i="10"/>
  <c r="AD47" i="10"/>
  <c r="AC47" i="10"/>
  <c r="AB47" i="10"/>
  <c r="AA47" i="10"/>
  <c r="Z47" i="10"/>
  <c r="AE46" i="10"/>
  <c r="AD46" i="10"/>
  <c r="AC46" i="10"/>
  <c r="AB46" i="10"/>
  <c r="AA46" i="10"/>
  <c r="Z46" i="10"/>
  <c r="AE45" i="10"/>
  <c r="AD45" i="10"/>
  <c r="AC45" i="10"/>
  <c r="AB45" i="10"/>
  <c r="AA45" i="10"/>
  <c r="Z45" i="10"/>
  <c r="AE44" i="10"/>
  <c r="AD44" i="10"/>
  <c r="AC44" i="10"/>
  <c r="AB44" i="10"/>
  <c r="AA44" i="10"/>
  <c r="Z44" i="10"/>
  <c r="AE43" i="10"/>
  <c r="AD43" i="10"/>
  <c r="AC43" i="10"/>
  <c r="AB43" i="10"/>
  <c r="AA43" i="10"/>
  <c r="Z43" i="10"/>
  <c r="AE42" i="10"/>
  <c r="AD42" i="10"/>
  <c r="AC42" i="10"/>
  <c r="AB42" i="10"/>
  <c r="AA42" i="10"/>
  <c r="Z42" i="10"/>
  <c r="AE41" i="10"/>
  <c r="AD41" i="10"/>
  <c r="AC41" i="10"/>
  <c r="AB41" i="10"/>
  <c r="AA41" i="10"/>
  <c r="Z41" i="10"/>
  <c r="AE40" i="10"/>
  <c r="AD40" i="10"/>
  <c r="AC40" i="10"/>
  <c r="AB40" i="10"/>
  <c r="AA40" i="10"/>
  <c r="Z40" i="10"/>
  <c r="AE39" i="10"/>
  <c r="AD39" i="10"/>
  <c r="AC39" i="10"/>
  <c r="AB39" i="10"/>
  <c r="AA39" i="10"/>
  <c r="Z39" i="10"/>
  <c r="AE38" i="10"/>
  <c r="AD38" i="10"/>
  <c r="AC38" i="10"/>
  <c r="AB38" i="10"/>
  <c r="AA38" i="10"/>
  <c r="Z38" i="10"/>
  <c r="AE37" i="10"/>
  <c r="AD37" i="10"/>
  <c r="AC37" i="10"/>
  <c r="AB37" i="10"/>
  <c r="AA37" i="10"/>
  <c r="Z37" i="10"/>
  <c r="AE36" i="10"/>
  <c r="G15" i="5" s="1"/>
  <c r="AD36" i="10"/>
  <c r="AC36" i="10"/>
  <c r="AB36" i="10"/>
  <c r="AA36" i="10"/>
  <c r="Z36" i="10"/>
  <c r="AE35" i="10"/>
  <c r="AD35" i="10"/>
  <c r="AC35" i="10"/>
  <c r="X14" i="5" s="1"/>
  <c r="AB35" i="10"/>
  <c r="AA35" i="10"/>
  <c r="Z35" i="10"/>
  <c r="AE34" i="10"/>
  <c r="AD34" i="10"/>
  <c r="AC34" i="10"/>
  <c r="AB34" i="10"/>
  <c r="AA34" i="10"/>
  <c r="V9" i="5" s="1"/>
  <c r="Z34" i="10"/>
  <c r="AE33" i="10"/>
  <c r="AD33" i="10"/>
  <c r="AC33" i="10"/>
  <c r="AB33" i="10"/>
  <c r="AA33" i="10"/>
  <c r="Z33" i="10"/>
  <c r="AE32" i="10"/>
  <c r="G20" i="5" s="1"/>
  <c r="AD32" i="10"/>
  <c r="AC32" i="10"/>
  <c r="AB32" i="10"/>
  <c r="AA32" i="10"/>
  <c r="Z32" i="10"/>
  <c r="AE31" i="10"/>
  <c r="AD31" i="10"/>
  <c r="AC31" i="10"/>
  <c r="X25" i="5" s="1"/>
  <c r="AB31" i="10"/>
  <c r="AA31" i="10"/>
  <c r="Z31" i="10"/>
  <c r="AE30" i="10"/>
  <c r="AD30" i="10"/>
  <c r="AC30" i="10"/>
  <c r="AB30" i="10"/>
  <c r="AA30" i="10"/>
  <c r="Z30" i="10"/>
  <c r="AE29" i="10"/>
  <c r="AD29" i="10"/>
  <c r="AC29" i="10"/>
  <c r="AB29" i="10"/>
  <c r="AA29" i="10"/>
  <c r="Z29" i="10"/>
  <c r="AE28" i="10"/>
  <c r="G23" i="5" s="1"/>
  <c r="AD28" i="10"/>
  <c r="AC28" i="10"/>
  <c r="AB28" i="10"/>
  <c r="AA28" i="10"/>
  <c r="Z28" i="10"/>
  <c r="AE27" i="10"/>
  <c r="AD27" i="10"/>
  <c r="AC27" i="10"/>
  <c r="X22" i="5" s="1"/>
  <c r="AB27" i="10"/>
  <c r="AA27" i="10"/>
  <c r="Z27" i="10"/>
  <c r="AE26" i="10"/>
  <c r="AD26" i="10"/>
  <c r="AC26" i="10"/>
  <c r="AB26" i="10"/>
  <c r="AA26" i="10"/>
  <c r="V24" i="5" s="1"/>
  <c r="Z26" i="10"/>
  <c r="AE25" i="10"/>
  <c r="AD25" i="10"/>
  <c r="AC25" i="10"/>
  <c r="AB25" i="10"/>
  <c r="AA25" i="10"/>
  <c r="Z25" i="10"/>
  <c r="AE24" i="10"/>
  <c r="G19" i="5" s="1"/>
  <c r="AD24" i="10"/>
  <c r="AC24" i="10"/>
  <c r="AB24" i="10"/>
  <c r="AA24" i="10"/>
  <c r="Z24" i="10"/>
  <c r="AE23" i="10"/>
  <c r="AD23" i="10"/>
  <c r="AC23" i="10"/>
  <c r="AB23" i="10"/>
  <c r="AA23" i="10"/>
  <c r="Z23" i="10"/>
  <c r="AE22" i="10"/>
  <c r="AD22" i="10"/>
  <c r="AC22" i="10"/>
  <c r="AB22" i="10"/>
  <c r="AA22" i="10"/>
  <c r="V30" i="5" s="1"/>
  <c r="AH23" i="2" s="1"/>
  <c r="Z22" i="10"/>
  <c r="AE21" i="10"/>
  <c r="AD21" i="10"/>
  <c r="AC21" i="10"/>
  <c r="AB21" i="10"/>
  <c r="AA21" i="10"/>
  <c r="Z21" i="10"/>
  <c r="AE20" i="10"/>
  <c r="G28" i="5" s="1"/>
  <c r="AD20" i="10"/>
  <c r="AC20" i="10"/>
  <c r="AB20" i="10"/>
  <c r="AA20" i="10"/>
  <c r="Z20" i="10"/>
  <c r="AE19" i="10"/>
  <c r="AD19" i="10"/>
  <c r="AC19" i="10"/>
  <c r="X17" i="5" s="1"/>
  <c r="AB19" i="10"/>
  <c r="AA19" i="10"/>
  <c r="Z19" i="10"/>
  <c r="AE18" i="10"/>
  <c r="AD18" i="10"/>
  <c r="AC18" i="10"/>
  <c r="AB18" i="10"/>
  <c r="AA18" i="10"/>
  <c r="V10" i="5" s="1"/>
  <c r="Z18" i="10"/>
  <c r="AE17" i="10"/>
  <c r="AD17" i="10"/>
  <c r="AC17" i="10"/>
  <c r="AB17" i="10"/>
  <c r="AA17" i="10"/>
  <c r="Z17" i="10"/>
  <c r="AE16" i="10"/>
  <c r="G13" i="5" s="1"/>
  <c r="AD16" i="10"/>
  <c r="AC16" i="10"/>
  <c r="AB16" i="10"/>
  <c r="AA16" i="10"/>
  <c r="Z16" i="10"/>
  <c r="AE15" i="10"/>
  <c r="AD15" i="10"/>
  <c r="AC15" i="10"/>
  <c r="X12" i="5" s="1"/>
  <c r="AB15" i="10"/>
  <c r="AA15" i="10"/>
  <c r="Z15" i="10"/>
  <c r="AE14" i="10"/>
  <c r="AD14" i="10"/>
  <c r="AC14" i="10"/>
  <c r="AB14" i="10"/>
  <c r="AA14" i="10"/>
  <c r="V11" i="5" s="1"/>
  <c r="Z14" i="10"/>
  <c r="AE13" i="10"/>
  <c r="AD13" i="10"/>
  <c r="AC13" i="10"/>
  <c r="AB13" i="10"/>
  <c r="AA13" i="10"/>
  <c r="Z13" i="10"/>
  <c r="AE12" i="10"/>
  <c r="G21" i="5" s="1"/>
  <c r="AD12" i="10"/>
  <c r="AC12" i="10"/>
  <c r="AB12" i="10"/>
  <c r="AA12" i="10"/>
  <c r="Z12" i="10"/>
  <c r="AE11" i="10"/>
  <c r="AD11" i="10"/>
  <c r="AC11" i="10"/>
  <c r="X16" i="5" s="1"/>
  <c r="AB11" i="10"/>
  <c r="AA11" i="10"/>
  <c r="Z11" i="10"/>
  <c r="AE10" i="10"/>
  <c r="AD10" i="10"/>
  <c r="AC10" i="10"/>
  <c r="AB10" i="10"/>
  <c r="AA10" i="10"/>
  <c r="V27" i="5" s="1"/>
  <c r="Z10" i="10"/>
  <c r="AE9" i="10"/>
  <c r="AD9" i="10"/>
  <c r="AC9" i="10"/>
  <c r="AB9" i="10"/>
  <c r="AA9" i="10"/>
  <c r="Z9" i="10"/>
  <c r="AE8" i="10"/>
  <c r="AD8" i="10"/>
  <c r="AC8" i="10"/>
  <c r="AB8" i="10"/>
  <c r="AA8" i="10"/>
  <c r="Z8" i="10"/>
  <c r="AE7" i="10"/>
  <c r="AD7" i="10"/>
  <c r="AC7" i="10"/>
  <c r="X7" i="5" s="1"/>
  <c r="AB7" i="10"/>
  <c r="AA7" i="10"/>
  <c r="Z7" i="10"/>
  <c r="AE6" i="10"/>
  <c r="AD6" i="10"/>
  <c r="AC6" i="10"/>
  <c r="AB6" i="10"/>
  <c r="AA6" i="10"/>
  <c r="V6" i="5" s="1"/>
  <c r="Z6" i="10"/>
  <c r="AE5" i="10"/>
  <c r="AD5" i="10"/>
  <c r="AC5" i="10"/>
  <c r="AB5" i="10"/>
  <c r="AA5" i="10"/>
  <c r="Z5" i="10"/>
  <c r="AB48" i="9"/>
  <c r="AA48" i="9"/>
  <c r="Z48" i="9"/>
  <c r="Y48" i="9"/>
  <c r="X48" i="9"/>
  <c r="AB47" i="9"/>
  <c r="AA47" i="9"/>
  <c r="Z47" i="9"/>
  <c r="Y47" i="9"/>
  <c r="X47" i="9"/>
  <c r="AB46" i="9"/>
  <c r="AA46" i="9"/>
  <c r="Z46" i="9"/>
  <c r="Y46" i="9"/>
  <c r="X46" i="9"/>
  <c r="AB45" i="9"/>
  <c r="AA45" i="9"/>
  <c r="Z45" i="9"/>
  <c r="Y45" i="9"/>
  <c r="X45" i="9"/>
  <c r="AB44" i="9"/>
  <c r="AA44" i="9"/>
  <c r="Z44" i="9"/>
  <c r="Y44" i="9"/>
  <c r="X44" i="9"/>
  <c r="AB43" i="9"/>
  <c r="AA43" i="9"/>
  <c r="Z43" i="9"/>
  <c r="Y43" i="9"/>
  <c r="X43" i="9"/>
  <c r="AB42" i="9"/>
  <c r="AA42" i="9"/>
  <c r="Z42" i="9"/>
  <c r="Y42" i="9"/>
  <c r="X42" i="9"/>
  <c r="AB41" i="9"/>
  <c r="AA41" i="9"/>
  <c r="Z41" i="9"/>
  <c r="Y41" i="9"/>
  <c r="X41" i="9"/>
  <c r="AB40" i="9"/>
  <c r="AA40" i="9"/>
  <c r="Z40" i="9"/>
  <c r="Y40" i="9"/>
  <c r="X40" i="9"/>
  <c r="AB39" i="9"/>
  <c r="AA39" i="9"/>
  <c r="Z39" i="9"/>
  <c r="Y39" i="9"/>
  <c r="X39" i="9"/>
  <c r="AB38" i="9"/>
  <c r="AA38" i="9"/>
  <c r="Z38" i="9"/>
  <c r="Y38" i="9"/>
  <c r="X38" i="9"/>
  <c r="AB37" i="9"/>
  <c r="AA37" i="9"/>
  <c r="T32" i="5" s="1"/>
  <c r="AB25" i="2" s="1"/>
  <c r="AC25" i="2" s="1"/>
  <c r="Z37" i="9"/>
  <c r="Y37" i="9"/>
  <c r="X37" i="9"/>
  <c r="AB36" i="9"/>
  <c r="AA36" i="9"/>
  <c r="Z36" i="9"/>
  <c r="Y36" i="9"/>
  <c r="X36" i="9"/>
  <c r="Q15" i="5" s="1"/>
  <c r="AB35" i="9"/>
  <c r="AA35" i="9"/>
  <c r="Z35" i="9"/>
  <c r="Y35" i="9"/>
  <c r="X35" i="9"/>
  <c r="AB34" i="9"/>
  <c r="AA34" i="9"/>
  <c r="Z34" i="9"/>
  <c r="S9" i="5" s="1"/>
  <c r="Y34" i="9"/>
  <c r="X34" i="9"/>
  <c r="AB33" i="9"/>
  <c r="AA33" i="9"/>
  <c r="Z33" i="9"/>
  <c r="Y33" i="9"/>
  <c r="X33" i="9"/>
  <c r="AB32" i="9"/>
  <c r="F20" i="5" s="1"/>
  <c r="AA32" i="9"/>
  <c r="Z32" i="9"/>
  <c r="Y32" i="9"/>
  <c r="X32" i="9"/>
  <c r="AB31" i="9"/>
  <c r="AA31" i="9"/>
  <c r="Z31" i="9"/>
  <c r="Y31" i="9"/>
  <c r="R25" i="5" s="1"/>
  <c r="X31" i="9"/>
  <c r="AB30" i="9"/>
  <c r="AA30" i="9"/>
  <c r="Z30" i="9"/>
  <c r="Y30" i="9"/>
  <c r="X30" i="9"/>
  <c r="AB29" i="9"/>
  <c r="AA29" i="9"/>
  <c r="Z29" i="9"/>
  <c r="Y29" i="9"/>
  <c r="X29" i="9"/>
  <c r="AB28" i="9"/>
  <c r="AA28" i="9"/>
  <c r="Z28" i="9"/>
  <c r="Y28" i="9"/>
  <c r="X28" i="9"/>
  <c r="Q23" i="5" s="1"/>
  <c r="AB27" i="9"/>
  <c r="AA27" i="9"/>
  <c r="Z27" i="9"/>
  <c r="Y27" i="9"/>
  <c r="X27" i="9"/>
  <c r="AB26" i="9"/>
  <c r="AA26" i="9"/>
  <c r="Z26" i="9"/>
  <c r="S24" i="5" s="1"/>
  <c r="Y26" i="9"/>
  <c r="X26" i="9"/>
  <c r="AB25" i="9"/>
  <c r="AA25" i="9"/>
  <c r="Z25" i="9"/>
  <c r="Y25" i="9"/>
  <c r="X25" i="9"/>
  <c r="AB24" i="9"/>
  <c r="F19" i="5" s="1"/>
  <c r="AA24" i="9"/>
  <c r="Z24" i="9"/>
  <c r="Y24" i="9"/>
  <c r="X24" i="9"/>
  <c r="AB23" i="9"/>
  <c r="AA23" i="9"/>
  <c r="Z23" i="9"/>
  <c r="Y23" i="9"/>
  <c r="X23" i="9"/>
  <c r="AB22" i="9"/>
  <c r="AA22" i="9"/>
  <c r="Z22" i="9"/>
  <c r="Y22" i="9"/>
  <c r="X22" i="9"/>
  <c r="AB21" i="9"/>
  <c r="AA21" i="9"/>
  <c r="T29" i="5" s="1"/>
  <c r="Z21" i="9"/>
  <c r="Y21" i="9"/>
  <c r="X21" i="9"/>
  <c r="AB20" i="9"/>
  <c r="AA20" i="9"/>
  <c r="Z20" i="9"/>
  <c r="Y20" i="9"/>
  <c r="X20" i="9"/>
  <c r="Q28" i="5" s="1"/>
  <c r="S23" i="2" s="1"/>
  <c r="T23" i="2" s="1"/>
  <c r="AB19" i="9"/>
  <c r="AA19" i="9"/>
  <c r="Z19" i="9"/>
  <c r="Y19" i="9"/>
  <c r="X19" i="9"/>
  <c r="AB18" i="9"/>
  <c r="AA18" i="9"/>
  <c r="Z18" i="9"/>
  <c r="S10" i="5" s="1"/>
  <c r="Y18" i="9"/>
  <c r="X18" i="9"/>
  <c r="AB17" i="9"/>
  <c r="AA17" i="9"/>
  <c r="Z17" i="9"/>
  <c r="Y17" i="9"/>
  <c r="X17" i="9"/>
  <c r="AB16" i="9"/>
  <c r="F13" i="5" s="1"/>
  <c r="AA16" i="9"/>
  <c r="Z16" i="9"/>
  <c r="Y16" i="9"/>
  <c r="X16" i="9"/>
  <c r="AB15" i="9"/>
  <c r="AA15" i="9"/>
  <c r="Z15" i="9"/>
  <c r="Y15" i="9"/>
  <c r="R12" i="5" s="1"/>
  <c r="X15" i="9"/>
  <c r="AB14" i="9"/>
  <c r="AA14" i="9"/>
  <c r="Z14" i="9"/>
  <c r="Y14" i="9"/>
  <c r="X14" i="9"/>
  <c r="AB13" i="9"/>
  <c r="AA13" i="9"/>
  <c r="T18" i="5" s="1"/>
  <c r="Z13" i="9"/>
  <c r="Y13" i="9"/>
  <c r="X13" i="9"/>
  <c r="AB12" i="9"/>
  <c r="AA12" i="9"/>
  <c r="Z12" i="9"/>
  <c r="Y12" i="9"/>
  <c r="X12" i="9"/>
  <c r="Q21" i="5" s="1"/>
  <c r="AB11" i="9"/>
  <c r="AA11" i="9"/>
  <c r="Z11" i="9"/>
  <c r="Y11" i="9"/>
  <c r="X11" i="9"/>
  <c r="AB10" i="9"/>
  <c r="AA10" i="9"/>
  <c r="Z10" i="9"/>
  <c r="S27" i="5" s="1"/>
  <c r="Y10" i="9"/>
  <c r="X10" i="9"/>
  <c r="AB9" i="9"/>
  <c r="AA9" i="9"/>
  <c r="Z9" i="9"/>
  <c r="Y9" i="9"/>
  <c r="X9" i="9"/>
  <c r="AB8" i="9"/>
  <c r="AA8" i="9"/>
  <c r="Z8" i="9"/>
  <c r="Y8" i="9"/>
  <c r="X8" i="9"/>
  <c r="AB7" i="9"/>
  <c r="AA7" i="9"/>
  <c r="Z7" i="9"/>
  <c r="Y7" i="9"/>
  <c r="R7" i="5" s="1"/>
  <c r="X7" i="9"/>
  <c r="AB6" i="9"/>
  <c r="AA6" i="9"/>
  <c r="Z6" i="9"/>
  <c r="Y6" i="9"/>
  <c r="X6" i="9"/>
  <c r="AB5" i="9"/>
  <c r="AA5" i="9"/>
  <c r="T5" i="5" s="1"/>
  <c r="Z5" i="9"/>
  <c r="Y5" i="9"/>
  <c r="X5" i="9"/>
  <c r="AE48" i="8"/>
  <c r="AD48" i="8"/>
  <c r="AC48" i="8"/>
  <c r="AB48" i="8"/>
  <c r="AA48" i="8"/>
  <c r="Z48" i="8"/>
  <c r="AE47" i="8"/>
  <c r="AD47" i="8"/>
  <c r="AC47" i="8"/>
  <c r="AB47" i="8"/>
  <c r="AA47" i="8"/>
  <c r="Z47" i="8"/>
  <c r="AE46" i="8"/>
  <c r="AD46" i="8"/>
  <c r="AC46" i="8"/>
  <c r="AB46" i="8"/>
  <c r="AA46" i="8"/>
  <c r="Z46" i="8"/>
  <c r="AE45" i="8"/>
  <c r="AD45" i="8"/>
  <c r="AC45" i="8"/>
  <c r="AB45" i="8"/>
  <c r="AA45" i="8"/>
  <c r="Z45" i="8"/>
  <c r="AE44" i="8"/>
  <c r="AD44" i="8"/>
  <c r="AC44" i="8"/>
  <c r="AB44" i="8"/>
  <c r="AA44" i="8"/>
  <c r="Z44" i="8"/>
  <c r="AE43" i="8"/>
  <c r="AD43" i="8"/>
  <c r="AC43" i="8"/>
  <c r="AB43" i="8"/>
  <c r="AA43" i="8"/>
  <c r="Z43" i="8"/>
  <c r="AE42" i="8"/>
  <c r="AD42" i="8"/>
  <c r="AC42" i="8"/>
  <c r="AB42" i="8"/>
  <c r="AA42" i="8"/>
  <c r="Z42" i="8"/>
  <c r="AE41" i="8"/>
  <c r="AD41" i="8"/>
  <c r="AC41" i="8"/>
  <c r="AB41" i="8"/>
  <c r="AA41" i="8"/>
  <c r="Z41" i="8"/>
  <c r="AE40" i="8"/>
  <c r="AD40" i="8"/>
  <c r="AC40" i="8"/>
  <c r="AB40" i="8"/>
  <c r="AA40" i="8"/>
  <c r="Z40" i="8"/>
  <c r="AE39" i="8"/>
  <c r="AD39" i="8"/>
  <c r="AC39" i="8"/>
  <c r="AB39" i="8"/>
  <c r="AA39" i="8"/>
  <c r="Z39" i="8"/>
  <c r="AE38" i="8"/>
  <c r="AD38" i="8"/>
  <c r="AC38" i="8"/>
  <c r="AB38" i="8"/>
  <c r="AA38" i="8"/>
  <c r="Z38" i="8"/>
  <c r="AE37" i="8"/>
  <c r="AD37" i="8"/>
  <c r="AC37" i="8"/>
  <c r="O32" i="5" s="1"/>
  <c r="M25" i="2" s="1"/>
  <c r="N25" i="2" s="1"/>
  <c r="AB37" i="8"/>
  <c r="AA37" i="8"/>
  <c r="Z37" i="8"/>
  <c r="AE36" i="8"/>
  <c r="AD36" i="8"/>
  <c r="AC36" i="8"/>
  <c r="AB36" i="8"/>
  <c r="AA36" i="8"/>
  <c r="M15" i="5" s="1"/>
  <c r="Z36" i="8"/>
  <c r="AE35" i="8"/>
  <c r="AD35" i="8"/>
  <c r="AC35" i="8"/>
  <c r="AB35" i="8"/>
  <c r="AA35" i="8"/>
  <c r="Z35" i="8"/>
  <c r="AE34" i="8"/>
  <c r="E9" i="5" s="1"/>
  <c r="AD34" i="8"/>
  <c r="AC34" i="8"/>
  <c r="AB34" i="8"/>
  <c r="AA34" i="8"/>
  <c r="Z34" i="8"/>
  <c r="AE33" i="8"/>
  <c r="E31" i="5" s="1"/>
  <c r="AD33" i="8"/>
  <c r="AC33" i="8"/>
  <c r="O31" i="5" s="1"/>
  <c r="M24" i="2" s="1"/>
  <c r="N24" i="2" s="1"/>
  <c r="AB33" i="8"/>
  <c r="AA33" i="8"/>
  <c r="M31" i="5" s="1"/>
  <c r="Z33" i="8"/>
  <c r="AE32" i="8"/>
  <c r="AD32" i="8"/>
  <c r="AC32" i="8"/>
  <c r="AB32" i="8"/>
  <c r="AA32" i="8"/>
  <c r="M20" i="5" s="1"/>
  <c r="Z32" i="8"/>
  <c r="AE31" i="8"/>
  <c r="AD31" i="8"/>
  <c r="AC31" i="8"/>
  <c r="O25" i="5" s="1"/>
  <c r="AB31" i="8"/>
  <c r="AA31" i="8"/>
  <c r="Z31" i="8"/>
  <c r="AE30" i="8"/>
  <c r="AD30" i="8"/>
  <c r="AC30" i="8"/>
  <c r="AB30" i="8"/>
  <c r="AA30" i="8"/>
  <c r="Z30" i="8"/>
  <c r="AE29" i="8"/>
  <c r="AD29" i="8"/>
  <c r="AC29" i="8"/>
  <c r="AB29" i="8"/>
  <c r="AA29" i="8"/>
  <c r="Z29" i="8"/>
  <c r="AE28" i="8"/>
  <c r="E23" i="5" s="1"/>
  <c r="AD28" i="8"/>
  <c r="AC28" i="8"/>
  <c r="AB28" i="8"/>
  <c r="AA28" i="8"/>
  <c r="M23" i="5" s="1"/>
  <c r="Z28" i="8"/>
  <c r="AE27" i="8"/>
  <c r="AD27" i="8"/>
  <c r="AC27" i="8"/>
  <c r="AB27" i="8"/>
  <c r="AA27" i="8"/>
  <c r="Z27" i="8"/>
  <c r="AE26" i="8"/>
  <c r="E24" i="5" s="1"/>
  <c r="AD26" i="8"/>
  <c r="AC26" i="8"/>
  <c r="AB26" i="8"/>
  <c r="AA26" i="8"/>
  <c r="Z26" i="8"/>
  <c r="AE25" i="8"/>
  <c r="AD25" i="8"/>
  <c r="AC25" i="8"/>
  <c r="AB25" i="8"/>
  <c r="AA25" i="8"/>
  <c r="Z25" i="8"/>
  <c r="AE24" i="8"/>
  <c r="AD24" i="8"/>
  <c r="AC24" i="8"/>
  <c r="AB24" i="8"/>
  <c r="AA24" i="8"/>
  <c r="M19" i="5" s="1"/>
  <c r="Z24" i="8"/>
  <c r="AE23" i="8"/>
  <c r="AD23" i="8"/>
  <c r="AC23" i="8"/>
  <c r="AB23" i="8"/>
  <c r="AA23" i="8"/>
  <c r="Z23" i="8"/>
  <c r="AE22" i="8"/>
  <c r="E30" i="5" s="1"/>
  <c r="AD22" i="8"/>
  <c r="AC22" i="8"/>
  <c r="AB22" i="8"/>
  <c r="AA22" i="8"/>
  <c r="Z22" i="8"/>
  <c r="AE21" i="8"/>
  <c r="AD21" i="8"/>
  <c r="AC21" i="8"/>
  <c r="O29" i="5" s="1"/>
  <c r="M23" i="2" s="1"/>
  <c r="AB21" i="8"/>
  <c r="AA21" i="8"/>
  <c r="Z21" i="8"/>
  <c r="AE20" i="8"/>
  <c r="AD20" i="8"/>
  <c r="AC20" i="8"/>
  <c r="AB20" i="8"/>
  <c r="AA20" i="8"/>
  <c r="M28" i="5" s="1"/>
  <c r="Z20" i="8"/>
  <c r="AE19" i="8"/>
  <c r="AD19" i="8"/>
  <c r="AC19" i="8"/>
  <c r="O17" i="5" s="1"/>
  <c r="AB19" i="8"/>
  <c r="AA19" i="8"/>
  <c r="Z19" i="8"/>
  <c r="AE18" i="8"/>
  <c r="E10" i="5" s="1"/>
  <c r="AD18" i="8"/>
  <c r="AC18" i="8"/>
  <c r="AB18" i="8"/>
  <c r="AA18" i="8"/>
  <c r="Z18" i="8"/>
  <c r="AE17" i="8"/>
  <c r="AD17" i="8"/>
  <c r="AC17" i="8"/>
  <c r="O8" i="5" s="1"/>
  <c r="AB17" i="8"/>
  <c r="AA17" i="8"/>
  <c r="Z17" i="8"/>
  <c r="AE16" i="8"/>
  <c r="AD16" i="8"/>
  <c r="AC16" i="8"/>
  <c r="O13" i="5" s="1"/>
  <c r="AB16" i="8"/>
  <c r="AA16" i="8"/>
  <c r="M13" i="5" s="1"/>
  <c r="Z16" i="8"/>
  <c r="AE15" i="8"/>
  <c r="AD15" i="8"/>
  <c r="AC15" i="8"/>
  <c r="AB15" i="8"/>
  <c r="AA15" i="8"/>
  <c r="Z15" i="8"/>
  <c r="AE14" i="8"/>
  <c r="E11" i="5" s="1"/>
  <c r="AD14" i="8"/>
  <c r="AC14" i="8"/>
  <c r="AB14" i="8"/>
  <c r="AA14" i="8"/>
  <c r="Z14" i="8"/>
  <c r="AE13" i="8"/>
  <c r="AD13" i="8"/>
  <c r="AC13" i="8"/>
  <c r="O18" i="5" s="1"/>
  <c r="AB13" i="8"/>
  <c r="AA13" i="8"/>
  <c r="Z13" i="8"/>
  <c r="AE12" i="8"/>
  <c r="AD12" i="8"/>
  <c r="AC12" i="8"/>
  <c r="O21" i="5" s="1"/>
  <c r="AB12" i="8"/>
  <c r="AA12" i="8"/>
  <c r="M21" i="5" s="1"/>
  <c r="Z12" i="8"/>
  <c r="AE11" i="8"/>
  <c r="AD11" i="8"/>
  <c r="AC11" i="8"/>
  <c r="AB11" i="8"/>
  <c r="AA11" i="8"/>
  <c r="Z11" i="8"/>
  <c r="AE10" i="8"/>
  <c r="E27" i="5" s="1"/>
  <c r="AD10" i="8"/>
  <c r="AC10" i="8"/>
  <c r="AB10" i="8"/>
  <c r="AA10" i="8"/>
  <c r="M27" i="5" s="1"/>
  <c r="Z10" i="8"/>
  <c r="AE9" i="8"/>
  <c r="AD9" i="8"/>
  <c r="AC9" i="8"/>
  <c r="O26" i="5" s="1"/>
  <c r="M22" i="2" s="1"/>
  <c r="AB9" i="8"/>
  <c r="AA9" i="8"/>
  <c r="Z9" i="8"/>
  <c r="AE8" i="8"/>
  <c r="AD8" i="8"/>
  <c r="AC8" i="8"/>
  <c r="AB8" i="8"/>
  <c r="AA8" i="8"/>
  <c r="Z8" i="8"/>
  <c r="AE7" i="8"/>
  <c r="AD7" i="8"/>
  <c r="AC7" i="8"/>
  <c r="AB7" i="8"/>
  <c r="AA7" i="8"/>
  <c r="Z7" i="8"/>
  <c r="AE6" i="8"/>
  <c r="E6" i="5" s="1"/>
  <c r="AD6" i="8"/>
  <c r="AC6" i="8"/>
  <c r="AB6" i="8"/>
  <c r="AA6" i="8"/>
  <c r="Z6" i="8"/>
  <c r="AE5" i="8"/>
  <c r="AD5" i="8"/>
  <c r="AC5" i="8"/>
  <c r="O5" i="5" s="1"/>
  <c r="AB5" i="8"/>
  <c r="AA5" i="8"/>
  <c r="Z5" i="8"/>
  <c r="AF48" i="7"/>
  <c r="AE48" i="7"/>
  <c r="AD48" i="7"/>
  <c r="AC48" i="7"/>
  <c r="AB48" i="7"/>
  <c r="AA48" i="7"/>
  <c r="AF47" i="7"/>
  <c r="AE47" i="7"/>
  <c r="AD47" i="7"/>
  <c r="AC47" i="7"/>
  <c r="AB47" i="7"/>
  <c r="AA47" i="7"/>
  <c r="AF46" i="7"/>
  <c r="AE46" i="7"/>
  <c r="AD46" i="7"/>
  <c r="AC46" i="7"/>
  <c r="AB46" i="7"/>
  <c r="AA46" i="7"/>
  <c r="AF45" i="7"/>
  <c r="AE45" i="7"/>
  <c r="AD45" i="7"/>
  <c r="AC45" i="7"/>
  <c r="AB45" i="7"/>
  <c r="AA45" i="7"/>
  <c r="AF44" i="7"/>
  <c r="AE44" i="7"/>
  <c r="AD44" i="7"/>
  <c r="AC44" i="7"/>
  <c r="AB44" i="7"/>
  <c r="AA44" i="7"/>
  <c r="AF43" i="7"/>
  <c r="AE43" i="7"/>
  <c r="AD43" i="7"/>
  <c r="AC43" i="7"/>
  <c r="AB43" i="7"/>
  <c r="AA43" i="7"/>
  <c r="AF42" i="7"/>
  <c r="AE42" i="7"/>
  <c r="AD42" i="7"/>
  <c r="AC42" i="7"/>
  <c r="AB42" i="7"/>
  <c r="AA42" i="7"/>
  <c r="AF41" i="7"/>
  <c r="AE41" i="7"/>
  <c r="AD41" i="7"/>
  <c r="AC41" i="7"/>
  <c r="AB41" i="7"/>
  <c r="AA41" i="7"/>
  <c r="AF40" i="7"/>
  <c r="AE40" i="7"/>
  <c r="AD40" i="7"/>
  <c r="AC40" i="7"/>
  <c r="AB40" i="7"/>
  <c r="AA40" i="7"/>
  <c r="AF39" i="7"/>
  <c r="AE39" i="7"/>
  <c r="AD39" i="7"/>
  <c r="AC39" i="7"/>
  <c r="AB39" i="7"/>
  <c r="AA39" i="7"/>
  <c r="AF38" i="7"/>
  <c r="AE38" i="7"/>
  <c r="AD38" i="7"/>
  <c r="AC38" i="7"/>
  <c r="AB38" i="7"/>
  <c r="AA38" i="7"/>
  <c r="AF37" i="7"/>
  <c r="D32" i="5" s="1"/>
  <c r="AE37" i="7"/>
  <c r="AD37" i="7"/>
  <c r="AC37" i="7"/>
  <c r="AB37" i="7"/>
  <c r="AA37" i="7"/>
  <c r="AF36" i="7"/>
  <c r="AE36" i="7"/>
  <c r="AD36" i="7"/>
  <c r="AC36" i="7"/>
  <c r="AB36" i="7"/>
  <c r="AA36" i="7"/>
  <c r="AF35" i="7"/>
  <c r="AE35" i="7"/>
  <c r="AD35" i="7"/>
  <c r="AC35" i="7"/>
  <c r="AB35" i="7"/>
  <c r="AA35" i="7"/>
  <c r="AF34" i="7"/>
  <c r="D9" i="5" s="1"/>
  <c r="AE34" i="7"/>
  <c r="AD34" i="7"/>
  <c r="AC34" i="7"/>
  <c r="AB34" i="7"/>
  <c r="AA34" i="7"/>
  <c r="AF33" i="7"/>
  <c r="AE33" i="7"/>
  <c r="AD33" i="7"/>
  <c r="AC33" i="7"/>
  <c r="AB33" i="7"/>
  <c r="AA33" i="7"/>
  <c r="AF32" i="7"/>
  <c r="D20" i="5" s="1"/>
  <c r="AE32" i="7"/>
  <c r="AD32" i="7"/>
  <c r="AC32" i="7"/>
  <c r="AB32" i="7"/>
  <c r="AA32" i="7"/>
  <c r="AF31" i="7"/>
  <c r="AE31" i="7"/>
  <c r="AD31" i="7"/>
  <c r="AC31" i="7"/>
  <c r="AB31" i="7"/>
  <c r="AA31" i="7"/>
  <c r="AF30" i="7"/>
  <c r="AE30" i="7"/>
  <c r="AD30" i="7"/>
  <c r="AC30" i="7"/>
  <c r="AB30" i="7"/>
  <c r="AA30" i="7"/>
  <c r="AF29" i="7"/>
  <c r="AE29" i="7"/>
  <c r="AD29" i="7"/>
  <c r="AC29" i="7"/>
  <c r="AB29" i="7"/>
  <c r="AA29" i="7"/>
  <c r="AF28" i="7"/>
  <c r="AE28" i="7"/>
  <c r="AD28" i="7"/>
  <c r="AC28" i="7"/>
  <c r="AB28" i="7"/>
  <c r="AA28" i="7"/>
  <c r="AF27" i="7"/>
  <c r="AE27" i="7"/>
  <c r="AD27" i="7"/>
  <c r="AC27" i="7"/>
  <c r="AB27" i="7"/>
  <c r="AA27" i="7"/>
  <c r="AF26" i="7"/>
  <c r="D24" i="5" s="1"/>
  <c r="AE26" i="7"/>
  <c r="AD26" i="7"/>
  <c r="AC26" i="7"/>
  <c r="AB26" i="7"/>
  <c r="AA26" i="7"/>
  <c r="AF25" i="7"/>
  <c r="AE25" i="7"/>
  <c r="AD25" i="7"/>
  <c r="AC25" i="7"/>
  <c r="AB25" i="7"/>
  <c r="AA25" i="7"/>
  <c r="AF24" i="7"/>
  <c r="AE24" i="7"/>
  <c r="AD24" i="7"/>
  <c r="AC24" i="7"/>
  <c r="AB24" i="7"/>
  <c r="AA24" i="7"/>
  <c r="AF23" i="7"/>
  <c r="AE23" i="7"/>
  <c r="AD23" i="7"/>
  <c r="AC23" i="7"/>
  <c r="AB23" i="7"/>
  <c r="AA23" i="7"/>
  <c r="AF22" i="7"/>
  <c r="D30" i="5" s="1"/>
  <c r="AE22" i="7"/>
  <c r="AD22" i="7"/>
  <c r="AC22" i="7"/>
  <c r="AB22" i="7"/>
  <c r="AA22" i="7"/>
  <c r="AF21" i="7"/>
  <c r="AE21" i="7"/>
  <c r="AD21" i="7"/>
  <c r="AC21" i="7"/>
  <c r="AB21" i="7"/>
  <c r="AA21" i="7"/>
  <c r="AF20" i="7"/>
  <c r="D28" i="5" s="1"/>
  <c r="AE20" i="7"/>
  <c r="AD20" i="7"/>
  <c r="AC20" i="7"/>
  <c r="AB20" i="7"/>
  <c r="AA20" i="7"/>
  <c r="AF19" i="7"/>
  <c r="AE19" i="7"/>
  <c r="AD19" i="7"/>
  <c r="AC19" i="7"/>
  <c r="AB19" i="7"/>
  <c r="AA19" i="7"/>
  <c r="AF18" i="7"/>
  <c r="D10" i="5" s="1"/>
  <c r="AE18" i="7"/>
  <c r="AD18" i="7"/>
  <c r="AC18" i="7"/>
  <c r="AB18" i="7"/>
  <c r="AA18" i="7"/>
  <c r="AF17" i="7"/>
  <c r="D8" i="5" s="1"/>
  <c r="AE17" i="7"/>
  <c r="AD17" i="7"/>
  <c r="AC17" i="7"/>
  <c r="AB17" i="7"/>
  <c r="AA17" i="7"/>
  <c r="AF16" i="7"/>
  <c r="AE16" i="7"/>
  <c r="AD16" i="7"/>
  <c r="AC16" i="7"/>
  <c r="AB16" i="7"/>
  <c r="AA16" i="7"/>
  <c r="AF15" i="7"/>
  <c r="D12" i="5" s="1"/>
  <c r="AE15" i="7"/>
  <c r="AD15" i="7"/>
  <c r="AC15" i="7"/>
  <c r="AB15" i="7"/>
  <c r="AA15" i="7"/>
  <c r="AF14" i="7"/>
  <c r="D11" i="5" s="1"/>
  <c r="AE14" i="7"/>
  <c r="AD14" i="7"/>
  <c r="AC14" i="7"/>
  <c r="AB14" i="7"/>
  <c r="AA14" i="7"/>
  <c r="AF13" i="7"/>
  <c r="AE13" i="7"/>
  <c r="AD13" i="7"/>
  <c r="AC13" i="7"/>
  <c r="AB13" i="7"/>
  <c r="AA13" i="7"/>
  <c r="AF12" i="7"/>
  <c r="AE12" i="7"/>
  <c r="AD12" i="7"/>
  <c r="AC12" i="7"/>
  <c r="AB12" i="7"/>
  <c r="AA12" i="7"/>
  <c r="AF11" i="7"/>
  <c r="D16" i="5" s="1"/>
  <c r="AE11" i="7"/>
  <c r="AD11" i="7"/>
  <c r="AC11" i="7"/>
  <c r="AB11" i="7"/>
  <c r="AA11" i="7"/>
  <c r="AF10" i="7"/>
  <c r="D27" i="5" s="1"/>
  <c r="AE10" i="7"/>
  <c r="AD10" i="7"/>
  <c r="AC10" i="7"/>
  <c r="AB10" i="7"/>
  <c r="AA10" i="7"/>
  <c r="AF9" i="7"/>
  <c r="AE9" i="7"/>
  <c r="AD9" i="7"/>
  <c r="AC9" i="7"/>
  <c r="AB9" i="7"/>
  <c r="AA9" i="7"/>
  <c r="AF8" i="7"/>
  <c r="AE8" i="7"/>
  <c r="AD8" i="7"/>
  <c r="AC8" i="7"/>
  <c r="AB8" i="7"/>
  <c r="AA8" i="7"/>
  <c r="AF7" i="7"/>
  <c r="AE7" i="7"/>
  <c r="AD7" i="7"/>
  <c r="AC7" i="7"/>
  <c r="AB7" i="7"/>
  <c r="AA7" i="7"/>
  <c r="AF6" i="7"/>
  <c r="D6" i="5" s="1"/>
  <c r="AE6" i="7"/>
  <c r="AD6" i="7"/>
  <c r="AC6" i="7"/>
  <c r="AB6" i="7"/>
  <c r="AA6" i="7"/>
  <c r="AF5" i="7"/>
  <c r="AE5" i="7"/>
  <c r="AD5" i="7"/>
  <c r="AC5" i="7"/>
  <c r="AB5" i="7"/>
  <c r="AA5" i="7"/>
  <c r="F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BD32" i="5"/>
  <c r="BC32" i="5"/>
  <c r="BB32" i="5"/>
  <c r="BA32" i="5"/>
  <c r="AZ32" i="5"/>
  <c r="AY32" i="5"/>
  <c r="DO25" i="2" s="1"/>
  <c r="DP25" i="2" s="1"/>
  <c r="FQ25" i="2" s="1"/>
  <c r="AX32" i="5"/>
  <c r="FP25" i="2" s="1"/>
  <c r="AW32" i="5"/>
  <c r="DK25" i="2" s="1"/>
  <c r="DL25" i="2" s="1"/>
  <c r="DM25" i="2" s="1"/>
  <c r="FO25" i="2" s="1"/>
  <c r="AV32" i="5"/>
  <c r="AS32" i="5"/>
  <c r="AR32" i="5"/>
  <c r="AQ32" i="5"/>
  <c r="AP32" i="5"/>
  <c r="AO32" i="5"/>
  <c r="CM25" i="2" s="1"/>
  <c r="CN25" i="2" s="1"/>
  <c r="CO25" i="2" s="1"/>
  <c r="FG25" i="2" s="1"/>
  <c r="AN32" i="5"/>
  <c r="AM32" i="5"/>
  <c r="AL32" i="5"/>
  <c r="AK32" i="5"/>
  <c r="AJ32" i="5"/>
  <c r="AI32" i="5"/>
  <c r="AH32" i="5"/>
  <c r="AG32" i="5"/>
  <c r="BO25" i="2" s="1"/>
  <c r="BP25" i="2" s="1"/>
  <c r="BQ25" i="2" s="1"/>
  <c r="EY25" i="2" s="1"/>
  <c r="AF32" i="5"/>
  <c r="AE32" i="5"/>
  <c r="AD32" i="5"/>
  <c r="AC32" i="5"/>
  <c r="AB32" i="5"/>
  <c r="AA32" i="5"/>
  <c r="Z32" i="5"/>
  <c r="Y32" i="5"/>
  <c r="AQ25" i="2" s="1"/>
  <c r="AR25" i="2" s="1"/>
  <c r="AS25" i="2" s="1"/>
  <c r="EQ25" i="2" s="1"/>
  <c r="X32" i="5"/>
  <c r="W32" i="5"/>
  <c r="V32" i="5"/>
  <c r="U32" i="5"/>
  <c r="S32" i="5"/>
  <c r="R32" i="5"/>
  <c r="Q32" i="5"/>
  <c r="P32" i="5"/>
  <c r="N32" i="5"/>
  <c r="M32" i="5"/>
  <c r="L32" i="5"/>
  <c r="K32" i="5"/>
  <c r="J32" i="5"/>
  <c r="I32" i="5"/>
  <c r="H32" i="5"/>
  <c r="G32" i="5"/>
  <c r="F32" i="5"/>
  <c r="E32" i="5"/>
  <c r="BD31" i="5"/>
  <c r="BC31" i="5"/>
  <c r="BB31" i="5"/>
  <c r="BA31" i="5"/>
  <c r="AZ31" i="5"/>
  <c r="AY31" i="5"/>
  <c r="DO24" i="2" s="1"/>
  <c r="AX31" i="5"/>
  <c r="AW31" i="5"/>
  <c r="AV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N31" i="5"/>
  <c r="L31" i="5"/>
  <c r="K31" i="5"/>
  <c r="J31" i="5"/>
  <c r="I31" i="5"/>
  <c r="H31" i="5"/>
  <c r="G31" i="5"/>
  <c r="F31" i="5"/>
  <c r="D31" i="5"/>
  <c r="BD30" i="5"/>
  <c r="BC30" i="5"/>
  <c r="BB30" i="5"/>
  <c r="BA30" i="5"/>
  <c r="DQ23" i="2" s="1"/>
  <c r="DR23" i="2" s="1"/>
  <c r="DS23" i="2" s="1"/>
  <c r="FR23" i="2" s="1"/>
  <c r="AZ30" i="5"/>
  <c r="AY30" i="5"/>
  <c r="AX30" i="5"/>
  <c r="AU30" i="5"/>
  <c r="AT30" i="5"/>
  <c r="AS30" i="5"/>
  <c r="CY23" i="2" s="1"/>
  <c r="CZ23" i="2" s="1"/>
  <c r="AR30" i="5"/>
  <c r="AQ30" i="5"/>
  <c r="AO30" i="5"/>
  <c r="AN30" i="5"/>
  <c r="AM30" i="5"/>
  <c r="AL30" i="5"/>
  <c r="AK30" i="5"/>
  <c r="AJ30" i="5"/>
  <c r="AI30" i="5"/>
  <c r="AH30" i="5"/>
  <c r="AG30" i="5"/>
  <c r="AE30" i="5"/>
  <c r="AD30" i="5"/>
  <c r="AC30" i="5"/>
  <c r="AB30" i="5"/>
  <c r="AA30" i="5"/>
  <c r="AW23" i="2" s="1"/>
  <c r="AX23" i="2" s="1"/>
  <c r="Z30" i="5"/>
  <c r="Y30" i="5"/>
  <c r="X30" i="5"/>
  <c r="W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BD29" i="5"/>
  <c r="BC29" i="5"/>
  <c r="BB29" i="5"/>
  <c r="BA29" i="5"/>
  <c r="AZ29" i="5"/>
  <c r="AY29" i="5"/>
  <c r="AX29" i="5"/>
  <c r="AW29" i="5"/>
  <c r="AV29" i="5"/>
  <c r="AU29" i="5"/>
  <c r="DE23" i="2" s="1"/>
  <c r="DF23" i="2" s="1"/>
  <c r="AT29" i="5"/>
  <c r="DB23" i="2" s="1"/>
  <c r="DC23" i="2" s="1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S29" i="5"/>
  <c r="R29" i="5"/>
  <c r="Q29" i="5"/>
  <c r="P29" i="5"/>
  <c r="N29" i="5"/>
  <c r="M29" i="5"/>
  <c r="L29" i="5"/>
  <c r="K29" i="5"/>
  <c r="J29" i="5"/>
  <c r="I29" i="5"/>
  <c r="H29" i="5"/>
  <c r="G29" i="5"/>
  <c r="F29" i="5"/>
  <c r="E29" i="5"/>
  <c r="D29" i="5"/>
  <c r="BD28" i="5"/>
  <c r="BC28" i="5"/>
  <c r="BB28" i="5"/>
  <c r="BA28" i="5"/>
  <c r="AZ28" i="5"/>
  <c r="AY28" i="5"/>
  <c r="AX28" i="5"/>
  <c r="FP23" i="2" s="1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P28" i="5"/>
  <c r="O28" i="5"/>
  <c r="N28" i="5"/>
  <c r="L28" i="5"/>
  <c r="J28" i="5"/>
  <c r="F28" i="5"/>
  <c r="E28" i="5"/>
  <c r="BD27" i="5"/>
  <c r="BC27" i="5"/>
  <c r="BB27" i="5"/>
  <c r="AZ27" i="5"/>
  <c r="AY27" i="5"/>
  <c r="AX27" i="5"/>
  <c r="AU27" i="5"/>
  <c r="AT27" i="5"/>
  <c r="AS27" i="5"/>
  <c r="AR27" i="5"/>
  <c r="AQ27" i="5"/>
  <c r="AO27" i="5"/>
  <c r="AN27" i="5"/>
  <c r="AM27" i="5"/>
  <c r="AL27" i="5"/>
  <c r="AJ27" i="5"/>
  <c r="AI27" i="5"/>
  <c r="AH27" i="5"/>
  <c r="AG27" i="5"/>
  <c r="AE27" i="5"/>
  <c r="AD27" i="5"/>
  <c r="AC27" i="5"/>
  <c r="AB27" i="5"/>
  <c r="Z27" i="5"/>
  <c r="Y27" i="5"/>
  <c r="X27" i="5"/>
  <c r="W27" i="5"/>
  <c r="U27" i="5"/>
  <c r="T27" i="5"/>
  <c r="R27" i="5"/>
  <c r="Q27" i="5"/>
  <c r="P27" i="5"/>
  <c r="O27" i="5"/>
  <c r="N27" i="5"/>
  <c r="L27" i="5"/>
  <c r="K27" i="5"/>
  <c r="J27" i="5"/>
  <c r="I27" i="5"/>
  <c r="H27" i="5"/>
  <c r="G27" i="5"/>
  <c r="F27" i="5"/>
  <c r="BD26" i="5"/>
  <c r="BC26" i="5"/>
  <c r="BB26" i="5"/>
  <c r="BA26" i="5"/>
  <c r="AZ26" i="5"/>
  <c r="AY26" i="5"/>
  <c r="DO22" i="2" s="1"/>
  <c r="DP22" i="2" s="1"/>
  <c r="FQ22" i="2" s="1"/>
  <c r="AX26" i="5"/>
  <c r="FP22" i="2" s="1"/>
  <c r="AW26" i="5"/>
  <c r="AV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N26" i="5"/>
  <c r="M26" i="5"/>
  <c r="L26" i="5"/>
  <c r="K26" i="5"/>
  <c r="J26" i="5"/>
  <c r="I26" i="5"/>
  <c r="H26" i="5"/>
  <c r="G26" i="5"/>
  <c r="F26" i="5"/>
  <c r="E26" i="5"/>
  <c r="D26" i="5"/>
  <c r="BD25" i="5"/>
  <c r="BC25" i="5"/>
  <c r="BB25" i="5"/>
  <c r="BA25" i="5"/>
  <c r="AZ25" i="5"/>
  <c r="AW25" i="5"/>
  <c r="AV25" i="5"/>
  <c r="AU25" i="5"/>
  <c r="DE21" i="2" s="1"/>
  <c r="DF21" i="2" s="1"/>
  <c r="AT25" i="5"/>
  <c r="DB21" i="2" s="1"/>
  <c r="DC21" i="2" s="1"/>
  <c r="AS25" i="5"/>
  <c r="AR25" i="5"/>
  <c r="AQ25" i="5"/>
  <c r="AP25" i="5"/>
  <c r="AO25" i="5"/>
  <c r="AN25" i="5"/>
  <c r="AL25" i="5"/>
  <c r="AK25" i="5"/>
  <c r="AJ25" i="5"/>
  <c r="AI25" i="5"/>
  <c r="AG25" i="5"/>
  <c r="AF25" i="5"/>
  <c r="AE25" i="5"/>
  <c r="AD25" i="5"/>
  <c r="AB25" i="5"/>
  <c r="AA25" i="5"/>
  <c r="Z25" i="5"/>
  <c r="Y25" i="5"/>
  <c r="W25" i="5"/>
  <c r="V25" i="5"/>
  <c r="U25" i="5"/>
  <c r="T25" i="5"/>
  <c r="S25" i="5"/>
  <c r="Q25" i="5"/>
  <c r="P25" i="5"/>
  <c r="N25" i="5"/>
  <c r="M25" i="5"/>
  <c r="L25" i="5"/>
  <c r="K25" i="5"/>
  <c r="J25" i="5"/>
  <c r="I25" i="5"/>
  <c r="H25" i="5"/>
  <c r="G25" i="5"/>
  <c r="F25" i="5"/>
  <c r="E25" i="5"/>
  <c r="D25" i="5"/>
  <c r="BD24" i="5"/>
  <c r="BC24" i="5"/>
  <c r="BB24" i="5"/>
  <c r="BA24" i="5"/>
  <c r="AZ24" i="5"/>
  <c r="AY24" i="5"/>
  <c r="AX24" i="5"/>
  <c r="AU24" i="5"/>
  <c r="AT24" i="5"/>
  <c r="DB20" i="2" s="1"/>
  <c r="DC20" i="2" s="1"/>
  <c r="AS24" i="5"/>
  <c r="AR24" i="5"/>
  <c r="AQ24" i="5"/>
  <c r="AO24" i="5"/>
  <c r="AN24" i="5"/>
  <c r="AM24" i="5"/>
  <c r="AL24" i="5"/>
  <c r="AJ24" i="5"/>
  <c r="AI24" i="5"/>
  <c r="AH24" i="5"/>
  <c r="AG24" i="5"/>
  <c r="AE24" i="5"/>
  <c r="AD24" i="5"/>
  <c r="AC24" i="5"/>
  <c r="AB24" i="5"/>
  <c r="Z24" i="5"/>
  <c r="Y24" i="5"/>
  <c r="X24" i="5"/>
  <c r="W24" i="5"/>
  <c r="U24" i="5"/>
  <c r="T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P23" i="5"/>
  <c r="O23" i="5"/>
  <c r="N23" i="5"/>
  <c r="L23" i="5"/>
  <c r="F23" i="5"/>
  <c r="D23" i="5"/>
  <c r="BD22" i="5"/>
  <c r="BC22" i="5"/>
  <c r="BB22" i="5"/>
  <c r="BA22" i="5"/>
  <c r="AZ22" i="5"/>
  <c r="AW22" i="5"/>
  <c r="AV22" i="5"/>
  <c r="DH19" i="2" s="1"/>
  <c r="DI19" i="2" s="1"/>
  <c r="AU22" i="5"/>
  <c r="DE19" i="2" s="1"/>
  <c r="DF19" i="2" s="1"/>
  <c r="DG19" i="2" s="1"/>
  <c r="FM19" i="2" s="1"/>
  <c r="AT22" i="5"/>
  <c r="AS22" i="5"/>
  <c r="AQ22" i="5"/>
  <c r="AP22" i="5"/>
  <c r="AO22" i="5"/>
  <c r="AN22" i="5"/>
  <c r="AL22" i="5"/>
  <c r="AK22" i="5"/>
  <c r="AJ22" i="5"/>
  <c r="AI22" i="5"/>
  <c r="AG22" i="5"/>
  <c r="AF22" i="5"/>
  <c r="AE22" i="5"/>
  <c r="AD22" i="5"/>
  <c r="AB22" i="5"/>
  <c r="AA22" i="5"/>
  <c r="Z22" i="5"/>
  <c r="Y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BD21" i="5"/>
  <c r="BC21" i="5"/>
  <c r="BB21" i="5"/>
  <c r="BA21" i="5"/>
  <c r="AZ21" i="5"/>
  <c r="AX21" i="5"/>
  <c r="AW21" i="5"/>
  <c r="AV21" i="5"/>
  <c r="AU21" i="5"/>
  <c r="DE18" i="2" s="1"/>
  <c r="DF18" i="2" s="1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P21" i="5"/>
  <c r="N21" i="5"/>
  <c r="L21" i="5"/>
  <c r="F21" i="5"/>
  <c r="E21" i="5"/>
  <c r="D21" i="5"/>
  <c r="BD20" i="5"/>
  <c r="BC20" i="5"/>
  <c r="BB20" i="5"/>
  <c r="BA20" i="5"/>
  <c r="AZ20" i="5"/>
  <c r="AY20" i="5"/>
  <c r="DO17" i="2" s="1"/>
  <c r="DP17" i="2" s="1"/>
  <c r="FQ17" i="2" s="1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L20" i="5"/>
  <c r="J20" i="5"/>
  <c r="E20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L19" i="5"/>
  <c r="J19" i="5"/>
  <c r="E19" i="5"/>
  <c r="D19" i="5"/>
  <c r="BD18" i="5"/>
  <c r="BC18" i="5"/>
  <c r="BB18" i="5"/>
  <c r="BA18" i="5"/>
  <c r="AZ18" i="5"/>
  <c r="AY18" i="5"/>
  <c r="AX18" i="5"/>
  <c r="AW18" i="5"/>
  <c r="AV18" i="5"/>
  <c r="DH15" i="2" s="1"/>
  <c r="DI15" i="2" s="1"/>
  <c r="DJ15" i="2" s="1"/>
  <c r="FN15" i="2" s="1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S18" i="5"/>
  <c r="R18" i="5"/>
  <c r="Q18" i="5"/>
  <c r="P18" i="5"/>
  <c r="N18" i="5"/>
  <c r="M18" i="5"/>
  <c r="L18" i="5"/>
  <c r="K18" i="5"/>
  <c r="J18" i="5"/>
  <c r="I18" i="5"/>
  <c r="H18" i="5"/>
  <c r="G18" i="5"/>
  <c r="F18" i="5"/>
  <c r="E18" i="5"/>
  <c r="D18" i="5"/>
  <c r="BD17" i="5"/>
  <c r="BC17" i="5"/>
  <c r="BB17" i="5"/>
  <c r="BA17" i="5"/>
  <c r="AZ17" i="5"/>
  <c r="AY17" i="5"/>
  <c r="AW17" i="5"/>
  <c r="AV17" i="5"/>
  <c r="AU17" i="5"/>
  <c r="AT17" i="5"/>
  <c r="AS17" i="5"/>
  <c r="AR17" i="5"/>
  <c r="AQ17" i="5"/>
  <c r="AP17" i="5"/>
  <c r="AO17" i="5"/>
  <c r="AN17" i="5"/>
  <c r="AL17" i="5"/>
  <c r="AK17" i="5"/>
  <c r="AJ17" i="5"/>
  <c r="AI17" i="5"/>
  <c r="AG17" i="5"/>
  <c r="AF17" i="5"/>
  <c r="AE17" i="5"/>
  <c r="AD17" i="5"/>
  <c r="AB17" i="5"/>
  <c r="AA17" i="5"/>
  <c r="Z17" i="5"/>
  <c r="Y17" i="5"/>
  <c r="W17" i="5"/>
  <c r="V17" i="5"/>
  <c r="U17" i="5"/>
  <c r="T17" i="5"/>
  <c r="S17" i="5"/>
  <c r="R17" i="5"/>
  <c r="Q17" i="5"/>
  <c r="P17" i="5"/>
  <c r="N17" i="5"/>
  <c r="M17" i="5"/>
  <c r="L17" i="5"/>
  <c r="K17" i="5"/>
  <c r="J17" i="5"/>
  <c r="I17" i="5"/>
  <c r="H17" i="5"/>
  <c r="G17" i="5"/>
  <c r="F17" i="5"/>
  <c r="E17" i="5"/>
  <c r="D17" i="5"/>
  <c r="BD16" i="5"/>
  <c r="BC16" i="5"/>
  <c r="BB16" i="5"/>
  <c r="BA16" i="5"/>
  <c r="AZ16" i="5"/>
  <c r="AY16" i="5"/>
  <c r="AV16" i="5"/>
  <c r="AU16" i="5"/>
  <c r="AT16" i="5"/>
  <c r="AS16" i="5"/>
  <c r="AQ16" i="5"/>
  <c r="AP16" i="5"/>
  <c r="AO16" i="5"/>
  <c r="AN16" i="5"/>
  <c r="AL16" i="5"/>
  <c r="AK16" i="5"/>
  <c r="AJ16" i="5"/>
  <c r="AI16" i="5"/>
  <c r="AG16" i="5"/>
  <c r="AF16" i="5"/>
  <c r="AE16" i="5"/>
  <c r="AD16" i="5"/>
  <c r="AB16" i="5"/>
  <c r="AA16" i="5"/>
  <c r="Z16" i="5"/>
  <c r="Y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BD15" i="5"/>
  <c r="BC15" i="5"/>
  <c r="BB15" i="5"/>
  <c r="BA15" i="5"/>
  <c r="AZ15" i="5"/>
  <c r="AY15" i="5"/>
  <c r="AX15" i="5"/>
  <c r="FP12" i="2" s="1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P15" i="5"/>
  <c r="O15" i="5"/>
  <c r="N15" i="5"/>
  <c r="L15" i="5"/>
  <c r="K15" i="5"/>
  <c r="F15" i="5"/>
  <c r="E15" i="5"/>
  <c r="D15" i="5"/>
  <c r="BD14" i="5"/>
  <c r="BC14" i="5"/>
  <c r="BB14" i="5"/>
  <c r="BA14" i="5"/>
  <c r="AZ14" i="5"/>
  <c r="AW14" i="5"/>
  <c r="DK11" i="2" s="1"/>
  <c r="DL11" i="2" s="1"/>
  <c r="AV14" i="5"/>
  <c r="AU14" i="5"/>
  <c r="AT14" i="5"/>
  <c r="AS14" i="5"/>
  <c r="AR14" i="5"/>
  <c r="AQ14" i="5"/>
  <c r="AP14" i="5"/>
  <c r="AO14" i="5"/>
  <c r="AN14" i="5"/>
  <c r="AL14" i="5"/>
  <c r="AK14" i="5"/>
  <c r="AJ14" i="5"/>
  <c r="AI14" i="5"/>
  <c r="AG14" i="5"/>
  <c r="AF14" i="5"/>
  <c r="AE14" i="5"/>
  <c r="AD14" i="5"/>
  <c r="AB14" i="5"/>
  <c r="AA14" i="5"/>
  <c r="Z14" i="5"/>
  <c r="Y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BD13" i="5"/>
  <c r="BC13" i="5"/>
  <c r="BB13" i="5"/>
  <c r="BA13" i="5"/>
  <c r="AZ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N13" i="5"/>
  <c r="L13" i="5"/>
  <c r="E13" i="5"/>
  <c r="D13" i="5"/>
  <c r="BD12" i="5"/>
  <c r="BC12" i="5"/>
  <c r="BB12" i="5"/>
  <c r="BA12" i="5"/>
  <c r="AZ12" i="5"/>
  <c r="AW12" i="5"/>
  <c r="AV12" i="5"/>
  <c r="AU12" i="5"/>
  <c r="AT12" i="5"/>
  <c r="DB10" i="2" s="1"/>
  <c r="DC10" i="2" s="1"/>
  <c r="AS12" i="5"/>
  <c r="AQ12" i="5"/>
  <c r="AP12" i="5"/>
  <c r="AO12" i="5"/>
  <c r="AN12" i="5"/>
  <c r="AL12" i="5"/>
  <c r="AK12" i="5"/>
  <c r="AJ12" i="5"/>
  <c r="AI12" i="5"/>
  <c r="AG12" i="5"/>
  <c r="AF12" i="5"/>
  <c r="AE12" i="5"/>
  <c r="AD12" i="5"/>
  <c r="AB12" i="5"/>
  <c r="AA12" i="5"/>
  <c r="Z12" i="5"/>
  <c r="Y12" i="5"/>
  <c r="W12" i="5"/>
  <c r="V12" i="5"/>
  <c r="U12" i="5"/>
  <c r="T12" i="5"/>
  <c r="S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BD11" i="5"/>
  <c r="BC11" i="5"/>
  <c r="BB11" i="5"/>
  <c r="BA11" i="5"/>
  <c r="AZ11" i="5"/>
  <c r="AY11" i="5"/>
  <c r="AX11" i="5"/>
  <c r="AU11" i="5"/>
  <c r="AT11" i="5"/>
  <c r="AS11" i="5"/>
  <c r="AR11" i="5"/>
  <c r="AQ11" i="5"/>
  <c r="AP11" i="5"/>
  <c r="AO11" i="5"/>
  <c r="AN11" i="5"/>
  <c r="AM11" i="5"/>
  <c r="AL11" i="5"/>
  <c r="AJ11" i="5"/>
  <c r="AI11" i="5"/>
  <c r="AH11" i="5"/>
  <c r="AG11" i="5"/>
  <c r="AE11" i="5"/>
  <c r="AD11" i="5"/>
  <c r="AC11" i="5"/>
  <c r="AB11" i="5"/>
  <c r="Z11" i="5"/>
  <c r="Y11" i="5"/>
  <c r="X11" i="5"/>
  <c r="W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BD10" i="5"/>
  <c r="BC10" i="5"/>
  <c r="BB10" i="5"/>
  <c r="BA10" i="5"/>
  <c r="AZ10" i="5"/>
  <c r="AY10" i="5"/>
  <c r="AX10" i="5"/>
  <c r="AU10" i="5"/>
  <c r="AT10" i="5"/>
  <c r="AS10" i="5"/>
  <c r="AR10" i="5"/>
  <c r="AQ10" i="5"/>
  <c r="AO10" i="5"/>
  <c r="AN10" i="5"/>
  <c r="AM10" i="5"/>
  <c r="AL10" i="5"/>
  <c r="AJ10" i="5"/>
  <c r="AI10" i="5"/>
  <c r="AH10" i="5"/>
  <c r="AG10" i="5"/>
  <c r="AE10" i="5"/>
  <c r="AD10" i="5"/>
  <c r="AC10" i="5"/>
  <c r="AB10" i="5"/>
  <c r="Z10" i="5"/>
  <c r="Y10" i="5"/>
  <c r="X10" i="5"/>
  <c r="W10" i="5"/>
  <c r="U10" i="5"/>
  <c r="T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BD9" i="5"/>
  <c r="BC9" i="5"/>
  <c r="BB9" i="5"/>
  <c r="BA9" i="5"/>
  <c r="AZ9" i="5"/>
  <c r="AY9" i="5"/>
  <c r="AX9" i="5"/>
  <c r="AW9" i="5"/>
  <c r="DK8" i="2" s="1"/>
  <c r="DL8" i="2" s="1"/>
  <c r="AV9" i="5"/>
  <c r="DH8" i="2" s="1"/>
  <c r="DI8" i="2" s="1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E9" i="5"/>
  <c r="AD9" i="5"/>
  <c r="AC9" i="5"/>
  <c r="AB9" i="5"/>
  <c r="Z9" i="5"/>
  <c r="Y9" i="5"/>
  <c r="X9" i="5"/>
  <c r="W9" i="5"/>
  <c r="U9" i="5"/>
  <c r="T9" i="5"/>
  <c r="R9" i="5"/>
  <c r="Q9" i="5"/>
  <c r="P9" i="5"/>
  <c r="O9" i="5"/>
  <c r="N9" i="5"/>
  <c r="M9" i="5"/>
  <c r="L9" i="5"/>
  <c r="K9" i="5"/>
  <c r="J9" i="5"/>
  <c r="I9" i="5"/>
  <c r="H9" i="5"/>
  <c r="G9" i="5"/>
  <c r="F9" i="5"/>
  <c r="BD8" i="5"/>
  <c r="BC8" i="5"/>
  <c r="BB8" i="5"/>
  <c r="BA8" i="5"/>
  <c r="AZ8" i="5"/>
  <c r="AY8" i="5"/>
  <c r="AX8" i="5"/>
  <c r="AW8" i="5"/>
  <c r="AV8" i="5"/>
  <c r="AU8" i="5"/>
  <c r="DE7" i="2" s="1"/>
  <c r="DF7" i="2" s="1"/>
  <c r="AT8" i="5"/>
  <c r="DB7" i="2" s="1"/>
  <c r="DC7" i="2" s="1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N8" i="5"/>
  <c r="M8" i="5"/>
  <c r="L8" i="5"/>
  <c r="K8" i="5"/>
  <c r="J8" i="5"/>
  <c r="I8" i="5"/>
  <c r="H8" i="5"/>
  <c r="G8" i="5"/>
  <c r="F8" i="5"/>
  <c r="E8" i="5"/>
  <c r="BD7" i="5"/>
  <c r="BC7" i="5"/>
  <c r="BB7" i="5"/>
  <c r="BA7" i="5"/>
  <c r="AZ7" i="5"/>
  <c r="AV7" i="5"/>
  <c r="AU7" i="5"/>
  <c r="AT7" i="5"/>
  <c r="AS7" i="5"/>
  <c r="AR7" i="5"/>
  <c r="AQ7" i="5"/>
  <c r="AP7" i="5"/>
  <c r="AO7" i="5"/>
  <c r="AN7" i="5"/>
  <c r="AL7" i="5"/>
  <c r="AK7" i="5"/>
  <c r="AJ7" i="5"/>
  <c r="AI7" i="5"/>
  <c r="AG7" i="5"/>
  <c r="AF7" i="5"/>
  <c r="AE7" i="5"/>
  <c r="AD7" i="5"/>
  <c r="AB7" i="5"/>
  <c r="AA7" i="5"/>
  <c r="Z7" i="5"/>
  <c r="Y7" i="5"/>
  <c r="W7" i="5"/>
  <c r="V7" i="5"/>
  <c r="U7" i="5"/>
  <c r="T7" i="5"/>
  <c r="S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BD6" i="5"/>
  <c r="BC6" i="5"/>
  <c r="BB6" i="5"/>
  <c r="BA6" i="5"/>
  <c r="AZ6" i="5"/>
  <c r="AY6" i="5"/>
  <c r="AX6" i="5"/>
  <c r="AW6" i="5"/>
  <c r="DK6" i="2" s="1"/>
  <c r="DL6" i="2" s="1"/>
  <c r="AV6" i="5"/>
  <c r="DH6" i="2" s="1"/>
  <c r="DI6" i="2" s="1"/>
  <c r="AU6" i="5"/>
  <c r="AT6" i="5"/>
  <c r="AS6" i="5"/>
  <c r="AR6" i="5"/>
  <c r="AQ6" i="5"/>
  <c r="AO6" i="5"/>
  <c r="AN6" i="5"/>
  <c r="AM6" i="5"/>
  <c r="AL6" i="5"/>
  <c r="AJ6" i="5"/>
  <c r="AI6" i="5"/>
  <c r="AH6" i="5"/>
  <c r="AG6" i="5"/>
  <c r="AE6" i="5"/>
  <c r="AD6" i="5"/>
  <c r="AC6" i="5"/>
  <c r="AB6" i="5"/>
  <c r="Z6" i="5"/>
  <c r="Y6" i="5"/>
  <c r="X6" i="5"/>
  <c r="W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BD5" i="5"/>
  <c r="BC5" i="5"/>
  <c r="BB5" i="5"/>
  <c r="BA5" i="5"/>
  <c r="AZ5" i="5"/>
  <c r="AY5" i="5"/>
  <c r="AX5" i="5"/>
  <c r="AW5" i="5"/>
  <c r="AV5" i="5"/>
  <c r="AU5" i="5"/>
  <c r="DE6" i="2" s="1"/>
  <c r="DF6" i="2" s="1"/>
  <c r="AT5" i="5"/>
  <c r="DB6" i="2" s="1"/>
  <c r="DC6" i="2" s="1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S5" i="5"/>
  <c r="R5" i="5"/>
  <c r="Q5" i="5"/>
  <c r="P5" i="5"/>
  <c r="N5" i="5"/>
  <c r="M5" i="5"/>
  <c r="L5" i="5"/>
  <c r="K5" i="5"/>
  <c r="J5" i="5"/>
  <c r="I5" i="5"/>
  <c r="H5" i="5"/>
  <c r="G5" i="5"/>
  <c r="F5" i="5"/>
  <c r="E5" i="5"/>
  <c r="D5" i="5"/>
  <c r="E122" i="3"/>
  <c r="F122" i="3" s="1"/>
  <c r="D122" i="3"/>
  <c r="C122" i="3"/>
  <c r="B122" i="3"/>
  <c r="E121" i="3"/>
  <c r="F121" i="3" s="1"/>
  <c r="D121" i="3"/>
  <c r="C121" i="3"/>
  <c r="B121" i="3"/>
  <c r="E120" i="3"/>
  <c r="F120" i="3" s="1"/>
  <c r="D120" i="3"/>
  <c r="C120" i="3"/>
  <c r="B120" i="3"/>
  <c r="E119" i="3"/>
  <c r="F119" i="3" s="1"/>
  <c r="D119" i="3"/>
  <c r="C119" i="3"/>
  <c r="B119" i="3"/>
  <c r="E118" i="3"/>
  <c r="F118" i="3" s="1"/>
  <c r="D118" i="3"/>
  <c r="C118" i="3"/>
  <c r="B118" i="3"/>
  <c r="DZ25" i="2"/>
  <c r="EA25" i="2" s="1"/>
  <c r="EB25" i="2" s="1"/>
  <c r="FU25" i="2" s="1"/>
  <c r="DW25" i="2"/>
  <c r="DX25" i="2" s="1"/>
  <c r="DY25" i="2" s="1"/>
  <c r="FT25" i="2" s="1"/>
  <c r="DT25" i="2"/>
  <c r="DU25" i="2" s="1"/>
  <c r="DV25" i="2" s="1"/>
  <c r="FS25" i="2" s="1"/>
  <c r="DR25" i="2"/>
  <c r="DS25" i="2" s="1"/>
  <c r="FR25" i="2" s="1"/>
  <c r="DQ25" i="2"/>
  <c r="DN25" i="2"/>
  <c r="DH25" i="2"/>
  <c r="DI25" i="2" s="1"/>
  <c r="DJ25" i="2" s="1"/>
  <c r="FN25" i="2" s="1"/>
  <c r="CY25" i="2"/>
  <c r="CZ25" i="2" s="1"/>
  <c r="DA25" i="2" s="1"/>
  <c r="FK25" i="2" s="1"/>
  <c r="CV25" i="2"/>
  <c r="CW25" i="2" s="1"/>
  <c r="CX25" i="2" s="1"/>
  <c r="FJ25" i="2" s="1"/>
  <c r="CT25" i="2"/>
  <c r="CS25" i="2"/>
  <c r="CP25" i="2"/>
  <c r="CQ25" i="2" s="1"/>
  <c r="CR25" i="2" s="1"/>
  <c r="FH25" i="2" s="1"/>
  <c r="CL25" i="2"/>
  <c r="FF25" i="2" s="1"/>
  <c r="CK25" i="2"/>
  <c r="CJ25" i="2"/>
  <c r="CI25" i="2"/>
  <c r="FE25" i="2" s="1"/>
  <c r="CG25" i="2"/>
  <c r="CH25" i="2" s="1"/>
  <c r="CD25" i="2"/>
  <c r="CE25" i="2" s="1"/>
  <c r="CA25" i="2"/>
  <c r="CB25" i="2" s="1"/>
  <c r="BX25" i="2"/>
  <c r="BY25" i="2" s="1"/>
  <c r="BZ25" i="2" s="1"/>
  <c r="FB25" i="2" s="1"/>
  <c r="BV25" i="2"/>
  <c r="BW25" i="2" s="1"/>
  <c r="FA25" i="2" s="1"/>
  <c r="BU25" i="2"/>
  <c r="BS25" i="2"/>
  <c r="BT25" i="2" s="1"/>
  <c r="EZ25" i="2" s="1"/>
  <c r="BR25" i="2"/>
  <c r="BL25" i="2"/>
  <c r="BM25" i="2" s="1"/>
  <c r="BN25" i="2" s="1"/>
  <c r="EX25" i="2" s="1"/>
  <c r="BK25" i="2"/>
  <c r="EW25" i="2" s="1"/>
  <c r="BI25" i="2"/>
  <c r="BJ25" i="2" s="1"/>
  <c r="BF25" i="2"/>
  <c r="BG25" i="2" s="1"/>
  <c r="BC25" i="2"/>
  <c r="BD25" i="2" s="1"/>
  <c r="BE25" i="2" s="1"/>
  <c r="EU25" i="2" s="1"/>
  <c r="BA25" i="2"/>
  <c r="AZ25" i="2"/>
  <c r="AW25" i="2"/>
  <c r="AX25" i="2" s="1"/>
  <c r="AY25" i="2" s="1"/>
  <c r="ES25" i="2" s="1"/>
  <c r="AU25" i="2"/>
  <c r="AV25" i="2" s="1"/>
  <c r="ER25" i="2" s="1"/>
  <c r="AT25" i="2"/>
  <c r="AO25" i="2"/>
  <c r="AP25" i="2" s="1"/>
  <c r="EP25" i="2" s="1"/>
  <c r="AN25" i="2"/>
  <c r="AK25" i="2"/>
  <c r="AL25" i="2" s="1"/>
  <c r="AH25" i="2"/>
  <c r="AI25" i="2" s="1"/>
  <c r="AE25" i="2"/>
  <c r="AF25" i="2" s="1"/>
  <c r="AG25" i="2" s="1"/>
  <c r="EM25" i="2" s="1"/>
  <c r="Z25" i="2"/>
  <c r="AA25" i="2" s="1"/>
  <c r="EK25" i="2" s="1"/>
  <c r="Y25" i="2"/>
  <c r="V25" i="2"/>
  <c r="W25" i="2" s="1"/>
  <c r="X25" i="2" s="1"/>
  <c r="EJ25" i="2" s="1"/>
  <c r="S25" i="2"/>
  <c r="T25" i="2" s="1"/>
  <c r="P25" i="2"/>
  <c r="Q25" i="2" s="1"/>
  <c r="R25" i="2" s="1"/>
  <c r="EH25" i="2" s="1"/>
  <c r="J25" i="2"/>
  <c r="K25" i="2" s="1"/>
  <c r="L25" i="2" s="1"/>
  <c r="EF25" i="2" s="1"/>
  <c r="G25" i="2"/>
  <c r="H25" i="2" s="1"/>
  <c r="I25" i="2" s="1"/>
  <c r="EE25" i="2" s="1"/>
  <c r="D25" i="2"/>
  <c r="E25" i="2" s="1"/>
  <c r="F25" i="2" s="1"/>
  <c r="ED25" i="2" s="1"/>
  <c r="C25" i="2"/>
  <c r="EA24" i="2"/>
  <c r="EB24" i="2" s="1"/>
  <c r="FU24" i="2" s="1"/>
  <c r="DZ24" i="2"/>
  <c r="DW24" i="2"/>
  <c r="DX24" i="2" s="1"/>
  <c r="DY24" i="2" s="1"/>
  <c r="FT24" i="2" s="1"/>
  <c r="DU24" i="2"/>
  <c r="DV24" i="2" s="1"/>
  <c r="FS24" i="2" s="1"/>
  <c r="DT24" i="2"/>
  <c r="DQ24" i="2"/>
  <c r="DR24" i="2" s="1"/>
  <c r="DS24" i="2" s="1"/>
  <c r="FR24" i="2" s="1"/>
  <c r="DN24" i="2"/>
  <c r="FP24" i="2"/>
  <c r="DK24" i="2"/>
  <c r="DL24" i="2" s="1"/>
  <c r="DH24" i="2"/>
  <c r="DI24" i="2" s="1"/>
  <c r="CZ24" i="2"/>
  <c r="CY24" i="2"/>
  <c r="CV24" i="2"/>
  <c r="CW24" i="2" s="1"/>
  <c r="CT24" i="2"/>
  <c r="CS24" i="2"/>
  <c r="CP24" i="2"/>
  <c r="CQ24" i="2" s="1"/>
  <c r="CM24" i="2"/>
  <c r="CN24" i="2" s="1"/>
  <c r="CJ24" i="2"/>
  <c r="CK24" i="2" s="1"/>
  <c r="CH24" i="2"/>
  <c r="CG24" i="2"/>
  <c r="CE24" i="2"/>
  <c r="CD24" i="2"/>
  <c r="CA24" i="2"/>
  <c r="CB24" i="2" s="1"/>
  <c r="BX24" i="2"/>
  <c r="BY24" i="2" s="1"/>
  <c r="BV24" i="2"/>
  <c r="BU24" i="2"/>
  <c r="BR24" i="2"/>
  <c r="BS24" i="2" s="1"/>
  <c r="BO24" i="2"/>
  <c r="BP24" i="2" s="1"/>
  <c r="BL24" i="2"/>
  <c r="BM24" i="2" s="1"/>
  <c r="BI24" i="2"/>
  <c r="BJ24" i="2" s="1"/>
  <c r="BK24" i="2" s="1"/>
  <c r="EW24" i="2" s="1"/>
  <c r="BG24" i="2"/>
  <c r="BF24" i="2"/>
  <c r="BC24" i="2"/>
  <c r="BD24" i="2" s="1"/>
  <c r="AZ24" i="2"/>
  <c r="BA24" i="2" s="1"/>
  <c r="AW24" i="2"/>
  <c r="AX24" i="2" s="1"/>
  <c r="AT24" i="2"/>
  <c r="AU24" i="2" s="1"/>
  <c r="AV24" i="2" s="1"/>
  <c r="ER24" i="2" s="1"/>
  <c r="AQ24" i="2"/>
  <c r="AR24" i="2" s="1"/>
  <c r="AN24" i="2"/>
  <c r="AO24" i="2" s="1"/>
  <c r="AL24" i="2"/>
  <c r="AK24" i="2"/>
  <c r="AH24" i="2"/>
  <c r="AI24" i="2" s="1"/>
  <c r="AF24" i="2"/>
  <c r="AE24" i="2"/>
  <c r="AB24" i="2"/>
  <c r="AC24" i="2" s="1"/>
  <c r="AD24" i="2" s="1"/>
  <c r="EL24" i="2" s="1"/>
  <c r="Z24" i="2"/>
  <c r="Y24" i="2"/>
  <c r="V24" i="2"/>
  <c r="W24" i="2" s="1"/>
  <c r="S24" i="2"/>
  <c r="T24" i="2" s="1"/>
  <c r="U24" i="2" s="1"/>
  <c r="EI24" i="2" s="1"/>
  <c r="R24" i="2"/>
  <c r="EH24" i="2" s="1"/>
  <c r="P24" i="2"/>
  <c r="Q24" i="2" s="1"/>
  <c r="J24" i="2"/>
  <c r="K24" i="2" s="1"/>
  <c r="H24" i="2"/>
  <c r="G24" i="2"/>
  <c r="D24" i="2"/>
  <c r="E24" i="2" s="1"/>
  <c r="C24" i="2"/>
  <c r="DZ23" i="2"/>
  <c r="EA23" i="2" s="1"/>
  <c r="EB23" i="2" s="1"/>
  <c r="FU23" i="2" s="1"/>
  <c r="DW23" i="2"/>
  <c r="DX23" i="2" s="1"/>
  <c r="DY23" i="2" s="1"/>
  <c r="FT23" i="2" s="1"/>
  <c r="DT23" i="2"/>
  <c r="DU23" i="2" s="1"/>
  <c r="DV23" i="2" s="1"/>
  <c r="FS23" i="2" s="1"/>
  <c r="DN23" i="2"/>
  <c r="DO23" i="2" s="1"/>
  <c r="CV23" i="2"/>
  <c r="CW23" i="2" s="1"/>
  <c r="CX23" i="2" s="1"/>
  <c r="FJ23" i="2" s="1"/>
  <c r="CS23" i="2"/>
  <c r="CT23" i="2" s="1"/>
  <c r="CU23" i="2" s="1"/>
  <c r="FI23" i="2" s="1"/>
  <c r="CQ23" i="2"/>
  <c r="CP23" i="2"/>
  <c r="CO23" i="2"/>
  <c r="FG23" i="2" s="1"/>
  <c r="CN23" i="2"/>
  <c r="CM23" i="2"/>
  <c r="CJ23" i="2"/>
  <c r="CK23" i="2" s="1"/>
  <c r="CG23" i="2"/>
  <c r="CH23" i="2" s="1"/>
  <c r="CE23" i="2"/>
  <c r="CF23" i="2" s="1"/>
  <c r="FD23" i="2" s="1"/>
  <c r="CD23" i="2"/>
  <c r="CC23" i="2"/>
  <c r="FC23" i="2" s="1"/>
  <c r="CA23" i="2"/>
  <c r="CB23" i="2" s="1"/>
  <c r="BX23" i="2"/>
  <c r="BY23" i="2" s="1"/>
  <c r="BU23" i="2"/>
  <c r="BV23" i="2" s="1"/>
  <c r="BS23" i="2"/>
  <c r="BT23" i="2" s="1"/>
  <c r="EZ23" i="2" s="1"/>
  <c r="BR23" i="2"/>
  <c r="BO23" i="2"/>
  <c r="BP23" i="2" s="1"/>
  <c r="BQ23" i="2" s="1"/>
  <c r="EY23" i="2" s="1"/>
  <c r="BM23" i="2"/>
  <c r="BL23" i="2"/>
  <c r="BI23" i="2"/>
  <c r="BJ23" i="2" s="1"/>
  <c r="BK23" i="2" s="1"/>
  <c r="EW23" i="2" s="1"/>
  <c r="BH23" i="2"/>
  <c r="EV23" i="2" s="1"/>
  <c r="BG23" i="2"/>
  <c r="BF23" i="2"/>
  <c r="BC23" i="2"/>
  <c r="BD23" i="2" s="1"/>
  <c r="AZ23" i="2"/>
  <c r="BA23" i="2" s="1"/>
  <c r="BB23" i="2" s="1"/>
  <c r="ET23" i="2" s="1"/>
  <c r="AU23" i="2"/>
  <c r="AV23" i="2" s="1"/>
  <c r="ER23" i="2" s="1"/>
  <c r="AT23" i="2"/>
  <c r="AQ23" i="2"/>
  <c r="AR23" i="2" s="1"/>
  <c r="AS23" i="2" s="1"/>
  <c r="EQ23" i="2" s="1"/>
  <c r="AO23" i="2"/>
  <c r="AN23" i="2"/>
  <c r="AK23" i="2"/>
  <c r="AL23" i="2" s="1"/>
  <c r="AM23" i="2" s="1"/>
  <c r="EO23" i="2" s="1"/>
  <c r="AI23" i="2"/>
  <c r="AE23" i="2"/>
  <c r="AF23" i="2" s="1"/>
  <c r="AB23" i="2"/>
  <c r="AC23" i="2" s="1"/>
  <c r="Y23" i="2"/>
  <c r="Z23" i="2" s="1"/>
  <c r="AA23" i="2" s="1"/>
  <c r="EK23" i="2" s="1"/>
  <c r="V23" i="2"/>
  <c r="P23" i="2"/>
  <c r="J23" i="2"/>
  <c r="G23" i="2"/>
  <c r="D23" i="2"/>
  <c r="E23" i="2" s="1"/>
  <c r="F23" i="2" s="1"/>
  <c r="ED23" i="2" s="1"/>
  <c r="C23" i="2"/>
  <c r="DZ22" i="2"/>
  <c r="EA22" i="2" s="1"/>
  <c r="EB22" i="2" s="1"/>
  <c r="FU22" i="2" s="1"/>
  <c r="DW22" i="2"/>
  <c r="DX22" i="2" s="1"/>
  <c r="DY22" i="2" s="1"/>
  <c r="FT22" i="2" s="1"/>
  <c r="DU22" i="2"/>
  <c r="DV22" i="2" s="1"/>
  <c r="FS22" i="2" s="1"/>
  <c r="DT22" i="2"/>
  <c r="DQ22" i="2"/>
  <c r="DR22" i="2" s="1"/>
  <c r="DS22" i="2" s="1"/>
  <c r="FR22" i="2" s="1"/>
  <c r="DN22" i="2"/>
  <c r="DA22" i="2"/>
  <c r="FK22" i="2" s="1"/>
  <c r="CZ22" i="2"/>
  <c r="CY22" i="2"/>
  <c r="CV22" i="2"/>
  <c r="CW22" i="2" s="1"/>
  <c r="CX22" i="2" s="1"/>
  <c r="FJ22" i="2" s="1"/>
  <c r="CT22" i="2"/>
  <c r="CU22" i="2" s="1"/>
  <c r="FI22" i="2" s="1"/>
  <c r="CS22" i="2"/>
  <c r="CR22" i="2"/>
  <c r="FH22" i="2" s="1"/>
  <c r="CQ22" i="2"/>
  <c r="CP22" i="2"/>
  <c r="CM22" i="2"/>
  <c r="CN22" i="2" s="1"/>
  <c r="CJ22" i="2"/>
  <c r="CK22" i="2" s="1"/>
  <c r="CL22" i="2" s="1"/>
  <c r="FF22" i="2" s="1"/>
  <c r="CG22" i="2"/>
  <c r="CH22" i="2" s="1"/>
  <c r="CI22" i="2" s="1"/>
  <c r="FE22" i="2" s="1"/>
  <c r="CD22" i="2"/>
  <c r="CE22" i="2" s="1"/>
  <c r="CF22" i="2" s="1"/>
  <c r="FD22" i="2" s="1"/>
  <c r="CB22" i="2"/>
  <c r="CC22" i="2" s="1"/>
  <c r="FC22" i="2" s="1"/>
  <c r="CA22" i="2"/>
  <c r="BX22" i="2"/>
  <c r="BY22" i="2" s="1"/>
  <c r="BZ22" i="2" s="1"/>
  <c r="FB22" i="2" s="1"/>
  <c r="BU22" i="2"/>
  <c r="BV22" i="2" s="1"/>
  <c r="BW22" i="2" s="1"/>
  <c r="FA22" i="2" s="1"/>
  <c r="BR22" i="2"/>
  <c r="BS22" i="2" s="1"/>
  <c r="BT22" i="2" s="1"/>
  <c r="EZ22" i="2" s="1"/>
  <c r="BO22" i="2"/>
  <c r="BP22" i="2" s="1"/>
  <c r="BQ22" i="2" s="1"/>
  <c r="EY22" i="2" s="1"/>
  <c r="BL22" i="2"/>
  <c r="BM22" i="2" s="1"/>
  <c r="BI22" i="2"/>
  <c r="BJ22" i="2" s="1"/>
  <c r="BK22" i="2" s="1"/>
  <c r="EW22" i="2" s="1"/>
  <c r="BF22" i="2"/>
  <c r="BG22" i="2" s="1"/>
  <c r="BH22" i="2" s="1"/>
  <c r="EV22" i="2" s="1"/>
  <c r="BE22" i="2"/>
  <c r="EU22" i="2" s="1"/>
  <c r="BD22" i="2"/>
  <c r="BC22" i="2"/>
  <c r="BA22" i="2"/>
  <c r="BB22" i="2" s="1"/>
  <c r="ET22" i="2" s="1"/>
  <c r="AZ22" i="2"/>
  <c r="AW22" i="2"/>
  <c r="AX22" i="2" s="1"/>
  <c r="AY22" i="2" s="1"/>
  <c r="ES22" i="2" s="1"/>
  <c r="AU22" i="2"/>
  <c r="AV22" i="2" s="1"/>
  <c r="ER22" i="2" s="1"/>
  <c r="AT22" i="2"/>
  <c r="AQ22" i="2"/>
  <c r="AR22" i="2" s="1"/>
  <c r="AN22" i="2"/>
  <c r="AO22" i="2" s="1"/>
  <c r="AP22" i="2" s="1"/>
  <c r="EP22" i="2" s="1"/>
  <c r="AK22" i="2"/>
  <c r="AL22" i="2" s="1"/>
  <c r="AM22" i="2" s="1"/>
  <c r="EO22" i="2" s="1"/>
  <c r="AH22" i="2"/>
  <c r="AI22" i="2" s="1"/>
  <c r="AJ22" i="2" s="1"/>
  <c r="EN22" i="2" s="1"/>
  <c r="AF22" i="2"/>
  <c r="AG22" i="2" s="1"/>
  <c r="EM22" i="2" s="1"/>
  <c r="AE22" i="2"/>
  <c r="AB22" i="2"/>
  <c r="Y22" i="2"/>
  <c r="Z22" i="2" s="1"/>
  <c r="V22" i="2"/>
  <c r="S22" i="2"/>
  <c r="T22" i="2" s="1"/>
  <c r="U22" i="2" s="1"/>
  <c r="EI22" i="2" s="1"/>
  <c r="Q22" i="2"/>
  <c r="R22" i="2" s="1"/>
  <c r="EH22" i="2" s="1"/>
  <c r="P22" i="2"/>
  <c r="J22" i="2"/>
  <c r="G22" i="2"/>
  <c r="D22" i="2"/>
  <c r="C22" i="2"/>
  <c r="DZ21" i="2"/>
  <c r="EA21" i="2" s="1"/>
  <c r="EB21" i="2" s="1"/>
  <c r="FU21" i="2" s="1"/>
  <c r="DW21" i="2"/>
  <c r="DX21" i="2" s="1"/>
  <c r="DY21" i="2" s="1"/>
  <c r="FT21" i="2" s="1"/>
  <c r="DU21" i="2"/>
  <c r="DV21" i="2" s="1"/>
  <c r="FS21" i="2" s="1"/>
  <c r="DT21" i="2"/>
  <c r="DR21" i="2"/>
  <c r="DS21" i="2" s="1"/>
  <c r="FR21" i="2" s="1"/>
  <c r="DQ21" i="2"/>
  <c r="DN21" i="2"/>
  <c r="DK21" i="2"/>
  <c r="DL21" i="2" s="1"/>
  <c r="DH21" i="2"/>
  <c r="DI21" i="2" s="1"/>
  <c r="DJ21" i="2" s="1"/>
  <c r="FN21" i="2" s="1"/>
  <c r="CZ21" i="2"/>
  <c r="DA21" i="2" s="1"/>
  <c r="FK21" i="2" s="1"/>
  <c r="CY21" i="2"/>
  <c r="CV21" i="2"/>
  <c r="CW21" i="2" s="1"/>
  <c r="CT21" i="2"/>
  <c r="CS21" i="2"/>
  <c r="CR21" i="2"/>
  <c r="FH21" i="2" s="1"/>
  <c r="CP21" i="2"/>
  <c r="CQ21" i="2" s="1"/>
  <c r="CM21" i="2"/>
  <c r="CN21" i="2" s="1"/>
  <c r="CJ21" i="2"/>
  <c r="CK21" i="2" s="1"/>
  <c r="CH21" i="2"/>
  <c r="CG21" i="2"/>
  <c r="CE21" i="2"/>
  <c r="CD21" i="2"/>
  <c r="CB21" i="2"/>
  <c r="CC21" i="2" s="1"/>
  <c r="FC21" i="2" s="1"/>
  <c r="CA21" i="2"/>
  <c r="BX21" i="2"/>
  <c r="BY21" i="2" s="1"/>
  <c r="BZ21" i="2" s="1"/>
  <c r="FB21" i="2" s="1"/>
  <c r="BV21" i="2"/>
  <c r="BU21" i="2"/>
  <c r="BR21" i="2"/>
  <c r="BS21" i="2" s="1"/>
  <c r="BT21" i="2" s="1"/>
  <c r="EZ21" i="2" s="1"/>
  <c r="BO21" i="2"/>
  <c r="BP21" i="2" s="1"/>
  <c r="BQ21" i="2" s="1"/>
  <c r="EY21" i="2" s="1"/>
  <c r="BL21" i="2"/>
  <c r="BM21" i="2" s="1"/>
  <c r="BJ21" i="2"/>
  <c r="BK21" i="2" s="1"/>
  <c r="EW21" i="2" s="1"/>
  <c r="BI21" i="2"/>
  <c r="BG21" i="2"/>
  <c r="BF21" i="2"/>
  <c r="BD21" i="2"/>
  <c r="BE21" i="2" s="1"/>
  <c r="EU21" i="2" s="1"/>
  <c r="BC21" i="2"/>
  <c r="BA21" i="2"/>
  <c r="BB21" i="2" s="1"/>
  <c r="ET21" i="2" s="1"/>
  <c r="AZ21" i="2"/>
  <c r="AW21" i="2"/>
  <c r="AX21" i="2" s="1"/>
  <c r="AT21" i="2"/>
  <c r="AU21" i="2" s="1"/>
  <c r="AV21" i="2" s="1"/>
  <c r="ER21" i="2" s="1"/>
  <c r="AQ21" i="2"/>
  <c r="AR21" i="2" s="1"/>
  <c r="AS21" i="2" s="1"/>
  <c r="EQ21" i="2" s="1"/>
  <c r="AN21" i="2"/>
  <c r="AO21" i="2" s="1"/>
  <c r="AP21" i="2" s="1"/>
  <c r="EP21" i="2" s="1"/>
  <c r="AK21" i="2"/>
  <c r="AL21" i="2" s="1"/>
  <c r="AM21" i="2" s="1"/>
  <c r="EO21" i="2" s="1"/>
  <c r="AI21" i="2"/>
  <c r="AH21" i="2"/>
  <c r="AF21" i="2"/>
  <c r="AG21" i="2" s="1"/>
  <c r="EM21" i="2" s="1"/>
  <c r="AE21" i="2"/>
  <c r="AB21" i="2"/>
  <c r="AC21" i="2" s="1"/>
  <c r="AD21" i="2" s="1"/>
  <c r="EL21" i="2" s="1"/>
  <c r="Y21" i="2"/>
  <c r="Z21" i="2" s="1"/>
  <c r="V21" i="2"/>
  <c r="W21" i="2" s="1"/>
  <c r="S21" i="2"/>
  <c r="T21" i="2" s="1"/>
  <c r="P21" i="2"/>
  <c r="Q21" i="2" s="1"/>
  <c r="R21" i="2" s="1"/>
  <c r="EH21" i="2" s="1"/>
  <c r="N21" i="2"/>
  <c r="O21" i="2" s="1"/>
  <c r="EG21" i="2" s="1"/>
  <c r="M21" i="2"/>
  <c r="K21" i="2"/>
  <c r="J21" i="2"/>
  <c r="G21" i="2"/>
  <c r="H21" i="2" s="1"/>
  <c r="I21" i="2" s="1"/>
  <c r="EE21" i="2" s="1"/>
  <c r="F21" i="2"/>
  <c r="ED21" i="2" s="1"/>
  <c r="E21" i="2"/>
  <c r="D21" i="2"/>
  <c r="C21" i="2"/>
  <c r="X21" i="2" s="1"/>
  <c r="EJ21" i="2" s="1"/>
  <c r="EB20" i="2"/>
  <c r="FU20" i="2" s="1"/>
  <c r="EA20" i="2"/>
  <c r="DZ20" i="2"/>
  <c r="DW20" i="2"/>
  <c r="DX20" i="2" s="1"/>
  <c r="DY20" i="2" s="1"/>
  <c r="FT20" i="2" s="1"/>
  <c r="DT20" i="2"/>
  <c r="DU20" i="2" s="1"/>
  <c r="DV20" i="2" s="1"/>
  <c r="FS20" i="2" s="1"/>
  <c r="DQ20" i="2"/>
  <c r="DR20" i="2" s="1"/>
  <c r="DS20" i="2" s="1"/>
  <c r="FR20" i="2" s="1"/>
  <c r="DN20" i="2"/>
  <c r="DO20" i="2" s="1"/>
  <c r="DP20" i="2" s="1"/>
  <c r="FQ20" i="2" s="1"/>
  <c r="FP20" i="2"/>
  <c r="DE20" i="2"/>
  <c r="DF20" i="2" s="1"/>
  <c r="CY20" i="2"/>
  <c r="CZ20" i="2" s="1"/>
  <c r="CV20" i="2"/>
  <c r="CW20" i="2" s="1"/>
  <c r="CS20" i="2"/>
  <c r="CT20" i="2" s="1"/>
  <c r="CU20" i="2" s="1"/>
  <c r="FI20" i="2" s="1"/>
  <c r="CQ20" i="2"/>
  <c r="CP20" i="2"/>
  <c r="CN20" i="2"/>
  <c r="CO20" i="2" s="1"/>
  <c r="FG20" i="2" s="1"/>
  <c r="CM20" i="2"/>
  <c r="CK20" i="2"/>
  <c r="CL20" i="2" s="1"/>
  <c r="FF20" i="2" s="1"/>
  <c r="CJ20" i="2"/>
  <c r="CH20" i="2"/>
  <c r="CI20" i="2" s="1"/>
  <c r="FE20" i="2" s="1"/>
  <c r="CG20" i="2"/>
  <c r="CE20" i="2"/>
  <c r="CF20" i="2" s="1"/>
  <c r="FD20" i="2" s="1"/>
  <c r="CD20" i="2"/>
  <c r="CA20" i="2"/>
  <c r="CB20" i="2" s="1"/>
  <c r="BX20" i="2"/>
  <c r="BY20" i="2" s="1"/>
  <c r="BZ20" i="2" s="1"/>
  <c r="FB20" i="2" s="1"/>
  <c r="BV20" i="2"/>
  <c r="BW20" i="2" s="1"/>
  <c r="FA20" i="2" s="1"/>
  <c r="BU20" i="2"/>
  <c r="BR20" i="2"/>
  <c r="BS20" i="2" s="1"/>
  <c r="BO20" i="2"/>
  <c r="BP20" i="2" s="1"/>
  <c r="BQ20" i="2" s="1"/>
  <c r="EY20" i="2" s="1"/>
  <c r="BL20" i="2"/>
  <c r="BM20" i="2" s="1"/>
  <c r="BJ20" i="2"/>
  <c r="BK20" i="2" s="1"/>
  <c r="EW20" i="2" s="1"/>
  <c r="BI20" i="2"/>
  <c r="BG20" i="2"/>
  <c r="BH20" i="2" s="1"/>
  <c r="EV20" i="2" s="1"/>
  <c r="BF20" i="2"/>
  <c r="BC20" i="2"/>
  <c r="BD20" i="2" s="1"/>
  <c r="BE20" i="2" s="1"/>
  <c r="EU20" i="2" s="1"/>
  <c r="AZ20" i="2"/>
  <c r="BA20" i="2" s="1"/>
  <c r="AW20" i="2"/>
  <c r="AX20" i="2" s="1"/>
  <c r="AY20" i="2" s="1"/>
  <c r="ES20" i="2" s="1"/>
  <c r="AT20" i="2"/>
  <c r="AU20" i="2" s="1"/>
  <c r="AV20" i="2" s="1"/>
  <c r="ER20" i="2" s="1"/>
  <c r="AR20" i="2"/>
  <c r="AS20" i="2" s="1"/>
  <c r="EQ20" i="2" s="1"/>
  <c r="AQ20" i="2"/>
  <c r="AN20" i="2"/>
  <c r="AO20" i="2" s="1"/>
  <c r="AP20" i="2" s="1"/>
  <c r="EP20" i="2" s="1"/>
  <c r="AL20" i="2"/>
  <c r="AM20" i="2" s="1"/>
  <c r="EO20" i="2" s="1"/>
  <c r="AK20" i="2"/>
  <c r="AI20" i="2"/>
  <c r="AJ20" i="2" s="1"/>
  <c r="EN20" i="2" s="1"/>
  <c r="AH20" i="2"/>
  <c r="AE20" i="2"/>
  <c r="AF20" i="2" s="1"/>
  <c r="AD20" i="2"/>
  <c r="EL20" i="2" s="1"/>
  <c r="AB20" i="2"/>
  <c r="AC20" i="2" s="1"/>
  <c r="Z20" i="2"/>
  <c r="AA20" i="2" s="1"/>
  <c r="EK20" i="2" s="1"/>
  <c r="Y20" i="2"/>
  <c r="V20" i="2"/>
  <c r="W20" i="2" s="1"/>
  <c r="X20" i="2" s="1"/>
  <c r="EJ20" i="2" s="1"/>
  <c r="S20" i="2"/>
  <c r="T20" i="2" s="1"/>
  <c r="U20" i="2" s="1"/>
  <c r="EI20" i="2" s="1"/>
  <c r="P20" i="2"/>
  <c r="Q20" i="2" s="1"/>
  <c r="R20" i="2" s="1"/>
  <c r="EH20" i="2" s="1"/>
  <c r="M20" i="2"/>
  <c r="N20" i="2" s="1"/>
  <c r="J20" i="2"/>
  <c r="K20" i="2" s="1"/>
  <c r="L20" i="2" s="1"/>
  <c r="EF20" i="2" s="1"/>
  <c r="G20" i="2"/>
  <c r="H20" i="2" s="1"/>
  <c r="I20" i="2" s="1"/>
  <c r="EE20" i="2" s="1"/>
  <c r="D20" i="2"/>
  <c r="E20" i="2" s="1"/>
  <c r="C20" i="2"/>
  <c r="DZ19" i="2"/>
  <c r="EA19" i="2" s="1"/>
  <c r="EB19" i="2" s="1"/>
  <c r="FU19" i="2" s="1"/>
  <c r="DW19" i="2"/>
  <c r="DX19" i="2" s="1"/>
  <c r="DY19" i="2" s="1"/>
  <c r="FT19" i="2" s="1"/>
  <c r="DT19" i="2"/>
  <c r="DU19" i="2" s="1"/>
  <c r="DV19" i="2" s="1"/>
  <c r="FS19" i="2" s="1"/>
  <c r="DQ19" i="2"/>
  <c r="DR19" i="2" s="1"/>
  <c r="DS19" i="2" s="1"/>
  <c r="FR19" i="2" s="1"/>
  <c r="DN19" i="2"/>
  <c r="DL19" i="2"/>
  <c r="DK19" i="2"/>
  <c r="DB19" i="2"/>
  <c r="DC19" i="2" s="1"/>
  <c r="CY19" i="2"/>
  <c r="CZ19" i="2" s="1"/>
  <c r="CW19" i="2"/>
  <c r="CV19" i="2"/>
  <c r="CS19" i="2"/>
  <c r="CT19" i="2" s="1"/>
  <c r="CQ19" i="2"/>
  <c r="CR19" i="2" s="1"/>
  <c r="FH19" i="2" s="1"/>
  <c r="CP19" i="2"/>
  <c r="CM19" i="2"/>
  <c r="CN19" i="2" s="1"/>
  <c r="CJ19" i="2"/>
  <c r="CK19" i="2" s="1"/>
  <c r="CG19" i="2"/>
  <c r="CH19" i="2" s="1"/>
  <c r="CD19" i="2"/>
  <c r="CE19" i="2" s="1"/>
  <c r="CF19" i="2" s="1"/>
  <c r="FD19" i="2" s="1"/>
  <c r="CA19" i="2"/>
  <c r="CB19" i="2" s="1"/>
  <c r="BX19" i="2"/>
  <c r="BY19" i="2" s="1"/>
  <c r="BU19" i="2"/>
  <c r="BV19" i="2" s="1"/>
  <c r="BS19" i="2"/>
  <c r="BR19" i="2"/>
  <c r="BO19" i="2"/>
  <c r="BP19" i="2" s="1"/>
  <c r="BL19" i="2"/>
  <c r="BM19" i="2" s="1"/>
  <c r="BI19" i="2"/>
  <c r="BJ19" i="2" s="1"/>
  <c r="BK19" i="2" s="1"/>
  <c r="EW19" i="2" s="1"/>
  <c r="BF19" i="2"/>
  <c r="BG19" i="2" s="1"/>
  <c r="BH19" i="2" s="1"/>
  <c r="EV19" i="2" s="1"/>
  <c r="BC19" i="2"/>
  <c r="BD19" i="2" s="1"/>
  <c r="AZ19" i="2"/>
  <c r="BA19" i="2" s="1"/>
  <c r="BB19" i="2" s="1"/>
  <c r="ET19" i="2" s="1"/>
  <c r="AX19" i="2"/>
  <c r="AW19" i="2"/>
  <c r="AT19" i="2"/>
  <c r="AU19" i="2" s="1"/>
  <c r="AQ19" i="2"/>
  <c r="AR19" i="2" s="1"/>
  <c r="AN19" i="2"/>
  <c r="AO19" i="2" s="1"/>
  <c r="AK19" i="2"/>
  <c r="AL19" i="2" s="1"/>
  <c r="AI19" i="2"/>
  <c r="AH19" i="2"/>
  <c r="AE19" i="2"/>
  <c r="AF19" i="2" s="1"/>
  <c r="AG19" i="2" s="1"/>
  <c r="EM19" i="2" s="1"/>
  <c r="AB19" i="2"/>
  <c r="AC19" i="2" s="1"/>
  <c r="AD19" i="2" s="1"/>
  <c r="EL19" i="2" s="1"/>
  <c r="Y19" i="2"/>
  <c r="Z19" i="2" s="1"/>
  <c r="W19" i="2"/>
  <c r="V19" i="2"/>
  <c r="S19" i="2"/>
  <c r="T19" i="2" s="1"/>
  <c r="P19" i="2"/>
  <c r="Q19" i="2" s="1"/>
  <c r="M19" i="2"/>
  <c r="N19" i="2" s="1"/>
  <c r="O19" i="2" s="1"/>
  <c r="EG19" i="2" s="1"/>
  <c r="J19" i="2"/>
  <c r="K19" i="2" s="1"/>
  <c r="G19" i="2"/>
  <c r="H19" i="2" s="1"/>
  <c r="D19" i="2"/>
  <c r="E19" i="2" s="1"/>
  <c r="F19" i="2" s="1"/>
  <c r="ED19" i="2" s="1"/>
  <c r="C19" i="2"/>
  <c r="FP18" i="2"/>
  <c r="DZ18" i="2"/>
  <c r="EA18" i="2" s="1"/>
  <c r="EB18" i="2" s="1"/>
  <c r="FU18" i="2" s="1"/>
  <c r="DX18" i="2"/>
  <c r="DY18" i="2" s="1"/>
  <c r="FT18" i="2" s="1"/>
  <c r="DW18" i="2"/>
  <c r="DV18" i="2"/>
  <c r="FS18" i="2" s="1"/>
  <c r="DT18" i="2"/>
  <c r="DU18" i="2" s="1"/>
  <c r="DQ18" i="2"/>
  <c r="DR18" i="2" s="1"/>
  <c r="DS18" i="2" s="1"/>
  <c r="FR18" i="2" s="1"/>
  <c r="DN18" i="2"/>
  <c r="DO18" i="2" s="1"/>
  <c r="DK18" i="2"/>
  <c r="DL18" i="2" s="1"/>
  <c r="DM18" i="2" s="1"/>
  <c r="FO18" i="2" s="1"/>
  <c r="DI18" i="2"/>
  <c r="DJ18" i="2" s="1"/>
  <c r="FN18" i="2" s="1"/>
  <c r="DH18" i="2"/>
  <c r="DB18" i="2"/>
  <c r="DC18" i="2" s="1"/>
  <c r="CY18" i="2"/>
  <c r="CZ18" i="2" s="1"/>
  <c r="CV18" i="2"/>
  <c r="CW18" i="2" s="1"/>
  <c r="CS18" i="2"/>
  <c r="CT18" i="2" s="1"/>
  <c r="CP18" i="2"/>
  <c r="CQ18" i="2" s="1"/>
  <c r="CM18" i="2"/>
  <c r="CN18" i="2" s="1"/>
  <c r="CO18" i="2" s="1"/>
  <c r="FG18" i="2" s="1"/>
  <c r="CK18" i="2"/>
  <c r="CL18" i="2" s="1"/>
  <c r="FF18" i="2" s="1"/>
  <c r="CJ18" i="2"/>
  <c r="CG18" i="2"/>
  <c r="CH18" i="2" s="1"/>
  <c r="CI18" i="2" s="1"/>
  <c r="FE18" i="2" s="1"/>
  <c r="CD18" i="2"/>
  <c r="CE18" i="2" s="1"/>
  <c r="CA18" i="2"/>
  <c r="CB18" i="2" s="1"/>
  <c r="BX18" i="2"/>
  <c r="BY18" i="2" s="1"/>
  <c r="BZ18" i="2" s="1"/>
  <c r="FB18" i="2" s="1"/>
  <c r="BU18" i="2"/>
  <c r="BV18" i="2" s="1"/>
  <c r="BR18" i="2"/>
  <c r="BS18" i="2" s="1"/>
  <c r="BO18" i="2"/>
  <c r="BP18" i="2" s="1"/>
  <c r="BM18" i="2"/>
  <c r="BL18" i="2"/>
  <c r="BJ18" i="2"/>
  <c r="BK18" i="2" s="1"/>
  <c r="EW18" i="2" s="1"/>
  <c r="BI18" i="2"/>
  <c r="BF18" i="2"/>
  <c r="BG18" i="2" s="1"/>
  <c r="BC18" i="2"/>
  <c r="BD18" i="2" s="1"/>
  <c r="AZ18" i="2"/>
  <c r="BA18" i="2" s="1"/>
  <c r="AW18" i="2"/>
  <c r="AX18" i="2" s="1"/>
  <c r="AT18" i="2"/>
  <c r="AU18" i="2" s="1"/>
  <c r="AQ18" i="2"/>
  <c r="AR18" i="2" s="1"/>
  <c r="AN18" i="2"/>
  <c r="AO18" i="2" s="1"/>
  <c r="AP18" i="2" s="1"/>
  <c r="EP18" i="2" s="1"/>
  <c r="AL18" i="2"/>
  <c r="AM18" i="2" s="1"/>
  <c r="EO18" i="2" s="1"/>
  <c r="AK18" i="2"/>
  <c r="AH18" i="2"/>
  <c r="AI18" i="2" s="1"/>
  <c r="AJ18" i="2" s="1"/>
  <c r="EN18" i="2" s="1"/>
  <c r="AE18" i="2"/>
  <c r="AF18" i="2" s="1"/>
  <c r="AB18" i="2"/>
  <c r="AC18" i="2" s="1"/>
  <c r="Y18" i="2"/>
  <c r="Z18" i="2" s="1"/>
  <c r="V18" i="2"/>
  <c r="W18" i="2" s="1"/>
  <c r="X18" i="2" s="1"/>
  <c r="EJ18" i="2" s="1"/>
  <c r="S18" i="2"/>
  <c r="T18" i="2" s="1"/>
  <c r="U18" i="2" s="1"/>
  <c r="EI18" i="2" s="1"/>
  <c r="Q18" i="2"/>
  <c r="P18" i="2"/>
  <c r="N18" i="2"/>
  <c r="M18" i="2"/>
  <c r="K18" i="2"/>
  <c r="J18" i="2"/>
  <c r="G18" i="2"/>
  <c r="H18" i="2" s="1"/>
  <c r="I18" i="2" s="1"/>
  <c r="EE18" i="2" s="1"/>
  <c r="D18" i="2"/>
  <c r="E18" i="2" s="1"/>
  <c r="F18" i="2" s="1"/>
  <c r="ED18" i="2" s="1"/>
  <c r="C18" i="2"/>
  <c r="DZ17" i="2"/>
  <c r="EA17" i="2" s="1"/>
  <c r="EB17" i="2" s="1"/>
  <c r="FU17" i="2" s="1"/>
  <c r="DW17" i="2"/>
  <c r="DX17" i="2" s="1"/>
  <c r="DY17" i="2" s="1"/>
  <c r="FT17" i="2" s="1"/>
  <c r="DT17" i="2"/>
  <c r="DU17" i="2" s="1"/>
  <c r="DV17" i="2" s="1"/>
  <c r="FS17" i="2" s="1"/>
  <c r="DQ17" i="2"/>
  <c r="DR17" i="2" s="1"/>
  <c r="DS17" i="2" s="1"/>
  <c r="FR17" i="2" s="1"/>
  <c r="DN17" i="2"/>
  <c r="FP17" i="2"/>
  <c r="DL17" i="2"/>
  <c r="DM17" i="2" s="1"/>
  <c r="FO17" i="2" s="1"/>
  <c r="DK17" i="2"/>
  <c r="DH17" i="2"/>
  <c r="DI17" i="2" s="1"/>
  <c r="DE17" i="2"/>
  <c r="DF17" i="2" s="1"/>
  <c r="DB17" i="2"/>
  <c r="DC17" i="2" s="1"/>
  <c r="CY17" i="2"/>
  <c r="CZ17" i="2" s="1"/>
  <c r="DA17" i="2" s="1"/>
  <c r="FK17" i="2" s="1"/>
  <c r="CV17" i="2"/>
  <c r="CW17" i="2" s="1"/>
  <c r="CS17" i="2"/>
  <c r="CT17" i="2" s="1"/>
  <c r="CU17" i="2" s="1"/>
  <c r="FI17" i="2" s="1"/>
  <c r="CQ17" i="2"/>
  <c r="CR17" i="2" s="1"/>
  <c r="FH17" i="2" s="1"/>
  <c r="CP17" i="2"/>
  <c r="CN17" i="2"/>
  <c r="CM17" i="2"/>
  <c r="CJ17" i="2"/>
  <c r="CK17" i="2" s="1"/>
  <c r="CL17" i="2" s="1"/>
  <c r="FF17" i="2" s="1"/>
  <c r="CG17" i="2"/>
  <c r="CH17" i="2" s="1"/>
  <c r="CD17" i="2"/>
  <c r="CE17" i="2" s="1"/>
  <c r="CF17" i="2" s="1"/>
  <c r="FD17" i="2" s="1"/>
  <c r="CA17" i="2"/>
  <c r="CB17" i="2" s="1"/>
  <c r="CC17" i="2" s="1"/>
  <c r="FC17" i="2" s="1"/>
  <c r="BX17" i="2"/>
  <c r="BY17" i="2" s="1"/>
  <c r="BZ17" i="2" s="1"/>
  <c r="FB17" i="2" s="1"/>
  <c r="BU17" i="2"/>
  <c r="BV17" i="2" s="1"/>
  <c r="BW17" i="2" s="1"/>
  <c r="FA17" i="2" s="1"/>
  <c r="BR17" i="2"/>
  <c r="BS17" i="2" s="1"/>
  <c r="BT17" i="2" s="1"/>
  <c r="EZ17" i="2" s="1"/>
  <c r="BO17" i="2"/>
  <c r="BP17" i="2" s="1"/>
  <c r="BQ17" i="2" s="1"/>
  <c r="EY17" i="2" s="1"/>
  <c r="BL17" i="2"/>
  <c r="BM17" i="2" s="1"/>
  <c r="BN17" i="2" s="1"/>
  <c r="EX17" i="2" s="1"/>
  <c r="BI17" i="2"/>
  <c r="BJ17" i="2" s="1"/>
  <c r="BK17" i="2" s="1"/>
  <c r="EW17" i="2" s="1"/>
  <c r="BF17" i="2"/>
  <c r="BG17" i="2" s="1"/>
  <c r="BC17" i="2"/>
  <c r="BD17" i="2" s="1"/>
  <c r="AZ17" i="2"/>
  <c r="BA17" i="2" s="1"/>
  <c r="AX17" i="2"/>
  <c r="AY17" i="2" s="1"/>
  <c r="ES17" i="2" s="1"/>
  <c r="AW17" i="2"/>
  <c r="AU17" i="2"/>
  <c r="AV17" i="2" s="1"/>
  <c r="ER17" i="2" s="1"/>
  <c r="AT17" i="2"/>
  <c r="AR17" i="2"/>
  <c r="AS17" i="2" s="1"/>
  <c r="EQ17" i="2" s="1"/>
  <c r="AQ17" i="2"/>
  <c r="AN17" i="2"/>
  <c r="AO17" i="2" s="1"/>
  <c r="AK17" i="2"/>
  <c r="AL17" i="2" s="1"/>
  <c r="AH17" i="2"/>
  <c r="AI17" i="2" s="1"/>
  <c r="AJ17" i="2" s="1"/>
  <c r="EN17" i="2" s="1"/>
  <c r="AE17" i="2"/>
  <c r="AF17" i="2" s="1"/>
  <c r="AB17" i="2"/>
  <c r="AC17" i="2" s="1"/>
  <c r="AD17" i="2" s="1"/>
  <c r="EL17" i="2" s="1"/>
  <c r="Z17" i="2"/>
  <c r="AA17" i="2" s="1"/>
  <c r="EK17" i="2" s="1"/>
  <c r="Y17" i="2"/>
  <c r="V17" i="2"/>
  <c r="W17" i="2" s="1"/>
  <c r="X17" i="2" s="1"/>
  <c r="EJ17" i="2" s="1"/>
  <c r="S17" i="2"/>
  <c r="T17" i="2" s="1"/>
  <c r="U17" i="2" s="1"/>
  <c r="EI17" i="2" s="1"/>
  <c r="P17" i="2"/>
  <c r="Q17" i="2" s="1"/>
  <c r="M17" i="2"/>
  <c r="N17" i="2" s="1"/>
  <c r="O17" i="2" s="1"/>
  <c r="EG17" i="2" s="1"/>
  <c r="J17" i="2"/>
  <c r="K17" i="2" s="1"/>
  <c r="L17" i="2" s="1"/>
  <c r="EF17" i="2" s="1"/>
  <c r="G17" i="2"/>
  <c r="H17" i="2" s="1"/>
  <c r="I17" i="2" s="1"/>
  <c r="EE17" i="2" s="1"/>
  <c r="D17" i="2"/>
  <c r="E17" i="2" s="1"/>
  <c r="C17" i="2"/>
  <c r="DZ16" i="2"/>
  <c r="EA16" i="2" s="1"/>
  <c r="EB16" i="2" s="1"/>
  <c r="FU16" i="2" s="1"/>
  <c r="DX16" i="2"/>
  <c r="DY16" i="2" s="1"/>
  <c r="FT16" i="2" s="1"/>
  <c r="DW16" i="2"/>
  <c r="DT16" i="2"/>
  <c r="DU16" i="2" s="1"/>
  <c r="DV16" i="2" s="1"/>
  <c r="FS16" i="2" s="1"/>
  <c r="DR16" i="2"/>
  <c r="DS16" i="2" s="1"/>
  <c r="FR16" i="2" s="1"/>
  <c r="DQ16" i="2"/>
  <c r="DN16" i="2"/>
  <c r="DO16" i="2" s="1"/>
  <c r="FP16" i="2"/>
  <c r="DK16" i="2"/>
  <c r="DL16" i="2" s="1"/>
  <c r="DH16" i="2"/>
  <c r="DI16" i="2" s="1"/>
  <c r="DE16" i="2"/>
  <c r="DF16" i="2" s="1"/>
  <c r="DC16" i="2"/>
  <c r="DB16" i="2"/>
  <c r="CY16" i="2"/>
  <c r="CZ16" i="2" s="1"/>
  <c r="CV16" i="2"/>
  <c r="CW16" i="2" s="1"/>
  <c r="CS16" i="2"/>
  <c r="CT16" i="2" s="1"/>
  <c r="CP16" i="2"/>
  <c r="CQ16" i="2" s="1"/>
  <c r="CM16" i="2"/>
  <c r="CN16" i="2" s="1"/>
  <c r="CJ16" i="2"/>
  <c r="CK16" i="2" s="1"/>
  <c r="CG16" i="2"/>
  <c r="CH16" i="2" s="1"/>
  <c r="CE16" i="2"/>
  <c r="CD16" i="2"/>
  <c r="CB16" i="2"/>
  <c r="CA16" i="2"/>
  <c r="BZ16" i="2"/>
  <c r="FB16" i="2" s="1"/>
  <c r="BY16" i="2"/>
  <c r="BX16" i="2"/>
  <c r="BU16" i="2"/>
  <c r="BV16" i="2" s="1"/>
  <c r="BW16" i="2" s="1"/>
  <c r="FA16" i="2" s="1"/>
  <c r="BR16" i="2"/>
  <c r="BS16" i="2" s="1"/>
  <c r="BO16" i="2"/>
  <c r="BP16" i="2" s="1"/>
  <c r="BL16" i="2"/>
  <c r="BM16" i="2" s="1"/>
  <c r="BI16" i="2"/>
  <c r="BJ16" i="2" s="1"/>
  <c r="BK16" i="2" s="1"/>
  <c r="EW16" i="2" s="1"/>
  <c r="BG16" i="2"/>
  <c r="BF16" i="2"/>
  <c r="BC16" i="2"/>
  <c r="BD16" i="2" s="1"/>
  <c r="BE16" i="2" s="1"/>
  <c r="EU16" i="2" s="1"/>
  <c r="AZ16" i="2"/>
  <c r="BA16" i="2" s="1"/>
  <c r="BB16" i="2" s="1"/>
  <c r="ET16" i="2" s="1"/>
  <c r="AW16" i="2"/>
  <c r="AX16" i="2" s="1"/>
  <c r="AT16" i="2"/>
  <c r="AU16" i="2" s="1"/>
  <c r="AQ16" i="2"/>
  <c r="AR16" i="2" s="1"/>
  <c r="AS16" i="2" s="1"/>
  <c r="EQ16" i="2" s="1"/>
  <c r="AN16" i="2"/>
  <c r="AO16" i="2" s="1"/>
  <c r="AK16" i="2"/>
  <c r="AL16" i="2" s="1"/>
  <c r="AH16" i="2"/>
  <c r="AI16" i="2" s="1"/>
  <c r="AE16" i="2"/>
  <c r="AF16" i="2" s="1"/>
  <c r="AG16" i="2" s="1"/>
  <c r="EM16" i="2" s="1"/>
  <c r="AC16" i="2"/>
  <c r="AB16" i="2"/>
  <c r="Y16" i="2"/>
  <c r="Z16" i="2" s="1"/>
  <c r="W16" i="2"/>
  <c r="V16" i="2"/>
  <c r="T16" i="2"/>
  <c r="S16" i="2"/>
  <c r="P16" i="2"/>
  <c r="Q16" i="2" s="1"/>
  <c r="N16" i="2"/>
  <c r="M16" i="2"/>
  <c r="J16" i="2"/>
  <c r="K16" i="2" s="1"/>
  <c r="G16" i="2"/>
  <c r="H16" i="2" s="1"/>
  <c r="D16" i="2"/>
  <c r="E16" i="2" s="1"/>
  <c r="F16" i="2" s="1"/>
  <c r="ED16" i="2" s="1"/>
  <c r="C16" i="2"/>
  <c r="DZ15" i="2"/>
  <c r="EA15" i="2" s="1"/>
  <c r="EB15" i="2" s="1"/>
  <c r="FU15" i="2" s="1"/>
  <c r="DW15" i="2"/>
  <c r="DX15" i="2" s="1"/>
  <c r="DY15" i="2" s="1"/>
  <c r="FT15" i="2" s="1"/>
  <c r="DT15" i="2"/>
  <c r="DU15" i="2" s="1"/>
  <c r="DV15" i="2" s="1"/>
  <c r="FS15" i="2" s="1"/>
  <c r="DR15" i="2"/>
  <c r="DS15" i="2" s="1"/>
  <c r="FR15" i="2" s="1"/>
  <c r="DQ15" i="2"/>
  <c r="DO15" i="2"/>
  <c r="DP15" i="2" s="1"/>
  <c r="FQ15" i="2" s="1"/>
  <c r="DN15" i="2"/>
  <c r="FP15" i="2"/>
  <c r="DK15" i="2"/>
  <c r="DL15" i="2" s="1"/>
  <c r="CY15" i="2"/>
  <c r="CZ15" i="2" s="1"/>
  <c r="CV15" i="2"/>
  <c r="CW15" i="2" s="1"/>
  <c r="CS15" i="2"/>
  <c r="CT15" i="2" s="1"/>
  <c r="CP15" i="2"/>
  <c r="CQ15" i="2" s="1"/>
  <c r="CR15" i="2" s="1"/>
  <c r="FH15" i="2" s="1"/>
  <c r="CM15" i="2"/>
  <c r="CN15" i="2" s="1"/>
  <c r="CJ15" i="2"/>
  <c r="CK15" i="2" s="1"/>
  <c r="CG15" i="2"/>
  <c r="CH15" i="2" s="1"/>
  <c r="CD15" i="2"/>
  <c r="CE15" i="2" s="1"/>
  <c r="CA15" i="2"/>
  <c r="CB15" i="2" s="1"/>
  <c r="BX15" i="2"/>
  <c r="BY15" i="2" s="1"/>
  <c r="BZ15" i="2" s="1"/>
  <c r="FB15" i="2" s="1"/>
  <c r="BV15" i="2"/>
  <c r="BW15" i="2" s="1"/>
  <c r="FA15" i="2" s="1"/>
  <c r="BU15" i="2"/>
  <c r="BS15" i="2"/>
  <c r="BR15" i="2"/>
  <c r="BO15" i="2"/>
  <c r="BP15" i="2" s="1"/>
  <c r="BL15" i="2"/>
  <c r="BM15" i="2" s="1"/>
  <c r="BI15" i="2"/>
  <c r="BJ15" i="2" s="1"/>
  <c r="BK15" i="2" s="1"/>
  <c r="EW15" i="2" s="1"/>
  <c r="BF15" i="2"/>
  <c r="BG15" i="2" s="1"/>
  <c r="BH15" i="2" s="1"/>
  <c r="EV15" i="2" s="1"/>
  <c r="BC15" i="2"/>
  <c r="BD15" i="2" s="1"/>
  <c r="BA15" i="2"/>
  <c r="AZ15" i="2"/>
  <c r="AX15" i="2"/>
  <c r="AW15" i="2"/>
  <c r="AT15" i="2"/>
  <c r="AU15" i="2" s="1"/>
  <c r="AV15" i="2" s="1"/>
  <c r="ER15" i="2" s="1"/>
  <c r="AQ15" i="2"/>
  <c r="AR15" i="2" s="1"/>
  <c r="AS15" i="2" s="1"/>
  <c r="EQ15" i="2" s="1"/>
  <c r="AN15" i="2"/>
  <c r="AO15" i="2" s="1"/>
  <c r="AK15" i="2"/>
  <c r="AL15" i="2" s="1"/>
  <c r="AH15" i="2"/>
  <c r="AI15" i="2" s="1"/>
  <c r="AE15" i="2"/>
  <c r="AF15" i="2" s="1"/>
  <c r="AB15" i="2"/>
  <c r="AC15" i="2" s="1"/>
  <c r="AD15" i="2" s="1"/>
  <c r="EL15" i="2" s="1"/>
  <c r="Z15" i="2"/>
  <c r="AA15" i="2" s="1"/>
  <c r="EK15" i="2" s="1"/>
  <c r="Y15" i="2"/>
  <c r="W15" i="2"/>
  <c r="V15" i="2"/>
  <c r="S15" i="2"/>
  <c r="T15" i="2" s="1"/>
  <c r="P15" i="2"/>
  <c r="Q15" i="2" s="1"/>
  <c r="M15" i="2"/>
  <c r="N15" i="2" s="1"/>
  <c r="O15" i="2" s="1"/>
  <c r="EG15" i="2" s="1"/>
  <c r="J15" i="2"/>
  <c r="K15" i="2" s="1"/>
  <c r="L15" i="2" s="1"/>
  <c r="EF15" i="2" s="1"/>
  <c r="G15" i="2"/>
  <c r="H15" i="2" s="1"/>
  <c r="E15" i="2"/>
  <c r="D15" i="2"/>
  <c r="C15" i="2"/>
  <c r="BQ15" i="2" s="1"/>
  <c r="EY15" i="2" s="1"/>
  <c r="DZ14" i="2"/>
  <c r="EA14" i="2" s="1"/>
  <c r="EB14" i="2" s="1"/>
  <c r="FU14" i="2" s="1"/>
  <c r="DW14" i="2"/>
  <c r="DX14" i="2" s="1"/>
  <c r="DY14" i="2" s="1"/>
  <c r="FT14" i="2" s="1"/>
  <c r="DT14" i="2"/>
  <c r="DU14" i="2" s="1"/>
  <c r="DV14" i="2" s="1"/>
  <c r="FS14" i="2" s="1"/>
  <c r="DQ14" i="2"/>
  <c r="DR14" i="2" s="1"/>
  <c r="DS14" i="2" s="1"/>
  <c r="FR14" i="2" s="1"/>
  <c r="DN14" i="2"/>
  <c r="DK14" i="2"/>
  <c r="DL14" i="2" s="1"/>
  <c r="DH14" i="2"/>
  <c r="DI14" i="2" s="1"/>
  <c r="DE14" i="2"/>
  <c r="DF14" i="2" s="1"/>
  <c r="DC14" i="2"/>
  <c r="DB14" i="2"/>
  <c r="CZ14" i="2"/>
  <c r="DA14" i="2" s="1"/>
  <c r="FK14" i="2" s="1"/>
  <c r="CY14" i="2"/>
  <c r="CV14" i="2"/>
  <c r="CW14" i="2" s="1"/>
  <c r="CS14" i="2"/>
  <c r="CT14" i="2" s="1"/>
  <c r="CU14" i="2" s="1"/>
  <c r="FI14" i="2" s="1"/>
  <c r="CP14" i="2"/>
  <c r="CQ14" i="2" s="1"/>
  <c r="CM14" i="2"/>
  <c r="CN14" i="2" s="1"/>
  <c r="CJ14" i="2"/>
  <c r="CK14" i="2" s="1"/>
  <c r="CH14" i="2"/>
  <c r="CG14" i="2"/>
  <c r="CD14" i="2"/>
  <c r="CE14" i="2" s="1"/>
  <c r="CB14" i="2"/>
  <c r="CA14" i="2"/>
  <c r="BX14" i="2"/>
  <c r="BY14" i="2" s="1"/>
  <c r="BU14" i="2"/>
  <c r="BV14" i="2" s="1"/>
  <c r="BR14" i="2"/>
  <c r="BS14" i="2" s="1"/>
  <c r="BT14" i="2" s="1"/>
  <c r="EZ14" i="2" s="1"/>
  <c r="BO14" i="2"/>
  <c r="BP14" i="2" s="1"/>
  <c r="BL14" i="2"/>
  <c r="BM14" i="2" s="1"/>
  <c r="BJ14" i="2"/>
  <c r="BK14" i="2" s="1"/>
  <c r="EW14" i="2" s="1"/>
  <c r="BI14" i="2"/>
  <c r="BF14" i="2"/>
  <c r="BG14" i="2" s="1"/>
  <c r="BC14" i="2"/>
  <c r="BD14" i="2" s="1"/>
  <c r="AZ14" i="2"/>
  <c r="BA14" i="2" s="1"/>
  <c r="BB14" i="2" s="1"/>
  <c r="ET14" i="2" s="1"/>
  <c r="AW14" i="2"/>
  <c r="AX14" i="2" s="1"/>
  <c r="AY14" i="2" s="1"/>
  <c r="ES14" i="2" s="1"/>
  <c r="AT14" i="2"/>
  <c r="AU14" i="2" s="1"/>
  <c r="AQ14" i="2"/>
  <c r="AR14" i="2" s="1"/>
  <c r="AN14" i="2"/>
  <c r="AO14" i="2" s="1"/>
  <c r="AK14" i="2"/>
  <c r="AL14" i="2" s="1"/>
  <c r="AH14" i="2"/>
  <c r="AI14" i="2" s="1"/>
  <c r="AE14" i="2"/>
  <c r="AF14" i="2" s="1"/>
  <c r="AG14" i="2" s="1"/>
  <c r="EM14" i="2" s="1"/>
  <c r="AB14" i="2"/>
  <c r="AC14" i="2" s="1"/>
  <c r="Y14" i="2"/>
  <c r="Z14" i="2" s="1"/>
  <c r="V14" i="2"/>
  <c r="W14" i="2" s="1"/>
  <c r="X14" i="2" s="1"/>
  <c r="EJ14" i="2" s="1"/>
  <c r="S14" i="2"/>
  <c r="T14" i="2" s="1"/>
  <c r="P14" i="2"/>
  <c r="Q14" i="2" s="1"/>
  <c r="M14" i="2"/>
  <c r="N14" i="2" s="1"/>
  <c r="K14" i="2"/>
  <c r="L14" i="2" s="1"/>
  <c r="EF14" i="2" s="1"/>
  <c r="J14" i="2"/>
  <c r="H14" i="2"/>
  <c r="G14" i="2"/>
  <c r="D14" i="2"/>
  <c r="E14" i="2" s="1"/>
  <c r="C14" i="2"/>
  <c r="AA14" i="2" s="1"/>
  <c r="EK14" i="2" s="1"/>
  <c r="EB13" i="2"/>
  <c r="FU13" i="2" s="1"/>
  <c r="DZ13" i="2"/>
  <c r="EA13" i="2" s="1"/>
  <c r="DW13" i="2"/>
  <c r="DX13" i="2" s="1"/>
  <c r="DY13" i="2" s="1"/>
  <c r="FT13" i="2" s="1"/>
  <c r="DT13" i="2"/>
  <c r="DU13" i="2" s="1"/>
  <c r="DV13" i="2" s="1"/>
  <c r="FS13" i="2" s="1"/>
  <c r="DR13" i="2"/>
  <c r="DS13" i="2" s="1"/>
  <c r="FR13" i="2" s="1"/>
  <c r="DQ13" i="2"/>
  <c r="DN13" i="2"/>
  <c r="DH13" i="2"/>
  <c r="DI13" i="2" s="1"/>
  <c r="DE13" i="2"/>
  <c r="DF13" i="2" s="1"/>
  <c r="DG13" i="2" s="1"/>
  <c r="FM13" i="2" s="1"/>
  <c r="DB13" i="2"/>
  <c r="DC13" i="2" s="1"/>
  <c r="DD13" i="2" s="1"/>
  <c r="FL13" i="2" s="1"/>
  <c r="CY13" i="2"/>
  <c r="CZ13" i="2" s="1"/>
  <c r="DA13" i="2" s="1"/>
  <c r="FK13" i="2" s="1"/>
  <c r="CV13" i="2"/>
  <c r="CW13" i="2" s="1"/>
  <c r="CX13" i="2" s="1"/>
  <c r="FJ13" i="2" s="1"/>
  <c r="CT13" i="2"/>
  <c r="CU13" i="2" s="1"/>
  <c r="FI13" i="2" s="1"/>
  <c r="CS13" i="2"/>
  <c r="CP13" i="2"/>
  <c r="CQ13" i="2" s="1"/>
  <c r="CR13" i="2" s="1"/>
  <c r="FH13" i="2" s="1"/>
  <c r="CM13" i="2"/>
  <c r="CN13" i="2" s="1"/>
  <c r="CO13" i="2" s="1"/>
  <c r="FG13" i="2" s="1"/>
  <c r="CJ13" i="2"/>
  <c r="CK13" i="2" s="1"/>
  <c r="CL13" i="2" s="1"/>
  <c r="FF13" i="2" s="1"/>
  <c r="CG13" i="2"/>
  <c r="CH13" i="2" s="1"/>
  <c r="CI13" i="2" s="1"/>
  <c r="FE13" i="2" s="1"/>
  <c r="CD13" i="2"/>
  <c r="CE13" i="2" s="1"/>
  <c r="CF13" i="2" s="1"/>
  <c r="FD13" i="2" s="1"/>
  <c r="CA13" i="2"/>
  <c r="CB13" i="2" s="1"/>
  <c r="CC13" i="2" s="1"/>
  <c r="FC13" i="2" s="1"/>
  <c r="BX13" i="2"/>
  <c r="BY13" i="2" s="1"/>
  <c r="BZ13" i="2" s="1"/>
  <c r="FB13" i="2" s="1"/>
  <c r="BU13" i="2"/>
  <c r="BV13" i="2" s="1"/>
  <c r="BW13" i="2" s="1"/>
  <c r="FA13" i="2" s="1"/>
  <c r="BR13" i="2"/>
  <c r="BS13" i="2" s="1"/>
  <c r="BT13" i="2" s="1"/>
  <c r="EZ13" i="2" s="1"/>
  <c r="BO13" i="2"/>
  <c r="BP13" i="2" s="1"/>
  <c r="BQ13" i="2" s="1"/>
  <c r="EY13" i="2" s="1"/>
  <c r="BM13" i="2"/>
  <c r="BN13" i="2" s="1"/>
  <c r="EX13" i="2" s="1"/>
  <c r="BL13" i="2"/>
  <c r="BI13" i="2"/>
  <c r="BJ13" i="2" s="1"/>
  <c r="BK13" i="2" s="1"/>
  <c r="EW13" i="2" s="1"/>
  <c r="BH13" i="2"/>
  <c r="EV13" i="2" s="1"/>
  <c r="BF13" i="2"/>
  <c r="BG13" i="2" s="1"/>
  <c r="BC13" i="2"/>
  <c r="BD13" i="2" s="1"/>
  <c r="BE13" i="2" s="1"/>
  <c r="EU13" i="2" s="1"/>
  <c r="AZ13" i="2"/>
  <c r="BA13" i="2" s="1"/>
  <c r="BB13" i="2" s="1"/>
  <c r="ET13" i="2" s="1"/>
  <c r="AW13" i="2"/>
  <c r="AX13" i="2" s="1"/>
  <c r="AY13" i="2" s="1"/>
  <c r="ES13" i="2" s="1"/>
  <c r="AT13" i="2"/>
  <c r="AU13" i="2" s="1"/>
  <c r="AV13" i="2" s="1"/>
  <c r="ER13" i="2" s="1"/>
  <c r="AR13" i="2"/>
  <c r="AS13" i="2" s="1"/>
  <c r="EQ13" i="2" s="1"/>
  <c r="AQ13" i="2"/>
  <c r="AN13" i="2"/>
  <c r="AO13" i="2" s="1"/>
  <c r="AP13" i="2" s="1"/>
  <c r="EP13" i="2" s="1"/>
  <c r="AK13" i="2"/>
  <c r="AL13" i="2" s="1"/>
  <c r="AM13" i="2" s="1"/>
  <c r="EO13" i="2" s="1"/>
  <c r="AJ13" i="2"/>
  <c r="EN13" i="2" s="1"/>
  <c r="AH13" i="2"/>
  <c r="AI13" i="2" s="1"/>
  <c r="AE13" i="2"/>
  <c r="AF13" i="2" s="1"/>
  <c r="AB13" i="2"/>
  <c r="AC13" i="2" s="1"/>
  <c r="AD13" i="2" s="1"/>
  <c r="EL13" i="2" s="1"/>
  <c r="Y13" i="2"/>
  <c r="Z13" i="2" s="1"/>
  <c r="AA13" i="2" s="1"/>
  <c r="EK13" i="2" s="1"/>
  <c r="V13" i="2"/>
  <c r="W13" i="2" s="1"/>
  <c r="X13" i="2" s="1"/>
  <c r="EJ13" i="2" s="1"/>
  <c r="S13" i="2"/>
  <c r="T13" i="2" s="1"/>
  <c r="U13" i="2" s="1"/>
  <c r="EI13" i="2" s="1"/>
  <c r="P13" i="2"/>
  <c r="Q13" i="2" s="1"/>
  <c r="R13" i="2" s="1"/>
  <c r="EH13" i="2" s="1"/>
  <c r="M13" i="2"/>
  <c r="N13" i="2" s="1"/>
  <c r="O13" i="2" s="1"/>
  <c r="EG13" i="2" s="1"/>
  <c r="J13" i="2"/>
  <c r="K13" i="2" s="1"/>
  <c r="L13" i="2" s="1"/>
  <c r="EF13" i="2" s="1"/>
  <c r="G13" i="2"/>
  <c r="H13" i="2" s="1"/>
  <c r="I13" i="2" s="1"/>
  <c r="EE13" i="2" s="1"/>
  <c r="E13" i="2"/>
  <c r="F13" i="2" s="1"/>
  <c r="ED13" i="2" s="1"/>
  <c r="D13" i="2"/>
  <c r="C13" i="2"/>
  <c r="EZ12" i="2"/>
  <c r="EA12" i="2"/>
  <c r="EB12" i="2" s="1"/>
  <c r="FU12" i="2" s="1"/>
  <c r="DZ12" i="2"/>
  <c r="DW12" i="2"/>
  <c r="DX12" i="2" s="1"/>
  <c r="DY12" i="2" s="1"/>
  <c r="FT12" i="2" s="1"/>
  <c r="DT12" i="2"/>
  <c r="DU12" i="2" s="1"/>
  <c r="DV12" i="2" s="1"/>
  <c r="FS12" i="2" s="1"/>
  <c r="DQ12" i="2"/>
  <c r="DR12" i="2" s="1"/>
  <c r="DS12" i="2" s="1"/>
  <c r="FR12" i="2" s="1"/>
  <c r="DN12" i="2"/>
  <c r="DO12" i="2" s="1"/>
  <c r="DP12" i="2" s="1"/>
  <c r="FQ12" i="2" s="1"/>
  <c r="DK12" i="2"/>
  <c r="DL12" i="2" s="1"/>
  <c r="DH12" i="2"/>
  <c r="DI12" i="2" s="1"/>
  <c r="DJ12" i="2" s="1"/>
  <c r="FN12" i="2" s="1"/>
  <c r="DE12" i="2"/>
  <c r="DF12" i="2" s="1"/>
  <c r="DB12" i="2"/>
  <c r="DC12" i="2" s="1"/>
  <c r="DD12" i="2" s="1"/>
  <c r="FL12" i="2" s="1"/>
  <c r="CY12" i="2"/>
  <c r="CZ12" i="2" s="1"/>
  <c r="DA12" i="2" s="1"/>
  <c r="FK12" i="2" s="1"/>
  <c r="CW12" i="2"/>
  <c r="CX12" i="2" s="1"/>
  <c r="FJ12" i="2" s="1"/>
  <c r="CV12" i="2"/>
  <c r="CS12" i="2"/>
  <c r="CT12" i="2" s="1"/>
  <c r="CU12" i="2" s="1"/>
  <c r="FI12" i="2" s="1"/>
  <c r="CP12" i="2"/>
  <c r="CQ12" i="2" s="1"/>
  <c r="CM12" i="2"/>
  <c r="CN12" i="2" s="1"/>
  <c r="CJ12" i="2"/>
  <c r="CK12" i="2" s="1"/>
  <c r="CL12" i="2" s="1"/>
  <c r="FF12" i="2" s="1"/>
  <c r="CG12" i="2"/>
  <c r="CH12" i="2" s="1"/>
  <c r="CI12" i="2" s="1"/>
  <c r="FE12" i="2" s="1"/>
  <c r="CD12" i="2"/>
  <c r="CE12" i="2" s="1"/>
  <c r="CF12" i="2" s="1"/>
  <c r="FD12" i="2" s="1"/>
  <c r="CA12" i="2"/>
  <c r="CB12" i="2" s="1"/>
  <c r="BY12" i="2"/>
  <c r="BZ12" i="2" s="1"/>
  <c r="FB12" i="2" s="1"/>
  <c r="BX12" i="2"/>
  <c r="BV12" i="2"/>
  <c r="BW12" i="2" s="1"/>
  <c r="FA12" i="2" s="1"/>
  <c r="BU12" i="2"/>
  <c r="BS12" i="2"/>
  <c r="BT12" i="2" s="1"/>
  <c r="BR12" i="2"/>
  <c r="BO12" i="2"/>
  <c r="BP12" i="2" s="1"/>
  <c r="BQ12" i="2" s="1"/>
  <c r="EY12" i="2" s="1"/>
  <c r="BL12" i="2"/>
  <c r="BM12" i="2" s="1"/>
  <c r="BI12" i="2"/>
  <c r="BJ12" i="2" s="1"/>
  <c r="BK12" i="2" s="1"/>
  <c r="EW12" i="2" s="1"/>
  <c r="BF12" i="2"/>
  <c r="BG12" i="2" s="1"/>
  <c r="BD12" i="2"/>
  <c r="BE12" i="2" s="1"/>
  <c r="EU12" i="2" s="1"/>
  <c r="BC12" i="2"/>
  <c r="AZ12" i="2"/>
  <c r="BA12" i="2" s="1"/>
  <c r="BB12" i="2" s="1"/>
  <c r="ET12" i="2" s="1"/>
  <c r="AX12" i="2"/>
  <c r="AY12" i="2" s="1"/>
  <c r="ES12" i="2" s="1"/>
  <c r="AW12" i="2"/>
  <c r="AT12" i="2"/>
  <c r="AU12" i="2" s="1"/>
  <c r="AQ12" i="2"/>
  <c r="AR12" i="2" s="1"/>
  <c r="AP12" i="2"/>
  <c r="EP12" i="2" s="1"/>
  <c r="AN12" i="2"/>
  <c r="AO12" i="2" s="1"/>
  <c r="AL12" i="2"/>
  <c r="AK12" i="2"/>
  <c r="AI12" i="2"/>
  <c r="AJ12" i="2" s="1"/>
  <c r="EN12" i="2" s="1"/>
  <c r="AH12" i="2"/>
  <c r="AE12" i="2"/>
  <c r="AF12" i="2" s="1"/>
  <c r="AG12" i="2" s="1"/>
  <c r="EM12" i="2" s="1"/>
  <c r="AB12" i="2"/>
  <c r="AC12" i="2" s="1"/>
  <c r="AD12" i="2" s="1"/>
  <c r="EL12" i="2" s="1"/>
  <c r="Z12" i="2"/>
  <c r="AA12" i="2" s="1"/>
  <c r="EK12" i="2" s="1"/>
  <c r="Y12" i="2"/>
  <c r="V12" i="2"/>
  <c r="W12" i="2" s="1"/>
  <c r="S12" i="2"/>
  <c r="T12" i="2" s="1"/>
  <c r="U12" i="2" s="1"/>
  <c r="EI12" i="2" s="1"/>
  <c r="P12" i="2"/>
  <c r="Q12" i="2" s="1"/>
  <c r="R12" i="2" s="1"/>
  <c r="EH12" i="2" s="1"/>
  <c r="N12" i="2"/>
  <c r="O12" i="2" s="1"/>
  <c r="EG12" i="2" s="1"/>
  <c r="M12" i="2"/>
  <c r="J12" i="2"/>
  <c r="K12" i="2" s="1"/>
  <c r="L12" i="2" s="1"/>
  <c r="EF12" i="2" s="1"/>
  <c r="G12" i="2"/>
  <c r="H12" i="2" s="1"/>
  <c r="I12" i="2" s="1"/>
  <c r="EE12" i="2" s="1"/>
  <c r="D12" i="2"/>
  <c r="E12" i="2" s="1"/>
  <c r="F12" i="2" s="1"/>
  <c r="ED12" i="2" s="1"/>
  <c r="C12" i="2"/>
  <c r="FB11" i="2"/>
  <c r="DZ11" i="2"/>
  <c r="EA11" i="2" s="1"/>
  <c r="EB11" i="2" s="1"/>
  <c r="FU11" i="2" s="1"/>
  <c r="DW11" i="2"/>
  <c r="DX11" i="2" s="1"/>
  <c r="DY11" i="2" s="1"/>
  <c r="FT11" i="2" s="1"/>
  <c r="DT11" i="2"/>
  <c r="DU11" i="2" s="1"/>
  <c r="DV11" i="2" s="1"/>
  <c r="FS11" i="2" s="1"/>
  <c r="DQ11" i="2"/>
  <c r="DR11" i="2" s="1"/>
  <c r="DS11" i="2" s="1"/>
  <c r="FR11" i="2" s="1"/>
  <c r="DN11" i="2"/>
  <c r="DI11" i="2"/>
  <c r="DJ11" i="2" s="1"/>
  <c r="FN11" i="2" s="1"/>
  <c r="DH11" i="2"/>
  <c r="DE11" i="2"/>
  <c r="DF11" i="2" s="1"/>
  <c r="DG11" i="2" s="1"/>
  <c r="FM11" i="2" s="1"/>
  <c r="DB11" i="2"/>
  <c r="DC11" i="2" s="1"/>
  <c r="CY11" i="2"/>
  <c r="CZ11" i="2" s="1"/>
  <c r="DA11" i="2" s="1"/>
  <c r="FK11" i="2" s="1"/>
  <c r="CV11" i="2"/>
  <c r="CW11" i="2" s="1"/>
  <c r="CS11" i="2"/>
  <c r="CT11" i="2" s="1"/>
  <c r="CU11" i="2" s="1"/>
  <c r="FI11" i="2" s="1"/>
  <c r="CQ11" i="2"/>
  <c r="CR11" i="2" s="1"/>
  <c r="FH11" i="2" s="1"/>
  <c r="CP11" i="2"/>
  <c r="CM11" i="2"/>
  <c r="CN11" i="2" s="1"/>
  <c r="CK11" i="2"/>
  <c r="CL11" i="2" s="1"/>
  <c r="FF11" i="2" s="1"/>
  <c r="CJ11" i="2"/>
  <c r="CG11" i="2"/>
  <c r="CH11" i="2" s="1"/>
  <c r="CI11" i="2" s="1"/>
  <c r="FE11" i="2" s="1"/>
  <c r="CF11" i="2"/>
  <c r="FD11" i="2" s="1"/>
  <c r="CE11" i="2"/>
  <c r="CD11" i="2"/>
  <c r="CA11" i="2"/>
  <c r="CB11" i="2" s="1"/>
  <c r="CC11" i="2" s="1"/>
  <c r="FC11" i="2" s="1"/>
  <c r="BX11" i="2"/>
  <c r="BY11" i="2" s="1"/>
  <c r="BZ11" i="2" s="1"/>
  <c r="BU11" i="2"/>
  <c r="BV11" i="2" s="1"/>
  <c r="BR11" i="2"/>
  <c r="BS11" i="2" s="1"/>
  <c r="BT11" i="2" s="1"/>
  <c r="EZ11" i="2" s="1"/>
  <c r="BP11" i="2"/>
  <c r="BQ11" i="2" s="1"/>
  <c r="EY11" i="2" s="1"/>
  <c r="BO11" i="2"/>
  <c r="BL11" i="2"/>
  <c r="BM11" i="2" s="1"/>
  <c r="BN11" i="2" s="1"/>
  <c r="EX11" i="2" s="1"/>
  <c r="BK11" i="2"/>
  <c r="EW11" i="2" s="1"/>
  <c r="BJ11" i="2"/>
  <c r="BI11" i="2"/>
  <c r="BF11" i="2"/>
  <c r="BG11" i="2" s="1"/>
  <c r="BH11" i="2" s="1"/>
  <c r="EV11" i="2" s="1"/>
  <c r="BC11" i="2"/>
  <c r="BD11" i="2" s="1"/>
  <c r="BE11" i="2" s="1"/>
  <c r="EU11" i="2" s="1"/>
  <c r="AZ11" i="2"/>
  <c r="BA11" i="2" s="1"/>
  <c r="BB11" i="2" s="1"/>
  <c r="ET11" i="2" s="1"/>
  <c r="AW11" i="2"/>
  <c r="AX11" i="2" s="1"/>
  <c r="AT11" i="2"/>
  <c r="AU11" i="2" s="1"/>
  <c r="AV11" i="2" s="1"/>
  <c r="ER11" i="2" s="1"/>
  <c r="AR11" i="2"/>
  <c r="AS11" i="2" s="1"/>
  <c r="EQ11" i="2" s="1"/>
  <c r="AQ11" i="2"/>
  <c r="AN11" i="2"/>
  <c r="AO11" i="2" s="1"/>
  <c r="AP11" i="2" s="1"/>
  <c r="EP11" i="2" s="1"/>
  <c r="AM11" i="2"/>
  <c r="EO11" i="2" s="1"/>
  <c r="AK11" i="2"/>
  <c r="AL11" i="2" s="1"/>
  <c r="AH11" i="2"/>
  <c r="AI11" i="2" s="1"/>
  <c r="AJ11" i="2" s="1"/>
  <c r="EN11" i="2" s="1"/>
  <c r="AE11" i="2"/>
  <c r="AF11" i="2" s="1"/>
  <c r="AG11" i="2" s="1"/>
  <c r="EM11" i="2" s="1"/>
  <c r="AB11" i="2"/>
  <c r="AC11" i="2" s="1"/>
  <c r="AD11" i="2" s="1"/>
  <c r="EL11" i="2" s="1"/>
  <c r="Y11" i="2"/>
  <c r="Z11" i="2" s="1"/>
  <c r="V11" i="2"/>
  <c r="W11" i="2" s="1"/>
  <c r="X11" i="2" s="1"/>
  <c r="EJ11" i="2" s="1"/>
  <c r="S11" i="2"/>
  <c r="T11" i="2" s="1"/>
  <c r="U11" i="2" s="1"/>
  <c r="EI11" i="2" s="1"/>
  <c r="P11" i="2"/>
  <c r="Q11" i="2" s="1"/>
  <c r="R11" i="2" s="1"/>
  <c r="EH11" i="2" s="1"/>
  <c r="O11" i="2"/>
  <c r="EG11" i="2" s="1"/>
  <c r="N11" i="2"/>
  <c r="M11" i="2"/>
  <c r="J11" i="2"/>
  <c r="K11" i="2" s="1"/>
  <c r="L11" i="2" s="1"/>
  <c r="EF11" i="2" s="1"/>
  <c r="G11" i="2"/>
  <c r="H11" i="2" s="1"/>
  <c r="I11" i="2" s="1"/>
  <c r="EE11" i="2" s="1"/>
  <c r="D11" i="2"/>
  <c r="E11" i="2" s="1"/>
  <c r="F11" i="2" s="1"/>
  <c r="ED11" i="2" s="1"/>
  <c r="C11" i="2"/>
  <c r="DZ10" i="2"/>
  <c r="EA10" i="2" s="1"/>
  <c r="EB10" i="2" s="1"/>
  <c r="FU10" i="2" s="1"/>
  <c r="DW10" i="2"/>
  <c r="DX10" i="2" s="1"/>
  <c r="DY10" i="2" s="1"/>
  <c r="FT10" i="2" s="1"/>
  <c r="DU10" i="2"/>
  <c r="DV10" i="2" s="1"/>
  <c r="FS10" i="2" s="1"/>
  <c r="DT10" i="2"/>
  <c r="DQ10" i="2"/>
  <c r="DR10" i="2" s="1"/>
  <c r="DS10" i="2" s="1"/>
  <c r="FR10" i="2" s="1"/>
  <c r="DN10" i="2"/>
  <c r="DE10" i="2"/>
  <c r="DF10" i="2" s="1"/>
  <c r="CY10" i="2"/>
  <c r="CZ10" i="2" s="1"/>
  <c r="DA10" i="2" s="1"/>
  <c r="FK10" i="2" s="1"/>
  <c r="CW10" i="2"/>
  <c r="CV10" i="2"/>
  <c r="CS10" i="2"/>
  <c r="CT10" i="2" s="1"/>
  <c r="CU10" i="2" s="1"/>
  <c r="FI10" i="2" s="1"/>
  <c r="CP10" i="2"/>
  <c r="CQ10" i="2" s="1"/>
  <c r="CR10" i="2" s="1"/>
  <c r="FH10" i="2" s="1"/>
  <c r="CM10" i="2"/>
  <c r="CN10" i="2" s="1"/>
  <c r="CO10" i="2" s="1"/>
  <c r="FG10" i="2" s="1"/>
  <c r="CJ10" i="2"/>
  <c r="CK10" i="2" s="1"/>
  <c r="CG10" i="2"/>
  <c r="CH10" i="2" s="1"/>
  <c r="CD10" i="2"/>
  <c r="CE10" i="2" s="1"/>
  <c r="CA10" i="2"/>
  <c r="CB10" i="2" s="1"/>
  <c r="CC10" i="2" s="1"/>
  <c r="FC10" i="2" s="1"/>
  <c r="BX10" i="2"/>
  <c r="BY10" i="2" s="1"/>
  <c r="BZ10" i="2" s="1"/>
  <c r="FB10" i="2" s="1"/>
  <c r="BV10" i="2"/>
  <c r="BW10" i="2" s="1"/>
  <c r="FA10" i="2" s="1"/>
  <c r="BU10" i="2"/>
  <c r="BR10" i="2"/>
  <c r="BS10" i="2" s="1"/>
  <c r="BT10" i="2" s="1"/>
  <c r="EZ10" i="2" s="1"/>
  <c r="BO10" i="2"/>
  <c r="BP10" i="2" s="1"/>
  <c r="BQ10" i="2" s="1"/>
  <c r="EY10" i="2" s="1"/>
  <c r="BL10" i="2"/>
  <c r="BM10" i="2" s="1"/>
  <c r="BI10" i="2"/>
  <c r="BJ10" i="2" s="1"/>
  <c r="BK10" i="2" s="1"/>
  <c r="EW10" i="2" s="1"/>
  <c r="BF10" i="2"/>
  <c r="BG10" i="2" s="1"/>
  <c r="BH10" i="2" s="1"/>
  <c r="EV10" i="2" s="1"/>
  <c r="BD10" i="2"/>
  <c r="BE10" i="2" s="1"/>
  <c r="EU10" i="2" s="1"/>
  <c r="BC10" i="2"/>
  <c r="AZ10" i="2"/>
  <c r="BA10" i="2" s="1"/>
  <c r="BB10" i="2" s="1"/>
  <c r="ET10" i="2" s="1"/>
  <c r="AX10" i="2"/>
  <c r="AY10" i="2" s="1"/>
  <c r="ES10" i="2" s="1"/>
  <c r="AW10" i="2"/>
  <c r="AU10" i="2"/>
  <c r="AV10" i="2" s="1"/>
  <c r="ER10" i="2" s="1"/>
  <c r="AT10" i="2"/>
  <c r="AQ10" i="2"/>
  <c r="AR10" i="2" s="1"/>
  <c r="AN10" i="2"/>
  <c r="AO10" i="2" s="1"/>
  <c r="AK10" i="2"/>
  <c r="AL10" i="2" s="1"/>
  <c r="AM10" i="2" s="1"/>
  <c r="EO10" i="2" s="1"/>
  <c r="AH10" i="2"/>
  <c r="AI10" i="2" s="1"/>
  <c r="AJ10" i="2" s="1"/>
  <c r="EN10" i="2" s="1"/>
  <c r="AE10" i="2"/>
  <c r="AF10" i="2" s="1"/>
  <c r="AG10" i="2" s="1"/>
  <c r="EM10" i="2" s="1"/>
  <c r="AC10" i="2"/>
  <c r="AD10" i="2" s="1"/>
  <c r="EL10" i="2" s="1"/>
  <c r="AB10" i="2"/>
  <c r="Y10" i="2"/>
  <c r="Z10" i="2" s="1"/>
  <c r="AA10" i="2" s="1"/>
  <c r="EK10" i="2" s="1"/>
  <c r="W10" i="2"/>
  <c r="X10" i="2" s="1"/>
  <c r="EJ10" i="2" s="1"/>
  <c r="V10" i="2"/>
  <c r="S10" i="2"/>
  <c r="T10" i="2" s="1"/>
  <c r="P10" i="2"/>
  <c r="Q10" i="2" s="1"/>
  <c r="R10" i="2" s="1"/>
  <c r="EH10" i="2" s="1"/>
  <c r="M10" i="2"/>
  <c r="N10" i="2" s="1"/>
  <c r="O10" i="2" s="1"/>
  <c r="EG10" i="2" s="1"/>
  <c r="J10" i="2"/>
  <c r="K10" i="2" s="1"/>
  <c r="G10" i="2"/>
  <c r="H10" i="2" s="1"/>
  <c r="I10" i="2" s="1"/>
  <c r="EE10" i="2" s="1"/>
  <c r="E10" i="2"/>
  <c r="F10" i="2" s="1"/>
  <c r="ED10" i="2" s="1"/>
  <c r="D10" i="2"/>
  <c r="C10" i="2"/>
  <c r="EA9" i="2"/>
  <c r="EB9" i="2" s="1"/>
  <c r="FU9" i="2" s="1"/>
  <c r="DZ9" i="2"/>
  <c r="DW9" i="2"/>
  <c r="DX9" i="2" s="1"/>
  <c r="DY9" i="2" s="1"/>
  <c r="FT9" i="2" s="1"/>
  <c r="DT9" i="2"/>
  <c r="DU9" i="2" s="1"/>
  <c r="DV9" i="2" s="1"/>
  <c r="FS9" i="2" s="1"/>
  <c r="DQ9" i="2"/>
  <c r="DR9" i="2" s="1"/>
  <c r="DS9" i="2" s="1"/>
  <c r="FR9" i="2" s="1"/>
  <c r="DN9" i="2"/>
  <c r="FP9" i="2"/>
  <c r="DF9" i="2"/>
  <c r="DE9" i="2"/>
  <c r="DB9" i="2"/>
  <c r="DC9" i="2" s="1"/>
  <c r="CY9" i="2"/>
  <c r="CZ9" i="2" s="1"/>
  <c r="CV9" i="2"/>
  <c r="CW9" i="2" s="1"/>
  <c r="CS9" i="2"/>
  <c r="CT9" i="2" s="1"/>
  <c r="CP9" i="2"/>
  <c r="CQ9" i="2" s="1"/>
  <c r="CM9" i="2"/>
  <c r="CN9" i="2" s="1"/>
  <c r="CJ9" i="2"/>
  <c r="CK9" i="2" s="1"/>
  <c r="CG9" i="2"/>
  <c r="CH9" i="2" s="1"/>
  <c r="CD9" i="2"/>
  <c r="CE9" i="2" s="1"/>
  <c r="CB9" i="2"/>
  <c r="CA9" i="2"/>
  <c r="BX9" i="2"/>
  <c r="BY9" i="2" s="1"/>
  <c r="BU9" i="2"/>
  <c r="BV9" i="2" s="1"/>
  <c r="BW9" i="2" s="1"/>
  <c r="FA9" i="2" s="1"/>
  <c r="BR9" i="2"/>
  <c r="BS9" i="2" s="1"/>
  <c r="BT9" i="2" s="1"/>
  <c r="EZ9" i="2" s="1"/>
  <c r="BO9" i="2"/>
  <c r="BP9" i="2" s="1"/>
  <c r="BL9" i="2"/>
  <c r="BM9" i="2" s="1"/>
  <c r="BN9" i="2" s="1"/>
  <c r="EX9" i="2" s="1"/>
  <c r="BJ9" i="2"/>
  <c r="BK9" i="2" s="1"/>
  <c r="EW9" i="2" s="1"/>
  <c r="BI9" i="2"/>
  <c r="BF9" i="2"/>
  <c r="BG9" i="2" s="1"/>
  <c r="BH9" i="2" s="1"/>
  <c r="EV9" i="2" s="1"/>
  <c r="BD9" i="2"/>
  <c r="BC9" i="2"/>
  <c r="AZ9" i="2"/>
  <c r="BA9" i="2" s="1"/>
  <c r="AW9" i="2"/>
  <c r="AX9" i="2" s="1"/>
  <c r="AY9" i="2" s="1"/>
  <c r="ES9" i="2" s="1"/>
  <c r="AT9" i="2"/>
  <c r="AU9" i="2" s="1"/>
  <c r="AQ9" i="2"/>
  <c r="AR9" i="2" s="1"/>
  <c r="AN9" i="2"/>
  <c r="AO9" i="2" s="1"/>
  <c r="AL9" i="2"/>
  <c r="AK9" i="2"/>
  <c r="AH9" i="2"/>
  <c r="AI9" i="2" s="1"/>
  <c r="AF9" i="2"/>
  <c r="AE9" i="2"/>
  <c r="AB9" i="2"/>
  <c r="AC9" i="2" s="1"/>
  <c r="Y9" i="2"/>
  <c r="Z9" i="2" s="1"/>
  <c r="AA9" i="2" s="1"/>
  <c r="EK9" i="2" s="1"/>
  <c r="V9" i="2"/>
  <c r="W9" i="2" s="1"/>
  <c r="S9" i="2"/>
  <c r="T9" i="2" s="1"/>
  <c r="Q9" i="2"/>
  <c r="R9" i="2" s="1"/>
  <c r="EH9" i="2" s="1"/>
  <c r="P9" i="2"/>
  <c r="M9" i="2"/>
  <c r="N9" i="2" s="1"/>
  <c r="O9" i="2" s="1"/>
  <c r="EG9" i="2" s="1"/>
  <c r="J9" i="2"/>
  <c r="K9" i="2" s="1"/>
  <c r="L9" i="2" s="1"/>
  <c r="EF9" i="2" s="1"/>
  <c r="G9" i="2"/>
  <c r="H9" i="2" s="1"/>
  <c r="D9" i="2"/>
  <c r="E9" i="2" s="1"/>
  <c r="F9" i="2" s="1"/>
  <c r="ED9" i="2" s="1"/>
  <c r="C9" i="2"/>
  <c r="DZ8" i="2"/>
  <c r="EA8" i="2" s="1"/>
  <c r="EB8" i="2" s="1"/>
  <c r="FU8" i="2" s="1"/>
  <c r="DW8" i="2"/>
  <c r="DX8" i="2" s="1"/>
  <c r="DY8" i="2" s="1"/>
  <c r="FT8" i="2" s="1"/>
  <c r="DT8" i="2"/>
  <c r="DU8" i="2" s="1"/>
  <c r="DV8" i="2" s="1"/>
  <c r="FS8" i="2" s="1"/>
  <c r="DQ8" i="2"/>
  <c r="DR8" i="2" s="1"/>
  <c r="DS8" i="2" s="1"/>
  <c r="FR8" i="2" s="1"/>
  <c r="DN8" i="2"/>
  <c r="DO8" i="2" s="1"/>
  <c r="DP8" i="2" s="1"/>
  <c r="FQ8" i="2" s="1"/>
  <c r="FP8" i="2"/>
  <c r="DE8" i="2"/>
  <c r="DF8" i="2" s="1"/>
  <c r="DG8" i="2" s="1"/>
  <c r="FM8" i="2" s="1"/>
  <c r="DB8" i="2"/>
  <c r="DC8" i="2" s="1"/>
  <c r="DD8" i="2" s="1"/>
  <c r="FL8" i="2" s="1"/>
  <c r="CY8" i="2"/>
  <c r="CZ8" i="2" s="1"/>
  <c r="DA8" i="2" s="1"/>
  <c r="FK8" i="2" s="1"/>
  <c r="CV8" i="2"/>
  <c r="CW8" i="2" s="1"/>
  <c r="CX8" i="2" s="1"/>
  <c r="FJ8" i="2" s="1"/>
  <c r="CS8" i="2"/>
  <c r="CT8" i="2" s="1"/>
  <c r="CU8" i="2" s="1"/>
  <c r="FI8" i="2" s="1"/>
  <c r="CP8" i="2"/>
  <c r="CQ8" i="2" s="1"/>
  <c r="CR8" i="2" s="1"/>
  <c r="FH8" i="2" s="1"/>
  <c r="CM8" i="2"/>
  <c r="CN8" i="2" s="1"/>
  <c r="CO8" i="2" s="1"/>
  <c r="FG8" i="2" s="1"/>
  <c r="CL8" i="2"/>
  <c r="FF8" i="2" s="1"/>
  <c r="CK8" i="2"/>
  <c r="CJ8" i="2"/>
  <c r="CG8" i="2"/>
  <c r="CH8" i="2" s="1"/>
  <c r="CI8" i="2" s="1"/>
  <c r="FE8" i="2" s="1"/>
  <c r="CD8" i="2"/>
  <c r="CE8" i="2" s="1"/>
  <c r="CF8" i="2" s="1"/>
  <c r="FD8" i="2" s="1"/>
  <c r="CA8" i="2"/>
  <c r="CB8" i="2" s="1"/>
  <c r="CC8" i="2" s="1"/>
  <c r="FC8" i="2" s="1"/>
  <c r="BX8" i="2"/>
  <c r="BY8" i="2" s="1"/>
  <c r="BZ8" i="2" s="1"/>
  <c r="FB8" i="2" s="1"/>
  <c r="BV8" i="2"/>
  <c r="BW8" i="2" s="1"/>
  <c r="FA8" i="2" s="1"/>
  <c r="BU8" i="2"/>
  <c r="BR8" i="2"/>
  <c r="BS8" i="2" s="1"/>
  <c r="BT8" i="2" s="1"/>
  <c r="EZ8" i="2" s="1"/>
  <c r="BO8" i="2"/>
  <c r="BP8" i="2" s="1"/>
  <c r="BQ8" i="2" s="1"/>
  <c r="EY8" i="2" s="1"/>
  <c r="BL8" i="2"/>
  <c r="BM8" i="2" s="1"/>
  <c r="BN8" i="2" s="1"/>
  <c r="EX8" i="2" s="1"/>
  <c r="BI8" i="2"/>
  <c r="BJ8" i="2" s="1"/>
  <c r="BK8" i="2" s="1"/>
  <c r="EW8" i="2" s="1"/>
  <c r="BF8" i="2"/>
  <c r="BG8" i="2" s="1"/>
  <c r="BH8" i="2" s="1"/>
  <c r="EV8" i="2" s="1"/>
  <c r="BC8" i="2"/>
  <c r="BD8" i="2" s="1"/>
  <c r="BE8" i="2" s="1"/>
  <c r="EU8" i="2" s="1"/>
  <c r="AZ8" i="2"/>
  <c r="BA8" i="2" s="1"/>
  <c r="BB8" i="2" s="1"/>
  <c r="ET8" i="2" s="1"/>
  <c r="AW8" i="2"/>
  <c r="AX8" i="2" s="1"/>
  <c r="AY8" i="2" s="1"/>
  <c r="ES8" i="2" s="1"/>
  <c r="AU8" i="2"/>
  <c r="AV8" i="2" s="1"/>
  <c r="ER8" i="2" s="1"/>
  <c r="AT8" i="2"/>
  <c r="AQ8" i="2"/>
  <c r="AR8" i="2" s="1"/>
  <c r="AS8" i="2" s="1"/>
  <c r="EQ8" i="2" s="1"/>
  <c r="AO8" i="2"/>
  <c r="AP8" i="2" s="1"/>
  <c r="EP8" i="2" s="1"/>
  <c r="AN8" i="2"/>
  <c r="AK8" i="2"/>
  <c r="AL8" i="2" s="1"/>
  <c r="AM8" i="2" s="1"/>
  <c r="EO8" i="2" s="1"/>
  <c r="AJ8" i="2"/>
  <c r="EN8" i="2" s="1"/>
  <c r="AH8" i="2"/>
  <c r="AI8" i="2" s="1"/>
  <c r="AE8" i="2"/>
  <c r="AF8" i="2" s="1"/>
  <c r="AB8" i="2"/>
  <c r="AC8" i="2" s="1"/>
  <c r="AD8" i="2" s="1"/>
  <c r="EL8" i="2" s="1"/>
  <c r="Y8" i="2"/>
  <c r="Z8" i="2" s="1"/>
  <c r="AA8" i="2" s="1"/>
  <c r="EK8" i="2" s="1"/>
  <c r="V8" i="2"/>
  <c r="W8" i="2" s="1"/>
  <c r="X8" i="2" s="1"/>
  <c r="EJ8" i="2" s="1"/>
  <c r="T8" i="2"/>
  <c r="U8" i="2" s="1"/>
  <c r="EI8" i="2" s="1"/>
  <c r="S8" i="2"/>
  <c r="P8" i="2"/>
  <c r="Q8" i="2" s="1"/>
  <c r="R8" i="2" s="1"/>
  <c r="EH8" i="2" s="1"/>
  <c r="M8" i="2"/>
  <c r="N8" i="2" s="1"/>
  <c r="O8" i="2" s="1"/>
  <c r="EG8" i="2" s="1"/>
  <c r="J8" i="2"/>
  <c r="K8" i="2" s="1"/>
  <c r="L8" i="2" s="1"/>
  <c r="EF8" i="2" s="1"/>
  <c r="G8" i="2"/>
  <c r="H8" i="2" s="1"/>
  <c r="I8" i="2" s="1"/>
  <c r="EE8" i="2" s="1"/>
  <c r="D8" i="2"/>
  <c r="E8" i="2" s="1"/>
  <c r="F8" i="2" s="1"/>
  <c r="ED8" i="2" s="1"/>
  <c r="C8" i="2"/>
  <c r="DZ7" i="2"/>
  <c r="EA7" i="2" s="1"/>
  <c r="EB7" i="2" s="1"/>
  <c r="FU7" i="2" s="1"/>
  <c r="DW7" i="2"/>
  <c r="DX7" i="2" s="1"/>
  <c r="DY7" i="2" s="1"/>
  <c r="FT7" i="2" s="1"/>
  <c r="DT7" i="2"/>
  <c r="DU7" i="2" s="1"/>
  <c r="DV7" i="2" s="1"/>
  <c r="FS7" i="2" s="1"/>
  <c r="DR7" i="2"/>
  <c r="DS7" i="2" s="1"/>
  <c r="FR7" i="2" s="1"/>
  <c r="DQ7" i="2"/>
  <c r="DN7" i="2"/>
  <c r="DO7" i="2" s="1"/>
  <c r="FP7" i="2"/>
  <c r="DK7" i="2"/>
  <c r="DL7" i="2" s="1"/>
  <c r="DM7" i="2" s="1"/>
  <c r="FO7" i="2" s="1"/>
  <c r="DH7" i="2"/>
  <c r="DI7" i="2" s="1"/>
  <c r="CY7" i="2"/>
  <c r="CZ7" i="2" s="1"/>
  <c r="DA7" i="2" s="1"/>
  <c r="FK7" i="2" s="1"/>
  <c r="CW7" i="2"/>
  <c r="CX7" i="2" s="1"/>
  <c r="FJ7" i="2" s="1"/>
  <c r="CV7" i="2"/>
  <c r="CS7" i="2"/>
  <c r="CT7" i="2" s="1"/>
  <c r="CP7" i="2"/>
  <c r="CQ7" i="2" s="1"/>
  <c r="CR7" i="2" s="1"/>
  <c r="FH7" i="2" s="1"/>
  <c r="CM7" i="2"/>
  <c r="CN7" i="2" s="1"/>
  <c r="CO7" i="2" s="1"/>
  <c r="FG7" i="2" s="1"/>
  <c r="CJ7" i="2"/>
  <c r="CK7" i="2" s="1"/>
  <c r="CL7" i="2" s="1"/>
  <c r="FF7" i="2" s="1"/>
  <c r="CG7" i="2"/>
  <c r="CH7" i="2" s="1"/>
  <c r="CI7" i="2" s="1"/>
  <c r="FE7" i="2" s="1"/>
  <c r="CE7" i="2"/>
  <c r="CF7" i="2" s="1"/>
  <c r="FD7" i="2" s="1"/>
  <c r="CD7" i="2"/>
  <c r="CA7" i="2"/>
  <c r="CB7" i="2" s="1"/>
  <c r="CC7" i="2" s="1"/>
  <c r="FC7" i="2" s="1"/>
  <c r="BY7" i="2"/>
  <c r="BZ7" i="2" s="1"/>
  <c r="FB7" i="2" s="1"/>
  <c r="BX7" i="2"/>
  <c r="BU7" i="2"/>
  <c r="BV7" i="2" s="1"/>
  <c r="BR7" i="2"/>
  <c r="BS7" i="2" s="1"/>
  <c r="BT7" i="2" s="1"/>
  <c r="EZ7" i="2" s="1"/>
  <c r="BO7" i="2"/>
  <c r="BP7" i="2" s="1"/>
  <c r="BQ7" i="2" s="1"/>
  <c r="EY7" i="2" s="1"/>
  <c r="BL7" i="2"/>
  <c r="BM7" i="2" s="1"/>
  <c r="BN7" i="2" s="1"/>
  <c r="EX7" i="2" s="1"/>
  <c r="BI7" i="2"/>
  <c r="BJ7" i="2" s="1"/>
  <c r="BK7" i="2" s="1"/>
  <c r="EW7" i="2" s="1"/>
  <c r="BF7" i="2"/>
  <c r="BG7" i="2" s="1"/>
  <c r="BH7" i="2" s="1"/>
  <c r="EV7" i="2" s="1"/>
  <c r="BD7" i="2"/>
  <c r="BE7" i="2" s="1"/>
  <c r="EU7" i="2" s="1"/>
  <c r="BC7" i="2"/>
  <c r="AZ7" i="2"/>
  <c r="BA7" i="2" s="1"/>
  <c r="BB7" i="2" s="1"/>
  <c r="ET7" i="2" s="1"/>
  <c r="AW7" i="2"/>
  <c r="AX7" i="2" s="1"/>
  <c r="AY7" i="2" s="1"/>
  <c r="ES7" i="2" s="1"/>
  <c r="AT7" i="2"/>
  <c r="AU7" i="2" s="1"/>
  <c r="AV7" i="2" s="1"/>
  <c r="ER7" i="2" s="1"/>
  <c r="AQ7" i="2"/>
  <c r="AR7" i="2" s="1"/>
  <c r="AS7" i="2" s="1"/>
  <c r="EQ7" i="2" s="1"/>
  <c r="AN7" i="2"/>
  <c r="AO7" i="2" s="1"/>
  <c r="AP7" i="2" s="1"/>
  <c r="EP7" i="2" s="1"/>
  <c r="AK7" i="2"/>
  <c r="AL7" i="2" s="1"/>
  <c r="AM7" i="2" s="1"/>
  <c r="EO7" i="2" s="1"/>
  <c r="AH7" i="2"/>
  <c r="AI7" i="2" s="1"/>
  <c r="AE7" i="2"/>
  <c r="AF7" i="2" s="1"/>
  <c r="AG7" i="2" s="1"/>
  <c r="EM7" i="2" s="1"/>
  <c r="AC7" i="2"/>
  <c r="AD7" i="2" s="1"/>
  <c r="EL7" i="2" s="1"/>
  <c r="AB7" i="2"/>
  <c r="Y7" i="2"/>
  <c r="Z7" i="2" s="1"/>
  <c r="AA7" i="2" s="1"/>
  <c r="EK7" i="2" s="1"/>
  <c r="V7" i="2"/>
  <c r="W7" i="2" s="1"/>
  <c r="X7" i="2" s="1"/>
  <c r="EJ7" i="2" s="1"/>
  <c r="S7" i="2"/>
  <c r="T7" i="2" s="1"/>
  <c r="P7" i="2"/>
  <c r="Q7" i="2" s="1"/>
  <c r="R7" i="2" s="1"/>
  <c r="EH7" i="2" s="1"/>
  <c r="M7" i="2"/>
  <c r="N7" i="2" s="1"/>
  <c r="O7" i="2" s="1"/>
  <c r="EG7" i="2" s="1"/>
  <c r="J7" i="2"/>
  <c r="K7" i="2" s="1"/>
  <c r="L7" i="2" s="1"/>
  <c r="EF7" i="2" s="1"/>
  <c r="G7" i="2"/>
  <c r="H7" i="2" s="1"/>
  <c r="I7" i="2" s="1"/>
  <c r="EE7" i="2" s="1"/>
  <c r="D7" i="2"/>
  <c r="E7" i="2" s="1"/>
  <c r="F7" i="2" s="1"/>
  <c r="ED7" i="2" s="1"/>
  <c r="C7" i="2"/>
  <c r="DZ6" i="2"/>
  <c r="EA6" i="2" s="1"/>
  <c r="DW6" i="2"/>
  <c r="DX6" i="2" s="1"/>
  <c r="DT6" i="2"/>
  <c r="DQ6" i="2"/>
  <c r="DN6" i="2"/>
  <c r="CY6" i="2"/>
  <c r="CZ6" i="2" s="1"/>
  <c r="CV6" i="2"/>
  <c r="CW6" i="2" s="1"/>
  <c r="CX6" i="2" s="1"/>
  <c r="CS6" i="2"/>
  <c r="CT6" i="2" s="1"/>
  <c r="CP6" i="2"/>
  <c r="CQ6" i="2" s="1"/>
  <c r="CM6" i="2"/>
  <c r="CN6" i="2" s="1"/>
  <c r="CO6" i="2" s="1"/>
  <c r="CJ6" i="2"/>
  <c r="CK6" i="2" s="1"/>
  <c r="CG6" i="2"/>
  <c r="CH6" i="2" s="1"/>
  <c r="CD6" i="2"/>
  <c r="CE6" i="2" s="1"/>
  <c r="CF6" i="2" s="1"/>
  <c r="CA6" i="2"/>
  <c r="CB6" i="2" s="1"/>
  <c r="BX6" i="2"/>
  <c r="BY6" i="2" s="1"/>
  <c r="BZ6" i="2" s="1"/>
  <c r="BU6" i="2"/>
  <c r="BV6" i="2" s="1"/>
  <c r="BR6" i="2"/>
  <c r="BS6" i="2" s="1"/>
  <c r="BO6" i="2"/>
  <c r="BP6" i="2" s="1"/>
  <c r="BQ6" i="2" s="1"/>
  <c r="BL6" i="2"/>
  <c r="BM6" i="2" s="1"/>
  <c r="BN6" i="2" s="1"/>
  <c r="BI6" i="2"/>
  <c r="BJ6" i="2" s="1"/>
  <c r="BK6" i="2" s="1"/>
  <c r="EW6" i="2" s="1"/>
  <c r="BF6" i="2"/>
  <c r="BG6" i="2" s="1"/>
  <c r="BC6" i="2"/>
  <c r="BD6" i="2" s="1"/>
  <c r="AZ6" i="2"/>
  <c r="BA6" i="2" s="1"/>
  <c r="BB6" i="2" s="1"/>
  <c r="AW6" i="2"/>
  <c r="AX6" i="2" s="1"/>
  <c r="AY6" i="2" s="1"/>
  <c r="AT6" i="2"/>
  <c r="AU6" i="2" s="1"/>
  <c r="AQ6" i="2"/>
  <c r="AR6" i="2" s="1"/>
  <c r="AS6" i="2" s="1"/>
  <c r="AN6" i="2"/>
  <c r="AO6" i="2" s="1"/>
  <c r="AP6" i="2" s="1"/>
  <c r="EP6" i="2" s="1"/>
  <c r="AK6" i="2"/>
  <c r="AL6" i="2" s="1"/>
  <c r="AM6" i="2" s="1"/>
  <c r="AI6" i="2"/>
  <c r="AJ6" i="2" s="1"/>
  <c r="AH6" i="2"/>
  <c r="AE6" i="2"/>
  <c r="AF6" i="2" s="1"/>
  <c r="AG6" i="2" s="1"/>
  <c r="AB6" i="2"/>
  <c r="AC6" i="2" s="1"/>
  <c r="AD6" i="2" s="1"/>
  <c r="Y6" i="2"/>
  <c r="Z6" i="2" s="1"/>
  <c r="AA6" i="2" s="1"/>
  <c r="V6" i="2"/>
  <c r="W6" i="2" s="1"/>
  <c r="S6" i="2"/>
  <c r="T6" i="2" s="1"/>
  <c r="U6" i="2" s="1"/>
  <c r="Q6" i="2"/>
  <c r="R6" i="2" s="1"/>
  <c r="P6" i="2"/>
  <c r="M6" i="2"/>
  <c r="N6" i="2" s="1"/>
  <c r="O6" i="2" s="1"/>
  <c r="EG6" i="2" s="1"/>
  <c r="J6" i="2"/>
  <c r="K6" i="2" s="1"/>
  <c r="L6" i="2" s="1"/>
  <c r="G6" i="2"/>
  <c r="H6" i="2" s="1"/>
  <c r="I6" i="2" s="1"/>
  <c r="D6" i="2"/>
  <c r="E6" i="2" s="1"/>
  <c r="F6" i="2" s="1"/>
  <c r="C6" i="2"/>
  <c r="DM6" i="2" l="1"/>
  <c r="DJ10" i="2"/>
  <c r="FN10" i="2" s="1"/>
  <c r="DJ9" i="2"/>
  <c r="FN9" i="2" s="1"/>
  <c r="DD9" i="2"/>
  <c r="FL9" i="2" s="1"/>
  <c r="AP10" i="2"/>
  <c r="EP10" i="2" s="1"/>
  <c r="CF10" i="2"/>
  <c r="FD10" i="2" s="1"/>
  <c r="BZ14" i="2"/>
  <c r="FB14" i="2" s="1"/>
  <c r="CO14" i="2"/>
  <c r="FG14" i="2" s="1"/>
  <c r="DD14" i="2"/>
  <c r="FL14" i="2" s="1"/>
  <c r="BN15" i="2"/>
  <c r="EX15" i="2" s="1"/>
  <c r="CU15" i="2"/>
  <c r="FI15" i="2" s="1"/>
  <c r="CR24" i="2"/>
  <c r="FH24" i="2" s="1"/>
  <c r="BE6" i="2"/>
  <c r="DP7" i="2"/>
  <c r="FQ7" i="2" s="1"/>
  <c r="U7" i="2"/>
  <c r="EI7" i="2" s="1"/>
  <c r="AJ7" i="2"/>
  <c r="EN7" i="2" s="1"/>
  <c r="AG8" i="2"/>
  <c r="EM8" i="2" s="1"/>
  <c r="AS9" i="2"/>
  <c r="EQ9" i="2" s="1"/>
  <c r="L10" i="2"/>
  <c r="EF10" i="2" s="1"/>
  <c r="AS10" i="2"/>
  <c r="EQ10" i="2" s="1"/>
  <c r="CI10" i="2"/>
  <c r="FE10" i="2" s="1"/>
  <c r="AA11" i="2"/>
  <c r="EK11" i="2" s="1"/>
  <c r="BW11" i="2"/>
  <c r="FA11" i="2" s="1"/>
  <c r="CO12" i="2"/>
  <c r="FG12" i="2" s="1"/>
  <c r="X12" i="2"/>
  <c r="EJ12" i="2" s="1"/>
  <c r="AM12" i="2"/>
  <c r="EO12" i="2" s="1"/>
  <c r="R14" i="2"/>
  <c r="EH14" i="2" s="1"/>
  <c r="AJ14" i="2"/>
  <c r="EN14" i="2" s="1"/>
  <c r="BH14" i="2"/>
  <c r="EV14" i="2" s="1"/>
  <c r="CX15" i="2"/>
  <c r="FJ15" i="2" s="1"/>
  <c r="BW24" i="2"/>
  <c r="FA24" i="2" s="1"/>
  <c r="BN24" i="2"/>
  <c r="EX24" i="2" s="1"/>
  <c r="BB24" i="2"/>
  <c r="ET24" i="2" s="1"/>
  <c r="F24" i="2"/>
  <c r="ED24" i="2" s="1"/>
  <c r="CC24" i="2"/>
  <c r="FC24" i="2" s="1"/>
  <c r="CO9" i="2"/>
  <c r="FG9" i="2" s="1"/>
  <c r="CL10" i="2"/>
  <c r="FF10" i="2" s="1"/>
  <c r="CX10" i="2"/>
  <c r="FJ10" i="2" s="1"/>
  <c r="F14" i="2"/>
  <c r="ED14" i="2" s="1"/>
  <c r="AM14" i="2"/>
  <c r="EO14" i="2" s="1"/>
  <c r="CC14" i="2"/>
  <c r="FC14" i="2" s="1"/>
  <c r="CR14" i="2"/>
  <c r="FH14" i="2" s="1"/>
  <c r="DJ14" i="2"/>
  <c r="FN14" i="2" s="1"/>
  <c r="AY15" i="2"/>
  <c r="ES15" i="2" s="1"/>
  <c r="CF15" i="2"/>
  <c r="FD15" i="2" s="1"/>
  <c r="AP24" i="2"/>
  <c r="EP24" i="2" s="1"/>
  <c r="U15" i="2"/>
  <c r="EI15" i="2" s="1"/>
  <c r="AJ15" i="2"/>
  <c r="EN15" i="2" s="1"/>
  <c r="BB9" i="2"/>
  <c r="ET9" i="2" s="1"/>
  <c r="CU9" i="2"/>
  <c r="FI9" i="2" s="1"/>
  <c r="U10" i="2"/>
  <c r="EI10" i="2" s="1"/>
  <c r="I14" i="2"/>
  <c r="EE14" i="2" s="1"/>
  <c r="CX14" i="2"/>
  <c r="FJ14" i="2" s="1"/>
  <c r="BB15" i="2"/>
  <c r="ET15" i="2" s="1"/>
  <c r="BT15" i="2"/>
  <c r="EZ15" i="2" s="1"/>
  <c r="CL15" i="2"/>
  <c r="FF15" i="2" s="1"/>
  <c r="BW6" i="2"/>
  <c r="CC6" i="2"/>
  <c r="CR6" i="2"/>
  <c r="DJ7" i="2"/>
  <c r="FN7" i="2" s="1"/>
  <c r="X9" i="2"/>
  <c r="EJ9" i="2" s="1"/>
  <c r="CX9" i="2"/>
  <c r="FJ9" i="2" s="1"/>
  <c r="BN10" i="2"/>
  <c r="EX10" i="2" s="1"/>
  <c r="DG10" i="2"/>
  <c r="FM10" i="2" s="1"/>
  <c r="DD11" i="2"/>
  <c r="FL11" i="2" s="1"/>
  <c r="AV12" i="2"/>
  <c r="ER12" i="2" s="1"/>
  <c r="DG12" i="2"/>
  <c r="FM12" i="2" s="1"/>
  <c r="AV14" i="2"/>
  <c r="ER14" i="2" s="1"/>
  <c r="F15" i="2"/>
  <c r="ED15" i="2" s="1"/>
  <c r="X15" i="2"/>
  <c r="EJ15" i="2" s="1"/>
  <c r="AP15" i="2"/>
  <c r="EP15" i="2" s="1"/>
  <c r="CX16" i="2"/>
  <c r="FJ16" i="2" s="1"/>
  <c r="DD10" i="2"/>
  <c r="FL10" i="2" s="1"/>
  <c r="DG18" i="2"/>
  <c r="FM18" i="2" s="1"/>
  <c r="DG15" i="2"/>
  <c r="FM15" i="2" s="1"/>
  <c r="DM10" i="2"/>
  <c r="FO10" i="2" s="1"/>
  <c r="DO10" i="2"/>
  <c r="DP10" i="2" s="1"/>
  <c r="FQ10" i="2" s="1"/>
  <c r="DM12" i="2"/>
  <c r="FO12" i="2" s="1"/>
  <c r="U14" i="2"/>
  <c r="EI14" i="2" s="1"/>
  <c r="BQ14" i="2"/>
  <c r="EY14" i="2" s="1"/>
  <c r="R15" i="2"/>
  <c r="EH15" i="2" s="1"/>
  <c r="AG15" i="2"/>
  <c r="EM15" i="2" s="1"/>
  <c r="CC15" i="2"/>
  <c r="FC15" i="2" s="1"/>
  <c r="R17" i="2"/>
  <c r="EH17" i="2" s="1"/>
  <c r="AG17" i="2"/>
  <c r="EM17" i="2" s="1"/>
  <c r="CI17" i="2"/>
  <c r="FE17" i="2" s="1"/>
  <c r="CX17" i="2"/>
  <c r="FJ17" i="2" s="1"/>
  <c r="AA18" i="2"/>
  <c r="EK18" i="2" s="1"/>
  <c r="CC18" i="2"/>
  <c r="FC18" i="2" s="1"/>
  <c r="AP19" i="2"/>
  <c r="EP19" i="2" s="1"/>
  <c r="BE19" i="2"/>
  <c r="EU19" i="2" s="1"/>
  <c r="DA20" i="2"/>
  <c r="FK20" i="2" s="1"/>
  <c r="U21" i="2"/>
  <c r="EI21" i="2" s="1"/>
  <c r="CO22" i="2"/>
  <c r="FG22" i="2" s="1"/>
  <c r="AD23" i="2"/>
  <c r="EL23" i="2" s="1"/>
  <c r="BW23" i="2"/>
  <c r="FA23" i="2" s="1"/>
  <c r="X24" i="2"/>
  <c r="EJ24" i="2" s="1"/>
  <c r="AJ25" i="2"/>
  <c r="EN25" i="2" s="1"/>
  <c r="CC25" i="2"/>
  <c r="FC25" i="2" s="1"/>
  <c r="DM16" i="2"/>
  <c r="FO16" i="2" s="1"/>
  <c r="L18" i="2"/>
  <c r="EF18" i="2" s="1"/>
  <c r="AD18" i="2"/>
  <c r="EL18" i="2" s="1"/>
  <c r="AS18" i="2"/>
  <c r="EQ18" i="2" s="1"/>
  <c r="AY21" i="2"/>
  <c r="ES21" i="2" s="1"/>
  <c r="BH21" i="2"/>
  <c r="EV21" i="2" s="1"/>
  <c r="CF21" i="2"/>
  <c r="FD21" i="2" s="1"/>
  <c r="BN22" i="2"/>
  <c r="EX22" i="2" s="1"/>
  <c r="BZ23" i="2"/>
  <c r="FB23" i="2" s="1"/>
  <c r="DP23" i="2"/>
  <c r="FQ23" i="2" s="1"/>
  <c r="AM25" i="2"/>
  <c r="EO25" i="2" s="1"/>
  <c r="CF25" i="2"/>
  <c r="FD25" i="2" s="1"/>
  <c r="CX11" i="2"/>
  <c r="FJ11" i="2" s="1"/>
  <c r="BH12" i="2"/>
  <c r="EV12" i="2" s="1"/>
  <c r="BW14" i="2"/>
  <c r="FA14" i="2" s="1"/>
  <c r="CL14" i="2"/>
  <c r="FF14" i="2" s="1"/>
  <c r="AM15" i="2"/>
  <c r="EO15" i="2" s="1"/>
  <c r="CI15" i="2"/>
  <c r="FE15" i="2" s="1"/>
  <c r="BT16" i="2"/>
  <c r="EZ16" i="2" s="1"/>
  <c r="AM17" i="2"/>
  <c r="EO17" i="2" s="1"/>
  <c r="BB17" i="2"/>
  <c r="ET17" i="2" s="1"/>
  <c r="DD17" i="2"/>
  <c r="FL17" i="2" s="1"/>
  <c r="AG18" i="2"/>
  <c r="EM18" i="2" s="1"/>
  <c r="AV18" i="2"/>
  <c r="ER18" i="2" s="1"/>
  <c r="CX18" i="2"/>
  <c r="FJ18" i="2" s="1"/>
  <c r="BW19" i="2"/>
  <c r="FA19" i="2" s="1"/>
  <c r="AA21" i="2"/>
  <c r="EK21" i="2" s="1"/>
  <c r="AJ21" i="2"/>
  <c r="EN21" i="2" s="1"/>
  <c r="BW21" i="2"/>
  <c r="FA21" i="2" s="1"/>
  <c r="CU21" i="2"/>
  <c r="FI21" i="2" s="1"/>
  <c r="U25" i="2"/>
  <c r="EI25" i="2" s="1"/>
  <c r="BB25" i="2"/>
  <c r="ET25" i="2" s="1"/>
  <c r="CU25" i="2"/>
  <c r="FI25" i="2" s="1"/>
  <c r="DD21" i="2"/>
  <c r="FL21" i="2" s="1"/>
  <c r="DA15" i="2"/>
  <c r="FK15" i="2" s="1"/>
  <c r="X16" i="2"/>
  <c r="EJ16" i="2" s="1"/>
  <c r="AM16" i="2"/>
  <c r="EO16" i="2" s="1"/>
  <c r="AP17" i="2"/>
  <c r="EP17" i="2" s="1"/>
  <c r="BE17" i="2"/>
  <c r="EU17" i="2" s="1"/>
  <c r="CO17" i="2"/>
  <c r="FG17" i="2" s="1"/>
  <c r="DG17" i="2"/>
  <c r="FM17" i="2" s="1"/>
  <c r="O18" i="2"/>
  <c r="EG18" i="2" s="1"/>
  <c r="AY18" i="2"/>
  <c r="ES18" i="2" s="1"/>
  <c r="BN18" i="2"/>
  <c r="EX18" i="2" s="1"/>
  <c r="DA18" i="2"/>
  <c r="FK18" i="2" s="1"/>
  <c r="CI21" i="2"/>
  <c r="FE21" i="2" s="1"/>
  <c r="BQ24" i="2"/>
  <c r="EY24" i="2" s="1"/>
  <c r="DD7" i="2"/>
  <c r="FL7" i="2" s="1"/>
  <c r="DJ8" i="2"/>
  <c r="FN8" i="2" s="1"/>
  <c r="DG21" i="2"/>
  <c r="FM21" i="2" s="1"/>
  <c r="AY23" i="2"/>
  <c r="ES23" i="2" s="1"/>
  <c r="DA23" i="2"/>
  <c r="FK23" i="2" s="1"/>
  <c r="AY11" i="2"/>
  <c r="ES11" i="2" s="1"/>
  <c r="CO11" i="2"/>
  <c r="FG11" i="2" s="1"/>
  <c r="BN12" i="2"/>
  <c r="EX12" i="2" s="1"/>
  <c r="CC12" i="2"/>
  <c r="FC12" i="2" s="1"/>
  <c r="CR12" i="2"/>
  <c r="FH12" i="2" s="1"/>
  <c r="AG13" i="2"/>
  <c r="EM13" i="2" s="1"/>
  <c r="DJ13" i="2"/>
  <c r="FN13" i="2" s="1"/>
  <c r="AD14" i="2"/>
  <c r="EL14" i="2" s="1"/>
  <c r="I15" i="2"/>
  <c r="EE15" i="2" s="1"/>
  <c r="BE15" i="2"/>
  <c r="EU15" i="2" s="1"/>
  <c r="CO15" i="2"/>
  <c r="FG15" i="2" s="1"/>
  <c r="DM15" i="2"/>
  <c r="FO15" i="2" s="1"/>
  <c r="CI16" i="2"/>
  <c r="FE16" i="2" s="1"/>
  <c r="F17" i="2"/>
  <c r="ED17" i="2" s="1"/>
  <c r="BH17" i="2"/>
  <c r="EV17" i="2" s="1"/>
  <c r="DJ17" i="2"/>
  <c r="FN17" i="2" s="1"/>
  <c r="BB18" i="2"/>
  <c r="ET18" i="2" s="1"/>
  <c r="BQ18" i="2"/>
  <c r="EY18" i="2" s="1"/>
  <c r="U19" i="2"/>
  <c r="EI19" i="2" s="1"/>
  <c r="BQ19" i="2"/>
  <c r="EY19" i="2" s="1"/>
  <c r="BT20" i="2"/>
  <c r="EZ20" i="2" s="1"/>
  <c r="BN21" i="2"/>
  <c r="EX21" i="2" s="1"/>
  <c r="CL21" i="2"/>
  <c r="FF21" i="2" s="1"/>
  <c r="AA22" i="2"/>
  <c r="EK22" i="2" s="1"/>
  <c r="AS22" i="2"/>
  <c r="EQ22" i="2" s="1"/>
  <c r="BE23" i="2"/>
  <c r="EU23" i="2" s="1"/>
  <c r="L24" i="2"/>
  <c r="EF24" i="2" s="1"/>
  <c r="BH25" i="2"/>
  <c r="EV25" i="2" s="1"/>
  <c r="DG7" i="2"/>
  <c r="FM7" i="2" s="1"/>
  <c r="DM8" i="2"/>
  <c r="FO8" i="2" s="1"/>
  <c r="R18" i="2"/>
  <c r="EH18" i="2" s="1"/>
  <c r="BE18" i="2"/>
  <c r="EU18" i="2" s="1"/>
  <c r="AS24" i="2"/>
  <c r="EQ24" i="2" s="1"/>
  <c r="DD6" i="2"/>
  <c r="DM11" i="2"/>
  <c r="FO11" i="2" s="1"/>
  <c r="DD20" i="2"/>
  <c r="FL20" i="2" s="1"/>
  <c r="E22" i="2"/>
  <c r="F22" i="2" s="1"/>
  <c r="ED22" i="2" s="1"/>
  <c r="K23" i="2"/>
  <c r="L23" i="2" s="1"/>
  <c r="EF23" i="2" s="1"/>
  <c r="W23" i="2"/>
  <c r="X23" i="2" s="1"/>
  <c r="EJ23" i="2" s="1"/>
  <c r="O24" i="2"/>
  <c r="EG24" i="2" s="1"/>
  <c r="O25" i="2"/>
  <c r="EG25" i="2" s="1"/>
  <c r="U23" i="2"/>
  <c r="EI23" i="2" s="1"/>
  <c r="AD25" i="2"/>
  <c r="EL25" i="2" s="1"/>
  <c r="DM13" i="2"/>
  <c r="FO13" i="2" s="1"/>
  <c r="DK23" i="2"/>
  <c r="DL23" i="2" s="1"/>
  <c r="DM23" i="2" s="1"/>
  <c r="FO23" i="2" s="1"/>
  <c r="DP18" i="2"/>
  <c r="FQ18" i="2" s="1"/>
  <c r="DO13" i="2"/>
  <c r="DP13" i="2" s="1"/>
  <c r="FQ13" i="2" s="1"/>
  <c r="DG20" i="2"/>
  <c r="FM20" i="2" s="1"/>
  <c r="DO9" i="2"/>
  <c r="DP9" i="2" s="1"/>
  <c r="FQ9" i="2" s="1"/>
  <c r="DO6" i="2"/>
  <c r="DP6" i="2" s="1"/>
  <c r="DG23" i="2"/>
  <c r="FM23" i="2" s="1"/>
  <c r="DO11" i="2"/>
  <c r="DP11" i="2" s="1"/>
  <c r="FQ11" i="2" s="1"/>
  <c r="DO14" i="2"/>
  <c r="DP14" i="2" s="1"/>
  <c r="FQ14" i="2" s="1"/>
  <c r="FG6" i="2"/>
  <c r="EK6" i="2"/>
  <c r="EL6" i="2"/>
  <c r="FQ6" i="2"/>
  <c r="EM6" i="2"/>
  <c r="FA6" i="2"/>
  <c r="FD6" i="2"/>
  <c r="EE6" i="2"/>
  <c r="FJ6" i="2"/>
  <c r="ET6" i="2"/>
  <c r="FB6" i="2"/>
  <c r="ED6" i="2"/>
  <c r="ES6" i="2"/>
  <c r="EU6" i="2"/>
  <c r="C282" i="3"/>
  <c r="E280" i="3"/>
  <c r="F280" i="3" s="1"/>
  <c r="B279" i="3"/>
  <c r="D281" i="3"/>
  <c r="C278" i="3"/>
  <c r="B282" i="3"/>
  <c r="B280" i="3"/>
  <c r="E279" i="3"/>
  <c r="F279" i="3" s="1"/>
  <c r="E281" i="3"/>
  <c r="F281" i="3" s="1"/>
  <c r="D279" i="3"/>
  <c r="C281" i="3"/>
  <c r="C279" i="3"/>
  <c r="B281" i="3"/>
  <c r="E278" i="3"/>
  <c r="F278" i="3" s="1"/>
  <c r="E282" i="3"/>
  <c r="F282" i="3" s="1"/>
  <c r="D282" i="3"/>
  <c r="D280" i="3"/>
  <c r="C280" i="3"/>
  <c r="D278" i="3"/>
  <c r="B278" i="3"/>
  <c r="FO6" i="2"/>
  <c r="C80" i="3"/>
  <c r="E78" i="3"/>
  <c r="F78" i="3" s="1"/>
  <c r="D81" i="3"/>
  <c r="C78" i="3"/>
  <c r="C81" i="3"/>
  <c r="E79" i="3"/>
  <c r="F79" i="3" s="1"/>
  <c r="B78" i="3"/>
  <c r="E82" i="3"/>
  <c r="F82" i="3" s="1"/>
  <c r="B81" i="3"/>
  <c r="D79" i="3"/>
  <c r="D82" i="3"/>
  <c r="C79" i="3"/>
  <c r="C82" i="3"/>
  <c r="D78" i="3"/>
  <c r="B82" i="3"/>
  <c r="E81" i="3"/>
  <c r="F81" i="3" s="1"/>
  <c r="E80" i="3"/>
  <c r="F80" i="3" s="1"/>
  <c r="D80" i="3"/>
  <c r="B80" i="3"/>
  <c r="B79" i="3"/>
  <c r="FC6" i="2"/>
  <c r="DY6" i="2"/>
  <c r="FP6" i="2"/>
  <c r="DA9" i="2"/>
  <c r="FK9" i="2" s="1"/>
  <c r="AG9" i="2"/>
  <c r="EM9" i="2" s="1"/>
  <c r="I9" i="2"/>
  <c r="EE9" i="2" s="1"/>
  <c r="CC9" i="2"/>
  <c r="FC9" i="2" s="1"/>
  <c r="BE9" i="2"/>
  <c r="EU9" i="2" s="1"/>
  <c r="AV9" i="2"/>
  <c r="ER9" i="2" s="1"/>
  <c r="BZ9" i="2"/>
  <c r="FB9" i="2" s="1"/>
  <c r="CL9" i="2"/>
  <c r="FF9" i="2" s="1"/>
  <c r="EQ6" i="2"/>
  <c r="X6" i="2"/>
  <c r="AV6" i="2"/>
  <c r="BT6" i="2"/>
  <c r="C105" i="3"/>
  <c r="E103" i="3"/>
  <c r="F103" i="3" s="1"/>
  <c r="B102" i="3"/>
  <c r="E106" i="3"/>
  <c r="F106" i="3" s="1"/>
  <c r="B105" i="3"/>
  <c r="D103" i="3"/>
  <c r="D106" i="3"/>
  <c r="C103" i="3"/>
  <c r="C106" i="3"/>
  <c r="E104" i="3"/>
  <c r="F104" i="3" s="1"/>
  <c r="B103" i="3"/>
  <c r="B106" i="3"/>
  <c r="D104" i="3"/>
  <c r="C104" i="3"/>
  <c r="E102" i="3"/>
  <c r="F102" i="3" s="1"/>
  <c r="D102" i="3"/>
  <c r="C102" i="3"/>
  <c r="E105" i="3"/>
  <c r="F105" i="3" s="1"/>
  <c r="D105" i="3"/>
  <c r="B104" i="3"/>
  <c r="EB6" i="2"/>
  <c r="EX6" i="2"/>
  <c r="U9" i="2"/>
  <c r="EI9" i="2" s="1"/>
  <c r="AJ9" i="2"/>
  <c r="EN9" i="2" s="1"/>
  <c r="CR9" i="2"/>
  <c r="FH9" i="2" s="1"/>
  <c r="EF6" i="2"/>
  <c r="BH6" i="2"/>
  <c r="CU6" i="2"/>
  <c r="DG6" i="2"/>
  <c r="E25" i="3"/>
  <c r="F25" i="3" s="1"/>
  <c r="B24" i="3"/>
  <c r="D22" i="3"/>
  <c r="C25" i="3"/>
  <c r="E23" i="3"/>
  <c r="F23" i="3" s="1"/>
  <c r="B22" i="3"/>
  <c r="E26" i="3"/>
  <c r="F26" i="3" s="1"/>
  <c r="B25" i="3"/>
  <c r="D23" i="3"/>
  <c r="D26" i="3"/>
  <c r="C26" i="3"/>
  <c r="E24" i="3"/>
  <c r="F24" i="3" s="1"/>
  <c r="B23" i="3"/>
  <c r="C24" i="3"/>
  <c r="C23" i="3"/>
  <c r="B26" i="3"/>
  <c r="E22" i="3"/>
  <c r="F22" i="3" s="1"/>
  <c r="D25" i="3"/>
  <c r="C22" i="3"/>
  <c r="D24" i="3"/>
  <c r="DR6" i="2"/>
  <c r="DG9" i="2"/>
  <c r="FM9" i="2" s="1"/>
  <c r="EY6" i="2"/>
  <c r="FL6" i="2"/>
  <c r="EN6" i="2"/>
  <c r="CI6" i="2"/>
  <c r="EH6" i="2"/>
  <c r="AM9" i="2"/>
  <c r="EO9" i="2" s="1"/>
  <c r="BQ9" i="2"/>
  <c r="EY9" i="2" s="1"/>
  <c r="CF9" i="2"/>
  <c r="FD9" i="2" s="1"/>
  <c r="D6" i="3"/>
  <c r="DJ6" i="2"/>
  <c r="EI6" i="2"/>
  <c r="BK26" i="2"/>
  <c r="D23" i="1" s="1"/>
  <c r="CL6" i="2"/>
  <c r="DA6" i="2"/>
  <c r="EO6" i="2"/>
  <c r="FH6" i="2"/>
  <c r="AD9" i="2"/>
  <c r="EL9" i="2" s="1"/>
  <c r="AP9" i="2"/>
  <c r="EP9" i="2" s="1"/>
  <c r="B223" i="3" s="1"/>
  <c r="CI9" i="2"/>
  <c r="FE9" i="2" s="1"/>
  <c r="DM9" i="2"/>
  <c r="FO9" i="2" s="1"/>
  <c r="BW7" i="2"/>
  <c r="FA7" i="2" s="1"/>
  <c r="CU7" i="2"/>
  <c r="FI7" i="2" s="1"/>
  <c r="D97" i="3"/>
  <c r="C94" i="3"/>
  <c r="C97" i="3"/>
  <c r="E95" i="3"/>
  <c r="F95" i="3" s="1"/>
  <c r="B94" i="3"/>
  <c r="E98" i="3"/>
  <c r="F98" i="3" s="1"/>
  <c r="B97" i="3"/>
  <c r="D95" i="3"/>
  <c r="D98" i="3"/>
  <c r="C95" i="3"/>
  <c r="C98" i="3"/>
  <c r="E96" i="3"/>
  <c r="F96" i="3" s="1"/>
  <c r="B95" i="3"/>
  <c r="B98" i="3"/>
  <c r="D96" i="3"/>
  <c r="E97" i="3"/>
  <c r="F97" i="3" s="1"/>
  <c r="C96" i="3"/>
  <c r="B96" i="3"/>
  <c r="E94" i="3"/>
  <c r="F94" i="3" s="1"/>
  <c r="D94" i="3"/>
  <c r="CI14" i="2"/>
  <c r="FE14" i="2" s="1"/>
  <c r="DM14" i="2"/>
  <c r="FO14" i="2" s="1"/>
  <c r="L16" i="2"/>
  <c r="EF16" i="2" s="1"/>
  <c r="AA16" i="2"/>
  <c r="EK16" i="2" s="1"/>
  <c r="AP16" i="2"/>
  <c r="EP16" i="2" s="1"/>
  <c r="BQ16" i="2"/>
  <c r="EY16" i="2" s="1"/>
  <c r="CR16" i="2"/>
  <c r="FH16" i="2" s="1"/>
  <c r="DP16" i="2"/>
  <c r="FQ16" i="2" s="1"/>
  <c r="E50" i="3"/>
  <c r="F50" i="3" s="1"/>
  <c r="B49" i="3"/>
  <c r="D47" i="3"/>
  <c r="C50" i="3"/>
  <c r="E48" i="3"/>
  <c r="F48" i="3" s="1"/>
  <c r="B47" i="3"/>
  <c r="B50" i="3"/>
  <c r="D48" i="3"/>
  <c r="C48" i="3"/>
  <c r="E46" i="3"/>
  <c r="F46" i="3" s="1"/>
  <c r="E49" i="3"/>
  <c r="F49" i="3" s="1"/>
  <c r="B48" i="3"/>
  <c r="D46" i="3"/>
  <c r="D49" i="3"/>
  <c r="C49" i="3"/>
  <c r="E47" i="3"/>
  <c r="F47" i="3" s="1"/>
  <c r="C47" i="3"/>
  <c r="C46" i="3"/>
  <c r="D50" i="3"/>
  <c r="B46" i="3"/>
  <c r="O16" i="2"/>
  <c r="EG16" i="2" s="1"/>
  <c r="AD16" i="2"/>
  <c r="EL16" i="2" s="1"/>
  <c r="CU16" i="2"/>
  <c r="FI16" i="2" s="1"/>
  <c r="DG16" i="2"/>
  <c r="FM16" i="2" s="1"/>
  <c r="DU6" i="2"/>
  <c r="BN14" i="2"/>
  <c r="EX14" i="2" s="1"/>
  <c r="R16" i="2"/>
  <c r="EH16" i="2" s="1"/>
  <c r="AV16" i="2"/>
  <c r="ER16" i="2" s="1"/>
  <c r="B74" i="3"/>
  <c r="D72" i="3"/>
  <c r="E73" i="3"/>
  <c r="F73" i="3" s="1"/>
  <c r="B72" i="3"/>
  <c r="D70" i="3"/>
  <c r="D73" i="3"/>
  <c r="C70" i="3"/>
  <c r="C73" i="3"/>
  <c r="E71" i="3"/>
  <c r="F71" i="3" s="1"/>
  <c r="B70" i="3"/>
  <c r="E74" i="3"/>
  <c r="F74" i="3" s="1"/>
  <c r="B73" i="3"/>
  <c r="D71" i="3"/>
  <c r="C71" i="3"/>
  <c r="B71" i="3"/>
  <c r="D74" i="3"/>
  <c r="E70" i="3"/>
  <c r="F70" i="3" s="1"/>
  <c r="C74" i="3"/>
  <c r="E72" i="3"/>
  <c r="F72" i="3" s="1"/>
  <c r="C72" i="3"/>
  <c r="AP14" i="2"/>
  <c r="EP14" i="2" s="1"/>
  <c r="B224" i="3" s="1"/>
  <c r="U16" i="2"/>
  <c r="EI16" i="2" s="1"/>
  <c r="AY16" i="2"/>
  <c r="ES16" i="2" s="1"/>
  <c r="AS12" i="2"/>
  <c r="EQ12" i="2" s="1"/>
  <c r="O14" i="2"/>
  <c r="EG14" i="2" s="1"/>
  <c r="B153" i="3" s="1"/>
  <c r="AS14" i="2"/>
  <c r="EQ14" i="2" s="1"/>
  <c r="BE14" i="2"/>
  <c r="EU14" i="2" s="1"/>
  <c r="CF14" i="2"/>
  <c r="FD14" i="2" s="1"/>
  <c r="DG14" i="2"/>
  <c r="FM14" i="2" s="1"/>
  <c r="I16" i="2"/>
  <c r="EE16" i="2" s="1"/>
  <c r="AJ16" i="2"/>
  <c r="EN16" i="2" s="1"/>
  <c r="CO16" i="2"/>
  <c r="FG16" i="2" s="1"/>
  <c r="CC19" i="2"/>
  <c r="FC19" i="2" s="1"/>
  <c r="CF16" i="2"/>
  <c r="FD16" i="2" s="1"/>
  <c r="DD16" i="2"/>
  <c r="FL16" i="2" s="1"/>
  <c r="AA19" i="2"/>
  <c r="EK19" i="2" s="1"/>
  <c r="AM19" i="2"/>
  <c r="EO19" i="2" s="1"/>
  <c r="AY19" i="2"/>
  <c r="ES19" i="2" s="1"/>
  <c r="DD19" i="2"/>
  <c r="FL19" i="2" s="1"/>
  <c r="BN16" i="2"/>
  <c r="EX16" i="2" s="1"/>
  <c r="BT19" i="2"/>
  <c r="EZ19" i="2" s="1"/>
  <c r="DJ19" i="2"/>
  <c r="FN19" i="2" s="1"/>
  <c r="CL16" i="2"/>
  <c r="FF16" i="2" s="1"/>
  <c r="DJ16" i="2"/>
  <c r="FN16" i="2" s="1"/>
  <c r="CI19" i="2"/>
  <c r="FE19" i="2" s="1"/>
  <c r="CU19" i="2"/>
  <c r="FI19" i="2" s="1"/>
  <c r="BT18" i="2"/>
  <c r="EZ18" i="2" s="1"/>
  <c r="CR18" i="2"/>
  <c r="FH18" i="2" s="1"/>
  <c r="AS19" i="2"/>
  <c r="EQ19" i="2" s="1"/>
  <c r="DM19" i="2"/>
  <c r="FO19" i="2" s="1"/>
  <c r="BH18" i="2"/>
  <c r="EV18" i="2" s="1"/>
  <c r="CF18" i="2"/>
  <c r="FD18" i="2" s="1"/>
  <c r="DD18" i="2"/>
  <c r="FL18" i="2" s="1"/>
  <c r="L19" i="2"/>
  <c r="EF19" i="2" s="1"/>
  <c r="CX19" i="2"/>
  <c r="FJ19" i="2" s="1"/>
  <c r="BH16" i="2"/>
  <c r="EV16" i="2" s="1"/>
  <c r="CC16" i="2"/>
  <c r="FC16" i="2" s="1"/>
  <c r="DA16" i="2"/>
  <c r="FK16" i="2" s="1"/>
  <c r="BW18" i="2"/>
  <c r="FA18" i="2" s="1"/>
  <c r="CU18" i="2"/>
  <c r="FI18" i="2" s="1"/>
  <c r="CL19" i="2"/>
  <c r="FF19" i="2" s="1"/>
  <c r="R19" i="2"/>
  <c r="EH19" i="2" s="1"/>
  <c r="DP19" i="2"/>
  <c r="FQ19" i="2" s="1"/>
  <c r="X19" i="2"/>
  <c r="EJ19" i="2" s="1"/>
  <c r="AJ19" i="2"/>
  <c r="EN19" i="2" s="1"/>
  <c r="AV19" i="2"/>
  <c r="ER19" i="2" s="1"/>
  <c r="BN19" i="2"/>
  <c r="EX19" i="2" s="1"/>
  <c r="BZ19" i="2"/>
  <c r="FB19" i="2" s="1"/>
  <c r="CO19" i="2"/>
  <c r="FG19" i="2" s="1"/>
  <c r="DM21" i="2"/>
  <c r="FO21" i="2" s="1"/>
  <c r="DA19" i="2"/>
  <c r="FK19" i="2" s="1"/>
  <c r="BN20" i="2"/>
  <c r="EX20" i="2" s="1"/>
  <c r="CR20" i="2"/>
  <c r="FH20" i="2" s="1"/>
  <c r="DJ20" i="2"/>
  <c r="FN20" i="2" s="1"/>
  <c r="H23" i="2"/>
  <c r="I23" i="2" s="1"/>
  <c r="EE23" i="2" s="1"/>
  <c r="H22" i="2"/>
  <c r="I22" i="2" s="1"/>
  <c r="EE22" i="2" s="1"/>
  <c r="I19" i="2"/>
  <c r="EE19" i="2" s="1"/>
  <c r="AG20" i="2"/>
  <c r="EM20" i="2" s="1"/>
  <c r="CC20" i="2"/>
  <c r="FC20" i="2" s="1"/>
  <c r="CO21" i="2"/>
  <c r="FG21" i="2" s="1"/>
  <c r="CX21" i="2"/>
  <c r="FJ21" i="2" s="1"/>
  <c r="K22" i="2"/>
  <c r="L22" i="2" s="1"/>
  <c r="EF22" i="2" s="1"/>
  <c r="Q23" i="2"/>
  <c r="R23" i="2" s="1"/>
  <c r="EH23" i="2" s="1"/>
  <c r="F20" i="2"/>
  <c r="ED20" i="2" s="1"/>
  <c r="O20" i="2"/>
  <c r="EG20" i="2" s="1"/>
  <c r="BB20" i="2"/>
  <c r="ET20" i="2" s="1"/>
  <c r="CX20" i="2"/>
  <c r="FJ20" i="2" s="1"/>
  <c r="L21" i="2"/>
  <c r="EF21" i="2" s="1"/>
  <c r="N22" i="2"/>
  <c r="O22" i="2" s="1"/>
  <c r="EG22" i="2" s="1"/>
  <c r="W22" i="2"/>
  <c r="X22" i="2" s="1"/>
  <c r="EJ22" i="2" s="1"/>
  <c r="AC22" i="2"/>
  <c r="AD22" i="2" s="1"/>
  <c r="EL22" i="2" s="1"/>
  <c r="N23" i="2"/>
  <c r="O23" i="2" s="1"/>
  <c r="EG23" i="2" s="1"/>
  <c r="AP23" i="2"/>
  <c r="EP23" i="2" s="1"/>
  <c r="AG24" i="2"/>
  <c r="EM24" i="2" s="1"/>
  <c r="BE24" i="2"/>
  <c r="EU24" i="2" s="1"/>
  <c r="DP24" i="2"/>
  <c r="FQ24" i="2" s="1"/>
  <c r="CR23" i="2"/>
  <c r="FH23" i="2" s="1"/>
  <c r="I24" i="2"/>
  <c r="EE24" i="2" s="1"/>
  <c r="BT24" i="2"/>
  <c r="EZ24" i="2" s="1"/>
  <c r="CF24" i="2"/>
  <c r="FD24" i="2" s="1"/>
  <c r="DG24" i="2"/>
  <c r="FM24" i="2" s="1"/>
  <c r="AG23" i="2"/>
  <c r="EM23" i="2" s="1"/>
  <c r="BN23" i="2"/>
  <c r="EX23" i="2" s="1"/>
  <c r="CI23" i="2"/>
  <c r="FE23" i="2" s="1"/>
  <c r="DD23" i="2"/>
  <c r="FL23" i="2" s="1"/>
  <c r="AJ24" i="2"/>
  <c r="EN24" i="2" s="1"/>
  <c r="BH24" i="2"/>
  <c r="EV24" i="2" s="1"/>
  <c r="CU24" i="2"/>
  <c r="FI24" i="2" s="1"/>
  <c r="DJ24" i="2"/>
  <c r="FN24" i="2" s="1"/>
  <c r="CI24" i="2"/>
  <c r="FE24" i="2" s="1"/>
  <c r="CX24" i="2"/>
  <c r="FJ24" i="2" s="1"/>
  <c r="DM24" i="2"/>
  <c r="FO24" i="2" s="1"/>
  <c r="AJ23" i="2"/>
  <c r="EN23" i="2" s="1"/>
  <c r="CL23" i="2"/>
  <c r="FF23" i="2" s="1"/>
  <c r="AA24" i="2"/>
  <c r="EK24" i="2" s="1"/>
  <c r="AM24" i="2"/>
  <c r="EO24" i="2" s="1"/>
  <c r="AY24" i="2"/>
  <c r="ES24" i="2" s="1"/>
  <c r="CL24" i="2"/>
  <c r="FF24" i="2" s="1"/>
  <c r="BZ24" i="2"/>
  <c r="FB24" i="2" s="1"/>
  <c r="CO24" i="2"/>
  <c r="FG24" i="2" s="1"/>
  <c r="DA24" i="2"/>
  <c r="FK24" i="2" s="1"/>
  <c r="E7" i="3" l="1"/>
  <c r="F7" i="3" s="1"/>
  <c r="B151" i="3"/>
  <c r="C8" i="3"/>
  <c r="C151" i="3"/>
  <c r="B8" i="3"/>
  <c r="C223" i="3"/>
  <c r="C225" i="3"/>
  <c r="E222" i="3"/>
  <c r="F222" i="3" s="1"/>
  <c r="AP26" i="2"/>
  <c r="D16" i="1" s="1"/>
  <c r="B6" i="3"/>
  <c r="E153" i="3"/>
  <c r="F153" i="3" s="1"/>
  <c r="D18" i="3"/>
  <c r="C9" i="3"/>
  <c r="E8" i="3"/>
  <c r="F8" i="3" s="1"/>
  <c r="E9" i="3"/>
  <c r="F9" i="3" s="1"/>
  <c r="E6" i="3"/>
  <c r="F6" i="3" s="1"/>
  <c r="D7" i="3"/>
  <c r="D8" i="3"/>
  <c r="B9" i="3"/>
  <c r="B7" i="3"/>
  <c r="B10" i="3"/>
  <c r="C10" i="3"/>
  <c r="E10" i="3"/>
  <c r="F10" i="3" s="1"/>
  <c r="D16" i="3"/>
  <c r="C7" i="3"/>
  <c r="C6" i="3"/>
  <c r="D10" i="3"/>
  <c r="D9" i="3"/>
  <c r="DJ26" i="2"/>
  <c r="D40" i="1" s="1"/>
  <c r="FN6" i="2"/>
  <c r="AV26" i="2"/>
  <c r="D18" i="1" s="1"/>
  <c r="ER6" i="2"/>
  <c r="D58" i="3"/>
  <c r="C55" i="3"/>
  <c r="B58" i="3"/>
  <c r="D56" i="3"/>
  <c r="C56" i="3"/>
  <c r="E54" i="3"/>
  <c r="F54" i="3" s="1"/>
  <c r="E57" i="3"/>
  <c r="F57" i="3" s="1"/>
  <c r="B56" i="3"/>
  <c r="D54" i="3"/>
  <c r="D57" i="3"/>
  <c r="C54" i="3"/>
  <c r="B57" i="3"/>
  <c r="E56" i="3"/>
  <c r="F56" i="3" s="1"/>
  <c r="E55" i="3"/>
  <c r="F55" i="3" s="1"/>
  <c r="D55" i="3"/>
  <c r="B55" i="3"/>
  <c r="E58" i="3"/>
  <c r="F58" i="3" s="1"/>
  <c r="B54" i="3"/>
  <c r="C58" i="3"/>
  <c r="C57" i="3"/>
  <c r="DV6" i="2"/>
  <c r="B170" i="3"/>
  <c r="D168" i="3"/>
  <c r="C168" i="3"/>
  <c r="E166" i="3"/>
  <c r="F166" i="3" s="1"/>
  <c r="D169" i="3"/>
  <c r="C166" i="3"/>
  <c r="C169" i="3"/>
  <c r="B167" i="3"/>
  <c r="B169" i="3"/>
  <c r="D166" i="3"/>
  <c r="B166" i="3"/>
  <c r="E168" i="3"/>
  <c r="F168" i="3" s="1"/>
  <c r="E170" i="3"/>
  <c r="F170" i="3" s="1"/>
  <c r="B168" i="3"/>
  <c r="D170" i="3"/>
  <c r="E167" i="3"/>
  <c r="F167" i="3" s="1"/>
  <c r="C167" i="3"/>
  <c r="C170" i="3"/>
  <c r="E169" i="3"/>
  <c r="F169" i="3" s="1"/>
  <c r="D167" i="3"/>
  <c r="AJ26" i="2"/>
  <c r="D14" i="1" s="1"/>
  <c r="E266" i="3"/>
  <c r="F266" i="3" s="1"/>
  <c r="B265" i="3"/>
  <c r="D263" i="3"/>
  <c r="C264" i="3"/>
  <c r="E262" i="3"/>
  <c r="F262" i="3" s="1"/>
  <c r="D265" i="3"/>
  <c r="C263" i="3"/>
  <c r="C265" i="3"/>
  <c r="B263" i="3"/>
  <c r="E264" i="3"/>
  <c r="F264" i="3" s="1"/>
  <c r="D262" i="3"/>
  <c r="D266" i="3"/>
  <c r="D264" i="3"/>
  <c r="C262" i="3"/>
  <c r="C266" i="3"/>
  <c r="B264" i="3"/>
  <c r="B262" i="3"/>
  <c r="B266" i="3"/>
  <c r="E265" i="3"/>
  <c r="F265" i="3" s="1"/>
  <c r="E263" i="3"/>
  <c r="F263" i="3" s="1"/>
  <c r="C257" i="3"/>
  <c r="E255" i="3"/>
  <c r="F255" i="3" s="1"/>
  <c r="B254" i="3"/>
  <c r="B258" i="3"/>
  <c r="D256" i="3"/>
  <c r="C258" i="3"/>
  <c r="B256" i="3"/>
  <c r="E257" i="3"/>
  <c r="F257" i="3" s="1"/>
  <c r="D255" i="3"/>
  <c r="D257" i="3"/>
  <c r="C255" i="3"/>
  <c r="B257" i="3"/>
  <c r="B255" i="3"/>
  <c r="E254" i="3"/>
  <c r="F254" i="3" s="1"/>
  <c r="E256" i="3"/>
  <c r="F256" i="3" s="1"/>
  <c r="C256" i="3"/>
  <c r="D254" i="3"/>
  <c r="C254" i="3"/>
  <c r="D258" i="3"/>
  <c r="E258" i="3"/>
  <c r="F258" i="3" s="1"/>
  <c r="E18" i="3"/>
  <c r="F18" i="3" s="1"/>
  <c r="B18" i="3"/>
  <c r="E14" i="3"/>
  <c r="F14" i="3" s="1"/>
  <c r="B222" i="3"/>
  <c r="E224" i="3"/>
  <c r="F224" i="3" s="1"/>
  <c r="D151" i="3"/>
  <c r="D152" i="3"/>
  <c r="E152" i="3"/>
  <c r="F152" i="3" s="1"/>
  <c r="F16" i="1"/>
  <c r="E16" i="1"/>
  <c r="BN26" i="2"/>
  <c r="D24" i="1" s="1"/>
  <c r="U26" i="2"/>
  <c r="D9" i="1" s="1"/>
  <c r="BT26" i="2"/>
  <c r="D26" i="1" s="1"/>
  <c r="EZ6" i="2"/>
  <c r="CC26" i="2"/>
  <c r="D29" i="1" s="1"/>
  <c r="DM26" i="2"/>
  <c r="D41" i="1" s="1"/>
  <c r="BE26" i="2"/>
  <c r="D21" i="1" s="1"/>
  <c r="BB26" i="2"/>
  <c r="D20" i="1" s="1"/>
  <c r="BW26" i="2"/>
  <c r="D27" i="1" s="1"/>
  <c r="B16" i="3"/>
  <c r="C15" i="3"/>
  <c r="C16" i="3"/>
  <c r="C222" i="3"/>
  <c r="E226" i="3"/>
  <c r="F226" i="3" s="1"/>
  <c r="D153" i="3"/>
  <c r="C150" i="3"/>
  <c r="C154" i="3"/>
  <c r="AM26" i="2"/>
  <c r="D15" i="1" s="1"/>
  <c r="C296" i="3"/>
  <c r="E294" i="3"/>
  <c r="F294" i="3" s="1"/>
  <c r="E298" i="3"/>
  <c r="F298" i="3" s="1"/>
  <c r="B297" i="3"/>
  <c r="D295" i="3"/>
  <c r="E296" i="3"/>
  <c r="F296" i="3" s="1"/>
  <c r="D294" i="3"/>
  <c r="D298" i="3"/>
  <c r="D296" i="3"/>
  <c r="C294" i="3"/>
  <c r="C298" i="3"/>
  <c r="B296" i="3"/>
  <c r="B294" i="3"/>
  <c r="B298" i="3"/>
  <c r="E297" i="3"/>
  <c r="F297" i="3" s="1"/>
  <c r="E295" i="3"/>
  <c r="F295" i="3" s="1"/>
  <c r="D297" i="3"/>
  <c r="C295" i="3"/>
  <c r="C297" i="3"/>
  <c r="B295" i="3"/>
  <c r="DG26" i="2"/>
  <c r="D39" i="1" s="1"/>
  <c r="FM6" i="2"/>
  <c r="B290" i="3"/>
  <c r="D288" i="3"/>
  <c r="C289" i="3"/>
  <c r="E287" i="3"/>
  <c r="F287" i="3" s="1"/>
  <c r="B286" i="3"/>
  <c r="D289" i="3"/>
  <c r="C287" i="3"/>
  <c r="B289" i="3"/>
  <c r="B287" i="3"/>
  <c r="E286" i="3"/>
  <c r="F286" i="3" s="1"/>
  <c r="E290" i="3"/>
  <c r="F290" i="3" s="1"/>
  <c r="E288" i="3"/>
  <c r="F288" i="3" s="1"/>
  <c r="D286" i="3"/>
  <c r="D290" i="3"/>
  <c r="C288" i="3"/>
  <c r="C286" i="3"/>
  <c r="C290" i="3"/>
  <c r="B288" i="3"/>
  <c r="E289" i="3"/>
  <c r="F289" i="3" s="1"/>
  <c r="D287" i="3"/>
  <c r="X26" i="2"/>
  <c r="D10" i="1" s="1"/>
  <c r="EJ6" i="2"/>
  <c r="R26" i="2"/>
  <c r="D8" i="1" s="1"/>
  <c r="AY26" i="2"/>
  <c r="D19" i="1" s="1"/>
  <c r="CX26" i="2"/>
  <c r="D36" i="1" s="1"/>
  <c r="AG26" i="2"/>
  <c r="D13" i="1" s="1"/>
  <c r="E16" i="3"/>
  <c r="F16" i="3" s="1"/>
  <c r="B14" i="3"/>
  <c r="D223" i="3"/>
  <c r="C226" i="3"/>
  <c r="E151" i="3"/>
  <c r="F151" i="3" s="1"/>
  <c r="D150" i="3"/>
  <c r="D154" i="3"/>
  <c r="C218" i="3"/>
  <c r="E216" i="3"/>
  <c r="F216" i="3" s="1"/>
  <c r="B215" i="3"/>
  <c r="B218" i="3"/>
  <c r="C216" i="3"/>
  <c r="D214" i="3"/>
  <c r="B216" i="3"/>
  <c r="C214" i="3"/>
  <c r="E217" i="3"/>
  <c r="F217" i="3" s="1"/>
  <c r="B214" i="3"/>
  <c r="D217" i="3"/>
  <c r="E215" i="3"/>
  <c r="F215" i="3" s="1"/>
  <c r="C217" i="3"/>
  <c r="D215" i="3"/>
  <c r="B217" i="3"/>
  <c r="C215" i="3"/>
  <c r="D216" i="3"/>
  <c r="E214" i="3"/>
  <c r="F214" i="3" s="1"/>
  <c r="E218" i="3"/>
  <c r="F218" i="3" s="1"/>
  <c r="D218" i="3"/>
  <c r="O26" i="2"/>
  <c r="D7" i="1" s="1"/>
  <c r="C162" i="3"/>
  <c r="E160" i="3"/>
  <c r="F160" i="3" s="1"/>
  <c r="B159" i="3"/>
  <c r="B162" i="3"/>
  <c r="D160" i="3"/>
  <c r="E161" i="3"/>
  <c r="F161" i="3" s="1"/>
  <c r="B160" i="3"/>
  <c r="D158" i="3"/>
  <c r="C161" i="3"/>
  <c r="E158" i="3"/>
  <c r="F158" i="3" s="1"/>
  <c r="B161" i="3"/>
  <c r="C158" i="3"/>
  <c r="B158" i="3"/>
  <c r="C160" i="3"/>
  <c r="E162" i="3"/>
  <c r="F162" i="3" s="1"/>
  <c r="D162" i="3"/>
  <c r="E159" i="3"/>
  <c r="F159" i="3" s="1"/>
  <c r="D161" i="3"/>
  <c r="D159" i="3"/>
  <c r="C159" i="3"/>
  <c r="BQ26" i="2"/>
  <c r="D25" i="1" s="1"/>
  <c r="CU26" i="2"/>
  <c r="D35" i="1" s="1"/>
  <c r="FI6" i="2"/>
  <c r="E114" i="3"/>
  <c r="F114" i="3" s="1"/>
  <c r="B113" i="3"/>
  <c r="D111" i="3"/>
  <c r="D114" i="3"/>
  <c r="C111" i="3"/>
  <c r="C114" i="3"/>
  <c r="E112" i="3"/>
  <c r="F112" i="3" s="1"/>
  <c r="B111" i="3"/>
  <c r="B114" i="3"/>
  <c r="D112" i="3"/>
  <c r="C112" i="3"/>
  <c r="E110" i="3"/>
  <c r="F110" i="3" s="1"/>
  <c r="E113" i="3"/>
  <c r="F113" i="3" s="1"/>
  <c r="B112" i="3"/>
  <c r="D110" i="3"/>
  <c r="EB26" i="2"/>
  <c r="D46" i="1" s="1"/>
  <c r="E111" i="3"/>
  <c r="F111" i="3" s="1"/>
  <c r="C110" i="3"/>
  <c r="B110" i="3"/>
  <c r="D113" i="3"/>
  <c r="C113" i="3"/>
  <c r="FU6" i="2"/>
  <c r="C232" i="3"/>
  <c r="E230" i="3"/>
  <c r="F230" i="3" s="1"/>
  <c r="E234" i="3"/>
  <c r="F234" i="3" s="1"/>
  <c r="B233" i="3"/>
  <c r="D231" i="3"/>
  <c r="C234" i="3"/>
  <c r="B232" i="3"/>
  <c r="B230" i="3"/>
  <c r="B234" i="3"/>
  <c r="E233" i="3"/>
  <c r="F233" i="3" s="1"/>
  <c r="E231" i="3"/>
  <c r="F231" i="3" s="1"/>
  <c r="D233" i="3"/>
  <c r="C231" i="3"/>
  <c r="C233" i="3"/>
  <c r="B231" i="3"/>
  <c r="D230" i="3"/>
  <c r="C230" i="3"/>
  <c r="D234" i="3"/>
  <c r="E232" i="3"/>
  <c r="F232" i="3" s="1"/>
  <c r="D232" i="3"/>
  <c r="C129" i="3"/>
  <c r="E127" i="3"/>
  <c r="F127" i="3" s="1"/>
  <c r="E130" i="3"/>
  <c r="F130" i="3" s="1"/>
  <c r="B127" i="3"/>
  <c r="D130" i="3"/>
  <c r="E128" i="3"/>
  <c r="F128" i="3" s="1"/>
  <c r="C130" i="3"/>
  <c r="D128" i="3"/>
  <c r="E126" i="3"/>
  <c r="F126" i="3" s="1"/>
  <c r="B130" i="3"/>
  <c r="C128" i="3"/>
  <c r="D126" i="3"/>
  <c r="B128" i="3"/>
  <c r="C126" i="3"/>
  <c r="E129" i="3"/>
  <c r="F129" i="3" s="1"/>
  <c r="B126" i="3"/>
  <c r="D129" i="3"/>
  <c r="B129" i="3"/>
  <c r="D127" i="3"/>
  <c r="C127" i="3"/>
  <c r="E138" i="3"/>
  <c r="F138" i="3" s="1"/>
  <c r="B137" i="3"/>
  <c r="D135" i="3"/>
  <c r="D137" i="3"/>
  <c r="E135" i="3"/>
  <c r="F135" i="3" s="1"/>
  <c r="C137" i="3"/>
  <c r="C135" i="3"/>
  <c r="B135" i="3"/>
  <c r="D138" i="3"/>
  <c r="E136" i="3"/>
  <c r="F136" i="3" s="1"/>
  <c r="C138" i="3"/>
  <c r="D136" i="3"/>
  <c r="E134" i="3"/>
  <c r="F134" i="3" s="1"/>
  <c r="B138" i="3"/>
  <c r="C136" i="3"/>
  <c r="D134" i="3"/>
  <c r="C134" i="3"/>
  <c r="B134" i="3"/>
  <c r="E137" i="3"/>
  <c r="F137" i="3" s="1"/>
  <c r="B136" i="3"/>
  <c r="C314" i="3"/>
  <c r="E312" i="3"/>
  <c r="F312" i="3" s="1"/>
  <c r="B311" i="3"/>
  <c r="B315" i="3"/>
  <c r="D313" i="3"/>
  <c r="E315" i="3"/>
  <c r="F315" i="3" s="1"/>
  <c r="E313" i="3"/>
  <c r="F313" i="3" s="1"/>
  <c r="D311" i="3"/>
  <c r="D315" i="3"/>
  <c r="C313" i="3"/>
  <c r="C311" i="3"/>
  <c r="C315" i="3"/>
  <c r="B313" i="3"/>
  <c r="E314" i="3"/>
  <c r="F314" i="3" s="1"/>
  <c r="D312" i="3"/>
  <c r="D314" i="3"/>
  <c r="C312" i="3"/>
  <c r="B314" i="3"/>
  <c r="B312" i="3"/>
  <c r="E311" i="3"/>
  <c r="F311" i="3" s="1"/>
  <c r="B17" i="3"/>
  <c r="E15" i="3"/>
  <c r="F15" i="3" s="1"/>
  <c r="B225" i="3"/>
  <c r="D222" i="3"/>
  <c r="D224" i="3"/>
  <c r="B154" i="3"/>
  <c r="C153" i="3"/>
  <c r="C184" i="3"/>
  <c r="E182" i="3"/>
  <c r="F182" i="3" s="1"/>
  <c r="E185" i="3"/>
  <c r="F185" i="3" s="1"/>
  <c r="B184" i="3"/>
  <c r="D182" i="3"/>
  <c r="D185" i="3"/>
  <c r="C182" i="3"/>
  <c r="E186" i="3"/>
  <c r="F186" i="3" s="1"/>
  <c r="B185" i="3"/>
  <c r="D183" i="3"/>
  <c r="D184" i="3"/>
  <c r="E183" i="3"/>
  <c r="F183" i="3" s="1"/>
  <c r="D186" i="3"/>
  <c r="C183" i="3"/>
  <c r="C186" i="3"/>
  <c r="B183" i="3"/>
  <c r="B186" i="3"/>
  <c r="C185" i="3"/>
  <c r="B182" i="3"/>
  <c r="E184" i="3"/>
  <c r="F184" i="3" s="1"/>
  <c r="DA26" i="2"/>
  <c r="D37" i="1" s="1"/>
  <c r="FK6" i="2"/>
  <c r="CI26" i="2"/>
  <c r="D31" i="1" s="1"/>
  <c r="FE6" i="2"/>
  <c r="BH26" i="2"/>
  <c r="D22" i="1" s="1"/>
  <c r="EV6" i="2"/>
  <c r="AS26" i="2"/>
  <c r="D17" i="1" s="1"/>
  <c r="F26" i="2"/>
  <c r="D4" i="1" s="1"/>
  <c r="I26" i="2"/>
  <c r="D5" i="1" s="1"/>
  <c r="B15" i="3"/>
  <c r="DP26" i="2"/>
  <c r="D42" i="1" s="1"/>
  <c r="C17" i="3"/>
  <c r="D225" i="3"/>
  <c r="C224" i="3"/>
  <c r="B226" i="3"/>
  <c r="E154" i="3"/>
  <c r="F154" i="3" s="1"/>
  <c r="E150" i="3"/>
  <c r="F150" i="3" s="1"/>
  <c r="AA26" i="2"/>
  <c r="D11" i="1" s="1"/>
  <c r="D249" i="3"/>
  <c r="C246" i="3"/>
  <c r="C250" i="3"/>
  <c r="E248" i="3"/>
  <c r="F248" i="3" s="1"/>
  <c r="B247" i="3"/>
  <c r="E246" i="3"/>
  <c r="F246" i="3" s="1"/>
  <c r="E250" i="3"/>
  <c r="F250" i="3" s="1"/>
  <c r="D248" i="3"/>
  <c r="D246" i="3"/>
  <c r="D250" i="3"/>
  <c r="C248" i="3"/>
  <c r="B246" i="3"/>
  <c r="B250" i="3"/>
  <c r="B248" i="3"/>
  <c r="E247" i="3"/>
  <c r="F247" i="3" s="1"/>
  <c r="E249" i="3"/>
  <c r="F249" i="3" s="1"/>
  <c r="D247" i="3"/>
  <c r="C249" i="3"/>
  <c r="B249" i="3"/>
  <c r="C247" i="3"/>
  <c r="CL26" i="2"/>
  <c r="D32" i="1" s="1"/>
  <c r="FF6" i="2"/>
  <c r="D33" i="3"/>
  <c r="C30" i="3"/>
  <c r="E34" i="3"/>
  <c r="F34" i="3" s="1"/>
  <c r="B33" i="3"/>
  <c r="D31" i="3"/>
  <c r="D34" i="3"/>
  <c r="C31" i="3"/>
  <c r="C34" i="3"/>
  <c r="E32" i="3"/>
  <c r="F32" i="3" s="1"/>
  <c r="B31" i="3"/>
  <c r="B34" i="3"/>
  <c r="D32" i="3"/>
  <c r="E30" i="3"/>
  <c r="F30" i="3" s="1"/>
  <c r="D30" i="3"/>
  <c r="B30" i="3"/>
  <c r="E33" i="3"/>
  <c r="F33" i="3" s="1"/>
  <c r="C33" i="3"/>
  <c r="C32" i="3"/>
  <c r="B32" i="3"/>
  <c r="E31" i="3"/>
  <c r="F31" i="3" s="1"/>
  <c r="DS6" i="2"/>
  <c r="E146" i="3"/>
  <c r="F146" i="3" s="1"/>
  <c r="B145" i="3"/>
  <c r="D143" i="3"/>
  <c r="D146" i="3"/>
  <c r="C143" i="3"/>
  <c r="B146" i="3"/>
  <c r="D144" i="3"/>
  <c r="C145" i="3"/>
  <c r="D142" i="3"/>
  <c r="E144" i="3"/>
  <c r="F144" i="3" s="1"/>
  <c r="C142" i="3"/>
  <c r="C144" i="3"/>
  <c r="B142" i="3"/>
  <c r="B144" i="3"/>
  <c r="C146" i="3"/>
  <c r="E143" i="3"/>
  <c r="F143" i="3" s="1"/>
  <c r="E145" i="3"/>
  <c r="F145" i="3" s="1"/>
  <c r="D145" i="3"/>
  <c r="B143" i="3"/>
  <c r="E142" i="3"/>
  <c r="F142" i="3" s="1"/>
  <c r="C18" i="3"/>
  <c r="D14" i="3"/>
  <c r="C14" i="3"/>
  <c r="E223" i="3"/>
  <c r="F223" i="3" s="1"/>
  <c r="D226" i="3"/>
  <c r="E193" i="3"/>
  <c r="F193" i="3" s="1"/>
  <c r="B192" i="3"/>
  <c r="D190" i="3"/>
  <c r="D193" i="3"/>
  <c r="C190" i="3"/>
  <c r="C193" i="3"/>
  <c r="E191" i="3"/>
  <c r="F191" i="3" s="1"/>
  <c r="B190" i="3"/>
  <c r="E194" i="3"/>
  <c r="F194" i="3" s="1"/>
  <c r="D194" i="3"/>
  <c r="C191" i="3"/>
  <c r="E190" i="3"/>
  <c r="F190" i="3" s="1"/>
  <c r="B193" i="3"/>
  <c r="E192" i="3"/>
  <c r="F192" i="3" s="1"/>
  <c r="D192" i="3"/>
  <c r="C192" i="3"/>
  <c r="D191" i="3"/>
  <c r="C194" i="3"/>
  <c r="B194" i="3"/>
  <c r="B191" i="3"/>
  <c r="B152" i="3"/>
  <c r="C152" i="3"/>
  <c r="DD26" i="2"/>
  <c r="D38" i="1" s="1"/>
  <c r="D201" i="3"/>
  <c r="C198" i="3"/>
  <c r="C201" i="3"/>
  <c r="E199" i="3"/>
  <c r="F199" i="3" s="1"/>
  <c r="B198" i="3"/>
  <c r="E202" i="3"/>
  <c r="F202" i="3" s="1"/>
  <c r="B201" i="3"/>
  <c r="D199" i="3"/>
  <c r="D202" i="3"/>
  <c r="C199" i="3"/>
  <c r="C202" i="3"/>
  <c r="E200" i="3"/>
  <c r="F200" i="3" s="1"/>
  <c r="B199" i="3"/>
  <c r="D200" i="3"/>
  <c r="C200" i="3"/>
  <c r="B200" i="3"/>
  <c r="E198" i="3"/>
  <c r="F198" i="3" s="1"/>
  <c r="B202" i="3"/>
  <c r="D198" i="3"/>
  <c r="E201" i="3"/>
  <c r="F201" i="3" s="1"/>
  <c r="F23" i="1"/>
  <c r="E23" i="1"/>
  <c r="D210" i="3"/>
  <c r="C207" i="3"/>
  <c r="E209" i="3"/>
  <c r="F209" i="3" s="1"/>
  <c r="B206" i="3"/>
  <c r="D209" i="3"/>
  <c r="E207" i="3"/>
  <c r="F207" i="3" s="1"/>
  <c r="C209" i="3"/>
  <c r="D207" i="3"/>
  <c r="B209" i="3"/>
  <c r="B207" i="3"/>
  <c r="E210" i="3"/>
  <c r="F210" i="3" s="1"/>
  <c r="E208" i="3"/>
  <c r="F208" i="3" s="1"/>
  <c r="C208" i="3"/>
  <c r="B208" i="3"/>
  <c r="E206" i="3"/>
  <c r="F206" i="3" s="1"/>
  <c r="D206" i="3"/>
  <c r="C210" i="3"/>
  <c r="C206" i="3"/>
  <c r="B210" i="3"/>
  <c r="D208" i="3"/>
  <c r="L26" i="2"/>
  <c r="D6" i="1" s="1"/>
  <c r="E89" i="3"/>
  <c r="F89" i="3" s="1"/>
  <c r="B88" i="3"/>
  <c r="D86" i="3"/>
  <c r="C89" i="3"/>
  <c r="E87" i="3"/>
  <c r="F87" i="3" s="1"/>
  <c r="B86" i="3"/>
  <c r="E90" i="3"/>
  <c r="F90" i="3" s="1"/>
  <c r="B89" i="3"/>
  <c r="D87" i="3"/>
  <c r="D90" i="3"/>
  <c r="C87" i="3"/>
  <c r="C90" i="3"/>
  <c r="E88" i="3"/>
  <c r="F88" i="3" s="1"/>
  <c r="B87" i="3"/>
  <c r="B90" i="3"/>
  <c r="C86" i="3"/>
  <c r="D89" i="3"/>
  <c r="D88" i="3"/>
  <c r="C88" i="3"/>
  <c r="DY26" i="2"/>
  <c r="D45" i="1" s="1"/>
  <c r="E86" i="3"/>
  <c r="F86" i="3" s="1"/>
  <c r="FT6" i="2"/>
  <c r="CR26" i="2"/>
  <c r="D34" i="1" s="1"/>
  <c r="BZ26" i="2"/>
  <c r="D28" i="1" s="1"/>
  <c r="CF26" i="2"/>
  <c r="D30" i="1" s="1"/>
  <c r="D15" i="3"/>
  <c r="E17" i="3"/>
  <c r="F17" i="3" s="1"/>
  <c r="D17" i="3"/>
  <c r="E225" i="3"/>
  <c r="F225" i="3" s="1"/>
  <c r="AD26" i="2"/>
  <c r="D12" i="1" s="1"/>
  <c r="B150" i="3"/>
  <c r="CO26" i="2"/>
  <c r="D33" i="1" s="1"/>
  <c r="E12" i="1" l="1"/>
  <c r="F12" i="1"/>
  <c r="D274" i="3"/>
  <c r="C271" i="3"/>
  <c r="E273" i="3"/>
  <c r="F273" i="3" s="1"/>
  <c r="B272" i="3"/>
  <c r="D270" i="3"/>
  <c r="E272" i="3"/>
  <c r="F272" i="3" s="1"/>
  <c r="E270" i="3"/>
  <c r="F270" i="3" s="1"/>
  <c r="E274" i="3"/>
  <c r="F274" i="3" s="1"/>
  <c r="D272" i="3"/>
  <c r="C270" i="3"/>
  <c r="C274" i="3"/>
  <c r="C272" i="3"/>
  <c r="B270" i="3"/>
  <c r="B274" i="3"/>
  <c r="E271" i="3"/>
  <c r="F271" i="3" s="1"/>
  <c r="D273" i="3"/>
  <c r="D271" i="3"/>
  <c r="B271" i="3"/>
  <c r="C273" i="3"/>
  <c r="B273" i="3"/>
  <c r="E35" i="1"/>
  <c r="F35" i="1"/>
  <c r="E305" i="3"/>
  <c r="F305" i="3" s="1"/>
  <c r="B304" i="3"/>
  <c r="D302" i="3"/>
  <c r="D306" i="3"/>
  <c r="C303" i="3"/>
  <c r="B306" i="3"/>
  <c r="E303" i="3"/>
  <c r="F303" i="3" s="1"/>
  <c r="D305" i="3"/>
  <c r="D303" i="3"/>
  <c r="C305" i="3"/>
  <c r="B303" i="3"/>
  <c r="B305" i="3"/>
  <c r="E304" i="3"/>
  <c r="F304" i="3" s="1"/>
  <c r="E302" i="3"/>
  <c r="F302" i="3" s="1"/>
  <c r="E306" i="3"/>
  <c r="F306" i="3" s="1"/>
  <c r="C306" i="3"/>
  <c r="D304" i="3"/>
  <c r="C304" i="3"/>
  <c r="C302" i="3"/>
  <c r="B302" i="3"/>
  <c r="C339" i="3"/>
  <c r="E337" i="3"/>
  <c r="F337" i="3" s="1"/>
  <c r="B336" i="3"/>
  <c r="D338" i="3"/>
  <c r="C335" i="3"/>
  <c r="E339" i="3"/>
  <c r="F339" i="3" s="1"/>
  <c r="D337" i="3"/>
  <c r="D335" i="3"/>
  <c r="D339" i="3"/>
  <c r="C337" i="3"/>
  <c r="B335" i="3"/>
  <c r="B339" i="3"/>
  <c r="B337" i="3"/>
  <c r="E336" i="3"/>
  <c r="F336" i="3" s="1"/>
  <c r="E338" i="3"/>
  <c r="F338" i="3" s="1"/>
  <c r="D336" i="3"/>
  <c r="C338" i="3"/>
  <c r="C336" i="3"/>
  <c r="B338" i="3"/>
  <c r="E335" i="3"/>
  <c r="F335" i="3" s="1"/>
  <c r="F38" i="1"/>
  <c r="E38" i="1"/>
  <c r="C41" i="3"/>
  <c r="E39" i="3"/>
  <c r="F39" i="3" s="1"/>
  <c r="B38" i="3"/>
  <c r="DS26" i="2"/>
  <c r="D43" i="1" s="1"/>
  <c r="D42" i="3"/>
  <c r="C39" i="3"/>
  <c r="C42" i="3"/>
  <c r="E40" i="3"/>
  <c r="F40" i="3" s="1"/>
  <c r="B39" i="3"/>
  <c r="B42" i="3"/>
  <c r="D40" i="3"/>
  <c r="C40" i="3"/>
  <c r="E38" i="3"/>
  <c r="F38" i="3" s="1"/>
  <c r="E42" i="3"/>
  <c r="F42" i="3" s="1"/>
  <c r="C38" i="3"/>
  <c r="E41" i="3"/>
  <c r="F41" i="3" s="1"/>
  <c r="D41" i="3"/>
  <c r="B41" i="3"/>
  <c r="B40" i="3"/>
  <c r="D39" i="3"/>
  <c r="D38" i="3"/>
  <c r="FR6" i="2"/>
  <c r="F22" i="1"/>
  <c r="E22" i="1"/>
  <c r="B347" i="3"/>
  <c r="D345" i="3"/>
  <c r="C346" i="3"/>
  <c r="E344" i="3"/>
  <c r="F344" i="3" s="1"/>
  <c r="B343" i="3"/>
  <c r="E346" i="3"/>
  <c r="F346" i="3" s="1"/>
  <c r="D344" i="3"/>
  <c r="D346" i="3"/>
  <c r="C344" i="3"/>
  <c r="B346" i="3"/>
  <c r="B344" i="3"/>
  <c r="E343" i="3"/>
  <c r="F343" i="3" s="1"/>
  <c r="E347" i="3"/>
  <c r="F347" i="3" s="1"/>
  <c r="E345" i="3"/>
  <c r="F345" i="3" s="1"/>
  <c r="D343" i="3"/>
  <c r="C345" i="3"/>
  <c r="B345" i="3"/>
  <c r="C343" i="3"/>
  <c r="D347" i="3"/>
  <c r="C347" i="3"/>
  <c r="F25" i="1"/>
  <c r="E25" i="1"/>
  <c r="E26" i="1"/>
  <c r="F26" i="1"/>
  <c r="F45" i="1"/>
  <c r="E45" i="1"/>
  <c r="E42" i="1"/>
  <c r="F42" i="1"/>
  <c r="F31" i="1"/>
  <c r="E31" i="1"/>
  <c r="E36" i="1"/>
  <c r="F36" i="1"/>
  <c r="E27" i="1"/>
  <c r="F27" i="1"/>
  <c r="F24" i="1"/>
  <c r="E24" i="1"/>
  <c r="E11" i="1"/>
  <c r="F11" i="1"/>
  <c r="E19" i="1"/>
  <c r="F19" i="1"/>
  <c r="E20" i="1"/>
  <c r="F20" i="1"/>
  <c r="E241" i="3"/>
  <c r="F241" i="3" s="1"/>
  <c r="B240" i="3"/>
  <c r="D238" i="3"/>
  <c r="D242" i="3"/>
  <c r="C239" i="3"/>
  <c r="D241" i="3"/>
  <c r="D239" i="3"/>
  <c r="C241" i="3"/>
  <c r="B239" i="3"/>
  <c r="B241" i="3"/>
  <c r="E240" i="3"/>
  <c r="F240" i="3" s="1"/>
  <c r="E238" i="3"/>
  <c r="F238" i="3" s="1"/>
  <c r="E242" i="3"/>
  <c r="F242" i="3" s="1"/>
  <c r="D240" i="3"/>
  <c r="C238" i="3"/>
  <c r="C242" i="3"/>
  <c r="C240" i="3"/>
  <c r="B238" i="3"/>
  <c r="B242" i="3"/>
  <c r="E239" i="3"/>
  <c r="F239" i="3" s="1"/>
  <c r="F14" i="1"/>
  <c r="E14" i="1"/>
  <c r="F30" i="1"/>
  <c r="E30" i="1"/>
  <c r="F5" i="1"/>
  <c r="E5" i="1"/>
  <c r="F37" i="1"/>
  <c r="E37" i="1"/>
  <c r="F8" i="1"/>
  <c r="E8" i="1"/>
  <c r="F39" i="1"/>
  <c r="E39" i="1"/>
  <c r="F21" i="1"/>
  <c r="E21" i="1"/>
  <c r="E18" i="1"/>
  <c r="F18" i="1"/>
  <c r="F9" i="1"/>
  <c r="E9" i="1"/>
  <c r="F33" i="1"/>
  <c r="E33" i="1"/>
  <c r="E28" i="1"/>
  <c r="F28" i="1"/>
  <c r="F6" i="1"/>
  <c r="E6" i="1"/>
  <c r="E4" i="1"/>
  <c r="F4" i="1"/>
  <c r="F7" i="1"/>
  <c r="E7" i="1"/>
  <c r="B178" i="3"/>
  <c r="D176" i="3"/>
  <c r="C176" i="3"/>
  <c r="E174" i="3"/>
  <c r="F174" i="3" s="1"/>
  <c r="E177" i="3"/>
  <c r="F177" i="3" s="1"/>
  <c r="B176" i="3"/>
  <c r="D174" i="3"/>
  <c r="C177" i="3"/>
  <c r="E175" i="3"/>
  <c r="F175" i="3" s="1"/>
  <c r="B174" i="3"/>
  <c r="C178" i="3"/>
  <c r="B175" i="3"/>
  <c r="D177" i="3"/>
  <c r="B177" i="3"/>
  <c r="C174" i="3"/>
  <c r="E176" i="3"/>
  <c r="F176" i="3" s="1"/>
  <c r="E178" i="3"/>
  <c r="F178" i="3" s="1"/>
  <c r="D178" i="3"/>
  <c r="D175" i="3"/>
  <c r="C175" i="3"/>
  <c r="F41" i="1"/>
  <c r="E41" i="1"/>
  <c r="F13" i="1"/>
  <c r="E13" i="1"/>
  <c r="F15" i="1"/>
  <c r="E15" i="1"/>
  <c r="E34" i="1"/>
  <c r="F34" i="1"/>
  <c r="F32" i="1"/>
  <c r="E32" i="1"/>
  <c r="F17" i="1"/>
  <c r="E17" i="1"/>
  <c r="F46" i="1"/>
  <c r="E46" i="1"/>
  <c r="E10" i="1"/>
  <c r="F10" i="1"/>
  <c r="F29" i="1"/>
  <c r="E29" i="1"/>
  <c r="C66" i="3"/>
  <c r="E64" i="3"/>
  <c r="F64" i="3" s="1"/>
  <c r="B63" i="3"/>
  <c r="C64" i="3"/>
  <c r="E62" i="3"/>
  <c r="F62" i="3" s="1"/>
  <c r="E65" i="3"/>
  <c r="F65" i="3" s="1"/>
  <c r="B64" i="3"/>
  <c r="D62" i="3"/>
  <c r="D65" i="3"/>
  <c r="C62" i="3"/>
  <c r="C65" i="3"/>
  <c r="E63" i="3"/>
  <c r="F63" i="3" s="1"/>
  <c r="B62" i="3"/>
  <c r="D64" i="3"/>
  <c r="DV26" i="2"/>
  <c r="D44" i="1" s="1"/>
  <c r="D63" i="3"/>
  <c r="C63" i="3"/>
  <c r="E66" i="3"/>
  <c r="F66" i="3" s="1"/>
  <c r="D66" i="3"/>
  <c r="B66" i="3"/>
  <c r="B65" i="3"/>
  <c r="FS6" i="2"/>
  <c r="F40" i="1"/>
  <c r="E40" i="1"/>
  <c r="E323" i="3" l="1"/>
  <c r="F323" i="3" s="1"/>
  <c r="B322" i="3"/>
  <c r="D320" i="3"/>
  <c r="C321" i="3"/>
  <c r="E319" i="3"/>
  <c r="F319" i="3" s="1"/>
  <c r="B323" i="3"/>
  <c r="E322" i="3"/>
  <c r="F322" i="3" s="1"/>
  <c r="E320" i="3"/>
  <c r="F320" i="3" s="1"/>
  <c r="D322" i="3"/>
  <c r="C320" i="3"/>
  <c r="C322" i="3"/>
  <c r="B320" i="3"/>
  <c r="E321" i="3"/>
  <c r="F321" i="3" s="1"/>
  <c r="D319" i="3"/>
  <c r="C319" i="3"/>
  <c r="B319" i="3"/>
  <c r="D323" i="3"/>
  <c r="C323" i="3"/>
  <c r="D321" i="3"/>
  <c r="B321" i="3"/>
  <c r="E43" i="1"/>
  <c r="F43" i="1"/>
  <c r="D331" i="3"/>
  <c r="C328" i="3"/>
  <c r="E330" i="3"/>
  <c r="F330" i="3" s="1"/>
  <c r="B329" i="3"/>
  <c r="D327" i="3"/>
  <c r="C330" i="3"/>
  <c r="B328" i="3"/>
  <c r="B330" i="3"/>
  <c r="E329" i="3"/>
  <c r="F329" i="3" s="1"/>
  <c r="E327" i="3"/>
  <c r="F327" i="3" s="1"/>
  <c r="E331" i="3"/>
  <c r="F331" i="3" s="1"/>
  <c r="D329" i="3"/>
  <c r="C327" i="3"/>
  <c r="C331" i="3"/>
  <c r="C329" i="3"/>
  <c r="B327" i="3"/>
  <c r="B331" i="3"/>
  <c r="D330" i="3"/>
  <c r="E328" i="3"/>
  <c r="F328" i="3" s="1"/>
  <c r="D328" i="3"/>
  <c r="F44" i="1"/>
  <c r="E44" i="1"/>
</calcChain>
</file>

<file path=xl/sharedStrings.xml><?xml version="1.0" encoding="utf-8"?>
<sst xmlns="http://schemas.openxmlformats.org/spreadsheetml/2006/main" count="2008" uniqueCount="671">
  <si>
    <t>RINGKASAN GROWTH IPH MINGGUAN JANUARI - AGUSTUS 2026 (Pasar Pon Jombang)</t>
  </si>
  <si>
    <t>No</t>
  </si>
  <si>
    <t>Bulan - Minggu</t>
  </si>
  <si>
    <t>Rentang Tanggal</t>
  </si>
  <si>
    <t>Growth IPH (%)</t>
  </si>
  <si>
    <t>Arah</t>
  </si>
  <si>
    <t>Growth IPH (%) [utk grafik]</t>
  </si>
  <si>
    <t>Jan 2026 - M1</t>
  </si>
  <si>
    <t>2026-01-01 s/d 2026-01-02</t>
  </si>
  <si>
    <t>Jan 2026 - M2</t>
  </si>
  <si>
    <t>2026-01-05 s/d 2026-01-09</t>
  </si>
  <si>
    <t>Jan 2026 - M3</t>
  </si>
  <si>
    <t>2026-01-12 s/d 2026-01-16</t>
  </si>
  <si>
    <t>Jan 2026 - M4</t>
  </si>
  <si>
    <t>2026-01-19 s/d 2026-01-23</t>
  </si>
  <si>
    <t>Jan 2026 - M5</t>
  </si>
  <si>
    <t>2026-01-26 s/d 2026-01-30</t>
  </si>
  <si>
    <t>Feb 2026 - M1</t>
  </si>
  <si>
    <t>2026-02-02 s/d 2026-02-06</t>
  </si>
  <si>
    <t>Feb 2026 - M2</t>
  </si>
  <si>
    <t>2026-02-09 s/d 2026-02-13</t>
  </si>
  <si>
    <t>Feb 2026 - M3</t>
  </si>
  <si>
    <t>2026-02-16 s/d 2026-02-20</t>
  </si>
  <si>
    <t>Feb 2026 - M4</t>
  </si>
  <si>
    <t>2026-02-23 s/d 2026-02-27</t>
  </si>
  <si>
    <t>Mar 2026 - M1</t>
  </si>
  <si>
    <t>2026-03-02 s/d 2026-03-06</t>
  </si>
  <si>
    <t>Mar 2026 - M2</t>
  </si>
  <si>
    <t>2026-03-09 s/d 2026-03-13</t>
  </si>
  <si>
    <t>Mar 2026 - M3</t>
  </si>
  <si>
    <t>2026-03-16 s/d 2026-03-20</t>
  </si>
  <si>
    <t>Mar 2026 - M4</t>
  </si>
  <si>
    <t>2026-03-23 s/d 2026-03-27</t>
  </si>
  <si>
    <t>Mar 2026 - M5</t>
  </si>
  <si>
    <t>2026-03-30 s/d 2026-03-31</t>
  </si>
  <si>
    <t>Apr 2026 - M1</t>
  </si>
  <si>
    <t>2026-04-01 s/d 2026-04-03</t>
  </si>
  <si>
    <t>Apr 2026 - M2</t>
  </si>
  <si>
    <t>2026-04-06 s/d 2026-04-10</t>
  </si>
  <si>
    <t>Apr 2026 - M3</t>
  </si>
  <si>
    <t>2026-04-13 s/d 2026-04-17</t>
  </si>
  <si>
    <t>Apr 2026 - M4</t>
  </si>
  <si>
    <t>2026-04-20 s/d 2026-04-24</t>
  </si>
  <si>
    <t>Apr 2026 - M5</t>
  </si>
  <si>
    <t>2026-04-27 s/d 2026-04-30</t>
  </si>
  <si>
    <t>Mei 2026 - M1</t>
  </si>
  <si>
    <t>2026-05-01 s/d 2026-05-01</t>
  </si>
  <si>
    <t>Mei 2026 - M2</t>
  </si>
  <si>
    <t>2026-05-04 s/d 2026-05-08</t>
  </si>
  <si>
    <t>Mei 2026 - M3</t>
  </si>
  <si>
    <t>2026-05-11 s/d 2026-05-15</t>
  </si>
  <si>
    <t>Mei 2026 - M4</t>
  </si>
  <si>
    <t>2026-05-18 s/d 2026-05-22</t>
  </si>
  <si>
    <t>Mei 2026 - M5</t>
  </si>
  <si>
    <t>2026-05-25 s/d 2026-05-29</t>
  </si>
  <si>
    <t>Jun 2026 - M1</t>
  </si>
  <si>
    <t>2026-06-01 s/d 2026-06-05</t>
  </si>
  <si>
    <t>Jun 2026 - M2</t>
  </si>
  <si>
    <t>2026-06-08 s/d 2026-06-12</t>
  </si>
  <si>
    <t>Jun 2026 - M3</t>
  </si>
  <si>
    <t>2026-06-15 s/d 2026-06-19</t>
  </si>
  <si>
    <t>Jun 2026 - M4</t>
  </si>
  <si>
    <t>2026-06-22 s/d 2026-06-26</t>
  </si>
  <si>
    <t>Jun 2026 - M5</t>
  </si>
  <si>
    <t>2026-06-29 s/d 2026-06-30</t>
  </si>
  <si>
    <t>Jul 2026 - M1</t>
  </si>
  <si>
    <t>2026-07-01 s/d 2026-07-03</t>
  </si>
  <si>
    <t>Jul 2026 - M2</t>
  </si>
  <si>
    <t>2026-07-06 s/d 2026-07-10</t>
  </si>
  <si>
    <t>Jul 2026 - M3</t>
  </si>
  <si>
    <t>2026-07-13 s/d 2026-07-17</t>
  </si>
  <si>
    <t>Jul 2026 - M4</t>
  </si>
  <si>
    <t>2026-07-20 s/d 2026-07-24</t>
  </si>
  <si>
    <t>Jul 2026 - M5</t>
  </si>
  <si>
    <t>2026-07-27 s/d 2026-07-31</t>
  </si>
  <si>
    <t>Agu 2026 - M1</t>
  </si>
  <si>
    <t>2026-08-03 s/d 2026-08-07</t>
  </si>
  <si>
    <t>Agu 2026 - M2</t>
  </si>
  <si>
    <t>2026-08-10 s/d 2026-08-14</t>
  </si>
  <si>
    <t>Agu 2026 - M3</t>
  </si>
  <si>
    <t>2026-08-17 s/d 2026-08-21</t>
  </si>
  <si>
    <t>Agu 2026 - M4</t>
  </si>
  <si>
    <t>2026-08-24 s/d 2026-08-28</t>
  </si>
  <si>
    <t>Sep 2026 - M1</t>
  </si>
  <si>
    <t>2026-08-31 s/d 2026-09-04</t>
  </si>
  <si>
    <t>Sep 2026 - M2</t>
  </si>
  <si>
    <t>2026-09-07 s/d 2026-09-11</t>
  </si>
  <si>
    <t>Sep 2026 - M3</t>
  </si>
  <si>
    <t>2026-09-14 s/d 2026-09-18</t>
  </si>
  <si>
    <t>Sep 2026 - M4</t>
  </si>
  <si>
    <t>2026-09-21 s/d 2026-09-25</t>
  </si>
  <si>
    <t>Sep 2026 - M5</t>
  </si>
  <si>
    <t>2026-09-28 s/d 2026-09-30</t>
  </si>
  <si>
    <t>PERHITUNGAN IPH MINGGUAN JANUARI - AGUSTUS 2026 (39 minggu) - PASAR PON JOMBANG</t>
  </si>
  <si>
    <t>Formula: Andil_i(Mt) = Bobot_i x [(P̄Mt,i - P̄bulan sebelumnya,i)/P̄bulan sebelumnya,i] x 100% ; Growth IPH(Mt) = Σ Andil_i(Mt). Acuan m-1 tiap minggu = rata-rata bulan kalender sebelumnya (mis. minggu2 Jan 2026 acuan = rata2 Des 2025).</t>
  </si>
  <si>
    <t>Jan 2026 - M1 (01-02)</t>
  </si>
  <si>
    <t>Jan 2026 - M2 (05-09)</t>
  </si>
  <si>
    <t>Jan 2026 - M3 (12-16)</t>
  </si>
  <si>
    <t>Jan 2026 - M4 (19-23)</t>
  </si>
  <si>
    <t>Jan 2026 - M5 (26-30)</t>
  </si>
  <si>
    <t>Feb 2026 - M1 (02-06)</t>
  </si>
  <si>
    <t>Feb 2026 - M2 (09-13)</t>
  </si>
  <si>
    <t>Feb 2026 - M3 (16-20)</t>
  </si>
  <si>
    <t>Feb 2026 - M4 (23-27)</t>
  </si>
  <si>
    <t>Mar 2026 - M1 (02-06)</t>
  </si>
  <si>
    <t>Mar 2026 - M2 (09-13)</t>
  </si>
  <si>
    <t>Mar 2026 - M3 (16-20)</t>
  </si>
  <si>
    <t>Mar 2026 - M4 (23-27)</t>
  </si>
  <si>
    <t>Mar 2026 - M5 (30-31)</t>
  </si>
  <si>
    <t>Apr 2026 - M1 (01-03)</t>
  </si>
  <si>
    <t>Apr 2026 - M2 (06-10)</t>
  </si>
  <si>
    <t>Apr 2026 - M3 (13-17)</t>
  </si>
  <si>
    <t>Apr 2026 - M4 (20-24)</t>
  </si>
  <si>
    <t>Apr 2026 - M5 (27-30)</t>
  </si>
  <si>
    <t>Mei 2026 - M1 (01-01)</t>
  </si>
  <si>
    <t>Mei 2026 - M2 (04-08)</t>
  </si>
  <si>
    <t>Mei 2026 - M3 (11-15)</t>
  </si>
  <si>
    <t>Mei 2026 - M4 (18-22)</t>
  </si>
  <si>
    <t>Mei 2026 - M5 (25-29)</t>
  </si>
  <si>
    <t>Jun 2026 - M1 (01-05)</t>
  </si>
  <si>
    <t>Jun 2026 - M2 (08-12)</t>
  </si>
  <si>
    <t>Jun 2026 - M3 (15-19)</t>
  </si>
  <si>
    <t>Jun 2026 - M4 (22-26)</t>
  </si>
  <si>
    <t>Jun 2026 - M5 (29-30)</t>
  </si>
  <si>
    <t>Jul 2026 - M1 (01-03)</t>
  </si>
  <si>
    <t>Jul 2026 - M2 (06-10)</t>
  </si>
  <si>
    <t>Jul 2026 - M3 (13-17)</t>
  </si>
  <si>
    <t>Jul 2026 - M4 (20-24)</t>
  </si>
  <si>
    <t>Jul 2026 - M5 (27-31)</t>
  </si>
  <si>
    <t>Agu 2026 - M1 (03-07)</t>
  </si>
  <si>
    <t>Agu 2026 - M2 (10-14)</t>
  </si>
  <si>
    <t>Agu 2026 - M3 (17-21)</t>
  </si>
  <si>
    <t>Agu 2026 - M4 (24-28)</t>
  </si>
  <si>
    <t>Sep 2026 - M1 (31-04)</t>
  </si>
  <si>
    <t>Sep 2026 - M2 (07-11)</t>
  </si>
  <si>
    <t>Sep 2026 - M3 (14-18)</t>
  </si>
  <si>
    <t>Sep 2026 - M4 (21-25)</t>
  </si>
  <si>
    <t>Sep 2026 - M5 (28-30)</t>
  </si>
  <si>
    <t>Komoditas (standar IPH)</t>
  </si>
  <si>
    <t>Bobot (wi)</t>
  </si>
  <si>
    <t>P̄</t>
  </si>
  <si>
    <t>Growth%</t>
  </si>
  <si>
    <t>Andil%</t>
  </si>
  <si>
    <t>ABS[Jan 2026-M1]</t>
  </si>
  <si>
    <t>ABS[Jan 2026-M2]</t>
  </si>
  <si>
    <t>ABS[Jan 2026-M3]</t>
  </si>
  <si>
    <t>ABS[Jan 2026-M4]</t>
  </si>
  <si>
    <t>ABS[Jan 2026-M5]</t>
  </si>
  <si>
    <t>ABS[Feb 2026-M1]</t>
  </si>
  <si>
    <t>ABS[Feb 2026-M2]</t>
  </si>
  <si>
    <t>ABS[Feb 2026-M3]</t>
  </si>
  <si>
    <t>ABS[Feb 2026-M4]</t>
  </si>
  <si>
    <t>ABS[Mar 2026-M1]</t>
  </si>
  <si>
    <t>ABS[Mar 2026-M2]</t>
  </si>
  <si>
    <t>ABS[Mar 2026-M3]</t>
  </si>
  <si>
    <t>ABS[Mar 2026-M4]</t>
  </si>
  <si>
    <t>ABS[Mar 2026-M5]</t>
  </si>
  <si>
    <t>ABS[Apr 2026-M1]</t>
  </si>
  <si>
    <t>ABS[Apr 2026-M2]</t>
  </si>
  <si>
    <t>ABS[Apr 2026-M3]</t>
  </si>
  <si>
    <t>ABS[Apr 2026-M4]</t>
  </si>
  <si>
    <t>ABS[Apr 2026-M5]</t>
  </si>
  <si>
    <t>ABS[Mei 2026-M1]</t>
  </si>
  <si>
    <t>ABS[Mei 2026-M2]</t>
  </si>
  <si>
    <t>ABS[Mei 2026-M3]</t>
  </si>
  <si>
    <t>ABS[Mei 2026-M4]</t>
  </si>
  <si>
    <t>ABS[Mei 2026-M5]</t>
  </si>
  <si>
    <t>ABS[Jun 2026-M1]</t>
  </si>
  <si>
    <t>ABS[Jun 2026-M2]</t>
  </si>
  <si>
    <t>ABS[Jun 2026-M3]</t>
  </si>
  <si>
    <t>ABS[Jun 2026-M4]</t>
  </si>
  <si>
    <t>ABS[Jun 2026-M5]</t>
  </si>
  <si>
    <t>ABS[Jul 2026-M1]</t>
  </si>
  <si>
    <t>ABS[Jul 2026-M2]</t>
  </si>
  <si>
    <t>ABS[Jul 2026-M3]</t>
  </si>
  <si>
    <t>ABS[Jul 2026-M4]</t>
  </si>
  <si>
    <t>ABS[Jul 2026-M5]</t>
  </si>
  <si>
    <t>ABS[Agu 2026-M1]</t>
  </si>
  <si>
    <t>ABS[Agu 2026-M2]</t>
  </si>
  <si>
    <t>ABS[Agu 2026-M3]</t>
  </si>
  <si>
    <t>ABS[Agu 2026-M4]</t>
  </si>
  <si>
    <t>ABS[Agu 2026-M5]</t>
  </si>
  <si>
    <t>ABS[Sep 2026-M1]</t>
  </si>
  <si>
    <t>ABS[Sep 2026-M2]</t>
  </si>
  <si>
    <t>ABS[Sep 2026-M3]</t>
  </si>
  <si>
    <t>ABS[Sep 2026-M4]</t>
  </si>
  <si>
    <t>ABS[Sep 2026-M5]</t>
  </si>
  <si>
    <t>beras 1111001</t>
  </si>
  <si>
    <t>tepung terigu 01115005</t>
  </si>
  <si>
    <t>tahu mentah 1194011</t>
  </si>
  <si>
    <t>daging ayam ras 1124003</t>
  </si>
  <si>
    <t>minyak goreng 01154001/4</t>
  </si>
  <si>
    <t>udang lobster 01132004</t>
  </si>
  <si>
    <t>pisang ambon 1162001</t>
  </si>
  <si>
    <t>cabai rawit 01173013</t>
  </si>
  <si>
    <t>telur ayam ras 01147002</t>
  </si>
  <si>
    <t>gula pasir 1181001</t>
  </si>
  <si>
    <t>ikan kembung 01131028</t>
  </si>
  <si>
    <t>susu bubuk bayi 01143001/2</t>
  </si>
  <si>
    <t>bawang merah 1174006</t>
  </si>
  <si>
    <t>bawang putih 01174007</t>
  </si>
  <si>
    <t>mi instan 01115012</t>
  </si>
  <si>
    <t>susu bubuk 01143001/2</t>
  </si>
  <si>
    <t>cabai merah 01173012</t>
  </si>
  <si>
    <t>daging sapi 01121001</t>
  </si>
  <si>
    <t>tempe 01194013</t>
  </si>
  <si>
    <t>jeruk 01161001-33</t>
  </si>
  <si>
    <t>TOTAL / GROWTH IPH MINGGU INI</t>
  </si>
  <si>
    <t>5 KOMODITAS DENGAN ANDIL TERBESAR PER MINGGU - JANUARI-AGUSTUS 2026</t>
  </si>
  <si>
    <t>Diurutkan berdasarkan nilai mutlak (absolut) andil per minggu. Keterangan: KENAIKAN/PENURUNAN menunjukkan arah kontribusi komoditas terhadap IPH minggu tsb.</t>
  </si>
  <si>
    <t>JAN 2026 - M1 (01-02)</t>
  </si>
  <si>
    <t>Peringkat</t>
  </si>
  <si>
    <t>Komoditas</t>
  </si>
  <si>
    <t>Pertumbuhan Harga (%)</t>
  </si>
  <si>
    <t>Andil thd IPH (%)</t>
  </si>
  <si>
    <t>Keterangan</t>
  </si>
  <si>
    <t>JAN 2026 - M2 (05-09)</t>
  </si>
  <si>
    <t>JAN 2026 - M3 (12-16)</t>
  </si>
  <si>
    <t>JAN 2026 - M4 (19-23)</t>
  </si>
  <si>
    <t>JAN 2026 - M5 (26-30)</t>
  </si>
  <si>
    <t>FEB 2026 - M1 (02-06)</t>
  </si>
  <si>
    <t>FEB 2026 - M2 (09-13)</t>
  </si>
  <si>
    <t>FEB 2026 - M3 (16-20)</t>
  </si>
  <si>
    <t>FEB 2026 - M4 (23-27)</t>
  </si>
  <si>
    <t>MAR 2026 - M1 (02-06)</t>
  </si>
  <si>
    <t>MAR 2026 - M2 (09-13)</t>
  </si>
  <si>
    <t>MAR 2026 - M3 (16-20)</t>
  </si>
  <si>
    <t>MAR 2026 - M4 (23-27)</t>
  </si>
  <si>
    <t>MAR 2026 - M5 (30-31)</t>
  </si>
  <si>
    <t>APR 2026 - M1 (01-03)</t>
  </si>
  <si>
    <t>APR 2026 - M2 (06-10)</t>
  </si>
  <si>
    <t>APR 2026 - M3 (13-17)</t>
  </si>
  <si>
    <t>APR 2026 - M4 (20-24)</t>
  </si>
  <si>
    <t>APR 2026 - M5 (27-30)</t>
  </si>
  <si>
    <t>MEI 2026 - M1 (01-01)</t>
  </si>
  <si>
    <t>MEI 2026 - M2 (04-08)</t>
  </si>
  <si>
    <t>MEI 2026 - M3 (11-15)</t>
  </si>
  <si>
    <t>MEI 2026 - M4 (18-22)</t>
  </si>
  <si>
    <t>MEI 2026 - M5 (25-29)</t>
  </si>
  <si>
    <t>JUN 2026 - M1 (01-05)</t>
  </si>
  <si>
    <t>JUN 2026 - M2 (08-12)</t>
  </si>
  <si>
    <t>JUN 2026 - M3 (15-19)</t>
  </si>
  <si>
    <t>JUN 2026 - M4 (22-26)</t>
  </si>
  <si>
    <t>JUN 2026 - M5 (29-30)</t>
  </si>
  <si>
    <t>JUL 2026 - M1 (01-03)</t>
  </si>
  <si>
    <t>JUL 2026 - M2 (06-10)</t>
  </si>
  <si>
    <t>JUL 2026 - M3 (13-17)</t>
  </si>
  <si>
    <t>JUL 2026 - M4 (20-24)</t>
  </si>
  <si>
    <t>JUL 2026 - M5 (27-31)</t>
  </si>
  <si>
    <t>AGU 2026 - M1 (03-07)</t>
  </si>
  <si>
    <t>AGU 2026 - M2 (10-14)</t>
  </si>
  <si>
    <t>AGU 2026 - M3 (17-21)</t>
  </si>
  <si>
    <t>AGU 2026 - M4 (24-28)</t>
  </si>
  <si>
    <t>SEP 2026 - M1 (31-04)</t>
  </si>
  <si>
    <t>SEP 2026 - M2 (07-11)</t>
  </si>
  <si>
    <t>SEP 2026 - M3 (14-18)</t>
  </si>
  <si>
    <t>SEP 2026 - M4 (21-25)</t>
  </si>
  <si>
    <t>SEP 2026 - M5 (28-30)</t>
  </si>
  <si>
    <t>ANALISIS &amp; SARAN KEBIJAKAN UNTUK PEMERINTAH KABUPATEN JOMBANG - JANUARI-AGUSTUS 2026</t>
  </si>
  <si>
    <t>Berdasarkan hasil perhitungan IPH mingguan Januari-Agustus 2026 (39 minggu, data Pasar Pon Jombang)</t>
  </si>
  <si>
    <t>1. POLA UMUM SEPANJANG JANUARI-AGUSTUS 2026</t>
  </si>
  <si>
    <t>Dari 39 minggu yang dihitung, terdapat 2 minggu tanpa data valid (1 Mei 2026, bertepatan Hari Buruh, dan 31 Agustus 2026) karena hanya satu hari pasar dalam minggu tersebut dan tidak tercatat harga - ditandai 'Data tidak tersedia' pada sheet perhitungan. JANUARI 2026 relatif stabil (growth mingguan di kisaran -0,03% s/d +0,49%). Tekanan KENAIKAN IPH yang tajam dan konsisten terjadi mulai pertengahan FEBRUARI hingga akhir MARET 2026 (growth mingguan +4,7% s/d +7,4%), bertepatan dengan awal Ramadhan 1447H (19 Februari 2026) dan berlanjut hingga menjelang Idul Fitri (sekitar 20 Maret 2026) - pola musiman klasik lonjakan permintaan bahan pokok &amp; protein selama bulan puasa dan menjelang lebaran. Sebaliknya, APRIL-JUNI 2026 menunjukkan tren PENURUNAN IPH yang konsisten (growth mingguan -0,3% s/d -2,1%, memuncak pada akhir Juni), koreksi pasca-Lebaran yang mirip pola yang tercatat pada Mei 2025. JULI 2026 masih melanjutkan tren melemah namun mulai mendatar, dan AGUSTUS 2026 kembali stabil berfluktuasi tipis di kisaran -0,1% s/d +0,4%.</t>
  </si>
  <si>
    <t>2. KOMODITAS PALING SERING MENJADI PENYUMBANG KENAIKAN IPH</t>
  </si>
  <si>
    <t>CABAI RAWIT paling sering muncul sebagai penyumbang andil terbesar dalam nilai mutlak (13 dari 39 minggu berada di peringkat #1) dan tercatat di top-5 pada 35 dari 39 minggu - komoditas paling volatile, dengan lonjakan harga hingga +137% dalam seminggu pada puncak Ramadhan (Feb 2026 M3). DAGING AYAM RAS menyusul sebagai penyumbang andil kumulatif NET POSITIF terbesar sepanjang periode (naik pada 22 dari 39 minggu, termasuk lonjakan +35% pada minggu yang sama), diikuti oleh IKAN KEMBUNG (proksi: Ikan Tongkol) dan DAGING SAPI yang konsisten SELALU naik (13 dan 26 minggu naik, 0 minggu turun) - dua komoditas protein hewani ini tidak pernah tercatat mengalami penurunan harga sepanjang Januari-Agustus 2026, mengindikasikan tekanan struktural pada sisi pasokan, bukan sekadar fluktuasi musiman.</t>
  </si>
  <si>
    <t>3. KOMODITAS DENGAN TREN PENURUNAN NET SEPANJANG PERIODE</t>
  </si>
  <si>
    <t>TELUR AYAM RAS mencatat andil kumulatif NET NEGATIF terbesar (turun pada 28 dari 39 minggu, TIDAK PERNAH tercatat sebagai penyumbang kenaikan andil positif di top-5) - harga cenderung melemah cukup konsisten sepanjang Januari-Agustus 2026, baik menguntungkan konsumen namun perlu diwaspadai dampaknya terhadap peternak lokal. BERAS juga mencatat andil net negatif tipis, dengan pergerakan dua arah yang relatif kecil dibanding komoditas hortikultura/protein lainnya.</t>
  </si>
  <si>
    <t>4. SARAN UNTUK PEMERINTAH KABUPATEN JOMBANG</t>
  </si>
  <si>
    <t>a. CABAI RAWIT (penyumbang kenaikan andil terbesar &amp; paling sering di peringkat #1, hingga +137% dalam seminggu saat Ramadhan): perkuat program tanam cabai mandiri/pekarangan (Gerakan Tanam Cabai) menjelang bulan puasa setiap tahun, jadwalkan kerja sama pasokan dengan sentra produksi luar daerah paling lambat H-4 minggu sebelum awal Ramadhan, dan siapkan operasi pasar begitu andil mingguannya mulai naik tajam (&gt;1%) - jangan menunggu akumulasi bulanan.</t>
  </si>
  <si>
    <t>b. DAGING AYAM RAS, IKAN KEMBUNG (proksi Ikan Tongkol), &amp; DAGING SAPI (konsisten TIDAK PERNAH turun sepanjang periode, indikasi tekanan struktural): koordinasikan dengan asosiasi peternak/nelayan lokal untuk kontrak harga/pasokan yang lebih stabil, dan telusuri apakah kenaikan berasal dari harga pakan ternak, BBM distribusi, atau faktor pasokan musiman (misalnya cuaca yang memengaruhi tangkapan ikan laut).</t>
  </si>
  <si>
    <t>c. Pantau khusus periode APRIL-JUNI 2026 sebagai preseden tahunan berulang (konsisten dengan pola Mei 2025): penurunan harga pasca-Lebaran yang tajam dan berkepanjangan (mencapai puncak -2,1% pada akhir Juni) menunjukkan perlunya skema penyerapan hasil panen/ternak lokal pasca hari besar keagamaan agar produsen tidak mengalami kerugian akibat surplus pasokan/permintaan yang anjlok mendadak.</t>
  </si>
  <si>
    <t>d. Jadwalkan kesiapsiagaan TPID (Tim Pengendali Inflasi Daerah) khusus H-4 minggu sebelum Ramadhan setiap tahunnya (pola 2026 berulang dari 2025: lonjakan tajam dimulai tepat saat awal bulan puasa) - jangan menunggu laporan bulanan, karena andil mingguan cabai rawit &amp; daging ayam ras sudah melonjak signifikan sejak minggu pertama Ramadhan.</t>
  </si>
  <si>
    <t>e. Karena seluruh perhitungan ini hanya berbasis SATU pasar (Pasar Pon Jombang) dan sebagian variant (Ikan Kembung, Susu Bubuk Bayi/Dewasa) masih memakai data PROKSI (lihat sheet 'Pemetaan Variant'), lengkapi dengan data SP2KP dari pasar/kios lain di seluruh kecamatan serta variant yang lebih presisi agar IPH mingguan kabupaten merepresentasikan kondisi riil secara utuh, sesuai metodologi resmi BPS.</t>
  </si>
  <si>
    <t>f. Gunakan sheet 'Ringkasan Mingguan 2026' dan 'Top 5 Andil per Minggu 2026' sebagai bahan rutin Rapat Koordinasi Pengendalian Inflasi Daerah (TPID) mingguan - seluruh angka di file ini otomatis ter-update apabila data harga harian baru (Sep 2026 dst.) ditambahkan ke sheet 'Data [Bulan] 2026' dan 'Pemetaan Variant'.</t>
  </si>
  <si>
    <t>PEMETAAN 20 KOMODITAS STANDAR IPH KE VARIAN HARGA PASAR PON JOMBANG - 2026</t>
  </si>
  <si>
    <t>Digunakan oleh seluruh formula AVERAGEIF pada sheet 'Perhitungan IPH Mingguan 2026'. Mengikuti pemetaan resmi tahun 2025 (termasuk proksi Ikan Kembung-&gt;Ikan Tongkol, Susu Bubuk Bayi-&gt;Susu Bubuk Balita, Susu Bubuk-&gt;Susu Kental Manis).</t>
  </si>
  <si>
    <t>Variant Sumber Data</t>
  </si>
  <si>
    <t>Catatan Pemetaan</t>
  </si>
  <si>
    <t>P̄ Des 2025 (m-1)</t>
  </si>
  <si>
    <t>P̄ Jan 2026 (m-1)</t>
  </si>
  <si>
    <t>P̄ Feb 2026 (m-1)</t>
  </si>
  <si>
    <t>P̄ Mar 2026 (m-1)</t>
  </si>
  <si>
    <t>P̄ Apr 2026 (m-1)</t>
  </si>
  <si>
    <t>P̄ Mei 2026 (m-1)</t>
  </si>
  <si>
    <t>P̄ Jun 2026 (m-1)</t>
  </si>
  <si>
    <t>P̄ Jul 2026 (m-1)</t>
  </si>
  <si>
    <t>P̄ Jan 2026 M1 (01-02)</t>
  </si>
  <si>
    <t>P̄ Jan 2026 M2 (05-09)</t>
  </si>
  <si>
    <t>P̄ Jan 2026 M3 (12-16)</t>
  </si>
  <si>
    <t>P̄ Jan 2026 M4 (19-23)</t>
  </si>
  <si>
    <t>P̄ Jan 2026 M5 (26-30)</t>
  </si>
  <si>
    <t>P̄ Feb 2026 M1 (02-06)</t>
  </si>
  <si>
    <t>P̄ Feb 2026 M2 (09-13)</t>
  </si>
  <si>
    <t>P̄ Feb 2026 M3 (16-20)</t>
  </si>
  <si>
    <t>P̄ Feb 2026 M4 (23-27)</t>
  </si>
  <si>
    <t>P̄ Mar 2026 M1 (02-06)</t>
  </si>
  <si>
    <t>P̄ Mar 2026 M2 (09-13)</t>
  </si>
  <si>
    <t>P̄ Mar 2026 M3 (16-20)</t>
  </si>
  <si>
    <t>P̄ Mar 2026 M4 (23-27)</t>
  </si>
  <si>
    <t>P̄ Mar 2026 M5 (30-31)</t>
  </si>
  <si>
    <t>P̄ Apr 2026 M1 (01-03)</t>
  </si>
  <si>
    <t>P̄ Apr 2026 M2 (06-10)</t>
  </si>
  <si>
    <t>P̄ Apr 2026 M3 (13-17)</t>
  </si>
  <si>
    <t>P̄ Apr 2026 M4 (20-24)</t>
  </si>
  <si>
    <t>P̄ Apr 2026 M5 (27-30)</t>
  </si>
  <si>
    <t>P̄ Mei 2026 M1 (01-01)</t>
  </si>
  <si>
    <t>P̄ Mei 2026 M2 (04-08)</t>
  </si>
  <si>
    <t>P̄ Mei 2026 M3 (11-15)</t>
  </si>
  <si>
    <t>P̄ Mei 2026 M4 (18-22)</t>
  </si>
  <si>
    <t>P̄ Mei 2026 M5 (25-29)</t>
  </si>
  <si>
    <t>P̄ Jun 2026 M1 (01-05)</t>
  </si>
  <si>
    <t>P̄ Jun 2026 M2 (08-12)</t>
  </si>
  <si>
    <t>P̄ Jun 2026 M3 (15-19)</t>
  </si>
  <si>
    <t>P̄ Jun 2026 M4 (22-26)</t>
  </si>
  <si>
    <t>P̄ Jun 2026 M5 (29-30)</t>
  </si>
  <si>
    <t>P̄ Jul 2026 M1 (01-03)</t>
  </si>
  <si>
    <t>P̄ Jul 2026 M2 (06-10)</t>
  </si>
  <si>
    <t>P̄ Jul 2026 M3 (13-17)</t>
  </si>
  <si>
    <t>P̄ Jul 2026 M4 (20-24)</t>
  </si>
  <si>
    <t>P̄ Jul 2026 M5 (27-31)</t>
  </si>
  <si>
    <t>P̄ Agu 2026 M1 (03-07)</t>
  </si>
  <si>
    <t>P̄ Agu 2026 M2 (10-14)</t>
  </si>
  <si>
    <t>P̄ Agu 2026 M3 (17-21)</t>
  </si>
  <si>
    <t>P̄ Agu 2026 M4 (24-28)</t>
  </si>
  <si>
    <t>P̄ Agu 2026 M5 (31-31)</t>
  </si>
  <si>
    <t>P̄ Agu 2026 (m-1)</t>
  </si>
  <si>
    <t>P̄ Sep 2026 M1 (31-04)</t>
  </si>
  <si>
    <t>P̄ Sep 2026 M2 (07-11)</t>
  </si>
  <si>
    <t>P̄ Sep 2026 M3 (14-18)</t>
  </si>
  <si>
    <t>P̄ Sep 2026 M4 (21-25)</t>
  </si>
  <si>
    <t>P̄ Sep 2026 M5 (28-30)</t>
  </si>
  <si>
    <t>Beras Medium</t>
  </si>
  <si>
    <t>Beras Premium</t>
  </si>
  <si>
    <t>Beras SPHP Bulog</t>
  </si>
  <si>
    <t>Tepung Terigu</t>
  </si>
  <si>
    <t>Tahu Putih</t>
  </si>
  <si>
    <t>Daging Ayam Ras</t>
  </si>
  <si>
    <t>Minyak Goreng Sawit Curah</t>
  </si>
  <si>
    <t>Minyak Goreng Sawit Kemasan Premium</t>
  </si>
  <si>
    <t>Minyakita</t>
  </si>
  <si>
    <t>Udang Basah</t>
  </si>
  <si>
    <t>Proksi: 'Udang Basah' (tidak ada varian lobster).</t>
  </si>
  <si>
    <t>Pisang Lokal</t>
  </si>
  <si>
    <t>Proksi: 'Pisang Lokal' (tidak ada varian ambon).</t>
  </si>
  <si>
    <t>Cabai Rawit Merah</t>
  </si>
  <si>
    <t>Telur Ayam Ras</t>
  </si>
  <si>
    <t>Gula Pasir Curah</t>
  </si>
  <si>
    <t>Ikan Tongkol</t>
  </si>
  <si>
    <t>Proksi: 'Ikan Tongkol' (ikan laut sejenis).</t>
  </si>
  <si>
    <t>Susu Bubuk Balita</t>
  </si>
  <si>
    <t>Proksi: 'Susu Bubuk Balita'.</t>
  </si>
  <si>
    <t>Bawang Merah</t>
  </si>
  <si>
    <t>Bawang Putih Honan</t>
  </si>
  <si>
    <t>Bawang Putih Kating</t>
  </si>
  <si>
    <t>Mie Instan</t>
  </si>
  <si>
    <t>Susu Kental Manis</t>
  </si>
  <si>
    <t>Proksi: 'Susu Kental Manis' (tidak ada varian susu bubuk dewasa terpisah).</t>
  </si>
  <si>
    <t>Cabai Merah Keriting</t>
  </si>
  <si>
    <t>Cabai Merah Besar</t>
  </si>
  <si>
    <t>Daging Sapi Paha Belakang</t>
  </si>
  <si>
    <t>Daging Sapi Sandung Lamur</t>
  </si>
  <si>
    <t>Daging Sapi Tetelan</t>
  </si>
  <si>
    <t>Tempe Bungkus</t>
  </si>
  <si>
    <t>Jeruk Lokal</t>
  </si>
  <si>
    <t>NILAI KONSUMSI DASAR 2022 (P0i . Q0i) &amp; BOBOT - 20 KOMODITAS IPH</t>
  </si>
  <si>
    <t>Sumber: file P0Q0.xlsx. Bobot diambil langsung dari sheet 'bobot' pada file sumber (nilai resmi).</t>
  </si>
  <si>
    <t>Q0i (Volume)</t>
  </si>
  <si>
    <t>P0i (Harga dasar 2022)</t>
  </si>
  <si>
    <t>Nilai Konsumsi0</t>
  </si>
  <si>
    <t>Bobot (wi) - resmi</t>
  </si>
  <si>
    <t>TOTAL</t>
  </si>
  <si>
    <t>DATA HARGA HARIAN - PASAR PON JOMBANG - DES 2025</t>
  </si>
  <si>
    <t>Sumber: SP2KP Kementerian Perdagangan. Nilai 0 (hari libur pasar) dikecualikan dari rata-rata.</t>
  </si>
  <si>
    <t>Variant</t>
  </si>
  <si>
    <t>Unit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</si>
  <si>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</si>
  <si>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</si>
  <si>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</si>
  <si>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</si>
  <si>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</si>
  <si>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</si>
  <si>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</si>
  <si>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</si>
  <si>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</si>
  <si>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</si>
  <si>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</si>
  <si>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</si>
  <si>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</si>
  <si>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</si>
  <si>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</si>
  <si>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</si>
  <si>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</si>
  <si>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</si>
  <si>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</si>
  <si>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</si>
  <si>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</si>
  <si>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</si>
  <si>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</si>
  <si>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Rata-rata M1 (01-05)</t>
  </si>
  <si>
    <t>Rata-rata M2 (08-12)</t>
  </si>
  <si>
    <t>Rata-rata M3 (15-19)</t>
  </si>
  <si>
    <t>Rata-rata M4 (22-26)</t>
  </si>
  <si>
    <t>Rata-rata M5 (29-31)</t>
  </si>
  <si>
    <t>Rata-rata Bulan Des 2025</t>
  </si>
  <si>
    <t>kg</t>
  </si>
  <si>
    <t>Kedelai Impor</t>
  </si>
  <si>
    <t>Ikan Bandeng</t>
  </si>
  <si>
    <t>Ikan Teri</t>
  </si>
  <si>
    <t>Bawang Bombai</t>
  </si>
  <si>
    <t>Garam Halus</t>
  </si>
  <si>
    <t>Tomat</t>
  </si>
  <si>
    <t>Kentang Sedang</t>
  </si>
  <si>
    <t>Sawi Hijau</t>
  </si>
  <si>
    <t>Kangkung</t>
  </si>
  <si>
    <t>Ketimun Sedang</t>
  </si>
  <si>
    <t>Kacang Panjang</t>
  </si>
  <si>
    <t>Ketela Pohon</t>
  </si>
  <si>
    <t>Daging Ayam Kampung</t>
  </si>
  <si>
    <t>Telur Ayam Kampung</t>
  </si>
  <si>
    <t>Kacang Tanah</t>
  </si>
  <si>
    <t>Kacang Hijau</t>
  </si>
  <si>
    <t>DATA HARGA HARIAN - PASAR PON JOMBANG - JANUARI 2026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</si>
  <si>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</si>
  <si>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</si>
  <si>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</si>
  <si>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</si>
  <si>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</si>
  <si>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</si>
  <si>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</si>
  <si>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</si>
  <si>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</si>
  <si>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</si>
  <si>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</si>
  <si>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</si>
  <si>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</si>
  <si>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</si>
  <si>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</si>
  <si>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</si>
  <si>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</si>
  <si>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</si>
  <si>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</si>
  <si>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</si>
  <si>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</si>
  <si>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</si>
  <si>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Rata-rata M1 (01-02)</t>
  </si>
  <si>
    <t>Rata-rata M2 (05-09)</t>
  </si>
  <si>
    <t>Rata-rata M3 (12-16)</t>
  </si>
  <si>
    <t>Rata-rata M4 (19-23)</t>
  </si>
  <si>
    <t>Rata-rata M5 (26-30)</t>
  </si>
  <si>
    <t>Rata-rata Bulan Jan 2026</t>
  </si>
  <si>
    <t>lt</t>
  </si>
  <si>
    <t>Bungkus</t>
  </si>
  <si>
    <t>370gr</t>
  </si>
  <si>
    <t>400gr</t>
  </si>
  <si>
    <t>Ekor</t>
  </si>
  <si>
    <t>DATA HARGA HARIAN - PASAR PON JOMBANG - FEBRUARI 2026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</si>
  <si>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</si>
  <si>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</si>
  <si>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</si>
  <si>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</si>
  <si>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</si>
  <si>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</si>
  <si>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</si>
  <si>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</si>
  <si>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</si>
  <si>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</si>
  <si>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</si>
  <si>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</si>
  <si>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</si>
  <si>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</si>
  <si>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</si>
  <si>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</si>
  <si>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</si>
  <si>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</si>
  <si>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</si>
  <si>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</si>
  <si>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Rata-rata M1 (02-06)</t>
  </si>
  <si>
    <t>Rata-rata M2 (09-13)</t>
  </si>
  <si>
    <t>Rata-rata M3 (16-20)</t>
  </si>
  <si>
    <t>Rata-rata M4 (23-27)</t>
  </si>
  <si>
    <t>Rata-rata Bulan Feb 2026</t>
  </si>
  <si>
    <t>DATA HARGA HARIAN - PASAR PON JOMBANG - MARET 2026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</si>
  <si>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</si>
  <si>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</si>
  <si>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</si>
  <si>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</si>
  <si>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</si>
  <si>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</si>
  <si>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</si>
  <si>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</si>
  <si>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</si>
  <si>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</si>
  <si>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</si>
  <si>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</si>
  <si>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</si>
  <si>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</si>
  <si>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</si>
  <si>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</si>
  <si>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</si>
  <si>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</si>
  <si>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</si>
  <si>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</si>
  <si>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</si>
  <si>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</si>
  <si>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Rata-rata M5 (30-31)</t>
  </si>
  <si>
    <t>Rata-rata Bulan Mar 2026</t>
  </si>
  <si>
    <t>DATA HARGA HARIAN - PASAR PON JOMBANG - APRIL 2026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</si>
  <si>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</si>
  <si>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</si>
  <si>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</si>
  <si>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</si>
  <si>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</si>
  <si>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</si>
  <si>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</si>
  <si>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</si>
  <si>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</si>
  <si>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</si>
  <si>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</si>
  <si>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</si>
  <si>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</si>
  <si>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</si>
  <si>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</si>
  <si>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</si>
  <si>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</si>
  <si>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</si>
  <si>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</si>
  <si>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</si>
  <si>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</si>
  <si>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</si>
  <si>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Rata-rata M1 (01-03)</t>
  </si>
  <si>
    <t>Rata-rata M2 (06-10)</t>
  </si>
  <si>
    <t>Rata-rata M3 (13-17)</t>
  </si>
  <si>
    <t>Rata-rata M4 (20-24)</t>
  </si>
  <si>
    <t>Rata-rata M5 (27-30)</t>
  </si>
  <si>
    <t>Rata-rata Bulan Apr 2026</t>
  </si>
  <si>
    <t>DATA HARGA HARIAN - PASAR PON JOMBANG - MEI 2026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</si>
  <si>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</si>
  <si>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</si>
  <si>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</si>
  <si>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</si>
  <si>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</si>
  <si>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</si>
  <si>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</si>
  <si>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</si>
  <si>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</si>
  <si>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</si>
  <si>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</si>
  <si>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</si>
  <si>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</si>
  <si>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</si>
  <si>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</si>
  <si>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</si>
  <si>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</si>
  <si>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</si>
  <si>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</si>
  <si>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</si>
  <si>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</si>
  <si>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Rata-rata M1 (01-01)</t>
  </si>
  <si>
    <t>Rata-rata M2 (04-08)</t>
  </si>
  <si>
    <t>Rata-rata M3 (11-15)</t>
  </si>
  <si>
    <t>Rata-rata M4 (18-22)</t>
  </si>
  <si>
    <t>Rata-rata M5 (25-29)</t>
  </si>
  <si>
    <t>Rata-rata Bulan Mei 2026</t>
  </si>
  <si>
    <t>DATA HARGA HARIAN - PASAR PON JOMBANG - JUNI 2026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</si>
  <si>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</si>
  <si>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</si>
  <si>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</si>
  <si>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</si>
  <si>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</si>
  <si>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</si>
  <si>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</si>
  <si>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</si>
  <si>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</si>
  <si>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</si>
  <si>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</si>
  <si>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</si>
  <si>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</si>
  <si>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</si>
  <si>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</si>
  <si>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</si>
  <si>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</si>
  <si>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</si>
  <si>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</si>
  <si>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</si>
  <si>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</si>
  <si>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</si>
  <si>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Rata-rata M5 (29-30)</t>
  </si>
  <si>
    <t>Rata-rata Bulan Jun 2026</t>
  </si>
  <si>
    <t>DATA HARGA HARIAN - PASAR PON JOMBANG - JULI 2026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</si>
  <si>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</si>
  <si>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</si>
  <si>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</si>
  <si>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</si>
  <si>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</si>
  <si>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</si>
  <si>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</si>
  <si>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</si>
  <si>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</si>
  <si>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</si>
  <si>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</si>
  <si>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</si>
  <si>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</si>
  <si>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</si>
  <si>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</si>
  <si>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</si>
  <si>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</si>
  <si>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</si>
  <si>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</si>
  <si>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</si>
  <si>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</si>
  <si>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</si>
  <si>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</si>
  <si>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Rata-rata M5 (27-31)</t>
  </si>
  <si>
    <t>Rata-rata Bulan Jul 2026</t>
  </si>
  <si>
    <t>DATA HARGA HARIAN - PASAR PON JOMBANG - AGUSTUS 2026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</si>
  <si>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</si>
  <si>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</si>
  <si>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</si>
  <si>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</si>
  <si>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</si>
  <si>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</si>
  <si>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</si>
  <si>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</si>
  <si>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</si>
  <si>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</si>
  <si>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</si>
  <si>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</si>
  <si>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</si>
  <si>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</si>
  <si>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</si>
  <si>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</si>
  <si>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</si>
  <si>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</si>
  <si>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</si>
  <si>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</si>
  <si>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</si>
  <si>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Rata-rata M1 (03-07)</t>
  </si>
  <si>
    <t>Rata-rata M2 (10-14)</t>
  </si>
  <si>
    <t>Rata-rata M3 (17-21)</t>
  </si>
  <si>
    <t>Rata-rata M4 (24-28)</t>
  </si>
  <si>
    <t>Rata-rata M5 (31-31)</t>
  </si>
  <si>
    <t>Rata-rata Bulan Agu 2026</t>
  </si>
  <si>
    <t>DATA HARGA HARIAN - PASAR PON JOMBANG - SEPTEMBER 2026 (mencakup 31 Agustus s/d 30 September, mengikuti minggu kalender Senin-Jumat)</t>
  </si>
  <si>
    <t>Sumber: SP2KP Kementerian Perdagangan. Nilai 0 (hari libur pasar) dikecualikan dari rata-rata. Minggu ke-1 mencakup 31 Agustus 2026 (Senin) karena satu minggu kalender dengan awal September.</t>
  </si>
  <si>
    <t>2026-09-01</t>
  </si>
  <si>
    <t>2026-09-02</t>
  </si>
  <si>
    <t>2026-09-03</t>
  </si>
  <si>
    <t>2026-09-04</t>
  </si>
  <si>
    <t>2026-09-07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</si>
  <si>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</si>
  <si>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</si>
  <si>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</si>
  <si>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</si>
  <si>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</si>
  <si>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</si>
  <si>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</si>
  <si>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</si>
  <si>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</si>
  <si>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</si>
  <si>
    <t>2026-09-22</t>
  </si>
  <si>
    <t>2026-09-23</t>
  </si>
  <si>
    <t>2026-09-24</t>
  </si>
  <si>
    <t>2026-09-25</t>
  </si>
  <si>
    <t>2026-09-28</t>
  </si>
  <si>
    <t>2026-09-29</t>
  </si>
  <si>
    <t>2026-09-30</t>
  </si>
  <si>
    <t>Rata-rata M1 (08/31-09/04)</t>
  </si>
  <si>
    <t>Rata-rata M2 (09/07-09/11)</t>
  </si>
  <si>
    <t>Rata-rata M3 (09/14-09/18)</t>
  </si>
  <si>
    <t>Rata-rata M4 (09/21-09/25)</t>
  </si>
  <si>
    <t>Rata-rata M5 (09/28-09/30)</t>
  </si>
  <si>
    <t>Rata-rata Bulan Sep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</si>
</sst>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i/>
      <sz val="8"/>
      <color rgb="FF808080"/>
      <name val="Arial"/>
      <charset val="1"/>
    </font>
    <font>
      <b/>
      <sz val="8"/>
      <color rgb="FFFFFFFF"/>
      <name val="Arial"/>
      <charset val="1"/>
    </font>
    <font>
      <b/>
      <sz val="9"/>
      <name val="Arial"/>
      <charset val="1"/>
    </font>
    <font>
      <b/>
      <sz val="10"/>
      <color rgb="FFFFFFFF"/>
      <name val="Arial"/>
      <charset val="1"/>
    </font>
    <font>
      <b/>
      <sz val="13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i/>
      <sz val="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  <fill>
      <patternFill patternType="solid">
        <fgColor rgb="FFD9E1E2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2E8B94"/>
        <bgColor rgb="FF1F6F78"/>
      </patternFill>
    </fill>
    <fill>
      <patternFill patternType="solid">
        <fgColor rgb="FFFFF2CC"/>
        <b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9" fillId="0" borderId="0" xfId="0" applyFont="1" applyAlignment="1">
      <alignment horizontal="left" vertical="top" wrapText="1"/>
    </xf>
    <xf numFmtId="0" fontId="7" fillId="5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78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1E2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2E8B94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Growth IPH Mingguan - Januari s/d September 2026 (Pasar Pon Jombang)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'Ringkasan Mingguan 2026'!$F$3</c:f>
              <c:strCache>
                <c:ptCount val="1"/>
                <c:pt idx="0">
                  <c:v>Growth IPH (%) [utk grafik]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'Ringkasan Mingguan 2026'!$B$4:$B$46</c:f>
              <c:strCache>
                <c:ptCount val="43"/>
                <c:pt idx="0">
                  <c:v>Jan 2026 - M1</c:v>
                </c:pt>
                <c:pt idx="1">
                  <c:v>Jan 2026 - M2</c:v>
                </c:pt>
                <c:pt idx="2">
                  <c:v>Jan 2026 - M3</c:v>
                </c:pt>
                <c:pt idx="3">
                  <c:v>Jan 2026 - M4</c:v>
                </c:pt>
                <c:pt idx="4">
                  <c:v>Jan 2026 - M5</c:v>
                </c:pt>
                <c:pt idx="5">
                  <c:v>Feb 2026 - M1</c:v>
                </c:pt>
                <c:pt idx="6">
                  <c:v>Feb 2026 - M2</c:v>
                </c:pt>
                <c:pt idx="7">
                  <c:v>Feb 2026 - M3</c:v>
                </c:pt>
                <c:pt idx="8">
                  <c:v>Feb 2026 - M4</c:v>
                </c:pt>
                <c:pt idx="9">
                  <c:v>Mar 2026 - M1</c:v>
                </c:pt>
                <c:pt idx="10">
                  <c:v>Mar 2026 - M2</c:v>
                </c:pt>
                <c:pt idx="11">
                  <c:v>Mar 2026 - M3</c:v>
                </c:pt>
                <c:pt idx="12">
                  <c:v>Mar 2026 - M4</c:v>
                </c:pt>
                <c:pt idx="13">
                  <c:v>Mar 2026 - M5</c:v>
                </c:pt>
                <c:pt idx="14">
                  <c:v>Apr 2026 - M1</c:v>
                </c:pt>
                <c:pt idx="15">
                  <c:v>Apr 2026 - M2</c:v>
                </c:pt>
                <c:pt idx="16">
                  <c:v>Apr 2026 - M3</c:v>
                </c:pt>
                <c:pt idx="17">
                  <c:v>Apr 2026 - M4</c:v>
                </c:pt>
                <c:pt idx="18">
                  <c:v>Apr 2026 - M5</c:v>
                </c:pt>
                <c:pt idx="19">
                  <c:v>Mei 2026 - M1</c:v>
                </c:pt>
                <c:pt idx="20">
                  <c:v>Mei 2026 - M2</c:v>
                </c:pt>
                <c:pt idx="21">
                  <c:v>Mei 2026 - M3</c:v>
                </c:pt>
                <c:pt idx="22">
                  <c:v>Mei 2026 - M4</c:v>
                </c:pt>
                <c:pt idx="23">
                  <c:v>Mei 2026 - M5</c:v>
                </c:pt>
                <c:pt idx="24">
                  <c:v>Jun 2026 - M1</c:v>
                </c:pt>
                <c:pt idx="25">
                  <c:v>Jun 2026 - M2</c:v>
                </c:pt>
                <c:pt idx="26">
                  <c:v>Jun 2026 - M3</c:v>
                </c:pt>
                <c:pt idx="27">
                  <c:v>Jun 2026 - M4</c:v>
                </c:pt>
                <c:pt idx="28">
                  <c:v>Jun 2026 - M5</c:v>
                </c:pt>
                <c:pt idx="29">
                  <c:v>Jul 2026 - M1</c:v>
                </c:pt>
                <c:pt idx="30">
                  <c:v>Jul 2026 - M2</c:v>
                </c:pt>
                <c:pt idx="31">
                  <c:v>Jul 2026 - M3</c:v>
                </c:pt>
                <c:pt idx="32">
                  <c:v>Jul 2026 - M4</c:v>
                </c:pt>
                <c:pt idx="33">
                  <c:v>Jul 2026 - M5</c:v>
                </c:pt>
                <c:pt idx="34">
                  <c:v>Agu 2026 - M1</c:v>
                </c:pt>
                <c:pt idx="35">
                  <c:v>Agu 2026 - M2</c:v>
                </c:pt>
                <c:pt idx="36">
                  <c:v>Agu 2026 - M3</c:v>
                </c:pt>
                <c:pt idx="37">
                  <c:v>Agu 2026 - M4</c:v>
                </c:pt>
                <c:pt idx="38">
                  <c:v>Sep 2026 - M1</c:v>
                </c:pt>
                <c:pt idx="39">
                  <c:v>Sep 2026 - M2</c:v>
                </c:pt>
                <c:pt idx="40">
                  <c:v>Sep 2026 - M3</c:v>
                </c:pt>
                <c:pt idx="41">
                  <c:v>Sep 2026 - M4</c:v>
                </c:pt>
                <c:pt idx="42">
                  <c:v>Sep 2026 - M5</c:v>
                </c:pt>
              </c:strCache>
            </c:strRef>
          </c:cat>
          <c:val>
            <c:numRef>
              <c:f>'Ringkasan Mingguan 2026'!$F$4:$F$46</c:f>
              <c:numCache>
                <c:formatCode>0.0000</c:formatCode>
                <c:ptCount val="43"/>
                <c:pt idx="0">
                  <c:v>7.4147116119730738E-3</c:v>
                </c:pt>
                <c:pt idx="1">
                  <c:v>7.4147116119730738E-3</c:v>
                </c:pt>
                <c:pt idx="2">
                  <c:v>-2.5212905308740957E-2</c:v>
                </c:pt>
                <c:pt idx="3">
                  <c:v>0.24701178713935304</c:v>
                </c:pt>
                <c:pt idx="4">
                  <c:v>0.49375014927951022</c:v>
                </c:pt>
                <c:pt idx="5">
                  <c:v>2.1969477290745854</c:v>
                </c:pt>
                <c:pt idx="6">
                  <c:v>0.68139888358588108</c:v>
                </c:pt>
                <c:pt idx="7">
                  <c:v>7.1853198662371245</c:v>
                </c:pt>
                <c:pt idx="8">
                  <c:v>6.7936501153731657</c:v>
                </c:pt>
                <c:pt idx="9">
                  <c:v>4.6883640124729524</c:v>
                </c:pt>
                <c:pt idx="10">
                  <c:v>5.3267320384440549</c:v>
                </c:pt>
                <c:pt idx="11">
                  <c:v>7.4413093860669539</c:v>
                </c:pt>
                <c:pt idx="12">
                  <c:v>6.3668818249402932</c:v>
                </c:pt>
                <c:pt idx="13">
                  <c:v>5.9991494934689582</c:v>
                </c:pt>
                <c:pt idx="14">
                  <c:v>-0.38464926409094707</c:v>
                </c:pt>
                <c:pt idx="15">
                  <c:v>-0.75503837006622265</c:v>
                </c:pt>
                <c:pt idx="16">
                  <c:v>-0.92014614566006225</c:v>
                </c:pt>
                <c:pt idx="17">
                  <c:v>-0.32346223261614754</c:v>
                </c:pt>
                <c:pt idx="18">
                  <c:v>-0.26717913411427036</c:v>
                </c:pt>
                <c:pt idx="19">
                  <c:v>#N/A</c:v>
                </c:pt>
                <c:pt idx="20">
                  <c:v>1.4009085421037328</c:v>
                </c:pt>
                <c:pt idx="21">
                  <c:v>1.7151216318164131</c:v>
                </c:pt>
                <c:pt idx="22">
                  <c:v>1.5616208688279969</c:v>
                </c:pt>
                <c:pt idx="23">
                  <c:v>1.2614987590852405</c:v>
                </c:pt>
                <c:pt idx="24">
                  <c:v>-1.1035300827299295</c:v>
                </c:pt>
                <c:pt idx="25">
                  <c:v>-1.5445377878978053</c:v>
                </c:pt>
                <c:pt idx="26">
                  <c:v>-1.4925761098797157</c:v>
                </c:pt>
                <c:pt idx="27">
                  <c:v>-1.9940819144313875</c:v>
                </c:pt>
                <c:pt idx="28">
                  <c:v>-2.0753592302148625</c:v>
                </c:pt>
                <c:pt idx="29">
                  <c:v>-0.66553396636714413</c:v>
                </c:pt>
                <c:pt idx="30">
                  <c:v>-0.72863384193094416</c:v>
                </c:pt>
                <c:pt idx="31">
                  <c:v>-0.72863384193094416</c:v>
                </c:pt>
                <c:pt idx="32">
                  <c:v>-0.65824272080091017</c:v>
                </c:pt>
                <c:pt idx="33">
                  <c:v>-0.39149994722384684</c:v>
                </c:pt>
                <c:pt idx="34">
                  <c:v>2.7917547436037138E-3</c:v>
                </c:pt>
                <c:pt idx="35">
                  <c:v>-9.8618656525468446E-2</c:v>
                </c:pt>
                <c:pt idx="36">
                  <c:v>0.13824681229589061</c:v>
                </c:pt>
                <c:pt idx="37">
                  <c:v>0.35800882943232715</c:v>
                </c:pt>
                <c:pt idx="38">
                  <c:v>0.30409181434485971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3B-42D8-AA58-535B55701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8152545"/>
        <c:axId val="33648186"/>
      </c:lineChart>
      <c:catAx>
        <c:axId val="681525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Minggu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648186"/>
        <c:crosses val="autoZero"/>
        <c:auto val="1"/>
        <c:lblAlgn val="ctr"/>
        <c:lblOffset val="100"/>
        <c:noMultiLvlLbl val="0"/>
      </c:catAx>
      <c:valAx>
        <c:axId val="336481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Growth IPH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1525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25</xdr:col>
      <xdr:colOff>512280</xdr:colOff>
      <xdr:row>22</xdr:row>
      <xdr:rowOff>151560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zoomScaleNormal="100" workbookViewId="0">
      <pane ySplit="3" topLeftCell="A36" activePane="bottomLeft" state="frozen"/>
      <selection pane="bottomLeft" activeCell="D47" sqref="D47"/>
    </sheetView>
  </sheetViews>
  <sheetFormatPr defaultColWidth="8.6328125" defaultRowHeight="14.5" x14ac:dyDescent="0.35"/>
  <cols>
    <col min="1" max="1" width="5" customWidth="1"/>
    <col min="2" max="2" width="18" customWidth="1"/>
    <col min="3" max="3" width="24" customWidth="1"/>
    <col min="4" max="4" width="15" customWidth="1"/>
    <col min="5" max="5" width="10" customWidth="1"/>
    <col min="6" max="6" width="16" customWidth="1"/>
  </cols>
  <sheetData>
    <row r="1" spans="1:6" ht="26.25" customHeight="1" x14ac:dyDescent="0.35">
      <c r="A1" s="5" t="s">
        <v>0</v>
      </c>
      <c r="B1" s="5"/>
      <c r="C1" s="5"/>
      <c r="D1" s="5"/>
      <c r="E1" s="5"/>
    </row>
    <row r="3" spans="1:6" ht="15" customHeight="1" x14ac:dyDescent="0.3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7" t="s">
        <v>6</v>
      </c>
    </row>
    <row r="4" spans="1:6" ht="13.5" customHeight="1" x14ac:dyDescent="0.35">
      <c r="A4" s="8">
        <v>1</v>
      </c>
      <c r="B4" s="9" t="s">
        <v>7</v>
      </c>
      <c r="C4" s="8" t="s">
        <v>8</v>
      </c>
      <c r="D4" s="10">
        <f>'Perhitungan IPH Mingguan 2026'!F26</f>
        <v>7.4147116119730738E-3</v>
      </c>
      <c r="E4" s="8" t="str">
        <f t="shared" ref="E4:E46" si="0">IF(ISNUMBER(D4),IF(D4&gt;0,"Naik",IF(D4&lt;0,"Turun","Tetap")),"-")</f>
        <v>Naik</v>
      </c>
      <c r="F4" s="11">
        <f t="shared" ref="F4:F46" si="1">IFERROR(IF(ISNUMBER(D4),D4,NA()),NA())</f>
        <v>7.4147116119730738E-3</v>
      </c>
    </row>
    <row r="5" spans="1:6" ht="13.5" customHeight="1" x14ac:dyDescent="0.35">
      <c r="A5" s="8">
        <v>2</v>
      </c>
      <c r="B5" s="9" t="s">
        <v>9</v>
      </c>
      <c r="C5" s="8" t="s">
        <v>10</v>
      </c>
      <c r="D5" s="10">
        <f>'Perhitungan IPH Mingguan 2026'!I26</f>
        <v>7.4147116119730738E-3</v>
      </c>
      <c r="E5" s="8" t="str">
        <f t="shared" si="0"/>
        <v>Naik</v>
      </c>
      <c r="F5" s="11">
        <f t="shared" si="1"/>
        <v>7.4147116119730738E-3</v>
      </c>
    </row>
    <row r="6" spans="1:6" ht="13.5" customHeight="1" x14ac:dyDescent="0.35">
      <c r="A6" s="8">
        <v>3</v>
      </c>
      <c r="B6" s="9" t="s">
        <v>11</v>
      </c>
      <c r="C6" s="8" t="s">
        <v>12</v>
      </c>
      <c r="D6" s="10">
        <f>'Perhitungan IPH Mingguan 2026'!L26</f>
        <v>-2.5212905308740957E-2</v>
      </c>
      <c r="E6" s="8" t="str">
        <f t="shared" si="0"/>
        <v>Turun</v>
      </c>
      <c r="F6" s="11">
        <f t="shared" si="1"/>
        <v>-2.5212905308740957E-2</v>
      </c>
    </row>
    <row r="7" spans="1:6" ht="13.5" customHeight="1" x14ac:dyDescent="0.35">
      <c r="A7" s="8">
        <v>4</v>
      </c>
      <c r="B7" s="9" t="s">
        <v>13</v>
      </c>
      <c r="C7" s="8" t="s">
        <v>14</v>
      </c>
      <c r="D7" s="10">
        <f>'Perhitungan IPH Mingguan 2026'!O26</f>
        <v>0.24701178713935304</v>
      </c>
      <c r="E7" s="8" t="str">
        <f t="shared" si="0"/>
        <v>Naik</v>
      </c>
      <c r="F7" s="11">
        <f t="shared" si="1"/>
        <v>0.24701178713935304</v>
      </c>
    </row>
    <row r="8" spans="1:6" ht="13.5" customHeight="1" x14ac:dyDescent="0.35">
      <c r="A8" s="8">
        <v>5</v>
      </c>
      <c r="B8" s="9" t="s">
        <v>15</v>
      </c>
      <c r="C8" s="8" t="s">
        <v>16</v>
      </c>
      <c r="D8" s="10">
        <f>'Perhitungan IPH Mingguan 2026'!R26</f>
        <v>0.49375014927951022</v>
      </c>
      <c r="E8" s="8" t="str">
        <f t="shared" si="0"/>
        <v>Naik</v>
      </c>
      <c r="F8" s="11">
        <f t="shared" si="1"/>
        <v>0.49375014927951022</v>
      </c>
    </row>
    <row r="9" spans="1:6" ht="13.5" customHeight="1" x14ac:dyDescent="0.35">
      <c r="A9" s="8">
        <v>6</v>
      </c>
      <c r="B9" s="9" t="s">
        <v>17</v>
      </c>
      <c r="C9" s="8" t="s">
        <v>18</v>
      </c>
      <c r="D9" s="10">
        <f>'Perhitungan IPH Mingguan 2026'!U26</f>
        <v>2.1969477290745854</v>
      </c>
      <c r="E9" s="8" t="str">
        <f t="shared" si="0"/>
        <v>Naik</v>
      </c>
      <c r="F9" s="11">
        <f t="shared" si="1"/>
        <v>2.1969477290745854</v>
      </c>
    </row>
    <row r="10" spans="1:6" ht="13.5" customHeight="1" x14ac:dyDescent="0.35">
      <c r="A10" s="8">
        <v>7</v>
      </c>
      <c r="B10" s="9" t="s">
        <v>19</v>
      </c>
      <c r="C10" s="8" t="s">
        <v>20</v>
      </c>
      <c r="D10" s="10">
        <f>'Perhitungan IPH Mingguan 2026'!X26</f>
        <v>0.68139888358588108</v>
      </c>
      <c r="E10" s="8" t="str">
        <f t="shared" si="0"/>
        <v>Naik</v>
      </c>
      <c r="F10" s="11">
        <f t="shared" si="1"/>
        <v>0.68139888358588108</v>
      </c>
    </row>
    <row r="11" spans="1:6" ht="13.5" customHeight="1" x14ac:dyDescent="0.35">
      <c r="A11" s="8">
        <v>8</v>
      </c>
      <c r="B11" s="9" t="s">
        <v>21</v>
      </c>
      <c r="C11" s="8" t="s">
        <v>22</v>
      </c>
      <c r="D11" s="10">
        <f>'Perhitungan IPH Mingguan 2026'!AA26</f>
        <v>7.1853198662371245</v>
      </c>
      <c r="E11" s="8" t="str">
        <f t="shared" si="0"/>
        <v>Naik</v>
      </c>
      <c r="F11" s="11">
        <f t="shared" si="1"/>
        <v>7.1853198662371245</v>
      </c>
    </row>
    <row r="12" spans="1:6" ht="13.5" customHeight="1" x14ac:dyDescent="0.35">
      <c r="A12" s="8">
        <v>9</v>
      </c>
      <c r="B12" s="9" t="s">
        <v>23</v>
      </c>
      <c r="C12" s="8" t="s">
        <v>24</v>
      </c>
      <c r="D12" s="10">
        <f>'Perhitungan IPH Mingguan 2026'!AD26</f>
        <v>6.7936501153731657</v>
      </c>
      <c r="E12" s="8" t="str">
        <f t="shared" si="0"/>
        <v>Naik</v>
      </c>
      <c r="F12" s="11">
        <f t="shared" si="1"/>
        <v>6.7936501153731657</v>
      </c>
    </row>
    <row r="13" spans="1:6" ht="13.5" customHeight="1" x14ac:dyDescent="0.35">
      <c r="A13" s="8">
        <v>10</v>
      </c>
      <c r="B13" s="9" t="s">
        <v>25</v>
      </c>
      <c r="C13" s="8" t="s">
        <v>26</v>
      </c>
      <c r="D13" s="10">
        <f>'Perhitungan IPH Mingguan 2026'!AG26</f>
        <v>4.6883640124729524</v>
      </c>
      <c r="E13" s="8" t="str">
        <f t="shared" si="0"/>
        <v>Naik</v>
      </c>
      <c r="F13" s="11">
        <f t="shared" si="1"/>
        <v>4.6883640124729524</v>
      </c>
    </row>
    <row r="14" spans="1:6" ht="13.5" customHeight="1" x14ac:dyDescent="0.35">
      <c r="A14" s="8">
        <v>11</v>
      </c>
      <c r="B14" s="9" t="s">
        <v>27</v>
      </c>
      <c r="C14" s="8" t="s">
        <v>28</v>
      </c>
      <c r="D14" s="10">
        <f>'Perhitungan IPH Mingguan 2026'!AJ26</f>
        <v>5.3267320384440549</v>
      </c>
      <c r="E14" s="8" t="str">
        <f t="shared" si="0"/>
        <v>Naik</v>
      </c>
      <c r="F14" s="11">
        <f t="shared" si="1"/>
        <v>5.3267320384440549</v>
      </c>
    </row>
    <row r="15" spans="1:6" ht="13.5" customHeight="1" x14ac:dyDescent="0.35">
      <c r="A15" s="8">
        <v>12</v>
      </c>
      <c r="B15" s="9" t="s">
        <v>29</v>
      </c>
      <c r="C15" s="8" t="s">
        <v>30</v>
      </c>
      <c r="D15" s="10">
        <f>'Perhitungan IPH Mingguan 2026'!AM26</f>
        <v>7.4413093860669539</v>
      </c>
      <c r="E15" s="8" t="str">
        <f t="shared" si="0"/>
        <v>Naik</v>
      </c>
      <c r="F15" s="11">
        <f t="shared" si="1"/>
        <v>7.4413093860669539</v>
      </c>
    </row>
    <row r="16" spans="1:6" ht="13.5" customHeight="1" x14ac:dyDescent="0.35">
      <c r="A16" s="8">
        <v>13</v>
      </c>
      <c r="B16" s="9" t="s">
        <v>31</v>
      </c>
      <c r="C16" s="8" t="s">
        <v>32</v>
      </c>
      <c r="D16" s="10">
        <f>'Perhitungan IPH Mingguan 2026'!AP26</f>
        <v>6.3668818249402932</v>
      </c>
      <c r="E16" s="8" t="str">
        <f t="shared" si="0"/>
        <v>Naik</v>
      </c>
      <c r="F16" s="11">
        <f t="shared" si="1"/>
        <v>6.3668818249402932</v>
      </c>
    </row>
    <row r="17" spans="1:6" ht="13.5" customHeight="1" x14ac:dyDescent="0.35">
      <c r="A17" s="8">
        <v>14</v>
      </c>
      <c r="B17" s="9" t="s">
        <v>33</v>
      </c>
      <c r="C17" s="8" t="s">
        <v>34</v>
      </c>
      <c r="D17" s="10">
        <f>'Perhitungan IPH Mingguan 2026'!AS26</f>
        <v>5.9991494934689582</v>
      </c>
      <c r="E17" s="8" t="str">
        <f t="shared" si="0"/>
        <v>Naik</v>
      </c>
      <c r="F17" s="11">
        <f t="shared" si="1"/>
        <v>5.9991494934689582</v>
      </c>
    </row>
    <row r="18" spans="1:6" ht="13.5" customHeight="1" x14ac:dyDescent="0.35">
      <c r="A18" s="8">
        <v>15</v>
      </c>
      <c r="B18" s="9" t="s">
        <v>35</v>
      </c>
      <c r="C18" s="8" t="s">
        <v>36</v>
      </c>
      <c r="D18" s="10">
        <f>'Perhitungan IPH Mingguan 2026'!AV26</f>
        <v>-0.38464926409094707</v>
      </c>
      <c r="E18" s="8" t="str">
        <f t="shared" si="0"/>
        <v>Turun</v>
      </c>
      <c r="F18" s="11">
        <f t="shared" si="1"/>
        <v>-0.38464926409094707</v>
      </c>
    </row>
    <row r="19" spans="1:6" ht="13.5" customHeight="1" x14ac:dyDescent="0.35">
      <c r="A19" s="8">
        <v>16</v>
      </c>
      <c r="B19" s="9" t="s">
        <v>37</v>
      </c>
      <c r="C19" s="8" t="s">
        <v>38</v>
      </c>
      <c r="D19" s="10">
        <f>'Perhitungan IPH Mingguan 2026'!AY26</f>
        <v>-0.75503837006622265</v>
      </c>
      <c r="E19" s="8" t="str">
        <f t="shared" si="0"/>
        <v>Turun</v>
      </c>
      <c r="F19" s="11">
        <f t="shared" si="1"/>
        <v>-0.75503837006622265</v>
      </c>
    </row>
    <row r="20" spans="1:6" ht="13.5" customHeight="1" x14ac:dyDescent="0.35">
      <c r="A20" s="8">
        <v>17</v>
      </c>
      <c r="B20" s="9" t="s">
        <v>39</v>
      </c>
      <c r="C20" s="8" t="s">
        <v>40</v>
      </c>
      <c r="D20" s="10">
        <f>'Perhitungan IPH Mingguan 2026'!BB26</f>
        <v>-0.92014614566006225</v>
      </c>
      <c r="E20" s="8" t="str">
        <f t="shared" si="0"/>
        <v>Turun</v>
      </c>
      <c r="F20" s="11">
        <f t="shared" si="1"/>
        <v>-0.92014614566006225</v>
      </c>
    </row>
    <row r="21" spans="1:6" ht="13.5" customHeight="1" x14ac:dyDescent="0.35">
      <c r="A21" s="8">
        <v>18</v>
      </c>
      <c r="B21" s="9" t="s">
        <v>41</v>
      </c>
      <c r="C21" s="8" t="s">
        <v>42</v>
      </c>
      <c r="D21" s="10">
        <f>'Perhitungan IPH Mingguan 2026'!BE26</f>
        <v>-0.32346223261614754</v>
      </c>
      <c r="E21" s="8" t="str">
        <f t="shared" si="0"/>
        <v>Turun</v>
      </c>
      <c r="F21" s="11">
        <f t="shared" si="1"/>
        <v>-0.32346223261614754</v>
      </c>
    </row>
    <row r="22" spans="1:6" ht="13.5" customHeight="1" x14ac:dyDescent="0.35">
      <c r="A22" s="8">
        <v>19</v>
      </c>
      <c r="B22" s="9" t="s">
        <v>43</v>
      </c>
      <c r="C22" s="8" t="s">
        <v>44</v>
      </c>
      <c r="D22" s="10">
        <f>'Perhitungan IPH Mingguan 2026'!BH26</f>
        <v>-0.26717913411427036</v>
      </c>
      <c r="E22" s="8" t="str">
        <f t="shared" si="0"/>
        <v>Turun</v>
      </c>
      <c r="F22" s="11">
        <f t="shared" si="1"/>
        <v>-0.26717913411427036</v>
      </c>
    </row>
    <row r="23" spans="1:6" ht="13.5" customHeight="1" x14ac:dyDescent="0.35">
      <c r="A23" s="8">
        <v>20</v>
      </c>
      <c r="B23" s="9" t="s">
        <v>45</v>
      </c>
      <c r="C23" s="8" t="s">
        <v>46</v>
      </c>
      <c r="D23" s="10" t="str">
        <f>'Perhitungan IPH Mingguan 2026'!BK26</f>
        <v>Data tidak tersedia</v>
      </c>
      <c r="E23" s="8" t="str">
        <f t="shared" si="0"/>
        <v>-</v>
      </c>
      <c r="F23" s="11" t="e">
        <f t="shared" si="1"/>
        <v>#N/A</v>
      </c>
    </row>
    <row r="24" spans="1:6" ht="13.5" customHeight="1" x14ac:dyDescent="0.35">
      <c r="A24" s="8">
        <v>21</v>
      </c>
      <c r="B24" s="9" t="s">
        <v>47</v>
      </c>
      <c r="C24" s="8" t="s">
        <v>48</v>
      </c>
      <c r="D24" s="10">
        <f>'Perhitungan IPH Mingguan 2026'!BN26</f>
        <v>1.4009085421037328</v>
      </c>
      <c r="E24" s="8" t="str">
        <f t="shared" si="0"/>
        <v>Naik</v>
      </c>
      <c r="F24" s="11">
        <f t="shared" si="1"/>
        <v>1.4009085421037328</v>
      </c>
    </row>
    <row r="25" spans="1:6" ht="13.5" customHeight="1" x14ac:dyDescent="0.35">
      <c r="A25" s="8">
        <v>22</v>
      </c>
      <c r="B25" s="9" t="s">
        <v>49</v>
      </c>
      <c r="C25" s="8" t="s">
        <v>50</v>
      </c>
      <c r="D25" s="10">
        <f>'Perhitungan IPH Mingguan 2026'!BQ26</f>
        <v>1.7151216318164131</v>
      </c>
      <c r="E25" s="8" t="str">
        <f t="shared" si="0"/>
        <v>Naik</v>
      </c>
      <c r="F25" s="11">
        <f t="shared" si="1"/>
        <v>1.7151216318164131</v>
      </c>
    </row>
    <row r="26" spans="1:6" ht="13.5" customHeight="1" x14ac:dyDescent="0.35">
      <c r="A26" s="8">
        <v>23</v>
      </c>
      <c r="B26" s="9" t="s">
        <v>51</v>
      </c>
      <c r="C26" s="8" t="s">
        <v>52</v>
      </c>
      <c r="D26" s="10">
        <f>'Perhitungan IPH Mingguan 2026'!BT26</f>
        <v>1.5616208688279969</v>
      </c>
      <c r="E26" s="8" t="str">
        <f t="shared" si="0"/>
        <v>Naik</v>
      </c>
      <c r="F26" s="11">
        <f t="shared" si="1"/>
        <v>1.5616208688279969</v>
      </c>
    </row>
    <row r="27" spans="1:6" ht="13.5" customHeight="1" x14ac:dyDescent="0.35">
      <c r="A27" s="8">
        <v>24</v>
      </c>
      <c r="B27" s="9" t="s">
        <v>53</v>
      </c>
      <c r="C27" s="8" t="s">
        <v>54</v>
      </c>
      <c r="D27" s="10">
        <f>'Perhitungan IPH Mingguan 2026'!BW26</f>
        <v>1.2614987590852405</v>
      </c>
      <c r="E27" s="8" t="str">
        <f t="shared" si="0"/>
        <v>Naik</v>
      </c>
      <c r="F27" s="11">
        <f t="shared" si="1"/>
        <v>1.2614987590852405</v>
      </c>
    </row>
    <row r="28" spans="1:6" ht="13.5" customHeight="1" x14ac:dyDescent="0.35">
      <c r="A28" s="8">
        <v>25</v>
      </c>
      <c r="B28" s="9" t="s">
        <v>55</v>
      </c>
      <c r="C28" s="8" t="s">
        <v>56</v>
      </c>
      <c r="D28" s="10">
        <f>'Perhitungan IPH Mingguan 2026'!BZ26</f>
        <v>-1.1035300827299295</v>
      </c>
      <c r="E28" s="8" t="str">
        <f t="shared" si="0"/>
        <v>Turun</v>
      </c>
      <c r="F28" s="11">
        <f t="shared" si="1"/>
        <v>-1.1035300827299295</v>
      </c>
    </row>
    <row r="29" spans="1:6" ht="13.5" customHeight="1" x14ac:dyDescent="0.35">
      <c r="A29" s="8">
        <v>26</v>
      </c>
      <c r="B29" s="9" t="s">
        <v>57</v>
      </c>
      <c r="C29" s="8" t="s">
        <v>58</v>
      </c>
      <c r="D29" s="10">
        <f>'Perhitungan IPH Mingguan 2026'!CC26</f>
        <v>-1.5445377878978053</v>
      </c>
      <c r="E29" s="8" t="str">
        <f t="shared" si="0"/>
        <v>Turun</v>
      </c>
      <c r="F29" s="11">
        <f t="shared" si="1"/>
        <v>-1.5445377878978053</v>
      </c>
    </row>
    <row r="30" spans="1:6" ht="13.5" customHeight="1" x14ac:dyDescent="0.35">
      <c r="A30" s="8">
        <v>27</v>
      </c>
      <c r="B30" s="9" t="s">
        <v>59</v>
      </c>
      <c r="C30" s="8" t="s">
        <v>60</v>
      </c>
      <c r="D30" s="10">
        <f>'Perhitungan IPH Mingguan 2026'!CF26</f>
        <v>-1.4925761098797157</v>
      </c>
      <c r="E30" s="8" t="str">
        <f t="shared" si="0"/>
        <v>Turun</v>
      </c>
      <c r="F30" s="11">
        <f t="shared" si="1"/>
        <v>-1.4925761098797157</v>
      </c>
    </row>
    <row r="31" spans="1:6" ht="13.5" customHeight="1" x14ac:dyDescent="0.35">
      <c r="A31" s="8">
        <v>28</v>
      </c>
      <c r="B31" s="9" t="s">
        <v>61</v>
      </c>
      <c r="C31" s="8" t="s">
        <v>62</v>
      </c>
      <c r="D31" s="10">
        <f>'Perhitungan IPH Mingguan 2026'!CI26</f>
        <v>-1.9940819144313875</v>
      </c>
      <c r="E31" s="8" t="str">
        <f t="shared" si="0"/>
        <v>Turun</v>
      </c>
      <c r="F31" s="11">
        <f t="shared" si="1"/>
        <v>-1.9940819144313875</v>
      </c>
    </row>
    <row r="32" spans="1:6" ht="13.5" customHeight="1" x14ac:dyDescent="0.35">
      <c r="A32" s="8">
        <v>29</v>
      </c>
      <c r="B32" s="9" t="s">
        <v>63</v>
      </c>
      <c r="C32" s="8" t="s">
        <v>64</v>
      </c>
      <c r="D32" s="10">
        <f>'Perhitungan IPH Mingguan 2026'!CL26</f>
        <v>-2.0753592302148625</v>
      </c>
      <c r="E32" s="8" t="str">
        <f t="shared" si="0"/>
        <v>Turun</v>
      </c>
      <c r="F32" s="11">
        <f t="shared" si="1"/>
        <v>-2.0753592302148625</v>
      </c>
    </row>
    <row r="33" spans="1:6" ht="13.5" customHeight="1" x14ac:dyDescent="0.35">
      <c r="A33" s="8">
        <v>30</v>
      </c>
      <c r="B33" s="9" t="s">
        <v>65</v>
      </c>
      <c r="C33" s="8" t="s">
        <v>66</v>
      </c>
      <c r="D33" s="10">
        <f>'Perhitungan IPH Mingguan 2026'!CO26</f>
        <v>-0.66553396636714413</v>
      </c>
      <c r="E33" s="8" t="str">
        <f t="shared" si="0"/>
        <v>Turun</v>
      </c>
      <c r="F33" s="11">
        <f t="shared" si="1"/>
        <v>-0.66553396636714413</v>
      </c>
    </row>
    <row r="34" spans="1:6" ht="13.5" customHeight="1" x14ac:dyDescent="0.35">
      <c r="A34" s="8">
        <v>31</v>
      </c>
      <c r="B34" s="9" t="s">
        <v>67</v>
      </c>
      <c r="C34" s="8" t="s">
        <v>68</v>
      </c>
      <c r="D34" s="10">
        <f>'Perhitungan IPH Mingguan 2026'!CR26</f>
        <v>-0.72863384193094416</v>
      </c>
      <c r="E34" s="8" t="str">
        <f t="shared" si="0"/>
        <v>Turun</v>
      </c>
      <c r="F34" s="11">
        <f t="shared" si="1"/>
        <v>-0.72863384193094416</v>
      </c>
    </row>
    <row r="35" spans="1:6" ht="13.5" customHeight="1" x14ac:dyDescent="0.35">
      <c r="A35" s="8">
        <v>32</v>
      </c>
      <c r="B35" s="9" t="s">
        <v>69</v>
      </c>
      <c r="C35" s="8" t="s">
        <v>70</v>
      </c>
      <c r="D35" s="10">
        <f>'Perhitungan IPH Mingguan 2026'!CU26</f>
        <v>-0.72863384193094416</v>
      </c>
      <c r="E35" s="8" t="str">
        <f t="shared" si="0"/>
        <v>Turun</v>
      </c>
      <c r="F35" s="11">
        <f t="shared" si="1"/>
        <v>-0.72863384193094416</v>
      </c>
    </row>
    <row r="36" spans="1:6" ht="13.5" customHeight="1" x14ac:dyDescent="0.35">
      <c r="A36" s="8">
        <v>33</v>
      </c>
      <c r="B36" s="9" t="s">
        <v>71</v>
      </c>
      <c r="C36" s="8" t="s">
        <v>72</v>
      </c>
      <c r="D36" s="10">
        <f>'Perhitungan IPH Mingguan 2026'!CX26</f>
        <v>-0.65824272080091017</v>
      </c>
      <c r="E36" s="8" t="str">
        <f t="shared" si="0"/>
        <v>Turun</v>
      </c>
      <c r="F36" s="11">
        <f t="shared" si="1"/>
        <v>-0.65824272080091017</v>
      </c>
    </row>
    <row r="37" spans="1:6" ht="13.5" customHeight="1" x14ac:dyDescent="0.35">
      <c r="A37" s="8">
        <v>34</v>
      </c>
      <c r="B37" s="9" t="s">
        <v>73</v>
      </c>
      <c r="C37" s="8" t="s">
        <v>74</v>
      </c>
      <c r="D37" s="10">
        <f>'Perhitungan IPH Mingguan 2026'!DA26</f>
        <v>-0.39149994722384684</v>
      </c>
      <c r="E37" s="8" t="str">
        <f t="shared" si="0"/>
        <v>Turun</v>
      </c>
      <c r="F37" s="11">
        <f t="shared" si="1"/>
        <v>-0.39149994722384684</v>
      </c>
    </row>
    <row r="38" spans="1:6" ht="13.5" customHeight="1" x14ac:dyDescent="0.35">
      <c r="A38" s="8">
        <v>35</v>
      </c>
      <c r="B38" s="9" t="s">
        <v>75</v>
      </c>
      <c r="C38" s="8" t="s">
        <v>76</v>
      </c>
      <c r="D38" s="10">
        <f>'Perhitungan IPH Mingguan 2026'!DD26</f>
        <v>2.7917547436037138E-3</v>
      </c>
      <c r="E38" s="8" t="str">
        <f t="shared" si="0"/>
        <v>Naik</v>
      </c>
      <c r="F38" s="11">
        <f t="shared" si="1"/>
        <v>2.7917547436037138E-3</v>
      </c>
    </row>
    <row r="39" spans="1:6" ht="13.5" customHeight="1" x14ac:dyDescent="0.35">
      <c r="A39" s="8">
        <v>36</v>
      </c>
      <c r="B39" s="9" t="s">
        <v>77</v>
      </c>
      <c r="C39" s="8" t="s">
        <v>78</v>
      </c>
      <c r="D39" s="10">
        <f>'Perhitungan IPH Mingguan 2026'!DG26</f>
        <v>-9.8618656525468446E-2</v>
      </c>
      <c r="E39" s="8" t="str">
        <f t="shared" si="0"/>
        <v>Turun</v>
      </c>
      <c r="F39" s="11">
        <f t="shared" si="1"/>
        <v>-9.8618656525468446E-2</v>
      </c>
    </row>
    <row r="40" spans="1:6" ht="13.5" customHeight="1" x14ac:dyDescent="0.35">
      <c r="A40" s="8">
        <v>37</v>
      </c>
      <c r="B40" s="9" t="s">
        <v>79</v>
      </c>
      <c r="C40" s="8" t="s">
        <v>80</v>
      </c>
      <c r="D40" s="10">
        <f>'Perhitungan IPH Mingguan 2026'!DJ26</f>
        <v>0.13824681229589061</v>
      </c>
      <c r="E40" s="8" t="str">
        <f t="shared" si="0"/>
        <v>Naik</v>
      </c>
      <c r="F40" s="11">
        <f t="shared" si="1"/>
        <v>0.13824681229589061</v>
      </c>
    </row>
    <row r="41" spans="1:6" ht="13.5" customHeight="1" x14ac:dyDescent="0.35">
      <c r="A41" s="8">
        <v>38</v>
      </c>
      <c r="B41" s="9" t="s">
        <v>81</v>
      </c>
      <c r="C41" s="8" t="s">
        <v>82</v>
      </c>
      <c r="D41" s="10">
        <f>'Perhitungan IPH Mingguan 2026'!DM26</f>
        <v>0.35800882943232715</v>
      </c>
      <c r="E41" s="8" t="str">
        <f t="shared" si="0"/>
        <v>Naik</v>
      </c>
      <c r="F41" s="11">
        <f t="shared" si="1"/>
        <v>0.35800882943232715</v>
      </c>
    </row>
    <row r="42" spans="1:6" ht="13.5" customHeight="1" x14ac:dyDescent="0.35">
      <c r="A42" s="12">
        <v>40</v>
      </c>
      <c r="B42" s="13" t="s">
        <v>83</v>
      </c>
      <c r="C42" s="12" t="s">
        <v>84</v>
      </c>
      <c r="D42" s="14">
        <f>'Perhitungan IPH Mingguan 2026'!DP26</f>
        <v>0.30409181434485971</v>
      </c>
      <c r="E42" s="12" t="str">
        <f t="shared" si="0"/>
        <v>Naik</v>
      </c>
      <c r="F42" s="14">
        <f t="shared" si="1"/>
        <v>0.30409181434485971</v>
      </c>
    </row>
    <row r="43" spans="1:6" ht="13.5" customHeight="1" x14ac:dyDescent="0.35">
      <c r="A43" s="12">
        <v>41</v>
      </c>
      <c r="B43" s="13" t="s">
        <v>85</v>
      </c>
      <c r="C43" s="12" t="s">
        <v>86</v>
      </c>
      <c r="D43" s="14" t="str">
        <f>'Perhitungan IPH Mingguan 2026'!DS26</f>
        <v>Data tidak tersedia</v>
      </c>
      <c r="E43" s="12" t="str">
        <f t="shared" si="0"/>
        <v>-</v>
      </c>
      <c r="F43" s="14" t="e">
        <f t="shared" si="1"/>
        <v>#N/A</v>
      </c>
    </row>
    <row r="44" spans="1:6" ht="13.5" customHeight="1" x14ac:dyDescent="0.35">
      <c r="A44" s="12">
        <v>42</v>
      </c>
      <c r="B44" s="13" t="s">
        <v>87</v>
      </c>
      <c r="C44" s="12" t="s">
        <v>88</v>
      </c>
      <c r="D44" s="14" t="str">
        <f>'Perhitungan IPH Mingguan 2026'!DV26</f>
        <v>Data tidak tersedia</v>
      </c>
      <c r="E44" s="12" t="str">
        <f t="shared" si="0"/>
        <v>-</v>
      </c>
      <c r="F44" s="14" t="e">
        <f t="shared" si="1"/>
        <v>#N/A</v>
      </c>
    </row>
    <row r="45" spans="1:6" ht="13.5" customHeight="1" x14ac:dyDescent="0.35">
      <c r="A45" s="12">
        <v>43</v>
      </c>
      <c r="B45" s="13" t="s">
        <v>89</v>
      </c>
      <c r="C45" s="12" t="s">
        <v>90</v>
      </c>
      <c r="D45" s="14" t="str">
        <f>'Perhitungan IPH Mingguan 2026'!DY26</f>
        <v>Data tidak tersedia</v>
      </c>
      <c r="E45" s="12" t="str">
        <f t="shared" si="0"/>
        <v>-</v>
      </c>
      <c r="F45" s="14" t="e">
        <f t="shared" si="1"/>
        <v>#N/A</v>
      </c>
    </row>
    <row r="46" spans="1:6" ht="13.5" customHeight="1" x14ac:dyDescent="0.35">
      <c r="A46" s="12">
        <v>44</v>
      </c>
      <c r="B46" s="13" t="s">
        <v>91</v>
      </c>
      <c r="C46" s="12" t="s">
        <v>92</v>
      </c>
      <c r="D46" s="14" t="str">
        <f>'Perhitungan IPH Mingguan 2026'!EB26</f>
        <v>Data tidak tersedia</v>
      </c>
      <c r="E46" s="12" t="str">
        <f t="shared" si="0"/>
        <v>-</v>
      </c>
      <c r="F46" s="14" t="e">
        <f t="shared" si="1"/>
        <v>#N/A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26"/>
  <sheetViews>
    <sheetView showGridLines="0" zoomScaleNormal="100" workbookViewId="0">
      <pane xSplit="3" ySplit="5" topLeftCell="DJ6" activePane="bottomRight" state="frozen"/>
      <selection pane="topRight" activeCell="D1" sqref="D1"/>
      <selection pane="bottomLeft" activeCell="A6" sqref="A6"/>
      <selection pane="bottomRight" activeCell="DQ14" sqref="DQ14"/>
    </sheetView>
  </sheetViews>
  <sheetFormatPr defaultColWidth="8.6328125" defaultRowHeight="14.5" x14ac:dyDescent="0.35"/>
  <cols>
    <col min="1" max="1" width="5" customWidth="1"/>
    <col min="2" max="2" width="24" customWidth="1"/>
    <col min="3" max="3" width="10" customWidth="1"/>
    <col min="4" max="157" width="9" customWidth="1"/>
    <col min="173" max="177" width="9" customWidth="1"/>
  </cols>
  <sheetData>
    <row r="1" spans="1:177" ht="26.25" customHeight="1" x14ac:dyDescent="0.35">
      <c r="A1" s="5" t="s">
        <v>93</v>
      </c>
      <c r="B1" s="5"/>
      <c r="C1" s="5"/>
      <c r="D1" s="5"/>
      <c r="E1" s="5"/>
      <c r="F1" s="5"/>
    </row>
    <row r="2" spans="1:177" ht="27.75" customHeight="1" x14ac:dyDescent="0.35">
      <c r="A2" s="4" t="s">
        <v>94</v>
      </c>
      <c r="B2" s="4"/>
      <c r="C2" s="4"/>
      <c r="D2" s="4"/>
      <c r="E2" s="4"/>
      <c r="F2" s="4"/>
    </row>
    <row r="4" spans="1:177" ht="19.5" customHeight="1" x14ac:dyDescent="0.35">
      <c r="D4" s="3" t="s">
        <v>95</v>
      </c>
      <c r="E4" s="3"/>
      <c r="F4" s="3"/>
      <c r="G4" s="3" t="s">
        <v>96</v>
      </c>
      <c r="H4" s="3"/>
      <c r="I4" s="3"/>
      <c r="J4" s="3" t="s">
        <v>97</v>
      </c>
      <c r="K4" s="3"/>
      <c r="L4" s="3"/>
      <c r="M4" s="3" t="s">
        <v>98</v>
      </c>
      <c r="N4" s="3"/>
      <c r="O4" s="3"/>
      <c r="P4" s="3" t="s">
        <v>99</v>
      </c>
      <c r="Q4" s="3"/>
      <c r="R4" s="3"/>
      <c r="S4" s="3" t="s">
        <v>100</v>
      </c>
      <c r="T4" s="3"/>
      <c r="U4" s="3"/>
      <c r="V4" s="3" t="s">
        <v>101</v>
      </c>
      <c r="W4" s="3"/>
      <c r="X4" s="3"/>
      <c r="Y4" s="3" t="s">
        <v>102</v>
      </c>
      <c r="Z4" s="3"/>
      <c r="AA4" s="3"/>
      <c r="AB4" s="3" t="s">
        <v>103</v>
      </c>
      <c r="AC4" s="3"/>
      <c r="AD4" s="3"/>
      <c r="AE4" s="3" t="s">
        <v>104</v>
      </c>
      <c r="AF4" s="3"/>
      <c r="AG4" s="3"/>
      <c r="AH4" s="3" t="s">
        <v>105</v>
      </c>
      <c r="AI4" s="3"/>
      <c r="AJ4" s="3"/>
      <c r="AK4" s="3" t="s">
        <v>106</v>
      </c>
      <c r="AL4" s="3"/>
      <c r="AM4" s="3"/>
      <c r="AN4" s="3" t="s">
        <v>107</v>
      </c>
      <c r="AO4" s="3"/>
      <c r="AP4" s="3"/>
      <c r="AQ4" s="3" t="s">
        <v>108</v>
      </c>
      <c r="AR4" s="3"/>
      <c r="AS4" s="3"/>
      <c r="AT4" s="3" t="s">
        <v>109</v>
      </c>
      <c r="AU4" s="3"/>
      <c r="AV4" s="3"/>
      <c r="AW4" s="3" t="s">
        <v>110</v>
      </c>
      <c r="AX4" s="3"/>
      <c r="AY4" s="3"/>
      <c r="AZ4" s="3" t="s">
        <v>111</v>
      </c>
      <c r="BA4" s="3"/>
      <c r="BB4" s="3"/>
      <c r="BC4" s="3" t="s">
        <v>112</v>
      </c>
      <c r="BD4" s="3"/>
      <c r="BE4" s="3"/>
      <c r="BF4" s="3" t="s">
        <v>113</v>
      </c>
      <c r="BG4" s="3"/>
      <c r="BH4" s="3"/>
      <c r="BI4" s="3" t="s">
        <v>114</v>
      </c>
      <c r="BJ4" s="3"/>
      <c r="BK4" s="3"/>
      <c r="BL4" s="3" t="s">
        <v>115</v>
      </c>
      <c r="BM4" s="3"/>
      <c r="BN4" s="3"/>
      <c r="BO4" s="3" t="s">
        <v>116</v>
      </c>
      <c r="BP4" s="3"/>
      <c r="BQ4" s="3"/>
      <c r="BR4" s="3" t="s">
        <v>117</v>
      </c>
      <c r="BS4" s="3"/>
      <c r="BT4" s="3"/>
      <c r="BU4" s="3" t="s">
        <v>118</v>
      </c>
      <c r="BV4" s="3"/>
      <c r="BW4" s="3"/>
      <c r="BX4" s="3" t="s">
        <v>119</v>
      </c>
      <c r="BY4" s="3"/>
      <c r="BZ4" s="3"/>
      <c r="CA4" s="3" t="s">
        <v>120</v>
      </c>
      <c r="CB4" s="3"/>
      <c r="CC4" s="3"/>
      <c r="CD4" s="3" t="s">
        <v>121</v>
      </c>
      <c r="CE4" s="3"/>
      <c r="CF4" s="3"/>
      <c r="CG4" s="3" t="s">
        <v>122</v>
      </c>
      <c r="CH4" s="3"/>
      <c r="CI4" s="3"/>
      <c r="CJ4" s="3" t="s">
        <v>123</v>
      </c>
      <c r="CK4" s="3"/>
      <c r="CL4" s="3"/>
      <c r="CM4" s="3" t="s">
        <v>124</v>
      </c>
      <c r="CN4" s="3"/>
      <c r="CO4" s="3"/>
      <c r="CP4" s="3" t="s">
        <v>125</v>
      </c>
      <c r="CQ4" s="3"/>
      <c r="CR4" s="3"/>
      <c r="CS4" s="3" t="s">
        <v>126</v>
      </c>
      <c r="CT4" s="3"/>
      <c r="CU4" s="3"/>
      <c r="CV4" s="3" t="s">
        <v>127</v>
      </c>
      <c r="CW4" s="3"/>
      <c r="CX4" s="3"/>
      <c r="CY4" s="3" t="s">
        <v>128</v>
      </c>
      <c r="CZ4" s="3"/>
      <c r="DA4" s="3"/>
      <c r="DB4" s="3" t="s">
        <v>129</v>
      </c>
      <c r="DC4" s="3"/>
      <c r="DD4" s="3"/>
      <c r="DE4" s="3" t="s">
        <v>130</v>
      </c>
      <c r="DF4" s="3"/>
      <c r="DG4" s="3"/>
      <c r="DH4" s="3" t="s">
        <v>131</v>
      </c>
      <c r="DI4" s="3"/>
      <c r="DJ4" s="3"/>
      <c r="DK4" s="3" t="s">
        <v>132</v>
      </c>
      <c r="DL4" s="3"/>
      <c r="DM4" s="3"/>
      <c r="DN4" s="3" t="s">
        <v>133</v>
      </c>
      <c r="DO4" s="3"/>
      <c r="DP4" s="3"/>
      <c r="DQ4" s="3" t="s">
        <v>134</v>
      </c>
      <c r="DR4" s="3"/>
      <c r="DS4" s="3"/>
      <c r="DT4" s="3" t="s">
        <v>135</v>
      </c>
      <c r="DU4" s="3"/>
      <c r="DV4" s="3"/>
      <c r="DW4" s="3" t="s">
        <v>136</v>
      </c>
      <c r="DX4" s="3"/>
      <c r="DY4" s="3"/>
      <c r="DZ4" s="3" t="s">
        <v>137</v>
      </c>
      <c r="EA4" s="3"/>
      <c r="EB4" s="3"/>
    </row>
    <row r="5" spans="1:177" ht="18" customHeight="1" x14ac:dyDescent="0.35">
      <c r="A5" s="15" t="s">
        <v>1</v>
      </c>
      <c r="B5" s="15" t="s">
        <v>138</v>
      </c>
      <c r="C5" s="15" t="s">
        <v>139</v>
      </c>
      <c r="D5" s="15" t="s">
        <v>140</v>
      </c>
      <c r="E5" s="15" t="s">
        <v>141</v>
      </c>
      <c r="F5" s="15" t="s">
        <v>142</v>
      </c>
      <c r="G5" s="15" t="s">
        <v>140</v>
      </c>
      <c r="H5" s="15" t="s">
        <v>141</v>
      </c>
      <c r="I5" s="15" t="s">
        <v>142</v>
      </c>
      <c r="J5" s="15" t="s">
        <v>140</v>
      </c>
      <c r="K5" s="15" t="s">
        <v>141</v>
      </c>
      <c r="L5" s="15" t="s">
        <v>142</v>
      </c>
      <c r="M5" s="15" t="s">
        <v>140</v>
      </c>
      <c r="N5" s="15" t="s">
        <v>141</v>
      </c>
      <c r="O5" s="15" t="s">
        <v>142</v>
      </c>
      <c r="P5" s="15" t="s">
        <v>140</v>
      </c>
      <c r="Q5" s="15" t="s">
        <v>141</v>
      </c>
      <c r="R5" s="15" t="s">
        <v>142</v>
      </c>
      <c r="S5" s="15" t="s">
        <v>140</v>
      </c>
      <c r="T5" s="15" t="s">
        <v>141</v>
      </c>
      <c r="U5" s="15" t="s">
        <v>142</v>
      </c>
      <c r="V5" s="15" t="s">
        <v>140</v>
      </c>
      <c r="W5" s="15" t="s">
        <v>141</v>
      </c>
      <c r="X5" s="15" t="s">
        <v>142</v>
      </c>
      <c r="Y5" s="15" t="s">
        <v>140</v>
      </c>
      <c r="Z5" s="15" t="s">
        <v>141</v>
      </c>
      <c r="AA5" s="15" t="s">
        <v>142</v>
      </c>
      <c r="AB5" s="15" t="s">
        <v>140</v>
      </c>
      <c r="AC5" s="15" t="s">
        <v>141</v>
      </c>
      <c r="AD5" s="15" t="s">
        <v>142</v>
      </c>
      <c r="AE5" s="15" t="s">
        <v>140</v>
      </c>
      <c r="AF5" s="15" t="s">
        <v>141</v>
      </c>
      <c r="AG5" s="15" t="s">
        <v>142</v>
      </c>
      <c r="AH5" s="15" t="s">
        <v>140</v>
      </c>
      <c r="AI5" s="15" t="s">
        <v>141</v>
      </c>
      <c r="AJ5" s="15" t="s">
        <v>142</v>
      </c>
      <c r="AK5" s="15" t="s">
        <v>140</v>
      </c>
      <c r="AL5" s="15" t="s">
        <v>141</v>
      </c>
      <c r="AM5" s="15" t="s">
        <v>142</v>
      </c>
      <c r="AN5" s="15" t="s">
        <v>140</v>
      </c>
      <c r="AO5" s="15" t="s">
        <v>141</v>
      </c>
      <c r="AP5" s="15" t="s">
        <v>142</v>
      </c>
      <c r="AQ5" s="15" t="s">
        <v>140</v>
      </c>
      <c r="AR5" s="15" t="s">
        <v>141</v>
      </c>
      <c r="AS5" s="15" t="s">
        <v>142</v>
      </c>
      <c r="AT5" s="15" t="s">
        <v>140</v>
      </c>
      <c r="AU5" s="15" t="s">
        <v>141</v>
      </c>
      <c r="AV5" s="15" t="s">
        <v>142</v>
      </c>
      <c r="AW5" s="15" t="s">
        <v>140</v>
      </c>
      <c r="AX5" s="15" t="s">
        <v>141</v>
      </c>
      <c r="AY5" s="15" t="s">
        <v>142</v>
      </c>
      <c r="AZ5" s="15" t="s">
        <v>140</v>
      </c>
      <c r="BA5" s="15" t="s">
        <v>141</v>
      </c>
      <c r="BB5" s="15" t="s">
        <v>142</v>
      </c>
      <c r="BC5" s="15" t="s">
        <v>140</v>
      </c>
      <c r="BD5" s="15" t="s">
        <v>141</v>
      </c>
      <c r="BE5" s="15" t="s">
        <v>142</v>
      </c>
      <c r="BF5" s="15" t="s">
        <v>140</v>
      </c>
      <c r="BG5" s="15" t="s">
        <v>141</v>
      </c>
      <c r="BH5" s="15" t="s">
        <v>142</v>
      </c>
      <c r="BI5" s="15" t="s">
        <v>140</v>
      </c>
      <c r="BJ5" s="15" t="s">
        <v>141</v>
      </c>
      <c r="BK5" s="15" t="s">
        <v>142</v>
      </c>
      <c r="BL5" s="15" t="s">
        <v>140</v>
      </c>
      <c r="BM5" s="15" t="s">
        <v>141</v>
      </c>
      <c r="BN5" s="15" t="s">
        <v>142</v>
      </c>
      <c r="BO5" s="15" t="s">
        <v>140</v>
      </c>
      <c r="BP5" s="15" t="s">
        <v>141</v>
      </c>
      <c r="BQ5" s="15" t="s">
        <v>142</v>
      </c>
      <c r="BR5" s="15" t="s">
        <v>140</v>
      </c>
      <c r="BS5" s="15" t="s">
        <v>141</v>
      </c>
      <c r="BT5" s="15" t="s">
        <v>142</v>
      </c>
      <c r="BU5" s="15" t="s">
        <v>140</v>
      </c>
      <c r="BV5" s="15" t="s">
        <v>141</v>
      </c>
      <c r="BW5" s="15" t="s">
        <v>142</v>
      </c>
      <c r="BX5" s="15" t="s">
        <v>140</v>
      </c>
      <c r="BY5" s="15" t="s">
        <v>141</v>
      </c>
      <c r="BZ5" s="15" t="s">
        <v>142</v>
      </c>
      <c r="CA5" s="15" t="s">
        <v>140</v>
      </c>
      <c r="CB5" s="15" t="s">
        <v>141</v>
      </c>
      <c r="CC5" s="15" t="s">
        <v>142</v>
      </c>
      <c r="CD5" s="15" t="s">
        <v>140</v>
      </c>
      <c r="CE5" s="15" t="s">
        <v>141</v>
      </c>
      <c r="CF5" s="15" t="s">
        <v>142</v>
      </c>
      <c r="CG5" s="15" t="s">
        <v>140</v>
      </c>
      <c r="CH5" s="15" t="s">
        <v>141</v>
      </c>
      <c r="CI5" s="15" t="s">
        <v>142</v>
      </c>
      <c r="CJ5" s="15" t="s">
        <v>140</v>
      </c>
      <c r="CK5" s="15" t="s">
        <v>141</v>
      </c>
      <c r="CL5" s="15" t="s">
        <v>142</v>
      </c>
      <c r="CM5" s="15" t="s">
        <v>140</v>
      </c>
      <c r="CN5" s="15" t="s">
        <v>141</v>
      </c>
      <c r="CO5" s="15" t="s">
        <v>142</v>
      </c>
      <c r="CP5" s="15" t="s">
        <v>140</v>
      </c>
      <c r="CQ5" s="15" t="s">
        <v>141</v>
      </c>
      <c r="CR5" s="15" t="s">
        <v>142</v>
      </c>
      <c r="CS5" s="15" t="s">
        <v>140</v>
      </c>
      <c r="CT5" s="15" t="s">
        <v>141</v>
      </c>
      <c r="CU5" s="15" t="s">
        <v>142</v>
      </c>
      <c r="CV5" s="15" t="s">
        <v>140</v>
      </c>
      <c r="CW5" s="15" t="s">
        <v>141</v>
      </c>
      <c r="CX5" s="15" t="s">
        <v>142</v>
      </c>
      <c r="CY5" s="15" t="s">
        <v>140</v>
      </c>
      <c r="CZ5" s="15" t="s">
        <v>141</v>
      </c>
      <c r="DA5" s="15" t="s">
        <v>142</v>
      </c>
      <c r="DB5" s="15" t="s">
        <v>140</v>
      </c>
      <c r="DC5" s="15" t="s">
        <v>141</v>
      </c>
      <c r="DD5" s="15" t="s">
        <v>142</v>
      </c>
      <c r="DE5" s="15" t="s">
        <v>140</v>
      </c>
      <c r="DF5" s="15" t="s">
        <v>141</v>
      </c>
      <c r="DG5" s="15" t="s">
        <v>142</v>
      </c>
      <c r="DH5" s="15" t="s">
        <v>140</v>
      </c>
      <c r="DI5" s="15" t="s">
        <v>141</v>
      </c>
      <c r="DJ5" s="15" t="s">
        <v>142</v>
      </c>
      <c r="DK5" s="15" t="s">
        <v>140</v>
      </c>
      <c r="DL5" s="15" t="s">
        <v>141</v>
      </c>
      <c r="DM5" s="15" t="s">
        <v>142</v>
      </c>
      <c r="DN5" s="16" t="s">
        <v>140</v>
      </c>
      <c r="DO5" s="16" t="s">
        <v>141</v>
      </c>
      <c r="DP5" s="16" t="s">
        <v>142</v>
      </c>
      <c r="DQ5" s="16" t="s">
        <v>140</v>
      </c>
      <c r="DR5" s="16" t="s">
        <v>141</v>
      </c>
      <c r="DS5" s="16" t="s">
        <v>142</v>
      </c>
      <c r="DT5" s="16" t="s">
        <v>140</v>
      </c>
      <c r="DU5" s="16" t="s">
        <v>141</v>
      </c>
      <c r="DV5" s="16" t="s">
        <v>142</v>
      </c>
      <c r="DW5" s="16" t="s">
        <v>140</v>
      </c>
      <c r="DX5" s="16" t="s">
        <v>141</v>
      </c>
      <c r="DY5" s="16" t="s">
        <v>142</v>
      </c>
      <c r="DZ5" s="16" t="s">
        <v>140</v>
      </c>
      <c r="EA5" s="16" t="s">
        <v>141</v>
      </c>
      <c r="EB5" s="16" t="s">
        <v>142</v>
      </c>
      <c r="EC5" s="17"/>
      <c r="ED5" s="12" t="s">
        <v>143</v>
      </c>
      <c r="EE5" s="12" t="s">
        <v>144</v>
      </c>
      <c r="EF5" s="12" t="s">
        <v>145</v>
      </c>
      <c r="EG5" s="12" t="s">
        <v>146</v>
      </c>
      <c r="EH5" s="12" t="s">
        <v>147</v>
      </c>
      <c r="EI5" s="12" t="s">
        <v>148</v>
      </c>
      <c r="EJ5" s="12" t="s">
        <v>149</v>
      </c>
      <c r="EK5" s="12" t="s">
        <v>150</v>
      </c>
      <c r="EL5" s="12" t="s">
        <v>151</v>
      </c>
      <c r="EM5" s="12" t="s">
        <v>152</v>
      </c>
      <c r="EN5" s="12" t="s">
        <v>153</v>
      </c>
      <c r="EO5" s="12" t="s">
        <v>154</v>
      </c>
      <c r="EP5" s="12" t="s">
        <v>155</v>
      </c>
      <c r="EQ5" s="12" t="s">
        <v>156</v>
      </c>
      <c r="ER5" s="12" t="s">
        <v>157</v>
      </c>
      <c r="ES5" s="12" t="s">
        <v>158</v>
      </c>
      <c r="ET5" s="12" t="s">
        <v>159</v>
      </c>
      <c r="EU5" s="12" t="s">
        <v>160</v>
      </c>
      <c r="EV5" s="12" t="s">
        <v>161</v>
      </c>
      <c r="EW5" s="12" t="s">
        <v>162</v>
      </c>
      <c r="EX5" s="12" t="s">
        <v>163</v>
      </c>
      <c r="EY5" s="12" t="s">
        <v>164</v>
      </c>
      <c r="EZ5" s="12" t="s">
        <v>165</v>
      </c>
      <c r="FA5" s="12" t="s">
        <v>166</v>
      </c>
      <c r="FB5" s="12" t="s">
        <v>167</v>
      </c>
      <c r="FC5" s="12" t="s">
        <v>168</v>
      </c>
      <c r="FD5" s="12" t="s">
        <v>169</v>
      </c>
      <c r="FE5" s="12" t="s">
        <v>170</v>
      </c>
      <c r="FF5" s="12" t="s">
        <v>171</v>
      </c>
      <c r="FG5" s="12" t="s">
        <v>172</v>
      </c>
      <c r="FH5" s="12" t="s">
        <v>173</v>
      </c>
      <c r="FI5" s="12" t="s">
        <v>174</v>
      </c>
      <c r="FJ5" s="12" t="s">
        <v>175</v>
      </c>
      <c r="FK5" s="12" t="s">
        <v>176</v>
      </c>
      <c r="FL5" s="12" t="s">
        <v>177</v>
      </c>
      <c r="FM5" s="12" t="s">
        <v>178</v>
      </c>
      <c r="FN5" s="12" t="s">
        <v>179</v>
      </c>
      <c r="FO5" s="12" t="s">
        <v>180</v>
      </c>
      <c r="FP5" s="12" t="s">
        <v>181</v>
      </c>
      <c r="FQ5" s="12" t="s">
        <v>182</v>
      </c>
      <c r="FR5" s="12" t="s">
        <v>183</v>
      </c>
      <c r="FS5" s="12" t="s">
        <v>184</v>
      </c>
      <c r="FT5" s="12" t="s">
        <v>185</v>
      </c>
      <c r="FU5" s="12" t="s">
        <v>186</v>
      </c>
    </row>
    <row r="6" spans="1:177" ht="12.75" customHeight="1" x14ac:dyDescent="0.35">
      <c r="A6" s="8">
        <v>1</v>
      </c>
      <c r="B6" s="9" t="s">
        <v>187</v>
      </c>
      <c r="C6" s="10">
        <f>'P0Q0 Dasar 2022'!F5</f>
        <v>0.12508905675934601</v>
      </c>
      <c r="D6" s="18">
        <f>IFERROR(AVERAGEIF('Pemetaan Variant'!$A$5:$A$32,$B6,'Pemetaan Variant'!$L$5:$L$32),"n/a")</f>
        <v>13000</v>
      </c>
      <c r="E6" s="10">
        <f>IFERROR(IF(ISNUMBER(D6),(D6-AVERAGEIF('Pemetaan Variant'!$A$5:$A$32,$B6,'Pemetaan Variant'!$D$5:$D$32))/AVERAGEIF('Pemetaan Variant'!$A$5:$A$32,$B6,'Pemetaan Variant'!$D$5:$D$32)*100,"n/a"),"n/a")</f>
        <v>0</v>
      </c>
      <c r="F6" s="10">
        <f t="shared" ref="F6:F25" si="0">IFERROR(IF(ISNUMBER(E6),$C6*E6,"n/a"),"n/a")</f>
        <v>0</v>
      </c>
      <c r="G6" s="18">
        <f>IFERROR(AVERAGEIF('Pemetaan Variant'!$A$5:$A$32,$B6,'Pemetaan Variant'!$M$5:$M$32),"n/a")</f>
        <v>13000</v>
      </c>
      <c r="H6" s="10">
        <f>IFERROR(IF(ISNUMBER(G6),(G6-AVERAGEIF('Pemetaan Variant'!$A$5:$A$32,$B6,'Pemetaan Variant'!$D$5:$D$32))/AVERAGEIF('Pemetaan Variant'!$A$5:$A$32,$B6,'Pemetaan Variant'!$D$5:$D$32)*100,"n/a"),"n/a")</f>
        <v>0</v>
      </c>
      <c r="I6" s="10">
        <f t="shared" ref="I6:I25" si="1">IFERROR(IF(ISNUMBER(H6),$C6*H6,"n/a"),"n/a")</f>
        <v>0</v>
      </c>
      <c r="J6" s="18">
        <f>IFERROR(AVERAGEIF('Pemetaan Variant'!$A$5:$A$32,$B6,'Pemetaan Variant'!$N$5:$N$32),"n/a")</f>
        <v>13000</v>
      </c>
      <c r="K6" s="10">
        <f>IFERROR(IF(ISNUMBER(J6),(J6-AVERAGEIF('Pemetaan Variant'!$A$5:$A$32,$B6,'Pemetaan Variant'!$D$5:$D$32))/AVERAGEIF('Pemetaan Variant'!$A$5:$A$32,$B6,'Pemetaan Variant'!$D$5:$D$32)*100,"n/a"),"n/a")</f>
        <v>0</v>
      </c>
      <c r="L6" s="10">
        <f t="shared" ref="L6:L25" si="2">IFERROR(IF(ISNUMBER(K6),$C6*K6,"n/a"),"n/a")</f>
        <v>0</v>
      </c>
      <c r="M6" s="18">
        <f>IFERROR(AVERAGEIF('Pemetaan Variant'!$A$5:$A$32,$B6,'Pemetaan Variant'!$O$5:$O$32),"n/a")</f>
        <v>13000</v>
      </c>
      <c r="N6" s="10">
        <f>IFERROR(IF(ISNUMBER(M6),(M6-AVERAGEIF('Pemetaan Variant'!$A$5:$A$32,$B6,'Pemetaan Variant'!$D$5:$D$32))/AVERAGEIF('Pemetaan Variant'!$A$5:$A$32,$B6,'Pemetaan Variant'!$D$5:$D$32)*100,"n/a"),"n/a")</f>
        <v>0</v>
      </c>
      <c r="O6" s="10">
        <f t="shared" ref="O6:O25" si="3">IFERROR(IF(ISNUMBER(N6),$C6*N6,"n/a"),"n/a")</f>
        <v>0</v>
      </c>
      <c r="P6" s="18">
        <f>IFERROR(AVERAGEIF('Pemetaan Variant'!$A$5:$A$32,$B6,'Pemetaan Variant'!$P$5:$P$32),"n/a")</f>
        <v>13000</v>
      </c>
      <c r="Q6" s="10">
        <f>IFERROR(IF(ISNUMBER(P6),(P6-AVERAGEIF('Pemetaan Variant'!$A$5:$A$32,$B6,'Pemetaan Variant'!$D$5:$D$32))/AVERAGEIF('Pemetaan Variant'!$A$5:$A$32,$B6,'Pemetaan Variant'!$D$5:$D$32)*100,"n/a"),"n/a")</f>
        <v>0</v>
      </c>
      <c r="R6" s="10">
        <f t="shared" ref="R6:R25" si="4">IFERROR(IF(ISNUMBER(Q6),$C6*Q6,"n/a"),"n/a")</f>
        <v>0</v>
      </c>
      <c r="S6" s="18">
        <f>IFERROR(AVERAGEIF('Pemetaan Variant'!$A$5:$A$32,$B6,'Pemetaan Variant'!$Q$5:$Q$32),"n/a")</f>
        <v>13000</v>
      </c>
      <c r="T6" s="10">
        <f>IFERROR(IF(ISNUMBER(S6),(S6-AVERAGEIF('Pemetaan Variant'!$A$5:$A$32,$B6,'Pemetaan Variant'!$E$5:$E$32))/AVERAGEIF('Pemetaan Variant'!$A$5:$A$32,$B6,'Pemetaan Variant'!$E$5:$E$32)*100,"n/a"),"n/a")</f>
        <v>0</v>
      </c>
      <c r="U6" s="10">
        <f t="shared" ref="U6:U25" si="5">IFERROR(IF(ISNUMBER(T6),$C6*T6,"n/a"),"n/a")</f>
        <v>0</v>
      </c>
      <c r="V6" s="18">
        <f>IFERROR(AVERAGEIF('Pemetaan Variant'!$A$5:$A$32,$B6,'Pemetaan Variant'!$R$5:$R$32),"n/a")</f>
        <v>13000</v>
      </c>
      <c r="W6" s="10">
        <f>IFERROR(IF(ISNUMBER(V6),(V6-AVERAGEIF('Pemetaan Variant'!$A$5:$A$32,$B6,'Pemetaan Variant'!$E$5:$E$32))/AVERAGEIF('Pemetaan Variant'!$A$5:$A$32,$B6,'Pemetaan Variant'!$E$5:$E$32)*100,"n/a"),"n/a")</f>
        <v>0</v>
      </c>
      <c r="X6" s="10">
        <f t="shared" ref="X6:X25" si="6">IFERROR(IF(ISNUMBER(W6),$C6*W6,"n/a"),"n/a")</f>
        <v>0</v>
      </c>
      <c r="Y6" s="18">
        <f>IFERROR(AVERAGEIF('Pemetaan Variant'!$A$5:$A$32,$B6,'Pemetaan Variant'!$S$5:$S$32),"n/a")</f>
        <v>13000</v>
      </c>
      <c r="Z6" s="10">
        <f>IFERROR(IF(ISNUMBER(Y6),(Y6-AVERAGEIF('Pemetaan Variant'!$A$5:$A$32,$B6,'Pemetaan Variant'!$E$5:$E$32))/AVERAGEIF('Pemetaan Variant'!$A$5:$A$32,$B6,'Pemetaan Variant'!$E$5:$E$32)*100,"n/a"),"n/a")</f>
        <v>0</v>
      </c>
      <c r="AA6" s="10">
        <f t="shared" ref="AA6:AA25" si="7">IFERROR(IF(ISNUMBER(Z6),$C6*Z6,"n/a"),"n/a")</f>
        <v>0</v>
      </c>
      <c r="AB6" s="18">
        <f>IFERROR(AVERAGEIF('Pemetaan Variant'!$A$5:$A$32,$B6,'Pemetaan Variant'!$T$5:$T$32),"n/a")</f>
        <v>13000</v>
      </c>
      <c r="AC6" s="10">
        <f>IFERROR(IF(ISNUMBER(AB6),(AB6-AVERAGEIF('Pemetaan Variant'!$A$5:$A$32,$B6,'Pemetaan Variant'!$E$5:$E$32))/AVERAGEIF('Pemetaan Variant'!$A$5:$A$32,$B6,'Pemetaan Variant'!$E$5:$E$32)*100,"n/a"),"n/a")</f>
        <v>0</v>
      </c>
      <c r="AD6" s="10">
        <f t="shared" ref="AD6:AD25" si="8">IFERROR(IF(ISNUMBER(AC6),$C6*AC6,"n/a"),"n/a")</f>
        <v>0</v>
      </c>
      <c r="AE6" s="18">
        <f>IFERROR(AVERAGEIF('Pemetaan Variant'!$A$5:$A$32,$B6,'Pemetaan Variant'!$U$5:$U$32),"n/a")</f>
        <v>13000</v>
      </c>
      <c r="AF6" s="10">
        <f>IFERROR(IF(ISNUMBER(AE6),(AE6-AVERAGEIF('Pemetaan Variant'!$A$5:$A$32,$B6,'Pemetaan Variant'!$F$5:$F$32))/AVERAGEIF('Pemetaan Variant'!$A$5:$A$32,$B6,'Pemetaan Variant'!$F$5:$F$32)*100,"n/a"),"n/a")</f>
        <v>0</v>
      </c>
      <c r="AG6" s="10">
        <f t="shared" ref="AG6:AG25" si="9">IFERROR(IF(ISNUMBER(AF6),$C6*AF6,"n/a"),"n/a")</f>
        <v>0</v>
      </c>
      <c r="AH6" s="18">
        <f>IFERROR(AVERAGEIF('Pemetaan Variant'!$A$5:$A$32,$B6,'Pemetaan Variant'!$V$5:$V$32),"n/a")</f>
        <v>13000</v>
      </c>
      <c r="AI6" s="10">
        <f>IFERROR(IF(ISNUMBER(AH6),(AH6-AVERAGEIF('Pemetaan Variant'!$A$5:$A$32,$B6,'Pemetaan Variant'!$F$5:$F$32))/AVERAGEIF('Pemetaan Variant'!$A$5:$A$32,$B6,'Pemetaan Variant'!$F$5:$F$32)*100,"n/a"),"n/a")</f>
        <v>0</v>
      </c>
      <c r="AJ6" s="10">
        <f t="shared" ref="AJ6:AJ25" si="10">IFERROR(IF(ISNUMBER(AI6),$C6*AI6,"n/a"),"n/a")</f>
        <v>0</v>
      </c>
      <c r="AK6" s="18">
        <f>IFERROR(AVERAGEIF('Pemetaan Variant'!$A$5:$A$32,$B6,'Pemetaan Variant'!$W$5:$W$32),"n/a")</f>
        <v>13000</v>
      </c>
      <c r="AL6" s="10">
        <f>IFERROR(IF(ISNUMBER(AK6),(AK6-AVERAGEIF('Pemetaan Variant'!$A$5:$A$32,$B6,'Pemetaan Variant'!$F$5:$F$32))/AVERAGEIF('Pemetaan Variant'!$A$5:$A$32,$B6,'Pemetaan Variant'!$F$5:$F$32)*100,"n/a"),"n/a")</f>
        <v>0</v>
      </c>
      <c r="AM6" s="10">
        <f t="shared" ref="AM6:AM25" si="11">IFERROR(IF(ISNUMBER(AL6),$C6*AL6,"n/a"),"n/a")</f>
        <v>0</v>
      </c>
      <c r="AN6" s="18">
        <f>IFERROR(AVERAGEIF('Pemetaan Variant'!$A$5:$A$32,$B6,'Pemetaan Variant'!$X$5:$X$32),"n/a")</f>
        <v>13000</v>
      </c>
      <c r="AO6" s="10">
        <f>IFERROR(IF(ISNUMBER(AN6),(AN6-AVERAGEIF('Pemetaan Variant'!$A$5:$A$32,$B6,'Pemetaan Variant'!$F$5:$F$32))/AVERAGEIF('Pemetaan Variant'!$A$5:$A$32,$B6,'Pemetaan Variant'!$F$5:$F$32)*100,"n/a"),"n/a")</f>
        <v>0</v>
      </c>
      <c r="AP6" s="10">
        <f t="shared" ref="AP6:AP25" si="12">IFERROR(IF(ISNUMBER(AO6),$C6*AO6,"n/a"),"n/a")</f>
        <v>0</v>
      </c>
      <c r="AQ6" s="18">
        <f>IFERROR(AVERAGEIF('Pemetaan Variant'!$A$5:$A$32,$B6,'Pemetaan Variant'!$Y$5:$Y$32),"n/a")</f>
        <v>13000</v>
      </c>
      <c r="AR6" s="10">
        <f>IFERROR(IF(ISNUMBER(AQ6),(AQ6-AVERAGEIF('Pemetaan Variant'!$A$5:$A$32,$B6,'Pemetaan Variant'!$F$5:$F$32))/AVERAGEIF('Pemetaan Variant'!$A$5:$A$32,$B6,'Pemetaan Variant'!$F$5:$F$32)*100,"n/a"),"n/a")</f>
        <v>0</v>
      </c>
      <c r="AS6" s="10">
        <f t="shared" ref="AS6:AS25" si="13">IFERROR(IF(ISNUMBER(AR6),$C6*AR6,"n/a"),"n/a")</f>
        <v>0</v>
      </c>
      <c r="AT6" s="18">
        <f>IFERROR(AVERAGEIF('Pemetaan Variant'!$A$5:$A$32,$B6,'Pemetaan Variant'!$Z$5:$Z$32),"n/a")</f>
        <v>13000</v>
      </c>
      <c r="AU6" s="10">
        <f>IFERROR(IF(ISNUMBER(AT6),(AT6-AVERAGEIF('Pemetaan Variant'!$A$5:$A$32,$B6,'Pemetaan Variant'!$G$5:$G$32))/AVERAGEIF('Pemetaan Variant'!$A$5:$A$32,$B6,'Pemetaan Variant'!$G$5:$G$32)*100,"n/a"),"n/a")</f>
        <v>0</v>
      </c>
      <c r="AV6" s="10">
        <f t="shared" ref="AV6:AV25" si="14">IFERROR(IF(ISNUMBER(AU6),$C6*AU6,"n/a"),"n/a")</f>
        <v>0</v>
      </c>
      <c r="AW6" s="18">
        <f>IFERROR(AVERAGEIF('Pemetaan Variant'!$A$5:$A$32,$B6,'Pemetaan Variant'!$AA$5:$AA$32),"n/a")</f>
        <v>13000</v>
      </c>
      <c r="AX6" s="10">
        <f>IFERROR(IF(ISNUMBER(AW6),(AW6-AVERAGEIF('Pemetaan Variant'!$A$5:$A$32,$B6,'Pemetaan Variant'!$G$5:$G$32))/AVERAGEIF('Pemetaan Variant'!$A$5:$A$32,$B6,'Pemetaan Variant'!$G$5:$G$32)*100,"n/a"),"n/a")</f>
        <v>0</v>
      </c>
      <c r="AY6" s="10">
        <f t="shared" ref="AY6:AY25" si="15">IFERROR(IF(ISNUMBER(AX6),$C6*AX6,"n/a"),"n/a")</f>
        <v>0</v>
      </c>
      <c r="AZ6" s="18">
        <f>IFERROR(AVERAGEIF('Pemetaan Variant'!$A$5:$A$32,$B6,'Pemetaan Variant'!$AB$5:$AB$32),"n/a")</f>
        <v>13000</v>
      </c>
      <c r="BA6" s="10">
        <f>IFERROR(IF(ISNUMBER(AZ6),(AZ6-AVERAGEIF('Pemetaan Variant'!$A$5:$A$32,$B6,'Pemetaan Variant'!$G$5:$G$32))/AVERAGEIF('Pemetaan Variant'!$A$5:$A$32,$B6,'Pemetaan Variant'!$G$5:$G$32)*100,"n/a"),"n/a")</f>
        <v>0</v>
      </c>
      <c r="BB6" s="10">
        <f t="shared" ref="BB6:BB25" si="16">IFERROR(IF(ISNUMBER(BA6),$C6*BA6,"n/a"),"n/a")</f>
        <v>0</v>
      </c>
      <c r="BC6" s="18">
        <f>IFERROR(AVERAGEIF('Pemetaan Variant'!$A$5:$A$32,$B6,'Pemetaan Variant'!$AC$5:$AC$32),"n/a")</f>
        <v>13633.333333333334</v>
      </c>
      <c r="BD6" s="10">
        <f>IFERROR(IF(ISNUMBER(BC6),(BC6-AVERAGEIF('Pemetaan Variant'!$A$5:$A$32,$B6,'Pemetaan Variant'!$G$5:$G$32))/AVERAGEIF('Pemetaan Variant'!$A$5:$A$32,$B6,'Pemetaan Variant'!$G$5:$G$32)*100,"n/a"),"n/a")</f>
        <v>4.8717948717948767</v>
      </c>
      <c r="BE6" s="10">
        <f t="shared" ref="BE6:BE25" si="17">IFERROR(IF(ISNUMBER(BD6),$C6*BD6,"n/a"),"n/a")</f>
        <v>0.60940822523784011</v>
      </c>
      <c r="BF6" s="18">
        <f>IFERROR(AVERAGEIF('Pemetaan Variant'!$A$5:$A$32,$B6,'Pemetaan Variant'!$AD$5:$AD$32),"n/a")</f>
        <v>13633.333333333334</v>
      </c>
      <c r="BG6" s="10">
        <f>IFERROR(IF(ISNUMBER(BF6),(BF6-AVERAGEIF('Pemetaan Variant'!$A$5:$A$32,$B6,'Pemetaan Variant'!$G$5:$G$32))/AVERAGEIF('Pemetaan Variant'!$A$5:$A$32,$B6,'Pemetaan Variant'!$G$5:$G$32)*100,"n/a"),"n/a")</f>
        <v>4.8717948717948767</v>
      </c>
      <c r="BH6" s="10">
        <f t="shared" ref="BH6:BH25" si="18">IFERROR(IF(ISNUMBER(BG6),$C6*BG6,"n/a"),"n/a")</f>
        <v>0.60940822523784011</v>
      </c>
      <c r="BI6" s="18" t="str">
        <f>IFERROR(AVERAGEIF('Pemetaan Variant'!$A$5:$A$32,$B6,'Pemetaan Variant'!$AE$5:$AE$32),"n/a")</f>
        <v>n/a</v>
      </c>
      <c r="BJ6" s="10" t="str">
        <f>IFERROR(IF(ISNUMBER(BI6),(BI6-AVERAGEIF('Pemetaan Variant'!$A$5:$A$32,$B6,'Pemetaan Variant'!$H$5:$H$32))/AVERAGEIF('Pemetaan Variant'!$A$5:$A$32,$B6,'Pemetaan Variant'!$H$5:$H$32)*100,"n/a"),"n/a")</f>
        <v>n/a</v>
      </c>
      <c r="BK6" s="10" t="str">
        <f t="shared" ref="BK6:BK25" si="19">IFERROR(IF(ISNUMBER(BJ6),$C6*BJ6,"n/a"),"n/a")</f>
        <v>n/a</v>
      </c>
      <c r="BL6" s="18">
        <f>IFERROR(AVERAGEIF('Pemetaan Variant'!$A$5:$A$32,$B6,'Pemetaan Variant'!$AF$5:$AF$32),"n/a")</f>
        <v>13633.333333333334</v>
      </c>
      <c r="BM6" s="10">
        <f>IFERROR(IF(ISNUMBER(BL6),(BL6-AVERAGEIF('Pemetaan Variant'!$A$5:$A$32,$B6,'Pemetaan Variant'!$H$5:$H$32))/AVERAGEIF('Pemetaan Variant'!$A$5:$A$32,$B6,'Pemetaan Variant'!$H$5:$H$32)*100,"n/a"),"n/a")</f>
        <v>2.7269465374955115</v>
      </c>
      <c r="BN6" s="10">
        <f t="shared" ref="BN6:BN25" si="20">IFERROR(IF(ISNUMBER(BM6),$C6*BM6,"n/a"),"n/a")</f>
        <v>0.34111117020847809</v>
      </c>
      <c r="BO6" s="18">
        <f>IFERROR(AVERAGEIF('Pemetaan Variant'!$A$5:$A$32,$B6,'Pemetaan Variant'!$AG$5:$AG$32),"n/a")</f>
        <v>13608.333333333334</v>
      </c>
      <c r="BP6" s="10">
        <f>IFERROR(IF(ISNUMBER(BO6),(BO6-AVERAGEIF('Pemetaan Variant'!$A$5:$A$32,$B6,'Pemetaan Variant'!$H$5:$H$32))/AVERAGEIF('Pemetaan Variant'!$A$5:$A$32,$B6,'Pemetaan Variant'!$H$5:$H$32)*100,"n/a"),"n/a")</f>
        <v>2.5385719411553609</v>
      </c>
      <c r="BQ6" s="10">
        <f t="shared" ref="BQ6:BQ25" si="21">IFERROR(IF(ISNUMBER(BP6),$C6*BP6,"n/a"),"n/a")</f>
        <v>0.31754756963486613</v>
      </c>
      <c r="BR6" s="18">
        <f>IFERROR(AVERAGEIF('Pemetaan Variant'!$A$5:$A$32,$B6,'Pemetaan Variant'!$AH$5:$AH$32),"n/a")</f>
        <v>13586.666666666666</v>
      </c>
      <c r="BS6" s="10">
        <f>IFERROR(IF(ISNUMBER(BR6),(BR6-AVERAGEIF('Pemetaan Variant'!$A$5:$A$32,$B6,'Pemetaan Variant'!$H$5:$H$32))/AVERAGEIF('Pemetaan Variant'!$A$5:$A$32,$B6,'Pemetaan Variant'!$H$5:$H$32)*100,"n/a"),"n/a")</f>
        <v>2.3753139576605542</v>
      </c>
      <c r="BT6" s="10">
        <f t="shared" ref="BT6:BT25" si="22">IFERROR(IF(ISNUMBER(BS6),$C6*BS6,"n/a"),"n/a")</f>
        <v>0.29712578247106786</v>
      </c>
      <c r="BU6" s="18">
        <f>IFERROR(AVERAGEIF('Pemetaan Variant'!$A$5:$A$32,$B6,'Pemetaan Variant'!$AI$5:$AI$32),"n/a")</f>
        <v>13233.333333333334</v>
      </c>
      <c r="BV6" s="10">
        <f>IFERROR(IF(ISNUMBER(BU6),(BU6-AVERAGEIF('Pemetaan Variant'!$A$5:$A$32,$B6,'Pemetaan Variant'!$H$5:$H$32))/AVERAGEIF('Pemetaan Variant'!$A$5:$A$32,$B6,'Pemetaan Variant'!$H$5:$H$32)*100,"n/a"),"n/a")</f>
        <v>-0.28704700394689953</v>
      </c>
      <c r="BW6" s="10">
        <f t="shared" ref="BW6:BW25" si="23">IFERROR(IF(ISNUMBER(BV6),$C6*BV6,"n/a"),"n/a")</f>
        <v>-3.5906438969313934E-2</v>
      </c>
      <c r="BX6" s="18">
        <f>IFERROR(AVERAGEIF('Pemetaan Variant'!$A$5:$A$32,$B6,'Pemetaan Variant'!$AJ$5:$AJ$32),"n/a")</f>
        <v>12933.333333333334</v>
      </c>
      <c r="BY6" s="10">
        <f>IFERROR(IF(ISNUMBER(BX6),(BX6-AVERAGEIF('Pemetaan Variant'!$A$5:$A$32,$B6,'Pemetaan Variant'!$I$5:$I$32))/AVERAGEIF('Pemetaan Variant'!$A$5:$A$32,$B6,'Pemetaan Variant'!$I$5:$I$32)*100,"n/a"),"n/a")</f>
        <v>-4.4739372956337711</v>
      </c>
      <c r="BZ6" s="10">
        <f t="shared" ref="BZ6:BZ25" si="24">IFERROR(IF(ISNUMBER(BY6),$C6*BY6,"n/a"),"n/a")</f>
        <v>-0.55964059631128782</v>
      </c>
      <c r="CA6" s="18">
        <f>IFERROR(AVERAGEIF('Pemetaan Variant'!$A$5:$A$32,$B6,'Pemetaan Variant'!$AK$5:$AK$32),"n/a")</f>
        <v>12860</v>
      </c>
      <c r="CB6" s="10">
        <f>IFERROR(IF(ISNUMBER(CA6),(CA6-AVERAGEIF('Pemetaan Variant'!$A$5:$A$32,$B6,'Pemetaan Variant'!$I$5:$I$32))/AVERAGEIF('Pemetaan Variant'!$A$5:$A$32,$B6,'Pemetaan Variant'!$I$5:$I$32)*100,"n/a"),"n/a")</f>
        <v>-5.0155799192152335</v>
      </c>
      <c r="CC6" s="10">
        <f t="shared" ref="CC6:CC25" si="25">IFERROR(IF(ISNUMBER(CB6),$C6*CB6,"n/a"),"n/a")</f>
        <v>-0.62739416119575042</v>
      </c>
      <c r="CD6" s="18">
        <f>IFERROR(AVERAGEIF('Pemetaan Variant'!$A$5:$A$32,$B6,'Pemetaan Variant'!$AL$5:$AL$32),"n/a")</f>
        <v>12925</v>
      </c>
      <c r="CE6" s="10">
        <f>IFERROR(IF(ISNUMBER(CD6),(CD6-AVERAGEIF('Pemetaan Variant'!$A$5:$A$32,$B6,'Pemetaan Variant'!$I$5:$I$32))/AVERAGEIF('Pemetaan Variant'!$A$5:$A$32,$B6,'Pemetaan Variant'!$I$5:$I$32)*100,"n/a"),"n/a")</f>
        <v>-4.5354875937680328</v>
      </c>
      <c r="CF6" s="10">
        <f t="shared" ref="CF6:CF25" si="26">IFERROR(IF(ISNUMBER(CE6),$C6*CE6,"n/a"),"n/a")</f>
        <v>-0.56733986504815914</v>
      </c>
      <c r="CG6" s="18">
        <f>IFERROR(AVERAGEIF('Pemetaan Variant'!$A$5:$A$32,$B6,'Pemetaan Variant'!$AM$5:$AM$32),"n/a")</f>
        <v>12866.666666666666</v>
      </c>
      <c r="CH6" s="10">
        <f>IFERROR(IF(ISNUMBER(CG6),(CG6-AVERAGEIF('Pemetaan Variant'!$A$5:$A$32,$B6,'Pemetaan Variant'!$I$5:$I$32))/AVERAGEIF('Pemetaan Variant'!$A$5:$A$32,$B6,'Pemetaan Variant'!$I$5:$I$32)*100,"n/a"),"n/a")</f>
        <v>-4.9663396807078328</v>
      </c>
      <c r="CI6" s="10">
        <f t="shared" ref="CI6:CI25" si="27">IFERROR(IF(ISNUMBER(CH6),$C6*CH6,"n/a"),"n/a")</f>
        <v>-0.62123474620625441</v>
      </c>
      <c r="CJ6" s="18">
        <f>IFERROR(AVERAGEIF('Pemetaan Variant'!$A$5:$A$32,$B6,'Pemetaan Variant'!$AN$5:$AN$32),"n/a")</f>
        <v>12866.666666666666</v>
      </c>
      <c r="CK6" s="10">
        <f>IFERROR(IF(ISNUMBER(CJ6),(CJ6-AVERAGEIF('Pemetaan Variant'!$A$5:$A$32,$B6,'Pemetaan Variant'!$I$5:$I$32))/AVERAGEIF('Pemetaan Variant'!$A$5:$A$32,$B6,'Pemetaan Variant'!$I$5:$I$32)*100,"n/a"),"n/a")</f>
        <v>-4.9663396807078328</v>
      </c>
      <c r="CL6" s="10">
        <f t="shared" ref="CL6:CL25" si="28">IFERROR(IF(ISNUMBER(CK6),$C6*CK6,"n/a"),"n/a")</f>
        <v>-0.62123474620625441</v>
      </c>
      <c r="CM6" s="18">
        <f>IFERROR(AVERAGEIF('Pemetaan Variant'!$A$5:$A$32,$B6,'Pemetaan Variant'!$AO$5:$AO$32),"n/a")</f>
        <v>12866.666666666666</v>
      </c>
      <c r="CN6" s="10">
        <f>IFERROR(IF(ISNUMBER(CM6),(CM6-AVERAGEIF('Pemetaan Variant'!$A$5:$A$32,$B6,'Pemetaan Variant'!$J$5:$J$32))/AVERAGEIF('Pemetaan Variant'!$A$5:$A$32,$B6,'Pemetaan Variant'!$J$5:$J$32)*100,"n/a"),"n/a")</f>
        <v>-0.18101887768296307</v>
      </c>
      <c r="CO6" s="10">
        <f t="shared" ref="CO6:CO25" si="29">IFERROR(IF(ISNUMBER(CN6),$C6*CN6,"n/a"),"n/a")</f>
        <v>-2.264348066499728E-2</v>
      </c>
      <c r="CP6" s="18">
        <f>IFERROR(AVERAGEIF('Pemetaan Variant'!$A$5:$A$32,$B6,'Pemetaan Variant'!$AP$5:$AP$32),"n/a")</f>
        <v>12866.666666666666</v>
      </c>
      <c r="CQ6" s="10">
        <f>IFERROR(IF(ISNUMBER(CP6),(CP6-AVERAGEIF('Pemetaan Variant'!$A$5:$A$32,$B6,'Pemetaan Variant'!$J$5:$J$32))/AVERAGEIF('Pemetaan Variant'!$A$5:$A$32,$B6,'Pemetaan Variant'!$J$5:$J$32)*100,"n/a"),"n/a")</f>
        <v>-0.18101887768296307</v>
      </c>
      <c r="CR6" s="10">
        <f t="shared" ref="CR6:CR25" si="30">IFERROR(IF(ISNUMBER(CQ6),$C6*CQ6,"n/a"),"n/a")</f>
        <v>-2.264348066499728E-2</v>
      </c>
      <c r="CS6" s="18">
        <f>IFERROR(AVERAGEIF('Pemetaan Variant'!$A$5:$A$32,$B6,'Pemetaan Variant'!$AQ$5:$AQ$32),"n/a")</f>
        <v>12866.666666666666</v>
      </c>
      <c r="CT6" s="10">
        <f>IFERROR(IF(ISNUMBER(CS6),(CS6-AVERAGEIF('Pemetaan Variant'!$A$5:$A$32,$B6,'Pemetaan Variant'!$J$5:$J$32))/AVERAGEIF('Pemetaan Variant'!$A$5:$A$32,$B6,'Pemetaan Variant'!$J$5:$J$32)*100,"n/a"),"n/a")</f>
        <v>-0.18101887768296307</v>
      </c>
      <c r="CU6" s="10">
        <f t="shared" ref="CU6:CU25" si="31">IFERROR(IF(ISNUMBER(CT6),$C6*CT6,"n/a"),"n/a")</f>
        <v>-2.264348066499728E-2</v>
      </c>
      <c r="CV6" s="18">
        <f>IFERROR(AVERAGEIF('Pemetaan Variant'!$A$5:$A$32,$B6,'Pemetaan Variant'!$AR$5:$AR$32),"n/a")</f>
        <v>12866.666666666666</v>
      </c>
      <c r="CW6" s="10">
        <f>IFERROR(IF(ISNUMBER(CV6),(CV6-AVERAGEIF('Pemetaan Variant'!$A$5:$A$32,$B6,'Pemetaan Variant'!$J$5:$J$32))/AVERAGEIF('Pemetaan Variant'!$A$5:$A$32,$B6,'Pemetaan Variant'!$J$5:$J$32)*100,"n/a"),"n/a")</f>
        <v>-0.18101887768296307</v>
      </c>
      <c r="CX6" s="10">
        <f t="shared" ref="CX6:CX25" si="32">IFERROR(IF(ISNUMBER(CW6),$C6*CW6,"n/a"),"n/a")</f>
        <v>-2.264348066499728E-2</v>
      </c>
      <c r="CY6" s="18">
        <f>IFERROR(AVERAGEIF('Pemetaan Variant'!$A$5:$A$32,$B6,'Pemetaan Variant'!$AS$5:$AS$32),"n/a")</f>
        <v>12866.666666666666</v>
      </c>
      <c r="CZ6" s="10">
        <f>IFERROR(IF(ISNUMBER(CY6),(CY6-AVERAGEIF('Pemetaan Variant'!$A$5:$A$32,$B6,'Pemetaan Variant'!$J$5:$J$32))/AVERAGEIF('Pemetaan Variant'!$A$5:$A$32,$B6,'Pemetaan Variant'!$J$5:$J$32)*100,"n/a"),"n/a")</f>
        <v>-0.18101887768296307</v>
      </c>
      <c r="DA6" s="10">
        <f t="shared" ref="DA6:DA25" si="33">IFERROR(IF(ISNUMBER(CZ6),$C6*CZ6,"n/a"),"n/a")</f>
        <v>-2.264348066499728E-2</v>
      </c>
      <c r="DB6" s="18">
        <f>IFERROR(AVERAGEIF('Pemetaan Variant'!$A$5:$A$32,$B6,'Pemetaan Variant'!$AT$5:$AT$32),"n/a")</f>
        <v>12866.666666666666</v>
      </c>
      <c r="DC6" s="10">
        <f>IFERROR(IF(ISNUMBER(DB6),(DB6-AVERAGEIF('Pemetaan Variant'!$A$5:$A$32,$B6,'Pemetaan Variant'!$K$5:$K$32))/AVERAGEIF('Pemetaan Variant'!$A$5:$A$32,$B6,'Pemetaan Variant'!$K$5:$K$32)*100,"n/a"),"n/a")</f>
        <v>0</v>
      </c>
      <c r="DD6" s="10">
        <f t="shared" ref="DD6:DD25" si="34">IFERROR(IF(ISNUMBER(DC6),$C6*DC6,"n/a"),"n/a")</f>
        <v>0</v>
      </c>
      <c r="DE6" s="18">
        <f>IFERROR(AVERAGEIF('Pemetaan Variant'!$A$5:$A$32,$B6,'Pemetaan Variant'!$AU$5:$AU$32),"n/a")</f>
        <v>12866.666666666666</v>
      </c>
      <c r="DF6" s="10">
        <f>IFERROR(IF(ISNUMBER(DE6),(DE6-AVERAGEIF('Pemetaan Variant'!$A$5:$A$32,$B6,'Pemetaan Variant'!$K$5:$K$32))/AVERAGEIF('Pemetaan Variant'!$A$5:$A$32,$B6,'Pemetaan Variant'!$K$5:$K$32)*100,"n/a"),"n/a")</f>
        <v>0</v>
      </c>
      <c r="DG6" s="10">
        <f t="shared" ref="DG6:DG25" si="35">IFERROR(IF(ISNUMBER(DF6),$C6*DF6,"n/a"),"n/a")</f>
        <v>0</v>
      </c>
      <c r="DH6" s="18">
        <f>IFERROR(AVERAGEIF('Pemetaan Variant'!$A$5:$A$32,$B6,'Pemetaan Variant'!$AV$5:$AV$32),"n/a")</f>
        <v>12866.666666666666</v>
      </c>
      <c r="DI6" s="10">
        <f>IFERROR(IF(ISNUMBER(DH6),(DH6-AVERAGEIF('Pemetaan Variant'!$A$5:$A$32,$B6,'Pemetaan Variant'!$K$5:$K$32))/AVERAGEIF('Pemetaan Variant'!$A$5:$A$32,$B6,'Pemetaan Variant'!$K$5:$K$32)*100,"n/a"),"n/a")</f>
        <v>0</v>
      </c>
      <c r="DJ6" s="10">
        <f t="shared" ref="DJ6:DJ25" si="36">IFERROR(IF(ISNUMBER(DI6),$C6*DI6,"n/a"),"n/a")</f>
        <v>0</v>
      </c>
      <c r="DK6" s="18">
        <f>IFERROR(AVERAGEIF('Pemetaan Variant'!$A$5:$A$32,$B6,'Pemetaan Variant'!$AW$5:$AW$32),"n/a")</f>
        <v>12879.166666666666</v>
      </c>
      <c r="DL6" s="10">
        <f>IFERROR(IF(ISNUMBER(DK6),(DK6-AVERAGEIF('Pemetaan Variant'!$A$5:$A$32,$B6,'Pemetaan Variant'!$K$5:$K$32))/AVERAGEIF('Pemetaan Variant'!$A$5:$A$32,$B6,'Pemetaan Variant'!$K$5:$K$32)*100,"n/a"),"n/a")</f>
        <v>9.7150259067357525E-2</v>
      </c>
      <c r="DM6" s="10">
        <f t="shared" ref="DM6:DM25" si="37">IFERROR(IF(ISNUMBER(DL6),$C6*DL6,"n/a"),"n/a")</f>
        <v>1.2152434270661854E-2</v>
      </c>
      <c r="DN6" s="19">
        <f>IFERROR(AVERAGEIF('Pemetaan Variant'!$A$5:$A$32,$B6,'Pemetaan Variant'!$AZ$5:$AZ$32),"n/a")</f>
        <v>12883.333333333334</v>
      </c>
      <c r="DO6" s="14">
        <f>IFERROR(IF(ISNUMBER(DN6),(DN6-AVERAGEIF('Pemetaan Variant'!$A$5:$A$32,$B6,'Pemetaan Variant'!$AY$5:$AY$32))/AVERAGEIF('Pemetaan Variant'!$A$5:$A$32,$B6,'Pemetaan Variant'!$AY$5:$AY$32)*100,"n/a"),"n/a")</f>
        <v>0.10792143319664543</v>
      </c>
      <c r="DP6" s="14">
        <f t="shared" ref="DP6:DP25" si="38">IFERROR(IF(ISNUMBER(DO6),$C6*DO6,"n/a"),"n/a")</f>
        <v>1.3499790282685149E-2</v>
      </c>
      <c r="DQ6" s="19" t="str">
        <f>IFERROR(AVERAGEIF('Pemetaan Variant'!$A$5:$A$32,$B6,'Pemetaan Variant'!$BA$5:$BA$32),"n/a")</f>
        <v>n/a</v>
      </c>
      <c r="DR6" s="14" t="str">
        <f>IFERROR(IF(ISNUMBER(DQ6),(DQ6-AVERAGEIF('Pemetaan Variant'!$A$5:$A$32,$B6,'Pemetaan Variant'!$AY$5:$AY$32))/AVERAGEIF('Pemetaan Variant'!$A$5:$A$32,$B6,'Pemetaan Variant'!$AY$5:$AY$32)*100,"n/a"),"n/a")</f>
        <v>n/a</v>
      </c>
      <c r="DS6" s="14" t="str">
        <f t="shared" ref="DS6:DS25" si="39">IFERROR(IF(ISNUMBER(DR6),$C6*DR6,"n/a"),"n/a")</f>
        <v>n/a</v>
      </c>
      <c r="DT6" s="19" t="str">
        <f>IFERROR(AVERAGEIF('Pemetaan Variant'!$A$5:$A$32,$B6,'Pemetaan Variant'!$BB$5:$BB$32),"n/a")</f>
        <v>n/a</v>
      </c>
      <c r="DU6" s="14" t="str">
        <f>IFERROR(IF(ISNUMBER(DT6),(DT6-AVERAGEIF('Pemetaan Variant'!$A$5:$A$32,$B6,'Pemetaan Variant'!$AY$5:$AY$32))/AVERAGEIF('Pemetaan Variant'!$A$5:$A$32,$B6,'Pemetaan Variant'!$AY$5:$AY$32)*100,"n/a"),"n/a")</f>
        <v>n/a</v>
      </c>
      <c r="DV6" s="14" t="str">
        <f t="shared" ref="DV6:DV25" si="40">IFERROR(IF(ISNUMBER(DU6),$C6*DU6,"n/a"),"n/a")</f>
        <v>n/a</v>
      </c>
      <c r="DW6" s="19" t="str">
        <f>IFERROR(AVERAGEIF('Pemetaan Variant'!$A$5:$A$32,$B6,'Pemetaan Variant'!$BC$5:$BC$32),"n/a")</f>
        <v>n/a</v>
      </c>
      <c r="DX6" s="14" t="str">
        <f>IFERROR(IF(ISNUMBER(DW6),(DW6-AVERAGEIF('Pemetaan Variant'!$A$5:$A$32,$B6,'Pemetaan Variant'!$AY$5:$AY$32))/AVERAGEIF('Pemetaan Variant'!$A$5:$A$32,$B6,'Pemetaan Variant'!$AY$5:$AY$32)*100,"n/a"),"n/a")</f>
        <v>n/a</v>
      </c>
      <c r="DY6" s="14" t="str">
        <f t="shared" ref="DY6:DY25" si="41">IFERROR(IF(ISNUMBER(DX6),$C6*DX6,"n/a"),"n/a")</f>
        <v>n/a</v>
      </c>
      <c r="DZ6" s="19" t="str">
        <f>IFERROR(AVERAGEIF('Pemetaan Variant'!$A$5:$A$32,$B6,'Pemetaan Variant'!$BD$5:$BD$32),"n/a")</f>
        <v>n/a</v>
      </c>
      <c r="EA6" s="14" t="str">
        <f>IFERROR(IF(ISNUMBER(DZ6),(DZ6-AVERAGEIF('Pemetaan Variant'!$A$5:$A$32,$B6,'Pemetaan Variant'!$AY$5:$AY$32))/AVERAGEIF('Pemetaan Variant'!$A$5:$A$32,$B6,'Pemetaan Variant'!$AY$5:$AY$32)*100,"n/a"),"n/a")</f>
        <v>n/a</v>
      </c>
      <c r="EB6" s="14" t="str">
        <f t="shared" ref="EB6:EB25" si="42">IFERROR(IF(ISNUMBER(EA6),$C6*EA6,"n/a"),"n/a")</f>
        <v>n/a</v>
      </c>
      <c r="ED6" s="14">
        <f>IFERROR(ABS(F6),0)</f>
        <v>0</v>
      </c>
      <c r="EE6" s="14">
        <f>IFERROR(ABS(I6),0)</f>
        <v>0</v>
      </c>
      <c r="EF6" s="14">
        <f>IFERROR(ABS(L6),0)</f>
        <v>0</v>
      </c>
      <c r="EG6" s="14">
        <f>IFERROR(ABS(O6),0)</f>
        <v>0</v>
      </c>
      <c r="EH6" s="14">
        <f>IFERROR(ABS(R6),0)</f>
        <v>0</v>
      </c>
      <c r="EI6" s="14">
        <f>IFERROR(ABS(U6),0)</f>
        <v>0</v>
      </c>
      <c r="EJ6" s="14">
        <f>IFERROR(ABS(X6),0)</f>
        <v>0</v>
      </c>
      <c r="EK6" s="14">
        <f>IFERROR(ABS(AA6),0)</f>
        <v>0</v>
      </c>
      <c r="EL6" s="14">
        <f>IFERROR(ABS(AD6),0)</f>
        <v>0</v>
      </c>
      <c r="EM6" s="14">
        <f>IFERROR(ABS(AG6),0)</f>
        <v>0</v>
      </c>
      <c r="EN6" s="14">
        <f>IFERROR(ABS(AJ6),0)</f>
        <v>0</v>
      </c>
      <c r="EO6" s="14">
        <f>IFERROR(ABS(AM6),0)</f>
        <v>0</v>
      </c>
      <c r="EP6" s="14">
        <f>IFERROR(ABS(AP6),0)</f>
        <v>0</v>
      </c>
      <c r="EQ6" s="14">
        <f>IFERROR(ABS(AS6),0)</f>
        <v>0</v>
      </c>
      <c r="ER6" s="14">
        <f>IFERROR(ABS(AV6),0)</f>
        <v>0</v>
      </c>
      <c r="ES6" s="14">
        <f>IFERROR(ABS(AY6),0)</f>
        <v>0</v>
      </c>
      <c r="ET6" s="14">
        <f>IFERROR(ABS(BB6),0)</f>
        <v>0</v>
      </c>
      <c r="EU6" s="14">
        <f>IFERROR(ABS(BE6),0)</f>
        <v>0.60940822523784011</v>
      </c>
      <c r="EV6" s="14">
        <f>IFERROR(ABS(BH6),0)</f>
        <v>0.60940822523784011</v>
      </c>
      <c r="EW6" s="14">
        <f>IFERROR(ABS(BK6),0)</f>
        <v>0</v>
      </c>
      <c r="EX6" s="14">
        <f>IFERROR(ABS(BN6),0)</f>
        <v>0.34111117020847809</v>
      </c>
      <c r="EY6" s="14">
        <f>IFERROR(ABS(BQ6),0)</f>
        <v>0.31754756963486613</v>
      </c>
      <c r="EZ6" s="14">
        <f>IFERROR(ABS(BT6),0)</f>
        <v>0.29712578247106786</v>
      </c>
      <c r="FA6" s="14">
        <f>IFERROR(ABS(BW6),0)</f>
        <v>3.5906438969313934E-2</v>
      </c>
      <c r="FB6" s="14">
        <f>IFERROR(ABS(BZ6),0)</f>
        <v>0.55964059631128782</v>
      </c>
      <c r="FC6" s="14">
        <f>IFERROR(ABS(CC6),0)</f>
        <v>0.62739416119575042</v>
      </c>
      <c r="FD6" s="14">
        <f>IFERROR(ABS(CF6),0)</f>
        <v>0.56733986504815914</v>
      </c>
      <c r="FE6" s="14">
        <f>IFERROR(ABS(CI6),0)</f>
        <v>0.62123474620625441</v>
      </c>
      <c r="FF6" s="14">
        <f>IFERROR(ABS(CL6),0)</f>
        <v>0.62123474620625441</v>
      </c>
      <c r="FG6" s="14">
        <f>IFERROR(ABS(CO6),0)</f>
        <v>2.264348066499728E-2</v>
      </c>
      <c r="FH6" s="14">
        <f>IFERROR(ABS(CR6),0)</f>
        <v>2.264348066499728E-2</v>
      </c>
      <c r="FI6" s="14">
        <f>IFERROR(ABS(CU6),0)</f>
        <v>2.264348066499728E-2</v>
      </c>
      <c r="FJ6" s="14">
        <f>IFERROR(ABS(CX6),0)</f>
        <v>2.264348066499728E-2</v>
      </c>
      <c r="FK6" s="14">
        <f>IFERROR(ABS(DA6),0)</f>
        <v>2.264348066499728E-2</v>
      </c>
      <c r="FL6" s="14">
        <f>IFERROR(ABS(DD6),0)</f>
        <v>0</v>
      </c>
      <c r="FM6" s="14">
        <f>IFERROR(ABS(DG6),0)</f>
        <v>0</v>
      </c>
      <c r="FN6" s="14">
        <f>IFERROR(ABS(DJ6),0)</f>
        <v>0</v>
      </c>
      <c r="FO6" s="14">
        <f>IFERROR(ABS(DM6),0)</f>
        <v>1.2152434270661854E-2</v>
      </c>
      <c r="FP6" s="14">
        <f>IFERROR(ABS(#REF!),0)</f>
        <v>0</v>
      </c>
      <c r="FQ6" s="14">
        <f t="shared" ref="FQ6:FQ25" si="43">IFERROR(ABS(DP6),0)</f>
        <v>1.3499790282685149E-2</v>
      </c>
      <c r="FR6" s="14">
        <f t="shared" ref="FR6:FR25" si="44">IFERROR(ABS(DS6),0)</f>
        <v>0</v>
      </c>
      <c r="FS6" s="14">
        <f t="shared" ref="FS6:FS25" si="45">IFERROR(ABS(DV6),0)</f>
        <v>0</v>
      </c>
      <c r="FT6" s="14">
        <f t="shared" ref="FT6:FT25" si="46">IFERROR(ABS(DY6),0)</f>
        <v>0</v>
      </c>
      <c r="FU6" s="14">
        <f t="shared" ref="FU6:FU25" si="47">IFERROR(ABS(EB6),0)</f>
        <v>0</v>
      </c>
    </row>
    <row r="7" spans="1:177" ht="12.75" customHeight="1" x14ac:dyDescent="0.35">
      <c r="A7" s="8">
        <v>2</v>
      </c>
      <c r="B7" s="9" t="s">
        <v>188</v>
      </c>
      <c r="C7" s="10">
        <f>'P0Q0 Dasar 2022'!F6</f>
        <v>7.9366404905036603E-3</v>
      </c>
      <c r="D7" s="18">
        <f>IFERROR(AVERAGEIF('Pemetaan Variant'!$A$5:$A$32,$B7,'Pemetaan Variant'!$L$5:$L$32),"n/a")</f>
        <v>11000</v>
      </c>
      <c r="E7" s="10">
        <f>IFERROR(IF(ISNUMBER(D7),(D7-AVERAGEIF('Pemetaan Variant'!$A$5:$A$32,$B7,'Pemetaan Variant'!$D$5:$D$32))/AVERAGEIF('Pemetaan Variant'!$A$5:$A$32,$B7,'Pemetaan Variant'!$D$5:$D$32)*100,"n/a"),"n/a")</f>
        <v>0</v>
      </c>
      <c r="F7" s="10">
        <f t="shared" si="0"/>
        <v>0</v>
      </c>
      <c r="G7" s="18">
        <f>IFERROR(AVERAGEIF('Pemetaan Variant'!$A$5:$A$32,$B7,'Pemetaan Variant'!$M$5:$M$32),"n/a")</f>
        <v>11000</v>
      </c>
      <c r="H7" s="10">
        <f>IFERROR(IF(ISNUMBER(G7),(G7-AVERAGEIF('Pemetaan Variant'!$A$5:$A$32,$B7,'Pemetaan Variant'!$D$5:$D$32))/AVERAGEIF('Pemetaan Variant'!$A$5:$A$32,$B7,'Pemetaan Variant'!$D$5:$D$32)*100,"n/a"),"n/a")</f>
        <v>0</v>
      </c>
      <c r="I7" s="10">
        <f t="shared" si="1"/>
        <v>0</v>
      </c>
      <c r="J7" s="18">
        <f>IFERROR(AVERAGEIF('Pemetaan Variant'!$A$5:$A$32,$B7,'Pemetaan Variant'!$N$5:$N$32),"n/a")</f>
        <v>11000</v>
      </c>
      <c r="K7" s="10">
        <f>IFERROR(IF(ISNUMBER(J7),(J7-AVERAGEIF('Pemetaan Variant'!$A$5:$A$32,$B7,'Pemetaan Variant'!$D$5:$D$32))/AVERAGEIF('Pemetaan Variant'!$A$5:$A$32,$B7,'Pemetaan Variant'!$D$5:$D$32)*100,"n/a"),"n/a")</f>
        <v>0</v>
      </c>
      <c r="L7" s="10">
        <f t="shared" si="2"/>
        <v>0</v>
      </c>
      <c r="M7" s="18">
        <f>IFERROR(AVERAGEIF('Pemetaan Variant'!$A$5:$A$32,$B7,'Pemetaan Variant'!$O$5:$O$32),"n/a")</f>
        <v>11000</v>
      </c>
      <c r="N7" s="10">
        <f>IFERROR(IF(ISNUMBER(M7),(M7-AVERAGEIF('Pemetaan Variant'!$A$5:$A$32,$B7,'Pemetaan Variant'!$D$5:$D$32))/AVERAGEIF('Pemetaan Variant'!$A$5:$A$32,$B7,'Pemetaan Variant'!$D$5:$D$32)*100,"n/a"),"n/a")</f>
        <v>0</v>
      </c>
      <c r="O7" s="10">
        <f t="shared" si="3"/>
        <v>0</v>
      </c>
      <c r="P7" s="18">
        <f>IFERROR(AVERAGEIF('Pemetaan Variant'!$A$5:$A$32,$B7,'Pemetaan Variant'!$P$5:$P$32),"n/a")</f>
        <v>11000</v>
      </c>
      <c r="Q7" s="10">
        <f>IFERROR(IF(ISNUMBER(P7),(P7-AVERAGEIF('Pemetaan Variant'!$A$5:$A$32,$B7,'Pemetaan Variant'!$D$5:$D$32))/AVERAGEIF('Pemetaan Variant'!$A$5:$A$32,$B7,'Pemetaan Variant'!$D$5:$D$32)*100,"n/a"),"n/a")</f>
        <v>0</v>
      </c>
      <c r="R7" s="10">
        <f t="shared" si="4"/>
        <v>0</v>
      </c>
      <c r="S7" s="18">
        <f>IFERROR(AVERAGEIF('Pemetaan Variant'!$A$5:$A$32,$B7,'Pemetaan Variant'!$Q$5:$Q$32),"n/a")</f>
        <v>11000</v>
      </c>
      <c r="T7" s="10">
        <f>IFERROR(IF(ISNUMBER(S7),(S7-AVERAGEIF('Pemetaan Variant'!$A$5:$A$32,$B7,'Pemetaan Variant'!$E$5:$E$32))/AVERAGEIF('Pemetaan Variant'!$A$5:$A$32,$B7,'Pemetaan Variant'!$E$5:$E$32)*100,"n/a"),"n/a")</f>
        <v>0</v>
      </c>
      <c r="U7" s="10">
        <f t="shared" si="5"/>
        <v>0</v>
      </c>
      <c r="V7" s="18">
        <f>IFERROR(AVERAGEIF('Pemetaan Variant'!$A$5:$A$32,$B7,'Pemetaan Variant'!$R$5:$R$32),"n/a")</f>
        <v>11000</v>
      </c>
      <c r="W7" s="10">
        <f>IFERROR(IF(ISNUMBER(V7),(V7-AVERAGEIF('Pemetaan Variant'!$A$5:$A$32,$B7,'Pemetaan Variant'!$E$5:$E$32))/AVERAGEIF('Pemetaan Variant'!$A$5:$A$32,$B7,'Pemetaan Variant'!$E$5:$E$32)*100,"n/a"),"n/a")</f>
        <v>0</v>
      </c>
      <c r="X7" s="10">
        <f t="shared" si="6"/>
        <v>0</v>
      </c>
      <c r="Y7" s="18">
        <f>IFERROR(AVERAGEIF('Pemetaan Variant'!$A$5:$A$32,$B7,'Pemetaan Variant'!$S$5:$S$32),"n/a")</f>
        <v>11000</v>
      </c>
      <c r="Z7" s="10">
        <f>IFERROR(IF(ISNUMBER(Y7),(Y7-AVERAGEIF('Pemetaan Variant'!$A$5:$A$32,$B7,'Pemetaan Variant'!$E$5:$E$32))/AVERAGEIF('Pemetaan Variant'!$A$5:$A$32,$B7,'Pemetaan Variant'!$E$5:$E$32)*100,"n/a"),"n/a")</f>
        <v>0</v>
      </c>
      <c r="AA7" s="10">
        <f t="shared" si="7"/>
        <v>0</v>
      </c>
      <c r="AB7" s="18">
        <f>IFERROR(AVERAGEIF('Pemetaan Variant'!$A$5:$A$32,$B7,'Pemetaan Variant'!$T$5:$T$32),"n/a")</f>
        <v>11000</v>
      </c>
      <c r="AC7" s="10">
        <f>IFERROR(IF(ISNUMBER(AB7),(AB7-AVERAGEIF('Pemetaan Variant'!$A$5:$A$32,$B7,'Pemetaan Variant'!$E$5:$E$32))/AVERAGEIF('Pemetaan Variant'!$A$5:$A$32,$B7,'Pemetaan Variant'!$E$5:$E$32)*100,"n/a"),"n/a")</f>
        <v>0</v>
      </c>
      <c r="AD7" s="10">
        <f t="shared" si="8"/>
        <v>0</v>
      </c>
      <c r="AE7" s="18">
        <f>IFERROR(AVERAGEIF('Pemetaan Variant'!$A$5:$A$32,$B7,'Pemetaan Variant'!$U$5:$U$32),"n/a")</f>
        <v>11000</v>
      </c>
      <c r="AF7" s="10">
        <f>IFERROR(IF(ISNUMBER(AE7),(AE7-AVERAGEIF('Pemetaan Variant'!$A$5:$A$32,$B7,'Pemetaan Variant'!$F$5:$F$32))/AVERAGEIF('Pemetaan Variant'!$A$5:$A$32,$B7,'Pemetaan Variant'!$F$5:$F$32)*100,"n/a"),"n/a")</f>
        <v>0</v>
      </c>
      <c r="AG7" s="10">
        <f t="shared" si="9"/>
        <v>0</v>
      </c>
      <c r="AH7" s="18">
        <f>IFERROR(AVERAGEIF('Pemetaan Variant'!$A$5:$A$32,$B7,'Pemetaan Variant'!$V$5:$V$32),"n/a")</f>
        <v>11000</v>
      </c>
      <c r="AI7" s="10">
        <f>IFERROR(IF(ISNUMBER(AH7),(AH7-AVERAGEIF('Pemetaan Variant'!$A$5:$A$32,$B7,'Pemetaan Variant'!$F$5:$F$32))/AVERAGEIF('Pemetaan Variant'!$A$5:$A$32,$B7,'Pemetaan Variant'!$F$5:$F$32)*100,"n/a"),"n/a")</f>
        <v>0</v>
      </c>
      <c r="AJ7" s="10">
        <f t="shared" si="10"/>
        <v>0</v>
      </c>
      <c r="AK7" s="18">
        <f>IFERROR(AVERAGEIF('Pemetaan Variant'!$A$5:$A$32,$B7,'Pemetaan Variant'!$W$5:$W$32),"n/a")</f>
        <v>11000</v>
      </c>
      <c r="AL7" s="10">
        <f>IFERROR(IF(ISNUMBER(AK7),(AK7-AVERAGEIF('Pemetaan Variant'!$A$5:$A$32,$B7,'Pemetaan Variant'!$F$5:$F$32))/AVERAGEIF('Pemetaan Variant'!$A$5:$A$32,$B7,'Pemetaan Variant'!$F$5:$F$32)*100,"n/a"),"n/a")</f>
        <v>0</v>
      </c>
      <c r="AM7" s="10">
        <f t="shared" si="11"/>
        <v>0</v>
      </c>
      <c r="AN7" s="18">
        <f>IFERROR(AVERAGEIF('Pemetaan Variant'!$A$5:$A$32,$B7,'Pemetaan Variant'!$X$5:$X$32),"n/a")</f>
        <v>11000</v>
      </c>
      <c r="AO7" s="10">
        <f>IFERROR(IF(ISNUMBER(AN7),(AN7-AVERAGEIF('Pemetaan Variant'!$A$5:$A$32,$B7,'Pemetaan Variant'!$F$5:$F$32))/AVERAGEIF('Pemetaan Variant'!$A$5:$A$32,$B7,'Pemetaan Variant'!$F$5:$F$32)*100,"n/a"),"n/a")</f>
        <v>0</v>
      </c>
      <c r="AP7" s="10">
        <f t="shared" si="12"/>
        <v>0</v>
      </c>
      <c r="AQ7" s="18">
        <f>IFERROR(AVERAGEIF('Pemetaan Variant'!$A$5:$A$32,$B7,'Pemetaan Variant'!$Y$5:$Y$32),"n/a")</f>
        <v>11000</v>
      </c>
      <c r="AR7" s="10">
        <f>IFERROR(IF(ISNUMBER(AQ7),(AQ7-AVERAGEIF('Pemetaan Variant'!$A$5:$A$32,$B7,'Pemetaan Variant'!$F$5:$F$32))/AVERAGEIF('Pemetaan Variant'!$A$5:$A$32,$B7,'Pemetaan Variant'!$F$5:$F$32)*100,"n/a"),"n/a")</f>
        <v>0</v>
      </c>
      <c r="AS7" s="10">
        <f t="shared" si="13"/>
        <v>0</v>
      </c>
      <c r="AT7" s="18">
        <f>IFERROR(AVERAGEIF('Pemetaan Variant'!$A$5:$A$32,$B7,'Pemetaan Variant'!$Z$5:$Z$32),"n/a")</f>
        <v>11000</v>
      </c>
      <c r="AU7" s="10">
        <f>IFERROR(IF(ISNUMBER(AT7),(AT7-AVERAGEIF('Pemetaan Variant'!$A$5:$A$32,$B7,'Pemetaan Variant'!$G$5:$G$32))/AVERAGEIF('Pemetaan Variant'!$A$5:$A$32,$B7,'Pemetaan Variant'!$G$5:$G$32)*100,"n/a"),"n/a")</f>
        <v>0</v>
      </c>
      <c r="AV7" s="10">
        <f t="shared" si="14"/>
        <v>0</v>
      </c>
      <c r="AW7" s="18">
        <f>IFERROR(AVERAGEIF('Pemetaan Variant'!$A$5:$A$32,$B7,'Pemetaan Variant'!$AA$5:$AA$32),"n/a")</f>
        <v>11000</v>
      </c>
      <c r="AX7" s="10">
        <f>IFERROR(IF(ISNUMBER(AW7),(AW7-AVERAGEIF('Pemetaan Variant'!$A$5:$A$32,$B7,'Pemetaan Variant'!$G$5:$G$32))/AVERAGEIF('Pemetaan Variant'!$A$5:$A$32,$B7,'Pemetaan Variant'!$G$5:$G$32)*100,"n/a"),"n/a")</f>
        <v>0</v>
      </c>
      <c r="AY7" s="10">
        <f t="shared" si="15"/>
        <v>0</v>
      </c>
      <c r="AZ7" s="18">
        <f>IFERROR(AVERAGEIF('Pemetaan Variant'!$A$5:$A$32,$B7,'Pemetaan Variant'!$AB$5:$AB$32),"n/a")</f>
        <v>11000</v>
      </c>
      <c r="BA7" s="10">
        <f>IFERROR(IF(ISNUMBER(AZ7),(AZ7-AVERAGEIF('Pemetaan Variant'!$A$5:$A$32,$B7,'Pemetaan Variant'!$G$5:$G$32))/AVERAGEIF('Pemetaan Variant'!$A$5:$A$32,$B7,'Pemetaan Variant'!$G$5:$G$32)*100,"n/a"),"n/a")</f>
        <v>0</v>
      </c>
      <c r="BB7" s="10">
        <f t="shared" si="16"/>
        <v>0</v>
      </c>
      <c r="BC7" s="18">
        <f>IFERROR(AVERAGEIF('Pemetaan Variant'!$A$5:$A$32,$B7,'Pemetaan Variant'!$AC$5:$AC$32),"n/a")</f>
        <v>11000</v>
      </c>
      <c r="BD7" s="10">
        <f>IFERROR(IF(ISNUMBER(BC7),(BC7-AVERAGEIF('Pemetaan Variant'!$A$5:$A$32,$B7,'Pemetaan Variant'!$G$5:$G$32))/AVERAGEIF('Pemetaan Variant'!$A$5:$A$32,$B7,'Pemetaan Variant'!$G$5:$G$32)*100,"n/a"),"n/a")</f>
        <v>0</v>
      </c>
      <c r="BE7" s="10">
        <f t="shared" si="17"/>
        <v>0</v>
      </c>
      <c r="BF7" s="18">
        <f>IFERROR(AVERAGEIF('Pemetaan Variant'!$A$5:$A$32,$B7,'Pemetaan Variant'!$AD$5:$AD$32),"n/a")</f>
        <v>11000</v>
      </c>
      <c r="BG7" s="10">
        <f>IFERROR(IF(ISNUMBER(BF7),(BF7-AVERAGEIF('Pemetaan Variant'!$A$5:$A$32,$B7,'Pemetaan Variant'!$G$5:$G$32))/AVERAGEIF('Pemetaan Variant'!$A$5:$A$32,$B7,'Pemetaan Variant'!$G$5:$G$32)*100,"n/a"),"n/a")</f>
        <v>0</v>
      </c>
      <c r="BH7" s="10">
        <f t="shared" si="18"/>
        <v>0</v>
      </c>
      <c r="BI7" s="18" t="str">
        <f>IFERROR(AVERAGEIF('Pemetaan Variant'!$A$5:$A$32,$B7,'Pemetaan Variant'!$AE$5:$AE$32),"n/a")</f>
        <v>n/a</v>
      </c>
      <c r="BJ7" s="10" t="str">
        <f>IFERROR(IF(ISNUMBER(BI7),(BI7-AVERAGEIF('Pemetaan Variant'!$A$5:$A$32,$B7,'Pemetaan Variant'!$H$5:$H$32))/AVERAGEIF('Pemetaan Variant'!$A$5:$A$32,$B7,'Pemetaan Variant'!$H$5:$H$32)*100,"n/a"),"n/a")</f>
        <v>n/a</v>
      </c>
      <c r="BK7" s="10" t="str">
        <f t="shared" si="19"/>
        <v>n/a</v>
      </c>
      <c r="BL7" s="18">
        <f>IFERROR(AVERAGEIF('Pemetaan Variant'!$A$5:$A$32,$B7,'Pemetaan Variant'!$AF$5:$AF$32),"n/a")</f>
        <v>11000</v>
      </c>
      <c r="BM7" s="10">
        <f>IFERROR(IF(ISNUMBER(BL7),(BL7-AVERAGEIF('Pemetaan Variant'!$A$5:$A$32,$B7,'Pemetaan Variant'!$H$5:$H$32))/AVERAGEIF('Pemetaan Variant'!$A$5:$A$32,$B7,'Pemetaan Variant'!$H$5:$H$32)*100,"n/a"),"n/a")</f>
        <v>0</v>
      </c>
      <c r="BN7" s="10">
        <f t="shared" si="20"/>
        <v>0</v>
      </c>
      <c r="BO7" s="18">
        <f>IFERROR(AVERAGEIF('Pemetaan Variant'!$A$5:$A$32,$B7,'Pemetaan Variant'!$AG$5:$AG$32),"n/a")</f>
        <v>11000</v>
      </c>
      <c r="BP7" s="10">
        <f>IFERROR(IF(ISNUMBER(BO7),(BO7-AVERAGEIF('Pemetaan Variant'!$A$5:$A$32,$B7,'Pemetaan Variant'!$H$5:$H$32))/AVERAGEIF('Pemetaan Variant'!$A$5:$A$32,$B7,'Pemetaan Variant'!$H$5:$H$32)*100,"n/a"),"n/a")</f>
        <v>0</v>
      </c>
      <c r="BQ7" s="10">
        <f t="shared" si="21"/>
        <v>0</v>
      </c>
      <c r="BR7" s="18">
        <f>IFERROR(AVERAGEIF('Pemetaan Variant'!$A$5:$A$32,$B7,'Pemetaan Variant'!$AH$5:$AH$32),"n/a")</f>
        <v>11000</v>
      </c>
      <c r="BS7" s="10">
        <f>IFERROR(IF(ISNUMBER(BR7),(BR7-AVERAGEIF('Pemetaan Variant'!$A$5:$A$32,$B7,'Pemetaan Variant'!$H$5:$H$32))/AVERAGEIF('Pemetaan Variant'!$A$5:$A$32,$B7,'Pemetaan Variant'!$H$5:$H$32)*100,"n/a"),"n/a")</f>
        <v>0</v>
      </c>
      <c r="BT7" s="10">
        <f t="shared" si="22"/>
        <v>0</v>
      </c>
      <c r="BU7" s="18">
        <f>IFERROR(AVERAGEIF('Pemetaan Variant'!$A$5:$A$32,$B7,'Pemetaan Variant'!$AI$5:$AI$32),"n/a")</f>
        <v>11000</v>
      </c>
      <c r="BV7" s="10">
        <f>IFERROR(IF(ISNUMBER(BU7),(BU7-AVERAGEIF('Pemetaan Variant'!$A$5:$A$32,$B7,'Pemetaan Variant'!$H$5:$H$32))/AVERAGEIF('Pemetaan Variant'!$A$5:$A$32,$B7,'Pemetaan Variant'!$H$5:$H$32)*100,"n/a"),"n/a")</f>
        <v>0</v>
      </c>
      <c r="BW7" s="10">
        <f t="shared" si="23"/>
        <v>0</v>
      </c>
      <c r="BX7" s="18">
        <f>IFERROR(AVERAGEIF('Pemetaan Variant'!$A$5:$A$32,$B7,'Pemetaan Variant'!$AJ$5:$AJ$32),"n/a")</f>
        <v>11000</v>
      </c>
      <c r="BY7" s="10">
        <f>IFERROR(IF(ISNUMBER(BX7),(BX7-AVERAGEIF('Pemetaan Variant'!$A$5:$A$32,$B7,'Pemetaan Variant'!$I$5:$I$32))/AVERAGEIF('Pemetaan Variant'!$A$5:$A$32,$B7,'Pemetaan Variant'!$I$5:$I$32)*100,"n/a"),"n/a")</f>
        <v>0</v>
      </c>
      <c r="BZ7" s="10">
        <f t="shared" si="24"/>
        <v>0</v>
      </c>
      <c r="CA7" s="18">
        <f>IFERROR(AVERAGEIF('Pemetaan Variant'!$A$5:$A$32,$B7,'Pemetaan Variant'!$AK$5:$AK$32),"n/a")</f>
        <v>11000</v>
      </c>
      <c r="CB7" s="10">
        <f>IFERROR(IF(ISNUMBER(CA7),(CA7-AVERAGEIF('Pemetaan Variant'!$A$5:$A$32,$B7,'Pemetaan Variant'!$I$5:$I$32))/AVERAGEIF('Pemetaan Variant'!$A$5:$A$32,$B7,'Pemetaan Variant'!$I$5:$I$32)*100,"n/a"),"n/a")</f>
        <v>0</v>
      </c>
      <c r="CC7" s="10">
        <f t="shared" si="25"/>
        <v>0</v>
      </c>
      <c r="CD7" s="18">
        <f>IFERROR(AVERAGEIF('Pemetaan Variant'!$A$5:$A$32,$B7,'Pemetaan Variant'!$AL$5:$AL$32),"n/a")</f>
        <v>11000</v>
      </c>
      <c r="CE7" s="10">
        <f>IFERROR(IF(ISNUMBER(CD7),(CD7-AVERAGEIF('Pemetaan Variant'!$A$5:$A$32,$B7,'Pemetaan Variant'!$I$5:$I$32))/AVERAGEIF('Pemetaan Variant'!$A$5:$A$32,$B7,'Pemetaan Variant'!$I$5:$I$32)*100,"n/a"),"n/a")</f>
        <v>0</v>
      </c>
      <c r="CF7" s="10">
        <f t="shared" si="26"/>
        <v>0</v>
      </c>
      <c r="CG7" s="18">
        <f>IFERROR(AVERAGEIF('Pemetaan Variant'!$A$5:$A$32,$B7,'Pemetaan Variant'!$AM$5:$AM$32),"n/a")</f>
        <v>11000</v>
      </c>
      <c r="CH7" s="10">
        <f>IFERROR(IF(ISNUMBER(CG7),(CG7-AVERAGEIF('Pemetaan Variant'!$A$5:$A$32,$B7,'Pemetaan Variant'!$I$5:$I$32))/AVERAGEIF('Pemetaan Variant'!$A$5:$A$32,$B7,'Pemetaan Variant'!$I$5:$I$32)*100,"n/a"),"n/a")</f>
        <v>0</v>
      </c>
      <c r="CI7" s="10">
        <f t="shared" si="27"/>
        <v>0</v>
      </c>
      <c r="CJ7" s="18">
        <f>IFERROR(AVERAGEIF('Pemetaan Variant'!$A$5:$A$32,$B7,'Pemetaan Variant'!$AN$5:$AN$32),"n/a")</f>
        <v>11000</v>
      </c>
      <c r="CK7" s="10">
        <f>IFERROR(IF(ISNUMBER(CJ7),(CJ7-AVERAGEIF('Pemetaan Variant'!$A$5:$A$32,$B7,'Pemetaan Variant'!$I$5:$I$32))/AVERAGEIF('Pemetaan Variant'!$A$5:$A$32,$B7,'Pemetaan Variant'!$I$5:$I$32)*100,"n/a"),"n/a")</f>
        <v>0</v>
      </c>
      <c r="CL7" s="10">
        <f t="shared" si="28"/>
        <v>0</v>
      </c>
      <c r="CM7" s="18">
        <f>IFERROR(AVERAGEIF('Pemetaan Variant'!$A$5:$A$32,$B7,'Pemetaan Variant'!$AO$5:$AO$32),"n/a")</f>
        <v>11000</v>
      </c>
      <c r="CN7" s="10">
        <f>IFERROR(IF(ISNUMBER(CM7),(CM7-AVERAGEIF('Pemetaan Variant'!$A$5:$A$32,$B7,'Pemetaan Variant'!$J$5:$J$32))/AVERAGEIF('Pemetaan Variant'!$A$5:$A$32,$B7,'Pemetaan Variant'!$J$5:$J$32)*100,"n/a"),"n/a")</f>
        <v>0</v>
      </c>
      <c r="CO7" s="10">
        <f t="shared" si="29"/>
        <v>0</v>
      </c>
      <c r="CP7" s="18">
        <f>IFERROR(AVERAGEIF('Pemetaan Variant'!$A$5:$A$32,$B7,'Pemetaan Variant'!$AP$5:$AP$32),"n/a")</f>
        <v>11000</v>
      </c>
      <c r="CQ7" s="10">
        <f>IFERROR(IF(ISNUMBER(CP7),(CP7-AVERAGEIF('Pemetaan Variant'!$A$5:$A$32,$B7,'Pemetaan Variant'!$J$5:$J$32))/AVERAGEIF('Pemetaan Variant'!$A$5:$A$32,$B7,'Pemetaan Variant'!$J$5:$J$32)*100,"n/a"),"n/a")</f>
        <v>0</v>
      </c>
      <c r="CR7" s="10">
        <f t="shared" si="30"/>
        <v>0</v>
      </c>
      <c r="CS7" s="18">
        <f>IFERROR(AVERAGEIF('Pemetaan Variant'!$A$5:$A$32,$B7,'Pemetaan Variant'!$AQ$5:$AQ$32),"n/a")</f>
        <v>11000</v>
      </c>
      <c r="CT7" s="10">
        <f>IFERROR(IF(ISNUMBER(CS7),(CS7-AVERAGEIF('Pemetaan Variant'!$A$5:$A$32,$B7,'Pemetaan Variant'!$J$5:$J$32))/AVERAGEIF('Pemetaan Variant'!$A$5:$A$32,$B7,'Pemetaan Variant'!$J$5:$J$32)*100,"n/a"),"n/a")</f>
        <v>0</v>
      </c>
      <c r="CU7" s="10">
        <f t="shared" si="31"/>
        <v>0</v>
      </c>
      <c r="CV7" s="18">
        <f>IFERROR(AVERAGEIF('Pemetaan Variant'!$A$5:$A$32,$B7,'Pemetaan Variant'!$AR$5:$AR$32),"n/a")</f>
        <v>11000</v>
      </c>
      <c r="CW7" s="10">
        <f>IFERROR(IF(ISNUMBER(CV7),(CV7-AVERAGEIF('Pemetaan Variant'!$A$5:$A$32,$B7,'Pemetaan Variant'!$J$5:$J$32))/AVERAGEIF('Pemetaan Variant'!$A$5:$A$32,$B7,'Pemetaan Variant'!$J$5:$J$32)*100,"n/a"),"n/a")</f>
        <v>0</v>
      </c>
      <c r="CX7" s="10">
        <f t="shared" si="32"/>
        <v>0</v>
      </c>
      <c r="CY7" s="18">
        <f>IFERROR(AVERAGEIF('Pemetaan Variant'!$A$5:$A$32,$B7,'Pemetaan Variant'!$AS$5:$AS$32),"n/a")</f>
        <v>11000</v>
      </c>
      <c r="CZ7" s="10">
        <f>IFERROR(IF(ISNUMBER(CY7),(CY7-AVERAGEIF('Pemetaan Variant'!$A$5:$A$32,$B7,'Pemetaan Variant'!$J$5:$J$32))/AVERAGEIF('Pemetaan Variant'!$A$5:$A$32,$B7,'Pemetaan Variant'!$J$5:$J$32)*100,"n/a"),"n/a")</f>
        <v>0</v>
      </c>
      <c r="DA7" s="10">
        <f t="shared" si="33"/>
        <v>0</v>
      </c>
      <c r="DB7" s="18">
        <f>IFERROR(AVERAGEIF('Pemetaan Variant'!$A$5:$A$32,$B7,'Pemetaan Variant'!$AT$5:$AT$32),"n/a")</f>
        <v>11000</v>
      </c>
      <c r="DC7" s="10">
        <f>IFERROR(IF(ISNUMBER(DB7),(DB7-AVERAGEIF('Pemetaan Variant'!$A$5:$A$32,$B7,'Pemetaan Variant'!$K$5:$K$32))/AVERAGEIF('Pemetaan Variant'!$A$5:$A$32,$B7,'Pemetaan Variant'!$K$5:$K$32)*100,"n/a"),"n/a")</f>
        <v>0</v>
      </c>
      <c r="DD7" s="10">
        <f t="shared" si="34"/>
        <v>0</v>
      </c>
      <c r="DE7" s="18">
        <f>IFERROR(AVERAGEIF('Pemetaan Variant'!$A$5:$A$32,$B7,'Pemetaan Variant'!$AU$5:$AU$32),"n/a")</f>
        <v>11000</v>
      </c>
      <c r="DF7" s="10">
        <f>IFERROR(IF(ISNUMBER(DE7),(DE7-AVERAGEIF('Pemetaan Variant'!$A$5:$A$32,$B7,'Pemetaan Variant'!$K$5:$K$32))/AVERAGEIF('Pemetaan Variant'!$A$5:$A$32,$B7,'Pemetaan Variant'!$K$5:$K$32)*100,"n/a"),"n/a")</f>
        <v>0</v>
      </c>
      <c r="DG7" s="10">
        <f t="shared" si="35"/>
        <v>0</v>
      </c>
      <c r="DH7" s="18">
        <f>IFERROR(AVERAGEIF('Pemetaan Variant'!$A$5:$A$32,$B7,'Pemetaan Variant'!$AV$5:$AV$32),"n/a")</f>
        <v>11000</v>
      </c>
      <c r="DI7" s="10">
        <f>IFERROR(IF(ISNUMBER(DH7),(DH7-AVERAGEIF('Pemetaan Variant'!$A$5:$A$32,$B7,'Pemetaan Variant'!$K$5:$K$32))/AVERAGEIF('Pemetaan Variant'!$A$5:$A$32,$B7,'Pemetaan Variant'!$K$5:$K$32)*100,"n/a"),"n/a")</f>
        <v>0</v>
      </c>
      <c r="DJ7" s="10">
        <f t="shared" si="36"/>
        <v>0</v>
      </c>
      <c r="DK7" s="18">
        <f>IFERROR(AVERAGEIF('Pemetaan Variant'!$A$5:$A$32,$B7,'Pemetaan Variant'!$AW$5:$AW$32),"n/a")</f>
        <v>11000</v>
      </c>
      <c r="DL7" s="10">
        <f>IFERROR(IF(ISNUMBER(DK7),(DK7-AVERAGEIF('Pemetaan Variant'!$A$5:$A$32,$B7,'Pemetaan Variant'!$K$5:$K$32))/AVERAGEIF('Pemetaan Variant'!$A$5:$A$32,$B7,'Pemetaan Variant'!$K$5:$K$32)*100,"n/a"),"n/a")</f>
        <v>0</v>
      </c>
      <c r="DM7" s="10">
        <f t="shared" si="37"/>
        <v>0</v>
      </c>
      <c r="DN7" s="19">
        <f>IFERROR(AVERAGEIF('Pemetaan Variant'!$A$5:$A$32,$B7,'Pemetaan Variant'!$AZ$5:$AZ$32),"n/a")</f>
        <v>11000</v>
      </c>
      <c r="DO7" s="14">
        <f>IFERROR(IF(ISNUMBER(DN7),(DN7-AVERAGEIF('Pemetaan Variant'!$A$5:$A$32,$B7,'Pemetaan Variant'!$AY$5:$AY$32))/AVERAGEIF('Pemetaan Variant'!$A$5:$A$32,$B7,'Pemetaan Variant'!$AY$5:$AY$32)*100,"n/a"),"n/a")</f>
        <v>0</v>
      </c>
      <c r="DP7" s="14">
        <f t="shared" si="38"/>
        <v>0</v>
      </c>
      <c r="DQ7" s="19" t="str">
        <f>IFERROR(AVERAGEIF('Pemetaan Variant'!$A$5:$A$32,$B7,'Pemetaan Variant'!$BA$5:$BA$32),"n/a")</f>
        <v>n/a</v>
      </c>
      <c r="DR7" s="14" t="str">
        <f>IFERROR(IF(ISNUMBER(DQ7),(DQ7-AVERAGEIF('Pemetaan Variant'!$A$5:$A$32,$B7,'Pemetaan Variant'!$AY$5:$AY$32))/AVERAGEIF('Pemetaan Variant'!$A$5:$A$32,$B7,'Pemetaan Variant'!$AY$5:$AY$32)*100,"n/a"),"n/a")</f>
        <v>n/a</v>
      </c>
      <c r="DS7" s="14" t="str">
        <f t="shared" si="39"/>
        <v>n/a</v>
      </c>
      <c r="DT7" s="19" t="str">
        <f>IFERROR(AVERAGEIF('Pemetaan Variant'!$A$5:$A$32,$B7,'Pemetaan Variant'!$BB$5:$BB$32),"n/a")</f>
        <v>n/a</v>
      </c>
      <c r="DU7" s="14" t="str">
        <f>IFERROR(IF(ISNUMBER(DT7),(DT7-AVERAGEIF('Pemetaan Variant'!$A$5:$A$32,$B7,'Pemetaan Variant'!$AY$5:$AY$32))/AVERAGEIF('Pemetaan Variant'!$A$5:$A$32,$B7,'Pemetaan Variant'!$AY$5:$AY$32)*100,"n/a"),"n/a")</f>
        <v>n/a</v>
      </c>
      <c r="DV7" s="14" t="str">
        <f t="shared" si="40"/>
        <v>n/a</v>
      </c>
      <c r="DW7" s="19" t="str">
        <f>IFERROR(AVERAGEIF('Pemetaan Variant'!$A$5:$A$32,$B7,'Pemetaan Variant'!$BC$5:$BC$32),"n/a")</f>
        <v>n/a</v>
      </c>
      <c r="DX7" s="14" t="str">
        <f>IFERROR(IF(ISNUMBER(DW7),(DW7-AVERAGEIF('Pemetaan Variant'!$A$5:$A$32,$B7,'Pemetaan Variant'!$AY$5:$AY$32))/AVERAGEIF('Pemetaan Variant'!$A$5:$A$32,$B7,'Pemetaan Variant'!$AY$5:$AY$32)*100,"n/a"),"n/a")</f>
        <v>n/a</v>
      </c>
      <c r="DY7" s="14" t="str">
        <f t="shared" si="41"/>
        <v>n/a</v>
      </c>
      <c r="DZ7" s="19" t="str">
        <f>IFERROR(AVERAGEIF('Pemetaan Variant'!$A$5:$A$32,$B7,'Pemetaan Variant'!$BD$5:$BD$32),"n/a")</f>
        <v>n/a</v>
      </c>
      <c r="EA7" s="14" t="str">
        <f>IFERROR(IF(ISNUMBER(DZ7),(DZ7-AVERAGEIF('Pemetaan Variant'!$A$5:$A$32,$B7,'Pemetaan Variant'!$AY$5:$AY$32))/AVERAGEIF('Pemetaan Variant'!$A$5:$A$32,$B7,'Pemetaan Variant'!$AY$5:$AY$32)*100,"n/a"),"n/a")</f>
        <v>n/a</v>
      </c>
      <c r="EB7" s="14" t="str">
        <f t="shared" si="42"/>
        <v>n/a</v>
      </c>
      <c r="ED7" s="14">
        <f>IFERROR(ABS(F7),0)</f>
        <v>0</v>
      </c>
      <c r="EE7" s="14">
        <f>IFERROR(ABS(I7),0)</f>
        <v>0</v>
      </c>
      <c r="EF7" s="14">
        <f>IFERROR(ABS(L7),0)</f>
        <v>0</v>
      </c>
      <c r="EG7" s="14">
        <f>IFERROR(ABS(O7),0)</f>
        <v>0</v>
      </c>
      <c r="EH7" s="14">
        <f>IFERROR(ABS(R7),0)</f>
        <v>0</v>
      </c>
      <c r="EI7" s="14">
        <f>IFERROR(ABS(U7),0)</f>
        <v>0</v>
      </c>
      <c r="EJ7" s="14">
        <f>IFERROR(ABS(X7),0)</f>
        <v>0</v>
      </c>
      <c r="EK7" s="14">
        <f>IFERROR(ABS(AA7),0)</f>
        <v>0</v>
      </c>
      <c r="EL7" s="14">
        <f>IFERROR(ABS(AD7),0)</f>
        <v>0</v>
      </c>
      <c r="EM7" s="14">
        <f>IFERROR(ABS(AG7),0)</f>
        <v>0</v>
      </c>
      <c r="EN7" s="14">
        <f>IFERROR(ABS(AJ7),0)</f>
        <v>0</v>
      </c>
      <c r="EO7" s="14">
        <f>IFERROR(ABS(AM7),0)</f>
        <v>0</v>
      </c>
      <c r="EP7" s="14">
        <f>IFERROR(ABS(AP7),0)</f>
        <v>0</v>
      </c>
      <c r="EQ7" s="14">
        <f>IFERROR(ABS(AS7),0)</f>
        <v>0</v>
      </c>
      <c r="ER7" s="14">
        <f>IFERROR(ABS(AV7),0)</f>
        <v>0</v>
      </c>
      <c r="ES7" s="14">
        <f>IFERROR(ABS(AY7),0)</f>
        <v>0</v>
      </c>
      <c r="ET7" s="14">
        <f>IFERROR(ABS(BB7),0)</f>
        <v>0</v>
      </c>
      <c r="EU7" s="14">
        <f>IFERROR(ABS(BE7),0)</f>
        <v>0</v>
      </c>
      <c r="EV7" s="14">
        <f>IFERROR(ABS(BH7),0)</f>
        <v>0</v>
      </c>
      <c r="EW7" s="14">
        <f>IFERROR(ABS(BK7),0)</f>
        <v>0</v>
      </c>
      <c r="EX7" s="14">
        <f>IFERROR(ABS(BN7),0)</f>
        <v>0</v>
      </c>
      <c r="EY7" s="14">
        <f>IFERROR(ABS(BQ7),0)</f>
        <v>0</v>
      </c>
      <c r="EZ7" s="14">
        <f>IFERROR(ABS(BT7),0)</f>
        <v>0</v>
      </c>
      <c r="FA7" s="14">
        <f>IFERROR(ABS(BW7),0)</f>
        <v>0</v>
      </c>
      <c r="FB7" s="14">
        <f>IFERROR(ABS(BZ7),0)</f>
        <v>0</v>
      </c>
      <c r="FC7" s="14">
        <f>IFERROR(ABS(CC7),0)</f>
        <v>0</v>
      </c>
      <c r="FD7" s="14">
        <f>IFERROR(ABS(CF7),0)</f>
        <v>0</v>
      </c>
      <c r="FE7" s="14">
        <f>IFERROR(ABS(CI7),0)</f>
        <v>0</v>
      </c>
      <c r="FF7" s="14">
        <f>IFERROR(ABS(CL7),0)</f>
        <v>0</v>
      </c>
      <c r="FG7" s="14">
        <f>IFERROR(ABS(CO7),0)</f>
        <v>0</v>
      </c>
      <c r="FH7" s="14">
        <f>IFERROR(ABS(CR7),0)</f>
        <v>0</v>
      </c>
      <c r="FI7" s="14">
        <f>IFERROR(ABS(CU7),0)</f>
        <v>0</v>
      </c>
      <c r="FJ7" s="14">
        <f>IFERROR(ABS(CX7),0)</f>
        <v>0</v>
      </c>
      <c r="FK7" s="14">
        <f>IFERROR(ABS(DA7),0)</f>
        <v>0</v>
      </c>
      <c r="FL7" s="14">
        <f>IFERROR(ABS(DD7),0)</f>
        <v>0</v>
      </c>
      <c r="FM7" s="14">
        <f>IFERROR(ABS(DG7),0)</f>
        <v>0</v>
      </c>
      <c r="FN7" s="14">
        <f>IFERROR(ABS(DJ7),0)</f>
        <v>0</v>
      </c>
      <c r="FO7" s="14">
        <f>IFERROR(ABS(DM7),0)</f>
        <v>0</v>
      </c>
      <c r="FP7" s="14">
        <f>IFERROR(ABS(#REF!),0)</f>
        <v>0</v>
      </c>
      <c r="FQ7" s="14">
        <f t="shared" si="43"/>
        <v>0</v>
      </c>
      <c r="FR7" s="14">
        <f t="shared" si="44"/>
        <v>0</v>
      </c>
      <c r="FS7" s="14">
        <f t="shared" si="45"/>
        <v>0</v>
      </c>
      <c r="FT7" s="14">
        <f t="shared" si="46"/>
        <v>0</v>
      </c>
      <c r="FU7" s="14">
        <f t="shared" si="47"/>
        <v>0</v>
      </c>
    </row>
    <row r="8" spans="1:177" ht="12.75" customHeight="1" x14ac:dyDescent="0.35">
      <c r="A8" s="8">
        <v>3</v>
      </c>
      <c r="B8" s="9" t="s">
        <v>189</v>
      </c>
      <c r="C8" s="10">
        <f>'P0Q0 Dasar 2022'!F7</f>
        <v>2.13321576646518E-2</v>
      </c>
      <c r="D8" s="18">
        <f>IFERROR(AVERAGEIF('Pemetaan Variant'!$A$5:$A$32,$B8,'Pemetaan Variant'!$L$5:$L$32),"n/a")</f>
        <v>6000</v>
      </c>
      <c r="E8" s="10">
        <f>IFERROR(IF(ISNUMBER(D8),(D8-AVERAGEIF('Pemetaan Variant'!$A$5:$A$32,$B8,'Pemetaan Variant'!$D$5:$D$32))/AVERAGEIF('Pemetaan Variant'!$A$5:$A$32,$B8,'Pemetaan Variant'!$D$5:$D$32)*100,"n/a"),"n/a")</f>
        <v>0</v>
      </c>
      <c r="F8" s="10">
        <f t="shared" si="0"/>
        <v>0</v>
      </c>
      <c r="G8" s="18">
        <f>IFERROR(AVERAGEIF('Pemetaan Variant'!$A$5:$A$32,$B8,'Pemetaan Variant'!$M$5:$M$32),"n/a")</f>
        <v>6000</v>
      </c>
      <c r="H8" s="10">
        <f>IFERROR(IF(ISNUMBER(G8),(G8-AVERAGEIF('Pemetaan Variant'!$A$5:$A$32,$B8,'Pemetaan Variant'!$D$5:$D$32))/AVERAGEIF('Pemetaan Variant'!$A$5:$A$32,$B8,'Pemetaan Variant'!$D$5:$D$32)*100,"n/a"),"n/a")</f>
        <v>0</v>
      </c>
      <c r="I8" s="10">
        <f t="shared" si="1"/>
        <v>0</v>
      </c>
      <c r="J8" s="18">
        <f>IFERROR(AVERAGEIF('Pemetaan Variant'!$A$5:$A$32,$B8,'Pemetaan Variant'!$N$5:$N$32),"n/a")</f>
        <v>6000</v>
      </c>
      <c r="K8" s="10">
        <f>IFERROR(IF(ISNUMBER(J8),(J8-AVERAGEIF('Pemetaan Variant'!$A$5:$A$32,$B8,'Pemetaan Variant'!$D$5:$D$32))/AVERAGEIF('Pemetaan Variant'!$A$5:$A$32,$B8,'Pemetaan Variant'!$D$5:$D$32)*100,"n/a"),"n/a")</f>
        <v>0</v>
      </c>
      <c r="L8" s="10">
        <f t="shared" si="2"/>
        <v>0</v>
      </c>
      <c r="M8" s="18">
        <f>IFERROR(AVERAGEIF('Pemetaan Variant'!$A$5:$A$32,$B8,'Pemetaan Variant'!$O$5:$O$32),"n/a")</f>
        <v>6000</v>
      </c>
      <c r="N8" s="10">
        <f>IFERROR(IF(ISNUMBER(M8),(M8-AVERAGEIF('Pemetaan Variant'!$A$5:$A$32,$B8,'Pemetaan Variant'!$D$5:$D$32))/AVERAGEIF('Pemetaan Variant'!$A$5:$A$32,$B8,'Pemetaan Variant'!$D$5:$D$32)*100,"n/a"),"n/a")</f>
        <v>0</v>
      </c>
      <c r="O8" s="10">
        <f t="shared" si="3"/>
        <v>0</v>
      </c>
      <c r="P8" s="18">
        <f>IFERROR(AVERAGEIF('Pemetaan Variant'!$A$5:$A$32,$B8,'Pemetaan Variant'!$P$5:$P$32),"n/a")</f>
        <v>6000</v>
      </c>
      <c r="Q8" s="10">
        <f>IFERROR(IF(ISNUMBER(P8),(P8-AVERAGEIF('Pemetaan Variant'!$A$5:$A$32,$B8,'Pemetaan Variant'!$D$5:$D$32))/AVERAGEIF('Pemetaan Variant'!$A$5:$A$32,$B8,'Pemetaan Variant'!$D$5:$D$32)*100,"n/a"),"n/a")</f>
        <v>0</v>
      </c>
      <c r="R8" s="10">
        <f t="shared" si="4"/>
        <v>0</v>
      </c>
      <c r="S8" s="18">
        <f>IFERROR(AVERAGEIF('Pemetaan Variant'!$A$5:$A$32,$B8,'Pemetaan Variant'!$Q$5:$Q$32),"n/a")</f>
        <v>6000</v>
      </c>
      <c r="T8" s="10">
        <f>IFERROR(IF(ISNUMBER(S8),(S8-AVERAGEIF('Pemetaan Variant'!$A$5:$A$32,$B8,'Pemetaan Variant'!$E$5:$E$32))/AVERAGEIF('Pemetaan Variant'!$A$5:$A$32,$B8,'Pemetaan Variant'!$E$5:$E$32)*100,"n/a"),"n/a")</f>
        <v>0</v>
      </c>
      <c r="U8" s="10">
        <f t="shared" si="5"/>
        <v>0</v>
      </c>
      <c r="V8" s="18">
        <f>IFERROR(AVERAGEIF('Pemetaan Variant'!$A$5:$A$32,$B8,'Pemetaan Variant'!$R$5:$R$32),"n/a")</f>
        <v>6000</v>
      </c>
      <c r="W8" s="10">
        <f>IFERROR(IF(ISNUMBER(V8),(V8-AVERAGEIF('Pemetaan Variant'!$A$5:$A$32,$B8,'Pemetaan Variant'!$E$5:$E$32))/AVERAGEIF('Pemetaan Variant'!$A$5:$A$32,$B8,'Pemetaan Variant'!$E$5:$E$32)*100,"n/a"),"n/a")</f>
        <v>0</v>
      </c>
      <c r="X8" s="10">
        <f t="shared" si="6"/>
        <v>0</v>
      </c>
      <c r="Y8" s="18">
        <f>IFERROR(AVERAGEIF('Pemetaan Variant'!$A$5:$A$32,$B8,'Pemetaan Variant'!$S$5:$S$32),"n/a")</f>
        <v>6000</v>
      </c>
      <c r="Z8" s="10">
        <f>IFERROR(IF(ISNUMBER(Y8),(Y8-AVERAGEIF('Pemetaan Variant'!$A$5:$A$32,$B8,'Pemetaan Variant'!$E$5:$E$32))/AVERAGEIF('Pemetaan Variant'!$A$5:$A$32,$B8,'Pemetaan Variant'!$E$5:$E$32)*100,"n/a"),"n/a")</f>
        <v>0</v>
      </c>
      <c r="AA8" s="10">
        <f t="shared" si="7"/>
        <v>0</v>
      </c>
      <c r="AB8" s="18">
        <f>IFERROR(AVERAGEIF('Pemetaan Variant'!$A$5:$A$32,$B8,'Pemetaan Variant'!$T$5:$T$32),"n/a")</f>
        <v>6000</v>
      </c>
      <c r="AC8" s="10">
        <f>IFERROR(IF(ISNUMBER(AB8),(AB8-AVERAGEIF('Pemetaan Variant'!$A$5:$A$32,$B8,'Pemetaan Variant'!$E$5:$E$32))/AVERAGEIF('Pemetaan Variant'!$A$5:$A$32,$B8,'Pemetaan Variant'!$E$5:$E$32)*100,"n/a"),"n/a")</f>
        <v>0</v>
      </c>
      <c r="AD8" s="10">
        <f t="shared" si="8"/>
        <v>0</v>
      </c>
      <c r="AE8" s="18">
        <f>IFERROR(AVERAGEIF('Pemetaan Variant'!$A$5:$A$32,$B8,'Pemetaan Variant'!$U$5:$U$32),"n/a")</f>
        <v>6000</v>
      </c>
      <c r="AF8" s="10">
        <f>IFERROR(IF(ISNUMBER(AE8),(AE8-AVERAGEIF('Pemetaan Variant'!$A$5:$A$32,$B8,'Pemetaan Variant'!$F$5:$F$32))/AVERAGEIF('Pemetaan Variant'!$A$5:$A$32,$B8,'Pemetaan Variant'!$F$5:$F$32)*100,"n/a"),"n/a")</f>
        <v>0</v>
      </c>
      <c r="AG8" s="10">
        <f t="shared" si="9"/>
        <v>0</v>
      </c>
      <c r="AH8" s="18">
        <f>IFERROR(AVERAGEIF('Pemetaan Variant'!$A$5:$A$32,$B8,'Pemetaan Variant'!$V$5:$V$32),"n/a")</f>
        <v>6000</v>
      </c>
      <c r="AI8" s="10">
        <f>IFERROR(IF(ISNUMBER(AH8),(AH8-AVERAGEIF('Pemetaan Variant'!$A$5:$A$32,$B8,'Pemetaan Variant'!$F$5:$F$32))/AVERAGEIF('Pemetaan Variant'!$A$5:$A$32,$B8,'Pemetaan Variant'!$F$5:$F$32)*100,"n/a"),"n/a")</f>
        <v>0</v>
      </c>
      <c r="AJ8" s="10">
        <f t="shared" si="10"/>
        <v>0</v>
      </c>
      <c r="AK8" s="18">
        <f>IFERROR(AVERAGEIF('Pemetaan Variant'!$A$5:$A$32,$B8,'Pemetaan Variant'!$W$5:$W$32),"n/a")</f>
        <v>6000</v>
      </c>
      <c r="AL8" s="10">
        <f>IFERROR(IF(ISNUMBER(AK8),(AK8-AVERAGEIF('Pemetaan Variant'!$A$5:$A$32,$B8,'Pemetaan Variant'!$F$5:$F$32))/AVERAGEIF('Pemetaan Variant'!$A$5:$A$32,$B8,'Pemetaan Variant'!$F$5:$F$32)*100,"n/a"),"n/a")</f>
        <v>0</v>
      </c>
      <c r="AM8" s="10">
        <f t="shared" si="11"/>
        <v>0</v>
      </c>
      <c r="AN8" s="18">
        <f>IFERROR(AVERAGEIF('Pemetaan Variant'!$A$5:$A$32,$B8,'Pemetaan Variant'!$X$5:$X$32),"n/a")</f>
        <v>6000</v>
      </c>
      <c r="AO8" s="10">
        <f>IFERROR(IF(ISNUMBER(AN8),(AN8-AVERAGEIF('Pemetaan Variant'!$A$5:$A$32,$B8,'Pemetaan Variant'!$F$5:$F$32))/AVERAGEIF('Pemetaan Variant'!$A$5:$A$32,$B8,'Pemetaan Variant'!$F$5:$F$32)*100,"n/a"),"n/a")</f>
        <v>0</v>
      </c>
      <c r="AP8" s="10">
        <f t="shared" si="12"/>
        <v>0</v>
      </c>
      <c r="AQ8" s="18">
        <f>IFERROR(AVERAGEIF('Pemetaan Variant'!$A$5:$A$32,$B8,'Pemetaan Variant'!$Y$5:$Y$32),"n/a")</f>
        <v>6000</v>
      </c>
      <c r="AR8" s="10">
        <f>IFERROR(IF(ISNUMBER(AQ8),(AQ8-AVERAGEIF('Pemetaan Variant'!$A$5:$A$32,$B8,'Pemetaan Variant'!$F$5:$F$32))/AVERAGEIF('Pemetaan Variant'!$A$5:$A$32,$B8,'Pemetaan Variant'!$F$5:$F$32)*100,"n/a"),"n/a")</f>
        <v>0</v>
      </c>
      <c r="AS8" s="10">
        <f t="shared" si="13"/>
        <v>0</v>
      </c>
      <c r="AT8" s="18">
        <f>IFERROR(AVERAGEIF('Pemetaan Variant'!$A$5:$A$32,$B8,'Pemetaan Variant'!$Z$5:$Z$32),"n/a")</f>
        <v>6000</v>
      </c>
      <c r="AU8" s="10">
        <f>IFERROR(IF(ISNUMBER(AT8),(AT8-AVERAGEIF('Pemetaan Variant'!$A$5:$A$32,$B8,'Pemetaan Variant'!$G$5:$G$32))/AVERAGEIF('Pemetaan Variant'!$A$5:$A$32,$B8,'Pemetaan Variant'!$G$5:$G$32)*100,"n/a"),"n/a")</f>
        <v>0</v>
      </c>
      <c r="AV8" s="10">
        <f t="shared" si="14"/>
        <v>0</v>
      </c>
      <c r="AW8" s="18">
        <f>IFERROR(AVERAGEIF('Pemetaan Variant'!$A$5:$A$32,$B8,'Pemetaan Variant'!$AA$5:$AA$32),"n/a")</f>
        <v>6000</v>
      </c>
      <c r="AX8" s="10">
        <f>IFERROR(IF(ISNUMBER(AW8),(AW8-AVERAGEIF('Pemetaan Variant'!$A$5:$A$32,$B8,'Pemetaan Variant'!$G$5:$G$32))/AVERAGEIF('Pemetaan Variant'!$A$5:$A$32,$B8,'Pemetaan Variant'!$G$5:$G$32)*100,"n/a"),"n/a")</f>
        <v>0</v>
      </c>
      <c r="AY8" s="10">
        <f t="shared" si="15"/>
        <v>0</v>
      </c>
      <c r="AZ8" s="18">
        <f>IFERROR(AVERAGEIF('Pemetaan Variant'!$A$5:$A$32,$B8,'Pemetaan Variant'!$AB$5:$AB$32),"n/a")</f>
        <v>6000</v>
      </c>
      <c r="BA8" s="10">
        <f>IFERROR(IF(ISNUMBER(AZ8),(AZ8-AVERAGEIF('Pemetaan Variant'!$A$5:$A$32,$B8,'Pemetaan Variant'!$G$5:$G$32))/AVERAGEIF('Pemetaan Variant'!$A$5:$A$32,$B8,'Pemetaan Variant'!$G$5:$G$32)*100,"n/a"),"n/a")</f>
        <v>0</v>
      </c>
      <c r="BB8" s="10">
        <f t="shared" si="16"/>
        <v>0</v>
      </c>
      <c r="BC8" s="18">
        <f>IFERROR(AVERAGEIF('Pemetaan Variant'!$A$5:$A$32,$B8,'Pemetaan Variant'!$AC$5:$AC$32),"n/a")</f>
        <v>6000</v>
      </c>
      <c r="BD8" s="10">
        <f>IFERROR(IF(ISNUMBER(BC8),(BC8-AVERAGEIF('Pemetaan Variant'!$A$5:$A$32,$B8,'Pemetaan Variant'!$G$5:$G$32))/AVERAGEIF('Pemetaan Variant'!$A$5:$A$32,$B8,'Pemetaan Variant'!$G$5:$G$32)*100,"n/a"),"n/a")</f>
        <v>0</v>
      </c>
      <c r="BE8" s="10">
        <f t="shared" si="17"/>
        <v>0</v>
      </c>
      <c r="BF8" s="18">
        <f>IFERROR(AVERAGEIF('Pemetaan Variant'!$A$5:$A$32,$B8,'Pemetaan Variant'!$AD$5:$AD$32),"n/a")</f>
        <v>6000</v>
      </c>
      <c r="BG8" s="10">
        <f>IFERROR(IF(ISNUMBER(BF8),(BF8-AVERAGEIF('Pemetaan Variant'!$A$5:$A$32,$B8,'Pemetaan Variant'!$G$5:$G$32))/AVERAGEIF('Pemetaan Variant'!$A$5:$A$32,$B8,'Pemetaan Variant'!$G$5:$G$32)*100,"n/a"),"n/a")</f>
        <v>0</v>
      </c>
      <c r="BH8" s="10">
        <f t="shared" si="18"/>
        <v>0</v>
      </c>
      <c r="BI8" s="18" t="str">
        <f>IFERROR(AVERAGEIF('Pemetaan Variant'!$A$5:$A$32,$B8,'Pemetaan Variant'!$AE$5:$AE$32),"n/a")</f>
        <v>n/a</v>
      </c>
      <c r="BJ8" s="10" t="str">
        <f>IFERROR(IF(ISNUMBER(BI8),(BI8-AVERAGEIF('Pemetaan Variant'!$A$5:$A$32,$B8,'Pemetaan Variant'!$H$5:$H$32))/AVERAGEIF('Pemetaan Variant'!$A$5:$A$32,$B8,'Pemetaan Variant'!$H$5:$H$32)*100,"n/a"),"n/a")</f>
        <v>n/a</v>
      </c>
      <c r="BK8" s="10" t="str">
        <f t="shared" si="19"/>
        <v>n/a</v>
      </c>
      <c r="BL8" s="18">
        <f>IFERROR(AVERAGEIF('Pemetaan Variant'!$A$5:$A$32,$B8,'Pemetaan Variant'!$AF$5:$AF$32),"n/a")</f>
        <v>6000</v>
      </c>
      <c r="BM8" s="10">
        <f>IFERROR(IF(ISNUMBER(BL8),(BL8-AVERAGEIF('Pemetaan Variant'!$A$5:$A$32,$B8,'Pemetaan Variant'!$H$5:$H$32))/AVERAGEIF('Pemetaan Variant'!$A$5:$A$32,$B8,'Pemetaan Variant'!$H$5:$H$32)*100,"n/a"),"n/a")</f>
        <v>0</v>
      </c>
      <c r="BN8" s="10">
        <f t="shared" si="20"/>
        <v>0</v>
      </c>
      <c r="BO8" s="18">
        <f>IFERROR(AVERAGEIF('Pemetaan Variant'!$A$5:$A$32,$B8,'Pemetaan Variant'!$AG$5:$AG$32),"n/a")</f>
        <v>6000</v>
      </c>
      <c r="BP8" s="10">
        <f>IFERROR(IF(ISNUMBER(BO8),(BO8-AVERAGEIF('Pemetaan Variant'!$A$5:$A$32,$B8,'Pemetaan Variant'!$H$5:$H$32))/AVERAGEIF('Pemetaan Variant'!$A$5:$A$32,$B8,'Pemetaan Variant'!$H$5:$H$32)*100,"n/a"),"n/a")</f>
        <v>0</v>
      </c>
      <c r="BQ8" s="10">
        <f t="shared" si="21"/>
        <v>0</v>
      </c>
      <c r="BR8" s="18">
        <f>IFERROR(AVERAGEIF('Pemetaan Variant'!$A$5:$A$32,$B8,'Pemetaan Variant'!$AH$5:$AH$32),"n/a")</f>
        <v>6000</v>
      </c>
      <c r="BS8" s="10">
        <f>IFERROR(IF(ISNUMBER(BR8),(BR8-AVERAGEIF('Pemetaan Variant'!$A$5:$A$32,$B8,'Pemetaan Variant'!$H$5:$H$32))/AVERAGEIF('Pemetaan Variant'!$A$5:$A$32,$B8,'Pemetaan Variant'!$H$5:$H$32)*100,"n/a"),"n/a")</f>
        <v>0</v>
      </c>
      <c r="BT8" s="10">
        <f t="shared" si="22"/>
        <v>0</v>
      </c>
      <c r="BU8" s="18">
        <f>IFERROR(AVERAGEIF('Pemetaan Variant'!$A$5:$A$32,$B8,'Pemetaan Variant'!$AI$5:$AI$32),"n/a")</f>
        <v>6000</v>
      </c>
      <c r="BV8" s="10">
        <f>IFERROR(IF(ISNUMBER(BU8),(BU8-AVERAGEIF('Pemetaan Variant'!$A$5:$A$32,$B8,'Pemetaan Variant'!$H$5:$H$32))/AVERAGEIF('Pemetaan Variant'!$A$5:$A$32,$B8,'Pemetaan Variant'!$H$5:$H$32)*100,"n/a"),"n/a")</f>
        <v>0</v>
      </c>
      <c r="BW8" s="10">
        <f t="shared" si="23"/>
        <v>0</v>
      </c>
      <c r="BX8" s="18">
        <f>IFERROR(AVERAGEIF('Pemetaan Variant'!$A$5:$A$32,$B8,'Pemetaan Variant'!$AJ$5:$AJ$32),"n/a")</f>
        <v>6000</v>
      </c>
      <c r="BY8" s="10">
        <f>IFERROR(IF(ISNUMBER(BX8),(BX8-AVERAGEIF('Pemetaan Variant'!$A$5:$A$32,$B8,'Pemetaan Variant'!$I$5:$I$32))/AVERAGEIF('Pemetaan Variant'!$A$5:$A$32,$B8,'Pemetaan Variant'!$I$5:$I$32)*100,"n/a"),"n/a")</f>
        <v>0</v>
      </c>
      <c r="BZ8" s="10">
        <f t="shared" si="24"/>
        <v>0</v>
      </c>
      <c r="CA8" s="18">
        <f>IFERROR(AVERAGEIF('Pemetaan Variant'!$A$5:$A$32,$B8,'Pemetaan Variant'!$AK$5:$AK$32),"n/a")</f>
        <v>6000</v>
      </c>
      <c r="CB8" s="10">
        <f>IFERROR(IF(ISNUMBER(CA8),(CA8-AVERAGEIF('Pemetaan Variant'!$A$5:$A$32,$B8,'Pemetaan Variant'!$I$5:$I$32))/AVERAGEIF('Pemetaan Variant'!$A$5:$A$32,$B8,'Pemetaan Variant'!$I$5:$I$32)*100,"n/a"),"n/a")</f>
        <v>0</v>
      </c>
      <c r="CC8" s="10">
        <f t="shared" si="25"/>
        <v>0</v>
      </c>
      <c r="CD8" s="18">
        <f>IFERROR(AVERAGEIF('Pemetaan Variant'!$A$5:$A$32,$B8,'Pemetaan Variant'!$AL$5:$AL$32),"n/a")</f>
        <v>6000</v>
      </c>
      <c r="CE8" s="10">
        <f>IFERROR(IF(ISNUMBER(CD8),(CD8-AVERAGEIF('Pemetaan Variant'!$A$5:$A$32,$B8,'Pemetaan Variant'!$I$5:$I$32))/AVERAGEIF('Pemetaan Variant'!$A$5:$A$32,$B8,'Pemetaan Variant'!$I$5:$I$32)*100,"n/a"),"n/a")</f>
        <v>0</v>
      </c>
      <c r="CF8" s="10">
        <f t="shared" si="26"/>
        <v>0</v>
      </c>
      <c r="CG8" s="18">
        <f>IFERROR(AVERAGEIF('Pemetaan Variant'!$A$5:$A$32,$B8,'Pemetaan Variant'!$AM$5:$AM$32),"n/a")</f>
        <v>6000</v>
      </c>
      <c r="CH8" s="10">
        <f>IFERROR(IF(ISNUMBER(CG8),(CG8-AVERAGEIF('Pemetaan Variant'!$A$5:$A$32,$B8,'Pemetaan Variant'!$I$5:$I$32))/AVERAGEIF('Pemetaan Variant'!$A$5:$A$32,$B8,'Pemetaan Variant'!$I$5:$I$32)*100,"n/a"),"n/a")</f>
        <v>0</v>
      </c>
      <c r="CI8" s="10">
        <f t="shared" si="27"/>
        <v>0</v>
      </c>
      <c r="CJ8" s="18">
        <f>IFERROR(AVERAGEIF('Pemetaan Variant'!$A$5:$A$32,$B8,'Pemetaan Variant'!$AN$5:$AN$32),"n/a")</f>
        <v>6000</v>
      </c>
      <c r="CK8" s="10">
        <f>IFERROR(IF(ISNUMBER(CJ8),(CJ8-AVERAGEIF('Pemetaan Variant'!$A$5:$A$32,$B8,'Pemetaan Variant'!$I$5:$I$32))/AVERAGEIF('Pemetaan Variant'!$A$5:$A$32,$B8,'Pemetaan Variant'!$I$5:$I$32)*100,"n/a"),"n/a")</f>
        <v>0</v>
      </c>
      <c r="CL8" s="10">
        <f t="shared" si="28"/>
        <v>0</v>
      </c>
      <c r="CM8" s="18">
        <f>IFERROR(AVERAGEIF('Pemetaan Variant'!$A$5:$A$32,$B8,'Pemetaan Variant'!$AO$5:$AO$32),"n/a")</f>
        <v>6000</v>
      </c>
      <c r="CN8" s="10">
        <f>IFERROR(IF(ISNUMBER(CM8),(CM8-AVERAGEIF('Pemetaan Variant'!$A$5:$A$32,$B8,'Pemetaan Variant'!$J$5:$J$32))/AVERAGEIF('Pemetaan Variant'!$A$5:$A$32,$B8,'Pemetaan Variant'!$J$5:$J$32)*100,"n/a"),"n/a")</f>
        <v>0</v>
      </c>
      <c r="CO8" s="10">
        <f t="shared" si="29"/>
        <v>0</v>
      </c>
      <c r="CP8" s="18">
        <f>IFERROR(AVERAGEIF('Pemetaan Variant'!$A$5:$A$32,$B8,'Pemetaan Variant'!$AP$5:$AP$32),"n/a")</f>
        <v>6000</v>
      </c>
      <c r="CQ8" s="10">
        <f>IFERROR(IF(ISNUMBER(CP8),(CP8-AVERAGEIF('Pemetaan Variant'!$A$5:$A$32,$B8,'Pemetaan Variant'!$J$5:$J$32))/AVERAGEIF('Pemetaan Variant'!$A$5:$A$32,$B8,'Pemetaan Variant'!$J$5:$J$32)*100,"n/a"),"n/a")</f>
        <v>0</v>
      </c>
      <c r="CR8" s="10">
        <f t="shared" si="30"/>
        <v>0</v>
      </c>
      <c r="CS8" s="18">
        <f>IFERROR(AVERAGEIF('Pemetaan Variant'!$A$5:$A$32,$B8,'Pemetaan Variant'!$AQ$5:$AQ$32),"n/a")</f>
        <v>6000</v>
      </c>
      <c r="CT8" s="10">
        <f>IFERROR(IF(ISNUMBER(CS8),(CS8-AVERAGEIF('Pemetaan Variant'!$A$5:$A$32,$B8,'Pemetaan Variant'!$J$5:$J$32))/AVERAGEIF('Pemetaan Variant'!$A$5:$A$32,$B8,'Pemetaan Variant'!$J$5:$J$32)*100,"n/a"),"n/a")</f>
        <v>0</v>
      </c>
      <c r="CU8" s="10">
        <f t="shared" si="31"/>
        <v>0</v>
      </c>
      <c r="CV8" s="18">
        <f>IFERROR(AVERAGEIF('Pemetaan Variant'!$A$5:$A$32,$B8,'Pemetaan Variant'!$AR$5:$AR$32),"n/a")</f>
        <v>6000</v>
      </c>
      <c r="CW8" s="10">
        <f>IFERROR(IF(ISNUMBER(CV8),(CV8-AVERAGEIF('Pemetaan Variant'!$A$5:$A$32,$B8,'Pemetaan Variant'!$J$5:$J$32))/AVERAGEIF('Pemetaan Variant'!$A$5:$A$32,$B8,'Pemetaan Variant'!$J$5:$J$32)*100,"n/a"),"n/a")</f>
        <v>0</v>
      </c>
      <c r="CX8" s="10">
        <f t="shared" si="32"/>
        <v>0</v>
      </c>
      <c r="CY8" s="18">
        <f>IFERROR(AVERAGEIF('Pemetaan Variant'!$A$5:$A$32,$B8,'Pemetaan Variant'!$AS$5:$AS$32),"n/a")</f>
        <v>6000</v>
      </c>
      <c r="CZ8" s="10">
        <f>IFERROR(IF(ISNUMBER(CY8),(CY8-AVERAGEIF('Pemetaan Variant'!$A$5:$A$32,$B8,'Pemetaan Variant'!$J$5:$J$32))/AVERAGEIF('Pemetaan Variant'!$A$5:$A$32,$B8,'Pemetaan Variant'!$J$5:$J$32)*100,"n/a"),"n/a")</f>
        <v>0</v>
      </c>
      <c r="DA8" s="10">
        <f t="shared" si="33"/>
        <v>0</v>
      </c>
      <c r="DB8" s="18">
        <f>IFERROR(AVERAGEIF('Pemetaan Variant'!$A$5:$A$32,$B8,'Pemetaan Variant'!$AT$5:$AT$32),"n/a")</f>
        <v>6000</v>
      </c>
      <c r="DC8" s="10">
        <f>IFERROR(IF(ISNUMBER(DB8),(DB8-AVERAGEIF('Pemetaan Variant'!$A$5:$A$32,$B8,'Pemetaan Variant'!$K$5:$K$32))/AVERAGEIF('Pemetaan Variant'!$A$5:$A$32,$B8,'Pemetaan Variant'!$K$5:$K$32)*100,"n/a"),"n/a")</f>
        <v>0</v>
      </c>
      <c r="DD8" s="10">
        <f t="shared" si="34"/>
        <v>0</v>
      </c>
      <c r="DE8" s="18">
        <f>IFERROR(AVERAGEIF('Pemetaan Variant'!$A$5:$A$32,$B8,'Pemetaan Variant'!$AU$5:$AU$32),"n/a")</f>
        <v>6000</v>
      </c>
      <c r="DF8" s="10">
        <f>IFERROR(IF(ISNUMBER(DE8),(DE8-AVERAGEIF('Pemetaan Variant'!$A$5:$A$32,$B8,'Pemetaan Variant'!$K$5:$K$32))/AVERAGEIF('Pemetaan Variant'!$A$5:$A$32,$B8,'Pemetaan Variant'!$K$5:$K$32)*100,"n/a"),"n/a")</f>
        <v>0</v>
      </c>
      <c r="DG8" s="10">
        <f t="shared" si="35"/>
        <v>0</v>
      </c>
      <c r="DH8" s="18">
        <f>IFERROR(AVERAGEIF('Pemetaan Variant'!$A$5:$A$32,$B8,'Pemetaan Variant'!$AV$5:$AV$32),"n/a")</f>
        <v>6000</v>
      </c>
      <c r="DI8" s="10">
        <f>IFERROR(IF(ISNUMBER(DH8),(DH8-AVERAGEIF('Pemetaan Variant'!$A$5:$A$32,$B8,'Pemetaan Variant'!$K$5:$K$32))/AVERAGEIF('Pemetaan Variant'!$A$5:$A$32,$B8,'Pemetaan Variant'!$K$5:$K$32)*100,"n/a"),"n/a")</f>
        <v>0</v>
      </c>
      <c r="DJ8" s="10">
        <f t="shared" si="36"/>
        <v>0</v>
      </c>
      <c r="DK8" s="18">
        <f>IFERROR(AVERAGEIF('Pemetaan Variant'!$A$5:$A$32,$B8,'Pemetaan Variant'!$AW$5:$AW$32),"n/a")</f>
        <v>6000</v>
      </c>
      <c r="DL8" s="10">
        <f>IFERROR(IF(ISNUMBER(DK8),(DK8-AVERAGEIF('Pemetaan Variant'!$A$5:$A$32,$B8,'Pemetaan Variant'!$K$5:$K$32))/AVERAGEIF('Pemetaan Variant'!$A$5:$A$32,$B8,'Pemetaan Variant'!$K$5:$K$32)*100,"n/a"),"n/a")</f>
        <v>0</v>
      </c>
      <c r="DM8" s="10">
        <f t="shared" si="37"/>
        <v>0</v>
      </c>
      <c r="DN8" s="19">
        <f>IFERROR(AVERAGEIF('Pemetaan Variant'!$A$5:$A$32,$B8,'Pemetaan Variant'!$AZ$5:$AZ$32),"n/a")</f>
        <v>6000</v>
      </c>
      <c r="DO8" s="14">
        <f>IFERROR(IF(ISNUMBER(DN8),(DN8-AVERAGEIF('Pemetaan Variant'!$A$5:$A$32,$B8,'Pemetaan Variant'!$AY$5:$AY$32))/AVERAGEIF('Pemetaan Variant'!$A$5:$A$32,$B8,'Pemetaan Variant'!$AY$5:$AY$32)*100,"n/a"),"n/a")</f>
        <v>0</v>
      </c>
      <c r="DP8" s="14">
        <f t="shared" si="38"/>
        <v>0</v>
      </c>
      <c r="DQ8" s="19" t="str">
        <f>IFERROR(AVERAGEIF('Pemetaan Variant'!$A$5:$A$32,$B8,'Pemetaan Variant'!$BA$5:$BA$32),"n/a")</f>
        <v>n/a</v>
      </c>
      <c r="DR8" s="14" t="str">
        <f>IFERROR(IF(ISNUMBER(DQ8),(DQ8-AVERAGEIF('Pemetaan Variant'!$A$5:$A$32,$B8,'Pemetaan Variant'!$AY$5:$AY$32))/AVERAGEIF('Pemetaan Variant'!$A$5:$A$32,$B8,'Pemetaan Variant'!$AY$5:$AY$32)*100,"n/a"),"n/a")</f>
        <v>n/a</v>
      </c>
      <c r="DS8" s="14" t="str">
        <f t="shared" si="39"/>
        <v>n/a</v>
      </c>
      <c r="DT8" s="19" t="str">
        <f>IFERROR(AVERAGEIF('Pemetaan Variant'!$A$5:$A$32,$B8,'Pemetaan Variant'!$BB$5:$BB$32),"n/a")</f>
        <v>n/a</v>
      </c>
      <c r="DU8" s="14" t="str">
        <f>IFERROR(IF(ISNUMBER(DT8),(DT8-AVERAGEIF('Pemetaan Variant'!$A$5:$A$32,$B8,'Pemetaan Variant'!$AY$5:$AY$32))/AVERAGEIF('Pemetaan Variant'!$A$5:$A$32,$B8,'Pemetaan Variant'!$AY$5:$AY$32)*100,"n/a"),"n/a")</f>
        <v>n/a</v>
      </c>
      <c r="DV8" s="14" t="str">
        <f t="shared" si="40"/>
        <v>n/a</v>
      </c>
      <c r="DW8" s="19" t="str">
        <f>IFERROR(AVERAGEIF('Pemetaan Variant'!$A$5:$A$32,$B8,'Pemetaan Variant'!$BC$5:$BC$32),"n/a")</f>
        <v>n/a</v>
      </c>
      <c r="DX8" s="14" t="str">
        <f>IFERROR(IF(ISNUMBER(DW8),(DW8-AVERAGEIF('Pemetaan Variant'!$A$5:$A$32,$B8,'Pemetaan Variant'!$AY$5:$AY$32))/AVERAGEIF('Pemetaan Variant'!$A$5:$A$32,$B8,'Pemetaan Variant'!$AY$5:$AY$32)*100,"n/a"),"n/a")</f>
        <v>n/a</v>
      </c>
      <c r="DY8" s="14" t="str">
        <f t="shared" si="41"/>
        <v>n/a</v>
      </c>
      <c r="DZ8" s="19" t="str">
        <f>IFERROR(AVERAGEIF('Pemetaan Variant'!$A$5:$A$32,$B8,'Pemetaan Variant'!$BD$5:$BD$32),"n/a")</f>
        <v>n/a</v>
      </c>
      <c r="EA8" s="14" t="str">
        <f>IFERROR(IF(ISNUMBER(DZ8),(DZ8-AVERAGEIF('Pemetaan Variant'!$A$5:$A$32,$B8,'Pemetaan Variant'!$AY$5:$AY$32))/AVERAGEIF('Pemetaan Variant'!$A$5:$A$32,$B8,'Pemetaan Variant'!$AY$5:$AY$32)*100,"n/a"),"n/a")</f>
        <v>n/a</v>
      </c>
      <c r="EB8" s="14" t="str">
        <f t="shared" si="42"/>
        <v>n/a</v>
      </c>
      <c r="ED8" s="14">
        <f>IFERROR(ABS(F8),0)</f>
        <v>0</v>
      </c>
      <c r="EE8" s="14">
        <f>IFERROR(ABS(I8),0)</f>
        <v>0</v>
      </c>
      <c r="EF8" s="14">
        <f>IFERROR(ABS(L8),0)</f>
        <v>0</v>
      </c>
      <c r="EG8" s="14">
        <f>IFERROR(ABS(O8),0)</f>
        <v>0</v>
      </c>
      <c r="EH8" s="14">
        <f>IFERROR(ABS(R8),0)</f>
        <v>0</v>
      </c>
      <c r="EI8" s="14">
        <f>IFERROR(ABS(U8),0)</f>
        <v>0</v>
      </c>
      <c r="EJ8" s="14">
        <f>IFERROR(ABS(X8),0)</f>
        <v>0</v>
      </c>
      <c r="EK8" s="14">
        <f>IFERROR(ABS(AA8),0)</f>
        <v>0</v>
      </c>
      <c r="EL8" s="14">
        <f>IFERROR(ABS(AD8),0)</f>
        <v>0</v>
      </c>
      <c r="EM8" s="14">
        <f>IFERROR(ABS(AG8),0)</f>
        <v>0</v>
      </c>
      <c r="EN8" s="14">
        <f>IFERROR(ABS(AJ8),0)</f>
        <v>0</v>
      </c>
      <c r="EO8" s="14">
        <f>IFERROR(ABS(AM8),0)</f>
        <v>0</v>
      </c>
      <c r="EP8" s="14">
        <f>IFERROR(ABS(AP8),0)</f>
        <v>0</v>
      </c>
      <c r="EQ8" s="14">
        <f>IFERROR(ABS(AS8),0)</f>
        <v>0</v>
      </c>
      <c r="ER8" s="14">
        <f>IFERROR(ABS(AV8),0)</f>
        <v>0</v>
      </c>
      <c r="ES8" s="14">
        <f>IFERROR(ABS(AY8),0)</f>
        <v>0</v>
      </c>
      <c r="ET8" s="14">
        <f>IFERROR(ABS(BB8),0)</f>
        <v>0</v>
      </c>
      <c r="EU8" s="14">
        <f>IFERROR(ABS(BE8),0)</f>
        <v>0</v>
      </c>
      <c r="EV8" s="14">
        <f>IFERROR(ABS(BH8),0)</f>
        <v>0</v>
      </c>
      <c r="EW8" s="14">
        <f>IFERROR(ABS(BK8),0)</f>
        <v>0</v>
      </c>
      <c r="EX8" s="14">
        <f>IFERROR(ABS(BN8),0)</f>
        <v>0</v>
      </c>
      <c r="EY8" s="14">
        <f>IFERROR(ABS(BQ8),0)</f>
        <v>0</v>
      </c>
      <c r="EZ8" s="14">
        <f>IFERROR(ABS(BT8),0)</f>
        <v>0</v>
      </c>
      <c r="FA8" s="14">
        <f>IFERROR(ABS(BW8),0)</f>
        <v>0</v>
      </c>
      <c r="FB8" s="14">
        <f>IFERROR(ABS(BZ8),0)</f>
        <v>0</v>
      </c>
      <c r="FC8" s="14">
        <f>IFERROR(ABS(CC8),0)</f>
        <v>0</v>
      </c>
      <c r="FD8" s="14">
        <f>IFERROR(ABS(CF8),0)</f>
        <v>0</v>
      </c>
      <c r="FE8" s="14">
        <f>IFERROR(ABS(CI8),0)</f>
        <v>0</v>
      </c>
      <c r="FF8" s="14">
        <f>IFERROR(ABS(CL8),0)</f>
        <v>0</v>
      </c>
      <c r="FG8" s="14">
        <f>IFERROR(ABS(CO8),0)</f>
        <v>0</v>
      </c>
      <c r="FH8" s="14">
        <f>IFERROR(ABS(CR8),0)</f>
        <v>0</v>
      </c>
      <c r="FI8" s="14">
        <f>IFERROR(ABS(CU8),0)</f>
        <v>0</v>
      </c>
      <c r="FJ8" s="14">
        <f>IFERROR(ABS(CX8),0)</f>
        <v>0</v>
      </c>
      <c r="FK8" s="14">
        <f>IFERROR(ABS(DA8),0)</f>
        <v>0</v>
      </c>
      <c r="FL8" s="14">
        <f>IFERROR(ABS(DD8),0)</f>
        <v>0</v>
      </c>
      <c r="FM8" s="14">
        <f>IFERROR(ABS(DG8),0)</f>
        <v>0</v>
      </c>
      <c r="FN8" s="14">
        <f>IFERROR(ABS(DJ8),0)</f>
        <v>0</v>
      </c>
      <c r="FO8" s="14">
        <f>IFERROR(ABS(DM8),0)</f>
        <v>0</v>
      </c>
      <c r="FP8" s="14">
        <f>IFERROR(ABS(#REF!),0)</f>
        <v>0</v>
      </c>
      <c r="FQ8" s="14">
        <f t="shared" si="43"/>
        <v>0</v>
      </c>
      <c r="FR8" s="14">
        <f t="shared" si="44"/>
        <v>0</v>
      </c>
      <c r="FS8" s="14">
        <f t="shared" si="45"/>
        <v>0</v>
      </c>
      <c r="FT8" s="14">
        <f t="shared" si="46"/>
        <v>0</v>
      </c>
      <c r="FU8" s="14">
        <f t="shared" si="47"/>
        <v>0</v>
      </c>
    </row>
    <row r="9" spans="1:177" ht="12.75" customHeight="1" x14ac:dyDescent="0.35">
      <c r="A9" s="8">
        <v>4</v>
      </c>
      <c r="B9" s="9" t="s">
        <v>190</v>
      </c>
      <c r="C9" s="10">
        <f>'P0Q0 Dasar 2022'!F8</f>
        <v>4.7910777785027697E-2</v>
      </c>
      <c r="D9" s="18">
        <f>IFERROR(AVERAGEIF('Pemetaan Variant'!$A$5:$A$32,$B9,'Pemetaan Variant'!$L$5:$L$32),"n/a")</f>
        <v>26000</v>
      </c>
      <c r="E9" s="10">
        <f>IFERROR(IF(ISNUMBER(D9),(D9-AVERAGEIF('Pemetaan Variant'!$A$5:$A$32,$B9,'Pemetaan Variant'!$D$5:$D$32))/AVERAGEIF('Pemetaan Variant'!$A$5:$A$32,$B9,'Pemetaan Variant'!$D$5:$D$32)*100,"n/a"),"n/a")</f>
        <v>2.1515434985968125</v>
      </c>
      <c r="F9" s="10">
        <f t="shared" si="0"/>
        <v>0.10308212245609294</v>
      </c>
      <c r="G9" s="18">
        <f>IFERROR(AVERAGEIF('Pemetaan Variant'!$A$5:$A$32,$B9,'Pemetaan Variant'!$M$5:$M$32),"n/a")</f>
        <v>26000</v>
      </c>
      <c r="H9" s="10">
        <f>IFERROR(IF(ISNUMBER(G9),(G9-AVERAGEIF('Pemetaan Variant'!$A$5:$A$32,$B9,'Pemetaan Variant'!$D$5:$D$32))/AVERAGEIF('Pemetaan Variant'!$A$5:$A$32,$B9,'Pemetaan Variant'!$D$5:$D$32)*100,"n/a"),"n/a")</f>
        <v>2.1515434985968125</v>
      </c>
      <c r="I9" s="10">
        <f t="shared" si="1"/>
        <v>0.10308212245609294</v>
      </c>
      <c r="J9" s="18">
        <f>IFERROR(AVERAGEIF('Pemetaan Variant'!$A$5:$A$32,$B9,'Pemetaan Variant'!$N$5:$N$32),"n/a")</f>
        <v>26000</v>
      </c>
      <c r="K9" s="10">
        <f>IFERROR(IF(ISNUMBER(J9),(J9-AVERAGEIF('Pemetaan Variant'!$A$5:$A$32,$B9,'Pemetaan Variant'!$D$5:$D$32))/AVERAGEIF('Pemetaan Variant'!$A$5:$A$32,$B9,'Pemetaan Variant'!$D$5:$D$32)*100,"n/a"),"n/a")</f>
        <v>2.1515434985968125</v>
      </c>
      <c r="L9" s="10">
        <f t="shared" si="2"/>
        <v>0.10308212245609294</v>
      </c>
      <c r="M9" s="18">
        <f>IFERROR(AVERAGEIF('Pemetaan Variant'!$A$5:$A$32,$B9,'Pemetaan Variant'!$O$5:$O$32),"n/a")</f>
        <v>26000</v>
      </c>
      <c r="N9" s="10">
        <f>IFERROR(IF(ISNUMBER(M9),(M9-AVERAGEIF('Pemetaan Variant'!$A$5:$A$32,$B9,'Pemetaan Variant'!$D$5:$D$32))/AVERAGEIF('Pemetaan Variant'!$A$5:$A$32,$B9,'Pemetaan Variant'!$D$5:$D$32)*100,"n/a"),"n/a")</f>
        <v>2.1515434985968125</v>
      </c>
      <c r="O9" s="10">
        <f t="shared" si="3"/>
        <v>0.10308212245609294</v>
      </c>
      <c r="P9" s="18">
        <f>IFERROR(AVERAGEIF('Pemetaan Variant'!$A$5:$A$32,$B9,'Pemetaan Variant'!$P$5:$P$32),"n/a")</f>
        <v>26000</v>
      </c>
      <c r="Q9" s="10">
        <f>IFERROR(IF(ISNUMBER(P9),(P9-AVERAGEIF('Pemetaan Variant'!$A$5:$A$32,$B9,'Pemetaan Variant'!$D$5:$D$32))/AVERAGEIF('Pemetaan Variant'!$A$5:$A$32,$B9,'Pemetaan Variant'!$D$5:$D$32)*100,"n/a"),"n/a")</f>
        <v>2.1515434985968125</v>
      </c>
      <c r="R9" s="10">
        <f t="shared" si="4"/>
        <v>0.10308212245609294</v>
      </c>
      <c r="S9" s="18">
        <f>IFERROR(AVERAGEIF('Pemetaan Variant'!$A$5:$A$32,$B9,'Pemetaan Variant'!$Q$5:$Q$32),"n/a")</f>
        <v>28200</v>
      </c>
      <c r="T9" s="10">
        <f>IFERROR(IF(ISNUMBER(S9),(S9-AVERAGEIF('Pemetaan Variant'!$A$5:$A$32,$B9,'Pemetaan Variant'!$E$5:$E$32))/AVERAGEIF('Pemetaan Variant'!$A$5:$A$32,$B9,'Pemetaan Variant'!$E$5:$E$32)*100,"n/a"),"n/a")</f>
        <v>8.4615384615384617</v>
      </c>
      <c r="U9" s="10">
        <f t="shared" si="5"/>
        <v>0.40539888895023435</v>
      </c>
      <c r="V9" s="18">
        <f>IFERROR(AVERAGEIF('Pemetaan Variant'!$A$5:$A$32,$B9,'Pemetaan Variant'!$R$5:$R$32),"n/a")</f>
        <v>26400</v>
      </c>
      <c r="W9" s="10">
        <f>IFERROR(IF(ISNUMBER(V9),(V9-AVERAGEIF('Pemetaan Variant'!$A$5:$A$32,$B9,'Pemetaan Variant'!$E$5:$E$32))/AVERAGEIF('Pemetaan Variant'!$A$5:$A$32,$B9,'Pemetaan Variant'!$E$5:$E$32)*100,"n/a"),"n/a")</f>
        <v>1.5384615384615385</v>
      </c>
      <c r="X9" s="10">
        <f t="shared" si="6"/>
        <v>7.370888890004261E-2</v>
      </c>
      <c r="Y9" s="18">
        <f>IFERROR(AVERAGEIF('Pemetaan Variant'!$A$5:$A$32,$B9,'Pemetaan Variant'!$S$5:$S$32),"n/a")</f>
        <v>35000</v>
      </c>
      <c r="Z9" s="10">
        <f>IFERROR(IF(ISNUMBER(Y9),(Y9-AVERAGEIF('Pemetaan Variant'!$A$5:$A$32,$B9,'Pemetaan Variant'!$E$5:$E$32))/AVERAGEIF('Pemetaan Variant'!$A$5:$A$32,$B9,'Pemetaan Variant'!$E$5:$E$32)*100,"n/a"),"n/a")</f>
        <v>34.615384615384613</v>
      </c>
      <c r="AA9" s="10">
        <f t="shared" si="7"/>
        <v>1.6584500002509586</v>
      </c>
      <c r="AB9" s="18">
        <f>IFERROR(AVERAGEIF('Pemetaan Variant'!$A$5:$A$32,$B9,'Pemetaan Variant'!$T$5:$T$32),"n/a")</f>
        <v>34600</v>
      </c>
      <c r="AC9" s="10">
        <f>IFERROR(IF(ISNUMBER(AB9),(AB9-AVERAGEIF('Pemetaan Variant'!$A$5:$A$32,$B9,'Pemetaan Variant'!$E$5:$E$32))/AVERAGEIF('Pemetaan Variant'!$A$5:$A$32,$B9,'Pemetaan Variant'!$E$5:$E$32)*100,"n/a"),"n/a")</f>
        <v>33.076923076923073</v>
      </c>
      <c r="AD9" s="10">
        <f t="shared" si="8"/>
        <v>1.584741111350916</v>
      </c>
      <c r="AE9" s="18">
        <f>IFERROR(AVERAGEIF('Pemetaan Variant'!$A$5:$A$32,$B9,'Pemetaan Variant'!$U$5:$U$32),"n/a")</f>
        <v>37000</v>
      </c>
      <c r="AF9" s="10">
        <f>IFERROR(IF(ISNUMBER(AE9),(AE9-AVERAGEIF('Pemetaan Variant'!$A$5:$A$32,$B9,'Pemetaan Variant'!$F$5:$F$32))/AVERAGEIF('Pemetaan Variant'!$A$5:$A$32,$B9,'Pemetaan Variant'!$F$5:$F$32)*100,"n/a"),"n/a")</f>
        <v>20.871143375680585</v>
      </c>
      <c r="AG9" s="10">
        <f t="shared" si="9"/>
        <v>0.99995271239168537</v>
      </c>
      <c r="AH9" s="18">
        <f>IFERROR(AVERAGEIF('Pemetaan Variant'!$A$5:$A$32,$B9,'Pemetaan Variant'!$V$5:$V$32),"n/a")</f>
        <v>37600</v>
      </c>
      <c r="AI9" s="10">
        <f>IFERROR(IF(ISNUMBER(AH9),(AH9-AVERAGEIF('Pemetaan Variant'!$A$5:$A$32,$B9,'Pemetaan Variant'!$F$5:$F$32))/AVERAGEIF('Pemetaan Variant'!$A$5:$A$32,$B9,'Pemetaan Variant'!$F$5:$F$32)*100,"n/a"),"n/a")</f>
        <v>22.831215970961892</v>
      </c>
      <c r="AJ9" s="10">
        <f t="shared" si="10"/>
        <v>1.0938613149467307</v>
      </c>
      <c r="AK9" s="18">
        <f>IFERROR(AVERAGEIF('Pemetaan Variant'!$A$5:$A$32,$B9,'Pemetaan Variant'!$W$5:$W$32),"n/a")</f>
        <v>40000</v>
      </c>
      <c r="AL9" s="10">
        <f>IFERROR(IF(ISNUMBER(AK9),(AK9-AVERAGEIF('Pemetaan Variant'!$A$5:$A$32,$B9,'Pemetaan Variant'!$F$5:$F$32))/AVERAGEIF('Pemetaan Variant'!$A$5:$A$32,$B9,'Pemetaan Variant'!$F$5:$F$32)*100,"n/a"),"n/a")</f>
        <v>30.671506352087118</v>
      </c>
      <c r="AM9" s="10">
        <f t="shared" si="11"/>
        <v>1.4694957251669114</v>
      </c>
      <c r="AN9" s="18">
        <f>IFERROR(AVERAGEIF('Pemetaan Variant'!$A$5:$A$32,$B9,'Pemetaan Variant'!$X$5:$X$32),"n/a")</f>
        <v>40000</v>
      </c>
      <c r="AO9" s="10">
        <f>IFERROR(IF(ISNUMBER(AN9),(AN9-AVERAGEIF('Pemetaan Variant'!$A$5:$A$32,$B9,'Pemetaan Variant'!$F$5:$F$32))/AVERAGEIF('Pemetaan Variant'!$A$5:$A$32,$B9,'Pemetaan Variant'!$F$5:$F$32)*100,"n/a"),"n/a")</f>
        <v>30.671506352087118</v>
      </c>
      <c r="AP9" s="10">
        <f t="shared" si="12"/>
        <v>1.4694957251669114</v>
      </c>
      <c r="AQ9" s="18">
        <f>IFERROR(AVERAGEIF('Pemetaan Variant'!$A$5:$A$32,$B9,'Pemetaan Variant'!$Y$5:$Y$32),"n/a")</f>
        <v>36000</v>
      </c>
      <c r="AR9" s="10">
        <f>IFERROR(IF(ISNUMBER(AQ9),(AQ9-AVERAGEIF('Pemetaan Variant'!$A$5:$A$32,$B9,'Pemetaan Variant'!$F$5:$F$32))/AVERAGEIF('Pemetaan Variant'!$A$5:$A$32,$B9,'Pemetaan Variant'!$F$5:$F$32)*100,"n/a"),"n/a")</f>
        <v>17.604355716878409</v>
      </c>
      <c r="AS9" s="10">
        <f t="shared" si="13"/>
        <v>0.84343837479994344</v>
      </c>
      <c r="AT9" s="18">
        <f>IFERROR(AVERAGEIF('Pemetaan Variant'!$A$5:$A$32,$B9,'Pemetaan Variant'!$Z$5:$Z$32),"n/a")</f>
        <v>35000</v>
      </c>
      <c r="AU9" s="10">
        <f>IFERROR(IF(ISNUMBER(AT9),(AT9-AVERAGEIF('Pemetaan Variant'!$A$5:$A$32,$B9,'Pemetaan Variant'!$G$5:$G$32))/AVERAGEIF('Pemetaan Variant'!$A$5:$A$32,$B9,'Pemetaan Variant'!$G$5:$G$32)*100,"n/a"),"n/a")</f>
        <v>-8.4967320261437909</v>
      </c>
      <c r="AV9" s="10">
        <f t="shared" si="14"/>
        <v>-0.40708504000350332</v>
      </c>
      <c r="AW9" s="18">
        <f>IFERROR(AVERAGEIF('Pemetaan Variant'!$A$5:$A$32,$B9,'Pemetaan Variant'!$AA$5:$AA$32),"n/a")</f>
        <v>32400</v>
      </c>
      <c r="AX9" s="10">
        <f>IFERROR(IF(ISNUMBER(AW9),(AW9-AVERAGEIF('Pemetaan Variant'!$A$5:$A$32,$B9,'Pemetaan Variant'!$G$5:$G$32))/AVERAGEIF('Pemetaan Variant'!$A$5:$A$32,$B9,'Pemetaan Variant'!$G$5:$G$32)*100,"n/a"),"n/a")</f>
        <v>-15.294117647058824</v>
      </c>
      <c r="AY9" s="10">
        <f t="shared" si="15"/>
        <v>-0.73275307200630602</v>
      </c>
      <c r="AZ9" s="18">
        <f>IFERROR(AVERAGEIF('Pemetaan Variant'!$A$5:$A$32,$B9,'Pemetaan Variant'!$AB$5:$AB$32),"n/a")</f>
        <v>33000</v>
      </c>
      <c r="BA9" s="10">
        <f>IFERROR(IF(ISNUMBER(AZ9),(AZ9-AVERAGEIF('Pemetaan Variant'!$A$5:$A$32,$B9,'Pemetaan Variant'!$G$5:$G$32))/AVERAGEIF('Pemetaan Variant'!$A$5:$A$32,$B9,'Pemetaan Variant'!$G$5:$G$32)*100,"n/a"),"n/a")</f>
        <v>-13.725490196078432</v>
      </c>
      <c r="BB9" s="10">
        <f t="shared" si="16"/>
        <v>-0.65759891077488997</v>
      </c>
      <c r="BC9" s="18">
        <f>IFERROR(AVERAGEIF('Pemetaan Variant'!$A$5:$A$32,$B9,'Pemetaan Variant'!$AC$5:$AC$32),"n/a")</f>
        <v>32600</v>
      </c>
      <c r="BD9" s="10">
        <f>IFERROR(IF(ISNUMBER(BC9),(BC9-AVERAGEIF('Pemetaan Variant'!$A$5:$A$32,$B9,'Pemetaan Variant'!$G$5:$G$32))/AVERAGEIF('Pemetaan Variant'!$A$5:$A$32,$B9,'Pemetaan Variant'!$G$5:$G$32)*100,"n/a"),"n/a")</f>
        <v>-14.77124183006536</v>
      </c>
      <c r="BE9" s="10">
        <f t="shared" si="17"/>
        <v>-0.7077016849291673</v>
      </c>
      <c r="BF9" s="18">
        <f>IFERROR(AVERAGEIF('Pemetaan Variant'!$A$5:$A$32,$B9,'Pemetaan Variant'!$AD$5:$AD$32),"n/a")</f>
        <v>32500</v>
      </c>
      <c r="BG9" s="10">
        <f>IFERROR(IF(ISNUMBER(BF9),(BF9-AVERAGEIF('Pemetaan Variant'!$A$5:$A$32,$B9,'Pemetaan Variant'!$G$5:$G$32))/AVERAGEIF('Pemetaan Variant'!$A$5:$A$32,$B9,'Pemetaan Variant'!$G$5:$G$32)*100,"n/a"),"n/a")</f>
        <v>-15.032679738562091</v>
      </c>
      <c r="BH9" s="10">
        <f t="shared" si="18"/>
        <v>-0.72022737846773666</v>
      </c>
      <c r="BI9" s="18" t="str">
        <f>IFERROR(AVERAGEIF('Pemetaan Variant'!$A$5:$A$32,$B9,'Pemetaan Variant'!$AE$5:$AE$32),"n/a")</f>
        <v>n/a</v>
      </c>
      <c r="BJ9" s="10" t="str">
        <f>IFERROR(IF(ISNUMBER(BI9),(BI9-AVERAGEIF('Pemetaan Variant'!$A$5:$A$32,$B9,'Pemetaan Variant'!$H$5:$H$32))/AVERAGEIF('Pemetaan Variant'!$A$5:$A$32,$B9,'Pemetaan Variant'!$H$5:$H$32)*100,"n/a"),"n/a")</f>
        <v>n/a</v>
      </c>
      <c r="BK9" s="10" t="str">
        <f t="shared" si="19"/>
        <v>n/a</v>
      </c>
      <c r="BL9" s="18">
        <f>IFERROR(AVERAGEIF('Pemetaan Variant'!$A$5:$A$32,$B9,'Pemetaan Variant'!$AF$5:$AF$32),"n/a")</f>
        <v>34000</v>
      </c>
      <c r="BM9" s="10">
        <f>IFERROR(IF(ISNUMBER(BL9),(BL9-AVERAGEIF('Pemetaan Variant'!$A$5:$A$32,$B9,'Pemetaan Variant'!$H$5:$H$32))/AVERAGEIF('Pemetaan Variant'!$A$5:$A$32,$B9,'Pemetaan Variant'!$H$5:$H$32)*100,"n/a"),"n/a")</f>
        <v>3.4782608695652235</v>
      </c>
      <c r="BN9" s="10">
        <f t="shared" si="20"/>
        <v>0.16664618360009664</v>
      </c>
      <c r="BO9" s="18">
        <f>IFERROR(AVERAGEIF('Pemetaan Variant'!$A$5:$A$32,$B9,'Pemetaan Variant'!$AG$5:$AG$32),"n/a")</f>
        <v>33666.666666666664</v>
      </c>
      <c r="BP9" s="10">
        <f>IFERROR(IF(ISNUMBER(BO9),(BO9-AVERAGEIF('Pemetaan Variant'!$A$5:$A$32,$B9,'Pemetaan Variant'!$H$5:$H$32))/AVERAGEIF('Pemetaan Variant'!$A$5:$A$32,$B9,'Pemetaan Variant'!$H$5:$H$32)*100,"n/a"),"n/a")</f>
        <v>2.4637681159420279</v>
      </c>
      <c r="BQ9" s="10">
        <f t="shared" si="21"/>
        <v>0.11804104671673486</v>
      </c>
      <c r="BR9" s="18">
        <f>IFERROR(AVERAGEIF('Pemetaan Variant'!$A$5:$A$32,$B9,'Pemetaan Variant'!$AH$5:$AH$32),"n/a")</f>
        <v>32000</v>
      </c>
      <c r="BS9" s="10">
        <f>IFERROR(IF(ISNUMBER(BR9),(BR9-AVERAGEIF('Pemetaan Variant'!$A$5:$A$32,$B9,'Pemetaan Variant'!$H$5:$H$32))/AVERAGEIF('Pemetaan Variant'!$A$5:$A$32,$B9,'Pemetaan Variant'!$H$5:$H$32)*100,"n/a"),"n/a")</f>
        <v>-2.6086956521739069</v>
      </c>
      <c r="BT9" s="10">
        <f t="shared" si="22"/>
        <v>-0.12498463770007195</v>
      </c>
      <c r="BU9" s="18">
        <f>IFERROR(AVERAGEIF('Pemetaan Variant'!$A$5:$A$32,$B9,'Pemetaan Variant'!$AI$5:$AI$32),"n/a")</f>
        <v>32000</v>
      </c>
      <c r="BV9" s="10">
        <f>IFERROR(IF(ISNUMBER(BU9),(BU9-AVERAGEIF('Pemetaan Variant'!$A$5:$A$32,$B9,'Pemetaan Variant'!$H$5:$H$32))/AVERAGEIF('Pemetaan Variant'!$A$5:$A$32,$B9,'Pemetaan Variant'!$H$5:$H$32)*100,"n/a"),"n/a")</f>
        <v>-2.6086956521739069</v>
      </c>
      <c r="BW9" s="10">
        <f t="shared" si="23"/>
        <v>-0.12498463770007195</v>
      </c>
      <c r="BX9" s="18">
        <f>IFERROR(AVERAGEIF('Pemetaan Variant'!$A$5:$A$32,$B9,'Pemetaan Variant'!$AJ$5:$AJ$32),"n/a")</f>
        <v>31750</v>
      </c>
      <c r="BY9" s="10">
        <f>IFERROR(IF(ISNUMBER(BX9),(BX9-AVERAGEIF('Pemetaan Variant'!$A$5:$A$32,$B9,'Pemetaan Variant'!$I$5:$I$32))/AVERAGEIF('Pemetaan Variant'!$A$5:$A$32,$B9,'Pemetaan Variant'!$I$5:$I$32)*100,"n/a"),"n/a")</f>
        <v>-3.6053130929791273</v>
      </c>
      <c r="BZ9" s="10">
        <f t="shared" si="24"/>
        <v>-0.17273335444317386</v>
      </c>
      <c r="CA9" s="18">
        <f>IFERROR(AVERAGEIF('Pemetaan Variant'!$A$5:$A$32,$B9,'Pemetaan Variant'!$AK$5:$AK$32),"n/a")</f>
        <v>29200</v>
      </c>
      <c r="CB9" s="10">
        <f>IFERROR(IF(ISNUMBER(CA9),(CA9-AVERAGEIF('Pemetaan Variant'!$A$5:$A$32,$B9,'Pemetaan Variant'!$I$5:$I$32))/AVERAGEIF('Pemetaan Variant'!$A$5:$A$32,$B9,'Pemetaan Variant'!$I$5:$I$32)*100,"n/a"),"n/a")</f>
        <v>-11.347248576850095</v>
      </c>
      <c r="CC9" s="10">
        <f t="shared" si="25"/>
        <v>-0.54365550503693671</v>
      </c>
      <c r="CD9" s="18">
        <f>IFERROR(AVERAGEIF('Pemetaan Variant'!$A$5:$A$32,$B9,'Pemetaan Variant'!$AL$5:$AL$32),"n/a")</f>
        <v>29750</v>
      </c>
      <c r="CE9" s="10">
        <f>IFERROR(IF(ISNUMBER(CD9),(CD9-AVERAGEIF('Pemetaan Variant'!$A$5:$A$32,$B9,'Pemetaan Variant'!$I$5:$I$32))/AVERAGEIF('Pemetaan Variant'!$A$5:$A$32,$B9,'Pemetaan Variant'!$I$5:$I$32)*100,"n/a"),"n/a")</f>
        <v>-9.67741935483871</v>
      </c>
      <c r="CF9" s="10">
        <f t="shared" si="26"/>
        <v>-0.46365268824220351</v>
      </c>
      <c r="CG9" s="18">
        <f>IFERROR(AVERAGEIF('Pemetaan Variant'!$A$5:$A$32,$B9,'Pemetaan Variant'!$AM$5:$AM$32),"n/a")</f>
        <v>30000</v>
      </c>
      <c r="CH9" s="10">
        <f>IFERROR(IF(ISNUMBER(CG9),(CG9-AVERAGEIF('Pemetaan Variant'!$A$5:$A$32,$B9,'Pemetaan Variant'!$I$5:$I$32))/AVERAGEIF('Pemetaan Variant'!$A$5:$A$32,$B9,'Pemetaan Variant'!$I$5:$I$32)*100,"n/a"),"n/a")</f>
        <v>-8.9184060721062615</v>
      </c>
      <c r="CI9" s="10">
        <f t="shared" si="27"/>
        <v>-0.42728777151732478</v>
      </c>
      <c r="CJ9" s="18">
        <f>IFERROR(AVERAGEIF('Pemetaan Variant'!$A$5:$A$32,$B9,'Pemetaan Variant'!$AN$5:$AN$32),"n/a")</f>
        <v>30000</v>
      </c>
      <c r="CK9" s="10">
        <f>IFERROR(IF(ISNUMBER(CJ9),(CJ9-AVERAGEIF('Pemetaan Variant'!$A$5:$A$32,$B9,'Pemetaan Variant'!$I$5:$I$32))/AVERAGEIF('Pemetaan Variant'!$A$5:$A$32,$B9,'Pemetaan Variant'!$I$5:$I$32)*100,"n/a"),"n/a")</f>
        <v>-8.9184060721062615</v>
      </c>
      <c r="CL9" s="10">
        <f t="shared" si="28"/>
        <v>-0.42728777151732478</v>
      </c>
      <c r="CM9" s="18">
        <f>IFERROR(AVERAGEIF('Pemetaan Variant'!$A$5:$A$32,$B9,'Pemetaan Variant'!$AO$5:$AO$32),"n/a")</f>
        <v>30000</v>
      </c>
      <c r="CN9" s="10">
        <f>IFERROR(IF(ISNUMBER(CM9),(CM9-AVERAGEIF('Pemetaan Variant'!$A$5:$A$32,$B9,'Pemetaan Variant'!$J$5:$J$32))/AVERAGEIF('Pemetaan Variant'!$A$5:$A$32,$B9,'Pemetaan Variant'!$J$5:$J$32)*100,"n/a"),"n/a")</f>
        <v>-0.33222591362126247</v>
      </c>
      <c r="CO9" s="10">
        <f t="shared" si="29"/>
        <v>-1.5917201921936113E-2</v>
      </c>
      <c r="CP9" s="18">
        <f>IFERROR(AVERAGEIF('Pemetaan Variant'!$A$5:$A$32,$B9,'Pemetaan Variant'!$AP$5:$AP$32),"n/a")</f>
        <v>30000</v>
      </c>
      <c r="CQ9" s="10">
        <f>IFERROR(IF(ISNUMBER(CP9),(CP9-AVERAGEIF('Pemetaan Variant'!$A$5:$A$32,$B9,'Pemetaan Variant'!$J$5:$J$32))/AVERAGEIF('Pemetaan Variant'!$A$5:$A$32,$B9,'Pemetaan Variant'!$J$5:$J$32)*100,"n/a"),"n/a")</f>
        <v>-0.33222591362126247</v>
      </c>
      <c r="CR9" s="10">
        <f t="shared" si="30"/>
        <v>-1.5917201921936113E-2</v>
      </c>
      <c r="CS9" s="18">
        <f>IFERROR(AVERAGEIF('Pemetaan Variant'!$A$5:$A$32,$B9,'Pemetaan Variant'!$AQ$5:$AQ$32),"n/a")</f>
        <v>30000</v>
      </c>
      <c r="CT9" s="10">
        <f>IFERROR(IF(ISNUMBER(CS9),(CS9-AVERAGEIF('Pemetaan Variant'!$A$5:$A$32,$B9,'Pemetaan Variant'!$J$5:$J$32))/AVERAGEIF('Pemetaan Variant'!$A$5:$A$32,$B9,'Pemetaan Variant'!$J$5:$J$32)*100,"n/a"),"n/a")</f>
        <v>-0.33222591362126247</v>
      </c>
      <c r="CU9" s="10">
        <f t="shared" si="31"/>
        <v>-1.5917201921936113E-2</v>
      </c>
      <c r="CV9" s="18">
        <f>IFERROR(AVERAGEIF('Pemetaan Variant'!$A$5:$A$32,$B9,'Pemetaan Variant'!$AR$5:$AR$32),"n/a")</f>
        <v>30400</v>
      </c>
      <c r="CW9" s="10">
        <f>IFERROR(IF(ISNUMBER(CV9),(CV9-AVERAGEIF('Pemetaan Variant'!$A$5:$A$32,$B9,'Pemetaan Variant'!$J$5:$J$32))/AVERAGEIF('Pemetaan Variant'!$A$5:$A$32,$B9,'Pemetaan Variant'!$J$5:$J$32)*100,"n/a"),"n/a")</f>
        <v>0.99667774086378735</v>
      </c>
      <c r="CX9" s="10">
        <f t="shared" si="32"/>
        <v>4.7751605765808336E-2</v>
      </c>
      <c r="CY9" s="18">
        <f>IFERROR(AVERAGEIF('Pemetaan Variant'!$A$5:$A$32,$B9,'Pemetaan Variant'!$AS$5:$AS$32),"n/a")</f>
        <v>33200</v>
      </c>
      <c r="CZ9" s="10">
        <f>IFERROR(IF(ISNUMBER(CY9),(CY9-AVERAGEIF('Pemetaan Variant'!$A$5:$A$32,$B9,'Pemetaan Variant'!$J$5:$J$32))/AVERAGEIF('Pemetaan Variant'!$A$5:$A$32,$B9,'Pemetaan Variant'!$J$5:$J$32)*100,"n/a"),"n/a")</f>
        <v>10.299003322259136</v>
      </c>
      <c r="DA9" s="10">
        <f t="shared" si="33"/>
        <v>0.49343325958001943</v>
      </c>
      <c r="DB9" s="18">
        <f>IFERROR(AVERAGEIF('Pemetaan Variant'!$A$5:$A$32,$B9,'Pemetaan Variant'!$AT$5:$AT$32),"n/a")</f>
        <v>34000</v>
      </c>
      <c r="DC9" s="10">
        <f>IFERROR(IF(ISNUMBER(DB9),(DB9-AVERAGEIF('Pemetaan Variant'!$A$5:$A$32,$B9,'Pemetaan Variant'!$K$5:$K$32))/AVERAGEIF('Pemetaan Variant'!$A$5:$A$32,$B9,'Pemetaan Variant'!$K$5:$K$32)*100,"n/a"),"n/a")</f>
        <v>10.45197740112995</v>
      </c>
      <c r="DD9" s="10">
        <f t="shared" si="34"/>
        <v>0.50076236667966834</v>
      </c>
      <c r="DE9" s="18">
        <f>IFERROR(AVERAGEIF('Pemetaan Variant'!$A$5:$A$32,$B9,'Pemetaan Variant'!$AU$5:$AU$32),"n/a")</f>
        <v>34000</v>
      </c>
      <c r="DF9" s="10">
        <f>IFERROR(IF(ISNUMBER(DE9),(DE9-AVERAGEIF('Pemetaan Variant'!$A$5:$A$32,$B9,'Pemetaan Variant'!$K$5:$K$32))/AVERAGEIF('Pemetaan Variant'!$A$5:$A$32,$B9,'Pemetaan Variant'!$K$5:$K$32)*100,"n/a"),"n/a")</f>
        <v>10.45197740112995</v>
      </c>
      <c r="DG9" s="10">
        <f t="shared" si="35"/>
        <v>0.50076236667966834</v>
      </c>
      <c r="DH9" s="18">
        <f>IFERROR(AVERAGEIF('Pemetaan Variant'!$A$5:$A$32,$B9,'Pemetaan Variant'!$AV$5:$AV$32),"n/a")</f>
        <v>35500</v>
      </c>
      <c r="DI9" s="10">
        <f>IFERROR(IF(ISNUMBER(DH9),(DH9-AVERAGEIF('Pemetaan Variant'!$A$5:$A$32,$B9,'Pemetaan Variant'!$K$5:$K$32))/AVERAGEIF('Pemetaan Variant'!$A$5:$A$32,$B9,'Pemetaan Variant'!$K$5:$K$32)*100,"n/a"),"n/a")</f>
        <v>15.324858757062154</v>
      </c>
      <c r="DJ9" s="10">
        <f t="shared" si="36"/>
        <v>0.73422590249654063</v>
      </c>
      <c r="DK9" s="18">
        <f>IFERROR(AVERAGEIF('Pemetaan Variant'!$A$5:$A$32,$B9,'Pemetaan Variant'!$AW$5:$AW$32),"n/a")</f>
        <v>36000</v>
      </c>
      <c r="DL9" s="10">
        <f>IFERROR(IF(ISNUMBER(DK9),(DK9-AVERAGEIF('Pemetaan Variant'!$A$5:$A$32,$B9,'Pemetaan Variant'!$K$5:$K$32))/AVERAGEIF('Pemetaan Variant'!$A$5:$A$32,$B9,'Pemetaan Variant'!$K$5:$K$32)*100,"n/a"),"n/a")</f>
        <v>16.949152542372889</v>
      </c>
      <c r="DM9" s="10">
        <f t="shared" si="37"/>
        <v>0.81204708110216473</v>
      </c>
      <c r="DN9" s="19">
        <f>IFERROR(AVERAGEIF('Pemetaan Variant'!$A$5:$A$32,$B9,'Pemetaan Variant'!$AZ$5:$AZ$32),"n/a")</f>
        <v>36000</v>
      </c>
      <c r="DO9" s="14">
        <f>IFERROR(IF(ISNUMBER(DN9),(DN9-AVERAGEIF('Pemetaan Variant'!$A$5:$A$32,$B9,'Pemetaan Variant'!$AY$5:$AY$32))/AVERAGEIF('Pemetaan Variant'!$A$5:$A$32,$B9,'Pemetaan Variant'!$AY$5:$AY$32)*100,"n/a"),"n/a")</f>
        <v>3.514376996805102</v>
      </c>
      <c r="DP9" s="14">
        <f t="shared" si="38"/>
        <v>0.16837653534674224</v>
      </c>
      <c r="DQ9" s="19" t="str">
        <f>IFERROR(AVERAGEIF('Pemetaan Variant'!$A$5:$A$32,$B9,'Pemetaan Variant'!$BA$5:$BA$32),"n/a")</f>
        <v>n/a</v>
      </c>
      <c r="DR9" s="14" t="str">
        <f>IFERROR(IF(ISNUMBER(DQ9),(DQ9-AVERAGEIF('Pemetaan Variant'!$A$5:$A$32,$B9,'Pemetaan Variant'!$AY$5:$AY$32))/AVERAGEIF('Pemetaan Variant'!$A$5:$A$32,$B9,'Pemetaan Variant'!$AY$5:$AY$32)*100,"n/a"),"n/a")</f>
        <v>n/a</v>
      </c>
      <c r="DS9" s="14" t="str">
        <f t="shared" si="39"/>
        <v>n/a</v>
      </c>
      <c r="DT9" s="19" t="str">
        <f>IFERROR(AVERAGEIF('Pemetaan Variant'!$A$5:$A$32,$B9,'Pemetaan Variant'!$BB$5:$BB$32),"n/a")</f>
        <v>n/a</v>
      </c>
      <c r="DU9" s="14" t="str">
        <f>IFERROR(IF(ISNUMBER(DT9),(DT9-AVERAGEIF('Pemetaan Variant'!$A$5:$A$32,$B9,'Pemetaan Variant'!$AY$5:$AY$32))/AVERAGEIF('Pemetaan Variant'!$A$5:$A$32,$B9,'Pemetaan Variant'!$AY$5:$AY$32)*100,"n/a"),"n/a")</f>
        <v>n/a</v>
      </c>
      <c r="DV9" s="14" t="str">
        <f t="shared" si="40"/>
        <v>n/a</v>
      </c>
      <c r="DW9" s="19" t="str">
        <f>IFERROR(AVERAGEIF('Pemetaan Variant'!$A$5:$A$32,$B9,'Pemetaan Variant'!$BC$5:$BC$32),"n/a")</f>
        <v>n/a</v>
      </c>
      <c r="DX9" s="14" t="str">
        <f>IFERROR(IF(ISNUMBER(DW9),(DW9-AVERAGEIF('Pemetaan Variant'!$A$5:$A$32,$B9,'Pemetaan Variant'!$AY$5:$AY$32))/AVERAGEIF('Pemetaan Variant'!$A$5:$A$32,$B9,'Pemetaan Variant'!$AY$5:$AY$32)*100,"n/a"),"n/a")</f>
        <v>n/a</v>
      </c>
      <c r="DY9" s="14" t="str">
        <f t="shared" si="41"/>
        <v>n/a</v>
      </c>
      <c r="DZ9" s="19" t="str">
        <f>IFERROR(AVERAGEIF('Pemetaan Variant'!$A$5:$A$32,$B9,'Pemetaan Variant'!$BD$5:$BD$32),"n/a")</f>
        <v>n/a</v>
      </c>
      <c r="EA9" s="14" t="str">
        <f>IFERROR(IF(ISNUMBER(DZ9),(DZ9-AVERAGEIF('Pemetaan Variant'!$A$5:$A$32,$B9,'Pemetaan Variant'!$AY$5:$AY$32))/AVERAGEIF('Pemetaan Variant'!$A$5:$A$32,$B9,'Pemetaan Variant'!$AY$5:$AY$32)*100,"n/a"),"n/a")</f>
        <v>n/a</v>
      </c>
      <c r="EB9" s="14" t="str">
        <f t="shared" si="42"/>
        <v>n/a</v>
      </c>
      <c r="ED9" s="14">
        <f>IFERROR(ABS(F9),0)</f>
        <v>0.10308212245609294</v>
      </c>
      <c r="EE9" s="14">
        <f>IFERROR(ABS(I9),0)</f>
        <v>0.10308212245609294</v>
      </c>
      <c r="EF9" s="14">
        <f>IFERROR(ABS(L9),0)</f>
        <v>0.10308212245609294</v>
      </c>
      <c r="EG9" s="14">
        <f>IFERROR(ABS(O9),0)</f>
        <v>0.10308212245609294</v>
      </c>
      <c r="EH9" s="14">
        <f>IFERROR(ABS(R9),0)</f>
        <v>0.10308212245609294</v>
      </c>
      <c r="EI9" s="14">
        <f>IFERROR(ABS(U9),0)</f>
        <v>0.40539888895023435</v>
      </c>
      <c r="EJ9" s="14">
        <f>IFERROR(ABS(X9),0)</f>
        <v>7.370888890004261E-2</v>
      </c>
      <c r="EK9" s="14">
        <f>IFERROR(ABS(AA9),0)</f>
        <v>1.6584500002509586</v>
      </c>
      <c r="EL9" s="14">
        <f>IFERROR(ABS(AD9),0)</f>
        <v>1.584741111350916</v>
      </c>
      <c r="EM9" s="14">
        <f>IFERROR(ABS(AG9),0)</f>
        <v>0.99995271239168537</v>
      </c>
      <c r="EN9" s="14">
        <f>IFERROR(ABS(AJ9),0)</f>
        <v>1.0938613149467307</v>
      </c>
      <c r="EO9" s="14">
        <f>IFERROR(ABS(AM9),0)</f>
        <v>1.4694957251669114</v>
      </c>
      <c r="EP9" s="14">
        <f>IFERROR(ABS(AP9),0)</f>
        <v>1.4694957251669114</v>
      </c>
      <c r="EQ9" s="14">
        <f>IFERROR(ABS(AS9),0)</f>
        <v>0.84343837479994344</v>
      </c>
      <c r="ER9" s="14">
        <f>IFERROR(ABS(AV9),0)</f>
        <v>0.40708504000350332</v>
      </c>
      <c r="ES9" s="14">
        <f>IFERROR(ABS(AY9),0)</f>
        <v>0.73275307200630602</v>
      </c>
      <c r="ET9" s="14">
        <f>IFERROR(ABS(BB9),0)</f>
        <v>0.65759891077488997</v>
      </c>
      <c r="EU9" s="14">
        <f>IFERROR(ABS(BE9),0)</f>
        <v>0.7077016849291673</v>
      </c>
      <c r="EV9" s="14">
        <f>IFERROR(ABS(BH9),0)</f>
        <v>0.72022737846773666</v>
      </c>
      <c r="EW9" s="14">
        <f>IFERROR(ABS(BK9),0)</f>
        <v>0</v>
      </c>
      <c r="EX9" s="14">
        <f>IFERROR(ABS(BN9),0)</f>
        <v>0.16664618360009664</v>
      </c>
      <c r="EY9" s="14">
        <f>IFERROR(ABS(BQ9),0)</f>
        <v>0.11804104671673486</v>
      </c>
      <c r="EZ9" s="14">
        <f>IFERROR(ABS(BT9),0)</f>
        <v>0.12498463770007195</v>
      </c>
      <c r="FA9" s="14">
        <f>IFERROR(ABS(BW9),0)</f>
        <v>0.12498463770007195</v>
      </c>
      <c r="FB9" s="14">
        <f>IFERROR(ABS(BZ9),0)</f>
        <v>0.17273335444317386</v>
      </c>
      <c r="FC9" s="14">
        <f>IFERROR(ABS(CC9),0)</f>
        <v>0.54365550503693671</v>
      </c>
      <c r="FD9" s="14">
        <f>IFERROR(ABS(CF9),0)</f>
        <v>0.46365268824220351</v>
      </c>
      <c r="FE9" s="14">
        <f>IFERROR(ABS(CI9),0)</f>
        <v>0.42728777151732478</v>
      </c>
      <c r="FF9" s="14">
        <f>IFERROR(ABS(CL9),0)</f>
        <v>0.42728777151732478</v>
      </c>
      <c r="FG9" s="14">
        <f>IFERROR(ABS(CO9),0)</f>
        <v>1.5917201921936113E-2</v>
      </c>
      <c r="FH9" s="14">
        <f>IFERROR(ABS(CR9),0)</f>
        <v>1.5917201921936113E-2</v>
      </c>
      <c r="FI9" s="14">
        <f>IFERROR(ABS(CU9),0)</f>
        <v>1.5917201921936113E-2</v>
      </c>
      <c r="FJ9" s="14">
        <f>IFERROR(ABS(CX9),0)</f>
        <v>4.7751605765808336E-2</v>
      </c>
      <c r="FK9" s="14">
        <f>IFERROR(ABS(DA9),0)</f>
        <v>0.49343325958001943</v>
      </c>
      <c r="FL9" s="14">
        <f>IFERROR(ABS(DD9),0)</f>
        <v>0.50076236667966834</v>
      </c>
      <c r="FM9" s="14">
        <f>IFERROR(ABS(DG9),0)</f>
        <v>0.50076236667966834</v>
      </c>
      <c r="FN9" s="14">
        <f>IFERROR(ABS(DJ9),0)</f>
        <v>0.73422590249654063</v>
      </c>
      <c r="FO9" s="14">
        <f>IFERROR(ABS(DM9),0)</f>
        <v>0.81204708110216473</v>
      </c>
      <c r="FP9" s="14">
        <f>IFERROR(ABS(#REF!),0)</f>
        <v>0</v>
      </c>
      <c r="FQ9" s="14">
        <f t="shared" si="43"/>
        <v>0.16837653534674224</v>
      </c>
      <c r="FR9" s="14">
        <f t="shared" si="44"/>
        <v>0</v>
      </c>
      <c r="FS9" s="14">
        <f t="shared" si="45"/>
        <v>0</v>
      </c>
      <c r="FT9" s="14">
        <f t="shared" si="46"/>
        <v>0</v>
      </c>
      <c r="FU9" s="14">
        <f t="shared" si="47"/>
        <v>0</v>
      </c>
    </row>
    <row r="10" spans="1:177" ht="12.75" customHeight="1" x14ac:dyDescent="0.35">
      <c r="A10" s="8">
        <v>5</v>
      </c>
      <c r="B10" s="9" t="s">
        <v>191</v>
      </c>
      <c r="C10" s="10">
        <f>'P0Q0 Dasar 2022'!F9</f>
        <v>4.5176622985638501E-2</v>
      </c>
      <c r="D10" s="18">
        <f>IFERROR(AVERAGEIF('Pemetaan Variant'!$A$5:$A$32,$B10,'Pemetaan Variant'!$L$5:$L$32),"n/a")</f>
        <v>16233.333333333334</v>
      </c>
      <c r="E10" s="10">
        <f>IFERROR(IF(ISNUMBER(D10),(D10-AVERAGEIF('Pemetaan Variant'!$A$5:$A$32,$B10,'Pemetaan Variant'!$D$5:$D$32))/AVERAGEIF('Pemetaan Variant'!$A$5:$A$32,$B10,'Pemetaan Variant'!$D$5:$D$32)*100,"n/a"),"n/a")</f>
        <v>0</v>
      </c>
      <c r="F10" s="10">
        <f t="shared" si="0"/>
        <v>0</v>
      </c>
      <c r="G10" s="18">
        <f>IFERROR(AVERAGEIF('Pemetaan Variant'!$A$5:$A$32,$B10,'Pemetaan Variant'!$M$5:$M$32),"n/a")</f>
        <v>16233.333333333334</v>
      </c>
      <c r="H10" s="10">
        <f>IFERROR(IF(ISNUMBER(G10),(G10-AVERAGEIF('Pemetaan Variant'!$A$5:$A$32,$B10,'Pemetaan Variant'!$D$5:$D$32))/AVERAGEIF('Pemetaan Variant'!$A$5:$A$32,$B10,'Pemetaan Variant'!$D$5:$D$32)*100,"n/a"),"n/a")</f>
        <v>0</v>
      </c>
      <c r="I10" s="10">
        <f t="shared" si="1"/>
        <v>0</v>
      </c>
      <c r="J10" s="18">
        <f>IFERROR(AVERAGEIF('Pemetaan Variant'!$A$5:$A$32,$B10,'Pemetaan Variant'!$N$5:$N$32),"n/a")</f>
        <v>16233.333333333334</v>
      </c>
      <c r="K10" s="10">
        <f>IFERROR(IF(ISNUMBER(J10),(J10-AVERAGEIF('Pemetaan Variant'!$A$5:$A$32,$B10,'Pemetaan Variant'!$D$5:$D$32))/AVERAGEIF('Pemetaan Variant'!$A$5:$A$32,$B10,'Pemetaan Variant'!$D$5:$D$32)*100,"n/a"),"n/a")</f>
        <v>0</v>
      </c>
      <c r="L10" s="10">
        <f t="shared" si="2"/>
        <v>0</v>
      </c>
      <c r="M10" s="18">
        <f>IFERROR(AVERAGEIF('Pemetaan Variant'!$A$5:$A$32,$B10,'Pemetaan Variant'!$O$5:$O$32),"n/a")</f>
        <v>16233.333333333334</v>
      </c>
      <c r="N10" s="10">
        <f>IFERROR(IF(ISNUMBER(M10),(M10-AVERAGEIF('Pemetaan Variant'!$A$5:$A$32,$B10,'Pemetaan Variant'!$D$5:$D$32))/AVERAGEIF('Pemetaan Variant'!$A$5:$A$32,$B10,'Pemetaan Variant'!$D$5:$D$32)*100,"n/a"),"n/a")</f>
        <v>0</v>
      </c>
      <c r="O10" s="10">
        <f t="shared" si="3"/>
        <v>0</v>
      </c>
      <c r="P10" s="18">
        <f>IFERROR(AVERAGEIF('Pemetaan Variant'!$A$5:$A$32,$B10,'Pemetaan Variant'!$P$5:$P$32),"n/a")</f>
        <v>16233.333333333334</v>
      </c>
      <c r="Q10" s="10">
        <f>IFERROR(IF(ISNUMBER(P10),(P10-AVERAGEIF('Pemetaan Variant'!$A$5:$A$32,$B10,'Pemetaan Variant'!$D$5:$D$32))/AVERAGEIF('Pemetaan Variant'!$A$5:$A$32,$B10,'Pemetaan Variant'!$D$5:$D$32)*100,"n/a"),"n/a")</f>
        <v>0</v>
      </c>
      <c r="R10" s="10">
        <f t="shared" si="4"/>
        <v>0</v>
      </c>
      <c r="S10" s="18">
        <f>IFERROR(AVERAGEIF('Pemetaan Variant'!$A$5:$A$32,$B10,'Pemetaan Variant'!$Q$5:$Q$32),"n/a")</f>
        <v>16533.333333333332</v>
      </c>
      <c r="T10" s="10">
        <f>IFERROR(IF(ISNUMBER(S10),(S10-AVERAGEIF('Pemetaan Variant'!$A$5:$A$32,$B10,'Pemetaan Variant'!$E$5:$E$32))/AVERAGEIF('Pemetaan Variant'!$A$5:$A$32,$B10,'Pemetaan Variant'!$E$5:$E$32)*100,"n/a"),"n/a")</f>
        <v>1.8480492813141574</v>
      </c>
      <c r="U10" s="10">
        <f t="shared" si="5"/>
        <v>8.3488625640809874E-2</v>
      </c>
      <c r="V10" s="18">
        <f>IFERROR(AVERAGEIF('Pemetaan Variant'!$A$5:$A$32,$B10,'Pemetaan Variant'!$R$5:$R$32),"n/a")</f>
        <v>16233.333333333334</v>
      </c>
      <c r="W10" s="10">
        <f>IFERROR(IF(ISNUMBER(V10),(V10-AVERAGEIF('Pemetaan Variant'!$A$5:$A$32,$B10,'Pemetaan Variant'!$E$5:$E$32))/AVERAGEIF('Pemetaan Variant'!$A$5:$A$32,$B10,'Pemetaan Variant'!$E$5:$E$32)*100,"n/a"),"n/a")</f>
        <v>0</v>
      </c>
      <c r="X10" s="10">
        <f t="shared" si="6"/>
        <v>0</v>
      </c>
      <c r="Y10" s="18">
        <f>IFERROR(AVERAGEIF('Pemetaan Variant'!$A$5:$A$32,$B10,'Pemetaan Variant'!$S$5:$S$32),"n/a")</f>
        <v>17233.333333333332</v>
      </c>
      <c r="Z10" s="10">
        <f>IFERROR(IF(ISNUMBER(Y10),(Y10-AVERAGEIF('Pemetaan Variant'!$A$5:$A$32,$B10,'Pemetaan Variant'!$E$5:$E$32))/AVERAGEIF('Pemetaan Variant'!$A$5:$A$32,$B10,'Pemetaan Variant'!$E$5:$E$32)*100,"n/a"),"n/a")</f>
        <v>6.1601642710472166</v>
      </c>
      <c r="AA10" s="10">
        <f t="shared" si="7"/>
        <v>0.27829541880270076</v>
      </c>
      <c r="AB10" s="18">
        <f>IFERROR(AVERAGEIF('Pemetaan Variant'!$A$5:$A$32,$B10,'Pemetaan Variant'!$T$5:$T$32),"n/a")</f>
        <v>17133.333333333332</v>
      </c>
      <c r="AC10" s="10">
        <f>IFERROR(IF(ISNUMBER(AB10),(AB10-AVERAGEIF('Pemetaan Variant'!$A$5:$A$32,$B10,'Pemetaan Variant'!$E$5:$E$32))/AVERAGEIF('Pemetaan Variant'!$A$5:$A$32,$B10,'Pemetaan Variant'!$E$5:$E$32)*100,"n/a"),"n/a")</f>
        <v>5.5441478439424934</v>
      </c>
      <c r="AD10" s="10">
        <f t="shared" si="8"/>
        <v>0.25046587692243061</v>
      </c>
      <c r="AE10" s="18">
        <f>IFERROR(AVERAGEIF('Pemetaan Variant'!$A$5:$A$32,$B10,'Pemetaan Variant'!$U$5:$U$32),"n/a")</f>
        <v>17733.333333333332</v>
      </c>
      <c r="AF10" s="10">
        <f>IFERROR(IF(ISNUMBER(AE10),(AE10-AVERAGEIF('Pemetaan Variant'!$A$5:$A$32,$B10,'Pemetaan Variant'!$F$5:$F$32))/AVERAGEIF('Pemetaan Variant'!$A$5:$A$32,$B10,'Pemetaan Variant'!$F$5:$F$32)*100,"n/a"),"n/a")</f>
        <v>5.9760956175298805</v>
      </c>
      <c r="AG10" s="10">
        <f t="shared" si="9"/>
        <v>0.26997981863927389</v>
      </c>
      <c r="AH10" s="18">
        <f>IFERROR(AVERAGEIF('Pemetaan Variant'!$A$5:$A$32,$B10,'Pemetaan Variant'!$V$5:$V$32),"n/a")</f>
        <v>17766.666666666668</v>
      </c>
      <c r="AI10" s="10">
        <f>IFERROR(IF(ISNUMBER(AH10),(AH10-AVERAGEIF('Pemetaan Variant'!$A$5:$A$32,$B10,'Pemetaan Variant'!$F$5:$F$32))/AVERAGEIF('Pemetaan Variant'!$A$5:$A$32,$B10,'Pemetaan Variant'!$F$5:$F$32)*100,"n/a"),"n/a")</f>
        <v>6.1752988047808914</v>
      </c>
      <c r="AJ10" s="10">
        <f t="shared" si="10"/>
        <v>0.27897914592725037</v>
      </c>
      <c r="AK10" s="18">
        <f>IFERROR(AVERAGEIF('Pemetaan Variant'!$A$5:$A$32,$B10,'Pemetaan Variant'!$W$5:$W$32),"n/a")</f>
        <v>18930</v>
      </c>
      <c r="AL10" s="10">
        <f>IFERROR(IF(ISNUMBER(AK10),(AK10-AVERAGEIF('Pemetaan Variant'!$A$5:$A$32,$B10,'Pemetaan Variant'!$F$5:$F$32))/AVERAGEIF('Pemetaan Variant'!$A$5:$A$32,$B10,'Pemetaan Variant'!$F$5:$F$32)*100,"n/a"),"n/a")</f>
        <v>13.127490039840644</v>
      </c>
      <c r="AM10" s="10">
        <f t="shared" si="11"/>
        <v>0.59305566827760536</v>
      </c>
      <c r="AN10" s="18">
        <f>IFERROR(AVERAGEIF('Pemetaan Variant'!$A$5:$A$32,$B10,'Pemetaan Variant'!$X$5:$X$32),"n/a")</f>
        <v>19016.666666666668</v>
      </c>
      <c r="AO10" s="10">
        <f>IFERROR(IF(ISNUMBER(AN10),(AN10-AVERAGEIF('Pemetaan Variant'!$A$5:$A$32,$B10,'Pemetaan Variant'!$F$5:$F$32))/AVERAGEIF('Pemetaan Variant'!$A$5:$A$32,$B10,'Pemetaan Variant'!$F$5:$F$32)*100,"n/a"),"n/a")</f>
        <v>13.645418326693243</v>
      </c>
      <c r="AP10" s="10">
        <f t="shared" si="12"/>
        <v>0.61645391922634274</v>
      </c>
      <c r="AQ10" s="18">
        <f>IFERROR(AVERAGEIF('Pemetaan Variant'!$A$5:$A$32,$B10,'Pemetaan Variant'!$Y$5:$Y$32),"n/a")</f>
        <v>19016.666666666668</v>
      </c>
      <c r="AR10" s="10">
        <f>IFERROR(IF(ISNUMBER(AQ10),(AQ10-AVERAGEIF('Pemetaan Variant'!$A$5:$A$32,$B10,'Pemetaan Variant'!$F$5:$F$32))/AVERAGEIF('Pemetaan Variant'!$A$5:$A$32,$B10,'Pemetaan Variant'!$F$5:$F$32)*100,"n/a"),"n/a")</f>
        <v>13.645418326693243</v>
      </c>
      <c r="AS10" s="10">
        <f t="shared" si="13"/>
        <v>0.61645391922634274</v>
      </c>
      <c r="AT10" s="18">
        <f>IFERROR(AVERAGEIF('Pemetaan Variant'!$A$5:$A$32,$B10,'Pemetaan Variant'!$Z$5:$Z$32),"n/a")</f>
        <v>19016.666666666668</v>
      </c>
      <c r="AU10" s="10">
        <f>IFERROR(IF(ISNUMBER(AT10),(AT10-AVERAGEIF('Pemetaan Variant'!$A$5:$A$32,$B10,'Pemetaan Variant'!$G$5:$G$32))/AVERAGEIF('Pemetaan Variant'!$A$5:$A$32,$B10,'Pemetaan Variant'!$G$5:$G$32)*100,"n/a"),"n/a")</f>
        <v>3.5672143051647454</v>
      </c>
      <c r="AV10" s="10">
        <f t="shared" si="14"/>
        <v>0.16115469577340411</v>
      </c>
      <c r="AW10" s="18">
        <f>IFERROR(AVERAGEIF('Pemetaan Variant'!$A$5:$A$32,$B10,'Pemetaan Variant'!$AA$5:$AA$32),"n/a")</f>
        <v>19016.666666666668</v>
      </c>
      <c r="AX10" s="10">
        <f>IFERROR(IF(ISNUMBER(AW10),(AW10-AVERAGEIF('Pemetaan Variant'!$A$5:$A$32,$B10,'Pemetaan Variant'!$G$5:$G$32))/AVERAGEIF('Pemetaan Variant'!$A$5:$A$32,$B10,'Pemetaan Variant'!$G$5:$G$32)*100,"n/a"),"n/a")</f>
        <v>3.5672143051647454</v>
      </c>
      <c r="AY10" s="10">
        <f t="shared" si="15"/>
        <v>0.16115469577340411</v>
      </c>
      <c r="AZ10" s="18">
        <f>IFERROR(AVERAGEIF('Pemetaan Variant'!$A$5:$A$32,$B10,'Pemetaan Variant'!$AB$5:$AB$32),"n/a")</f>
        <v>19016.666666666668</v>
      </c>
      <c r="BA10" s="10">
        <f>IFERROR(IF(ISNUMBER(AZ10),(AZ10-AVERAGEIF('Pemetaan Variant'!$A$5:$A$32,$B10,'Pemetaan Variant'!$G$5:$G$32))/AVERAGEIF('Pemetaan Variant'!$A$5:$A$32,$B10,'Pemetaan Variant'!$G$5:$G$32)*100,"n/a"),"n/a")</f>
        <v>3.5672143051647454</v>
      </c>
      <c r="BB10" s="10">
        <f t="shared" si="16"/>
        <v>0.16115469577340411</v>
      </c>
      <c r="BC10" s="18">
        <f>IFERROR(AVERAGEIF('Pemetaan Variant'!$A$5:$A$32,$B10,'Pemetaan Variant'!$AC$5:$AC$32),"n/a")</f>
        <v>19016.666666666668</v>
      </c>
      <c r="BD10" s="10">
        <f>IFERROR(IF(ISNUMBER(BC10),(BC10-AVERAGEIF('Pemetaan Variant'!$A$5:$A$32,$B10,'Pemetaan Variant'!$G$5:$G$32))/AVERAGEIF('Pemetaan Variant'!$A$5:$A$32,$B10,'Pemetaan Variant'!$G$5:$G$32)*100,"n/a"),"n/a")</f>
        <v>3.5672143051647454</v>
      </c>
      <c r="BE10" s="10">
        <f t="shared" si="17"/>
        <v>0.16115469577340411</v>
      </c>
      <c r="BF10" s="18">
        <f>IFERROR(AVERAGEIF('Pemetaan Variant'!$A$5:$A$32,$B10,'Pemetaan Variant'!$AD$5:$AD$32),"n/a")</f>
        <v>18979.166666666668</v>
      </c>
      <c r="BG10" s="10">
        <f>IFERROR(IF(ISNUMBER(BF10),(BF10-AVERAGEIF('Pemetaan Variant'!$A$5:$A$32,$B10,'Pemetaan Variant'!$G$5:$G$32))/AVERAGEIF('Pemetaan Variant'!$A$5:$A$32,$B10,'Pemetaan Variant'!$G$5:$G$32)*100,"n/a"),"n/a")</f>
        <v>3.3629844785331757</v>
      </c>
      <c r="BH10" s="10">
        <f t="shared" si="18"/>
        <v>0.15192828189324736</v>
      </c>
      <c r="BI10" s="18" t="str">
        <f>IFERROR(AVERAGEIF('Pemetaan Variant'!$A$5:$A$32,$B10,'Pemetaan Variant'!$AE$5:$AE$32),"n/a")</f>
        <v>n/a</v>
      </c>
      <c r="BJ10" s="10" t="str">
        <f>IFERROR(IF(ISNUMBER(BI10),(BI10-AVERAGEIF('Pemetaan Variant'!$A$5:$A$32,$B10,'Pemetaan Variant'!$H$5:$H$32))/AVERAGEIF('Pemetaan Variant'!$A$5:$A$32,$B10,'Pemetaan Variant'!$H$5:$H$32)*100,"n/a"),"n/a")</f>
        <v>n/a</v>
      </c>
      <c r="BK10" s="10" t="str">
        <f t="shared" si="19"/>
        <v>n/a</v>
      </c>
      <c r="BL10" s="18">
        <f>IFERROR(AVERAGEIF('Pemetaan Variant'!$A$5:$A$32,$B10,'Pemetaan Variant'!$AF$5:$AF$32),"n/a")</f>
        <v>19200</v>
      </c>
      <c r="BM10" s="10">
        <f>IFERROR(IF(ISNUMBER(BL10),(BL10-AVERAGEIF('Pemetaan Variant'!$A$5:$A$32,$B10,'Pemetaan Variant'!$H$5:$H$32))/AVERAGEIF('Pemetaan Variant'!$A$5:$A$32,$B10,'Pemetaan Variant'!$H$5:$H$32)*100,"n/a"),"n/a")</f>
        <v>1.002004008016034</v>
      </c>
      <c r="BN10" s="10">
        <f t="shared" si="20"/>
        <v>4.5267157300239065E-2</v>
      </c>
      <c r="BO10" s="18">
        <f>IFERROR(AVERAGEIF('Pemetaan Variant'!$A$5:$A$32,$B10,'Pemetaan Variant'!$AG$5:$AG$32),"n/a")</f>
        <v>19200</v>
      </c>
      <c r="BP10" s="10">
        <f>IFERROR(IF(ISNUMBER(BO10),(BO10-AVERAGEIF('Pemetaan Variant'!$A$5:$A$32,$B10,'Pemetaan Variant'!$H$5:$H$32))/AVERAGEIF('Pemetaan Variant'!$A$5:$A$32,$B10,'Pemetaan Variant'!$H$5:$H$32)*100,"n/a"),"n/a")</f>
        <v>1.002004008016034</v>
      </c>
      <c r="BQ10" s="10">
        <f t="shared" si="21"/>
        <v>4.5267157300239065E-2</v>
      </c>
      <c r="BR10" s="18">
        <f>IFERROR(AVERAGEIF('Pemetaan Variant'!$A$5:$A$32,$B10,'Pemetaan Variant'!$AH$5:$AH$32),"n/a")</f>
        <v>18983.333333333332</v>
      </c>
      <c r="BS10" s="10">
        <f>IFERROR(IF(ISNUMBER(BR10),(BR10-AVERAGEIF('Pemetaan Variant'!$A$5:$A$32,$B10,'Pemetaan Variant'!$H$5:$H$32))/AVERAGEIF('Pemetaan Variant'!$A$5:$A$32,$B10,'Pemetaan Variant'!$H$5:$H$32)*100,"n/a"),"n/a")</f>
        <v>-0.13777555110220896</v>
      </c>
      <c r="BT10" s="10">
        <f t="shared" si="22"/>
        <v>-6.2242341287830653E-3</v>
      </c>
      <c r="BU10" s="18">
        <f>IFERROR(AVERAGEIF('Pemetaan Variant'!$A$5:$A$32,$B10,'Pemetaan Variant'!$AI$5:$AI$32),"n/a")</f>
        <v>18983.333333333332</v>
      </c>
      <c r="BV10" s="10">
        <f>IFERROR(IF(ISNUMBER(BU10),(BU10-AVERAGEIF('Pemetaan Variant'!$A$5:$A$32,$B10,'Pemetaan Variant'!$H$5:$H$32))/AVERAGEIF('Pemetaan Variant'!$A$5:$A$32,$B10,'Pemetaan Variant'!$H$5:$H$32)*100,"n/a"),"n/a")</f>
        <v>-0.13777555110220896</v>
      </c>
      <c r="BW10" s="10">
        <f t="shared" si="23"/>
        <v>-6.2242341287830653E-3</v>
      </c>
      <c r="BX10" s="18">
        <f>IFERROR(AVERAGEIF('Pemetaan Variant'!$A$5:$A$32,$B10,'Pemetaan Variant'!$AJ$5:$AJ$32),"n/a")</f>
        <v>18983.333333333332</v>
      </c>
      <c r="BY10" s="10">
        <f>IFERROR(IF(ISNUMBER(BX10),(BX10-AVERAGEIF('Pemetaan Variant'!$A$5:$A$32,$B10,'Pemetaan Variant'!$I$5:$I$32))/AVERAGEIF('Pemetaan Variant'!$A$5:$A$32,$B10,'Pemetaan Variant'!$I$5:$I$32)*100,"n/a"),"n/a")</f>
        <v>-0.56743780008731082</v>
      </c>
      <c r="BZ10" s="10">
        <f t="shared" si="24"/>
        <v>-2.563492356234455E-2</v>
      </c>
      <c r="CA10" s="18">
        <f>IFERROR(AVERAGEIF('Pemetaan Variant'!$A$5:$A$32,$B10,'Pemetaan Variant'!$AK$5:$AK$32),"n/a")</f>
        <v>18983.333333333332</v>
      </c>
      <c r="CB10" s="10">
        <f>IFERROR(IF(ISNUMBER(CA10),(CA10-AVERAGEIF('Pemetaan Variant'!$A$5:$A$32,$B10,'Pemetaan Variant'!$I$5:$I$32))/AVERAGEIF('Pemetaan Variant'!$A$5:$A$32,$B10,'Pemetaan Variant'!$I$5:$I$32)*100,"n/a"),"n/a")</f>
        <v>-0.56743780008731082</v>
      </c>
      <c r="CC10" s="10">
        <f t="shared" si="25"/>
        <v>-2.563492356234455E-2</v>
      </c>
      <c r="CD10" s="18">
        <f>IFERROR(AVERAGEIF('Pemetaan Variant'!$A$5:$A$32,$B10,'Pemetaan Variant'!$AL$5:$AL$32),"n/a")</f>
        <v>18983.333333333332</v>
      </c>
      <c r="CE10" s="10">
        <f>IFERROR(IF(ISNUMBER(CD10),(CD10-AVERAGEIF('Pemetaan Variant'!$A$5:$A$32,$B10,'Pemetaan Variant'!$I$5:$I$32))/AVERAGEIF('Pemetaan Variant'!$A$5:$A$32,$B10,'Pemetaan Variant'!$I$5:$I$32)*100,"n/a"),"n/a")</f>
        <v>-0.56743780008731082</v>
      </c>
      <c r="CF10" s="10">
        <f t="shared" si="26"/>
        <v>-2.563492356234455E-2</v>
      </c>
      <c r="CG10" s="18">
        <f>IFERROR(AVERAGEIF('Pemetaan Variant'!$A$5:$A$32,$B10,'Pemetaan Variant'!$AM$5:$AM$32),"n/a")</f>
        <v>18983.333333333332</v>
      </c>
      <c r="CH10" s="10">
        <f>IFERROR(IF(ISNUMBER(CG10),(CG10-AVERAGEIF('Pemetaan Variant'!$A$5:$A$32,$B10,'Pemetaan Variant'!$I$5:$I$32))/AVERAGEIF('Pemetaan Variant'!$A$5:$A$32,$B10,'Pemetaan Variant'!$I$5:$I$32)*100,"n/a"),"n/a")</f>
        <v>-0.56743780008731082</v>
      </c>
      <c r="CI10" s="10">
        <f t="shared" si="27"/>
        <v>-2.563492356234455E-2</v>
      </c>
      <c r="CJ10" s="18">
        <f>IFERROR(AVERAGEIF('Pemetaan Variant'!$A$5:$A$32,$B10,'Pemetaan Variant'!$AN$5:$AN$32),"n/a")</f>
        <v>18983.333333333332</v>
      </c>
      <c r="CK10" s="10">
        <f>IFERROR(IF(ISNUMBER(CJ10),(CJ10-AVERAGEIF('Pemetaan Variant'!$A$5:$A$32,$B10,'Pemetaan Variant'!$I$5:$I$32))/AVERAGEIF('Pemetaan Variant'!$A$5:$A$32,$B10,'Pemetaan Variant'!$I$5:$I$32)*100,"n/a"),"n/a")</f>
        <v>-0.56743780008731082</v>
      </c>
      <c r="CL10" s="10">
        <f t="shared" si="28"/>
        <v>-2.563492356234455E-2</v>
      </c>
      <c r="CM10" s="18">
        <f>IFERROR(AVERAGEIF('Pemetaan Variant'!$A$5:$A$32,$B10,'Pemetaan Variant'!$AO$5:$AO$32),"n/a")</f>
        <v>18983.333333333332</v>
      </c>
      <c r="CN10" s="10">
        <f>IFERROR(IF(ISNUMBER(CM10),(CM10-AVERAGEIF('Pemetaan Variant'!$A$5:$A$32,$B10,'Pemetaan Variant'!$J$5:$J$32))/AVERAGEIF('Pemetaan Variant'!$A$5:$A$32,$B10,'Pemetaan Variant'!$J$5:$J$32)*100,"n/a"),"n/a")</f>
        <v>0</v>
      </c>
      <c r="CO10" s="10">
        <f t="shared" si="29"/>
        <v>0</v>
      </c>
      <c r="CP10" s="18">
        <f>IFERROR(AVERAGEIF('Pemetaan Variant'!$A$5:$A$32,$B10,'Pemetaan Variant'!$AP$5:$AP$32),"n/a")</f>
        <v>18983.333333333332</v>
      </c>
      <c r="CQ10" s="10">
        <f>IFERROR(IF(ISNUMBER(CP10),(CP10-AVERAGEIF('Pemetaan Variant'!$A$5:$A$32,$B10,'Pemetaan Variant'!$J$5:$J$32))/AVERAGEIF('Pemetaan Variant'!$A$5:$A$32,$B10,'Pemetaan Variant'!$J$5:$J$32)*100,"n/a"),"n/a")</f>
        <v>0</v>
      </c>
      <c r="CR10" s="10">
        <f t="shared" si="30"/>
        <v>0</v>
      </c>
      <c r="CS10" s="18">
        <f>IFERROR(AVERAGEIF('Pemetaan Variant'!$A$5:$A$32,$B10,'Pemetaan Variant'!$AQ$5:$AQ$32),"n/a")</f>
        <v>18983.333333333332</v>
      </c>
      <c r="CT10" s="10">
        <f>IFERROR(IF(ISNUMBER(CS10),(CS10-AVERAGEIF('Pemetaan Variant'!$A$5:$A$32,$B10,'Pemetaan Variant'!$J$5:$J$32))/AVERAGEIF('Pemetaan Variant'!$A$5:$A$32,$B10,'Pemetaan Variant'!$J$5:$J$32)*100,"n/a"),"n/a")</f>
        <v>0</v>
      </c>
      <c r="CU10" s="10">
        <f t="shared" si="31"/>
        <v>0</v>
      </c>
      <c r="CV10" s="18">
        <f>IFERROR(AVERAGEIF('Pemetaan Variant'!$A$5:$A$32,$B10,'Pemetaan Variant'!$AR$5:$AR$32),"n/a")</f>
        <v>18983.333333333332</v>
      </c>
      <c r="CW10" s="10">
        <f>IFERROR(IF(ISNUMBER(CV10),(CV10-AVERAGEIF('Pemetaan Variant'!$A$5:$A$32,$B10,'Pemetaan Variant'!$J$5:$J$32))/AVERAGEIF('Pemetaan Variant'!$A$5:$A$32,$B10,'Pemetaan Variant'!$J$5:$J$32)*100,"n/a"),"n/a")</f>
        <v>0</v>
      </c>
      <c r="CX10" s="10">
        <f t="shared" si="32"/>
        <v>0</v>
      </c>
      <c r="CY10" s="18">
        <f>IFERROR(AVERAGEIF('Pemetaan Variant'!$A$5:$A$32,$B10,'Pemetaan Variant'!$AS$5:$AS$32),"n/a")</f>
        <v>18983.333333333332</v>
      </c>
      <c r="CZ10" s="10">
        <f>IFERROR(IF(ISNUMBER(CY10),(CY10-AVERAGEIF('Pemetaan Variant'!$A$5:$A$32,$B10,'Pemetaan Variant'!$J$5:$J$32))/AVERAGEIF('Pemetaan Variant'!$A$5:$A$32,$B10,'Pemetaan Variant'!$J$5:$J$32)*100,"n/a"),"n/a")</f>
        <v>0</v>
      </c>
      <c r="DA10" s="10">
        <f t="shared" si="33"/>
        <v>0</v>
      </c>
      <c r="DB10" s="18">
        <f>IFERROR(AVERAGEIF('Pemetaan Variant'!$A$5:$A$32,$B10,'Pemetaan Variant'!$AT$5:$AT$32),"n/a")</f>
        <v>18983.333333333332</v>
      </c>
      <c r="DC10" s="10">
        <f>IFERROR(IF(ISNUMBER(DB10),(DB10-AVERAGEIF('Pemetaan Variant'!$A$5:$A$32,$B10,'Pemetaan Variant'!$K$5:$K$32))/AVERAGEIF('Pemetaan Variant'!$A$5:$A$32,$B10,'Pemetaan Variant'!$K$5:$K$32)*100,"n/a"),"n/a")</f>
        <v>0</v>
      </c>
      <c r="DD10" s="10">
        <f t="shared" si="34"/>
        <v>0</v>
      </c>
      <c r="DE10" s="18">
        <f>IFERROR(AVERAGEIF('Pemetaan Variant'!$A$5:$A$32,$B10,'Pemetaan Variant'!$AU$5:$AU$32),"n/a")</f>
        <v>18983.333333333332</v>
      </c>
      <c r="DF10" s="10">
        <f>IFERROR(IF(ISNUMBER(DE10),(DE10-AVERAGEIF('Pemetaan Variant'!$A$5:$A$32,$B10,'Pemetaan Variant'!$K$5:$K$32))/AVERAGEIF('Pemetaan Variant'!$A$5:$A$32,$B10,'Pemetaan Variant'!$K$5:$K$32)*100,"n/a"),"n/a")</f>
        <v>0</v>
      </c>
      <c r="DG10" s="10">
        <f t="shared" si="35"/>
        <v>0</v>
      </c>
      <c r="DH10" s="18">
        <f>IFERROR(AVERAGEIF('Pemetaan Variant'!$A$5:$A$32,$B10,'Pemetaan Variant'!$AV$5:$AV$32),"n/a")</f>
        <v>18983.333333333332</v>
      </c>
      <c r="DI10" s="10">
        <f>IFERROR(IF(ISNUMBER(DH10),(DH10-AVERAGEIF('Pemetaan Variant'!$A$5:$A$32,$B10,'Pemetaan Variant'!$K$5:$K$32))/AVERAGEIF('Pemetaan Variant'!$A$5:$A$32,$B10,'Pemetaan Variant'!$K$5:$K$32)*100,"n/a"),"n/a")</f>
        <v>0</v>
      </c>
      <c r="DJ10" s="10">
        <f t="shared" si="36"/>
        <v>0</v>
      </c>
      <c r="DK10" s="18">
        <f>IFERROR(AVERAGEIF('Pemetaan Variant'!$A$5:$A$32,$B10,'Pemetaan Variant'!$AW$5:$AW$32),"n/a")</f>
        <v>18983.333333333332</v>
      </c>
      <c r="DL10" s="10">
        <f>IFERROR(IF(ISNUMBER(DK10),(DK10-AVERAGEIF('Pemetaan Variant'!$A$5:$A$32,$B10,'Pemetaan Variant'!$K$5:$K$32))/AVERAGEIF('Pemetaan Variant'!$A$5:$A$32,$B10,'Pemetaan Variant'!$K$5:$K$32)*100,"n/a"),"n/a")</f>
        <v>0</v>
      </c>
      <c r="DM10" s="10">
        <f t="shared" si="37"/>
        <v>0</v>
      </c>
      <c r="DN10" s="19">
        <f>IFERROR(AVERAGEIF('Pemetaan Variant'!$A$5:$A$32,$B10,'Pemetaan Variant'!$AZ$5:$AZ$32),"n/a")</f>
        <v>18983.333333333332</v>
      </c>
      <c r="DO10" s="14">
        <f>IFERROR(IF(ISNUMBER(DN10),(DN10-AVERAGEIF('Pemetaan Variant'!$A$5:$A$32,$B10,'Pemetaan Variant'!$AY$5:$AY$32))/AVERAGEIF('Pemetaan Variant'!$A$5:$A$32,$B10,'Pemetaan Variant'!$AY$5:$AY$32)*100,"n/a"),"n/a")</f>
        <v>0</v>
      </c>
      <c r="DP10" s="14">
        <f t="shared" si="38"/>
        <v>0</v>
      </c>
      <c r="DQ10" s="19" t="str">
        <f>IFERROR(AVERAGEIF('Pemetaan Variant'!$A$5:$A$32,$B10,'Pemetaan Variant'!$BA$5:$BA$32),"n/a")</f>
        <v>n/a</v>
      </c>
      <c r="DR10" s="14" t="str">
        <f>IFERROR(IF(ISNUMBER(DQ10),(DQ10-AVERAGEIF('Pemetaan Variant'!$A$5:$A$32,$B10,'Pemetaan Variant'!$AY$5:$AY$32))/AVERAGEIF('Pemetaan Variant'!$A$5:$A$32,$B10,'Pemetaan Variant'!$AY$5:$AY$32)*100,"n/a"),"n/a")</f>
        <v>n/a</v>
      </c>
      <c r="DS10" s="14" t="str">
        <f t="shared" si="39"/>
        <v>n/a</v>
      </c>
      <c r="DT10" s="19" t="str">
        <f>IFERROR(AVERAGEIF('Pemetaan Variant'!$A$5:$A$32,$B10,'Pemetaan Variant'!$BB$5:$BB$32),"n/a")</f>
        <v>n/a</v>
      </c>
      <c r="DU10" s="14" t="str">
        <f>IFERROR(IF(ISNUMBER(DT10),(DT10-AVERAGEIF('Pemetaan Variant'!$A$5:$A$32,$B10,'Pemetaan Variant'!$AY$5:$AY$32))/AVERAGEIF('Pemetaan Variant'!$A$5:$A$32,$B10,'Pemetaan Variant'!$AY$5:$AY$32)*100,"n/a"),"n/a")</f>
        <v>n/a</v>
      </c>
      <c r="DV10" s="14" t="str">
        <f t="shared" si="40"/>
        <v>n/a</v>
      </c>
      <c r="DW10" s="19" t="str">
        <f>IFERROR(AVERAGEIF('Pemetaan Variant'!$A$5:$A$32,$B10,'Pemetaan Variant'!$BC$5:$BC$32),"n/a")</f>
        <v>n/a</v>
      </c>
      <c r="DX10" s="14" t="str">
        <f>IFERROR(IF(ISNUMBER(DW10),(DW10-AVERAGEIF('Pemetaan Variant'!$A$5:$A$32,$B10,'Pemetaan Variant'!$AY$5:$AY$32))/AVERAGEIF('Pemetaan Variant'!$A$5:$A$32,$B10,'Pemetaan Variant'!$AY$5:$AY$32)*100,"n/a"),"n/a")</f>
        <v>n/a</v>
      </c>
      <c r="DY10" s="14" t="str">
        <f t="shared" si="41"/>
        <v>n/a</v>
      </c>
      <c r="DZ10" s="19" t="str">
        <f>IFERROR(AVERAGEIF('Pemetaan Variant'!$A$5:$A$32,$B10,'Pemetaan Variant'!$BD$5:$BD$32),"n/a")</f>
        <v>n/a</v>
      </c>
      <c r="EA10" s="14" t="str">
        <f>IFERROR(IF(ISNUMBER(DZ10),(DZ10-AVERAGEIF('Pemetaan Variant'!$A$5:$A$32,$B10,'Pemetaan Variant'!$AY$5:$AY$32))/AVERAGEIF('Pemetaan Variant'!$A$5:$A$32,$B10,'Pemetaan Variant'!$AY$5:$AY$32)*100,"n/a"),"n/a")</f>
        <v>n/a</v>
      </c>
      <c r="EB10" s="14" t="str">
        <f t="shared" si="42"/>
        <v>n/a</v>
      </c>
      <c r="ED10" s="14">
        <f>IFERROR(ABS(F10),0)</f>
        <v>0</v>
      </c>
      <c r="EE10" s="14">
        <f>IFERROR(ABS(I10),0)</f>
        <v>0</v>
      </c>
      <c r="EF10" s="14">
        <f>IFERROR(ABS(L10),0)</f>
        <v>0</v>
      </c>
      <c r="EG10" s="14">
        <f>IFERROR(ABS(O10),0)</f>
        <v>0</v>
      </c>
      <c r="EH10" s="14">
        <f>IFERROR(ABS(R10),0)</f>
        <v>0</v>
      </c>
      <c r="EI10" s="14">
        <f>IFERROR(ABS(U10),0)</f>
        <v>8.3488625640809874E-2</v>
      </c>
      <c r="EJ10" s="14">
        <f>IFERROR(ABS(X10),0)</f>
        <v>0</v>
      </c>
      <c r="EK10" s="14">
        <f>IFERROR(ABS(AA10),0)</f>
        <v>0.27829541880270076</v>
      </c>
      <c r="EL10" s="14">
        <f>IFERROR(ABS(AD10),0)</f>
        <v>0.25046587692243061</v>
      </c>
      <c r="EM10" s="14">
        <f>IFERROR(ABS(AG10),0)</f>
        <v>0.26997981863927389</v>
      </c>
      <c r="EN10" s="14">
        <f>IFERROR(ABS(AJ10),0)</f>
        <v>0.27897914592725037</v>
      </c>
      <c r="EO10" s="14">
        <f>IFERROR(ABS(AM10),0)</f>
        <v>0.59305566827760536</v>
      </c>
      <c r="EP10" s="14">
        <f>IFERROR(ABS(AP10),0)</f>
        <v>0.61645391922634274</v>
      </c>
      <c r="EQ10" s="14">
        <f>IFERROR(ABS(AS10),0)</f>
        <v>0.61645391922634274</v>
      </c>
      <c r="ER10" s="14">
        <f>IFERROR(ABS(AV10),0)</f>
        <v>0.16115469577340411</v>
      </c>
      <c r="ES10" s="14">
        <f>IFERROR(ABS(AY10),0)</f>
        <v>0.16115469577340411</v>
      </c>
      <c r="ET10" s="14">
        <f>IFERROR(ABS(BB10),0)</f>
        <v>0.16115469577340411</v>
      </c>
      <c r="EU10" s="14">
        <f>IFERROR(ABS(BE10),0)</f>
        <v>0.16115469577340411</v>
      </c>
      <c r="EV10" s="14">
        <f>IFERROR(ABS(BH10),0)</f>
        <v>0.15192828189324736</v>
      </c>
      <c r="EW10" s="14">
        <f>IFERROR(ABS(BK10),0)</f>
        <v>0</v>
      </c>
      <c r="EX10" s="14">
        <f>IFERROR(ABS(BN10),0)</f>
        <v>4.5267157300239065E-2</v>
      </c>
      <c r="EY10" s="14">
        <f>IFERROR(ABS(BQ10),0)</f>
        <v>4.5267157300239065E-2</v>
      </c>
      <c r="EZ10" s="14">
        <f>IFERROR(ABS(BT10),0)</f>
        <v>6.2242341287830653E-3</v>
      </c>
      <c r="FA10" s="14">
        <f>IFERROR(ABS(BW10),0)</f>
        <v>6.2242341287830653E-3</v>
      </c>
      <c r="FB10" s="14">
        <f>IFERROR(ABS(BZ10),0)</f>
        <v>2.563492356234455E-2</v>
      </c>
      <c r="FC10" s="14">
        <f>IFERROR(ABS(CC10),0)</f>
        <v>2.563492356234455E-2</v>
      </c>
      <c r="FD10" s="14">
        <f>IFERROR(ABS(CF10),0)</f>
        <v>2.563492356234455E-2</v>
      </c>
      <c r="FE10" s="14">
        <f>IFERROR(ABS(CI10),0)</f>
        <v>2.563492356234455E-2</v>
      </c>
      <c r="FF10" s="14">
        <f>IFERROR(ABS(CL10),0)</f>
        <v>2.563492356234455E-2</v>
      </c>
      <c r="FG10" s="14">
        <f>IFERROR(ABS(CO10),0)</f>
        <v>0</v>
      </c>
      <c r="FH10" s="14">
        <f>IFERROR(ABS(CR10),0)</f>
        <v>0</v>
      </c>
      <c r="FI10" s="14">
        <f>IFERROR(ABS(CU10),0)</f>
        <v>0</v>
      </c>
      <c r="FJ10" s="14">
        <f>IFERROR(ABS(CX10),0)</f>
        <v>0</v>
      </c>
      <c r="FK10" s="14">
        <f>IFERROR(ABS(DA10),0)</f>
        <v>0</v>
      </c>
      <c r="FL10" s="14">
        <f>IFERROR(ABS(DD10),0)</f>
        <v>0</v>
      </c>
      <c r="FM10" s="14">
        <f>IFERROR(ABS(DG10),0)</f>
        <v>0</v>
      </c>
      <c r="FN10" s="14">
        <f>IFERROR(ABS(DJ10),0)</f>
        <v>0</v>
      </c>
      <c r="FO10" s="14">
        <f>IFERROR(ABS(DM10),0)</f>
        <v>0</v>
      </c>
      <c r="FP10" s="14">
        <f>IFERROR(ABS(#REF!),0)</f>
        <v>0</v>
      </c>
      <c r="FQ10" s="14">
        <f t="shared" si="43"/>
        <v>0</v>
      </c>
      <c r="FR10" s="14">
        <f t="shared" si="44"/>
        <v>0</v>
      </c>
      <c r="FS10" s="14">
        <f t="shared" si="45"/>
        <v>0</v>
      </c>
      <c r="FT10" s="14">
        <f t="shared" si="46"/>
        <v>0</v>
      </c>
      <c r="FU10" s="14">
        <f t="shared" si="47"/>
        <v>0</v>
      </c>
    </row>
    <row r="11" spans="1:177" ht="12.75" customHeight="1" x14ac:dyDescent="0.35">
      <c r="A11" s="8">
        <v>6</v>
      </c>
      <c r="B11" s="9" t="s">
        <v>192</v>
      </c>
      <c r="C11" s="10">
        <f>'P0Q0 Dasar 2022'!F10</f>
        <v>3.7010754321023603E-2</v>
      </c>
      <c r="D11" s="18">
        <f>IFERROR(AVERAGEIF('Pemetaan Variant'!$A$5:$A$32,$B11,'Pemetaan Variant'!$L$5:$L$32),"n/a")</f>
        <v>60000</v>
      </c>
      <c r="E11" s="10">
        <f>IFERROR(IF(ISNUMBER(D11),(D11-AVERAGEIF('Pemetaan Variant'!$A$5:$A$32,$B11,'Pemetaan Variant'!$D$5:$D$32))/AVERAGEIF('Pemetaan Variant'!$A$5:$A$32,$B11,'Pemetaan Variant'!$D$5:$D$32)*100,"n/a"),"n/a")</f>
        <v>0</v>
      </c>
      <c r="F11" s="10">
        <f t="shared" si="0"/>
        <v>0</v>
      </c>
      <c r="G11" s="18">
        <f>IFERROR(AVERAGEIF('Pemetaan Variant'!$A$5:$A$32,$B11,'Pemetaan Variant'!$M$5:$M$32),"n/a")</f>
        <v>60000</v>
      </c>
      <c r="H11" s="10">
        <f>IFERROR(IF(ISNUMBER(G11),(G11-AVERAGEIF('Pemetaan Variant'!$A$5:$A$32,$B11,'Pemetaan Variant'!$D$5:$D$32))/AVERAGEIF('Pemetaan Variant'!$A$5:$A$32,$B11,'Pemetaan Variant'!$D$5:$D$32)*100,"n/a"),"n/a")</f>
        <v>0</v>
      </c>
      <c r="I11" s="10">
        <f t="shared" si="1"/>
        <v>0</v>
      </c>
      <c r="J11" s="18">
        <f>IFERROR(AVERAGEIF('Pemetaan Variant'!$A$5:$A$32,$B11,'Pemetaan Variant'!$N$5:$N$32),"n/a")</f>
        <v>60000</v>
      </c>
      <c r="K11" s="10">
        <f>IFERROR(IF(ISNUMBER(J11),(J11-AVERAGEIF('Pemetaan Variant'!$A$5:$A$32,$B11,'Pemetaan Variant'!$D$5:$D$32))/AVERAGEIF('Pemetaan Variant'!$A$5:$A$32,$B11,'Pemetaan Variant'!$D$5:$D$32)*100,"n/a"),"n/a")</f>
        <v>0</v>
      </c>
      <c r="L11" s="10">
        <f t="shared" si="2"/>
        <v>0</v>
      </c>
      <c r="M11" s="18">
        <f>IFERROR(AVERAGEIF('Pemetaan Variant'!$A$5:$A$32,$B11,'Pemetaan Variant'!$O$5:$O$32),"n/a")</f>
        <v>66000</v>
      </c>
      <c r="N11" s="10">
        <f>IFERROR(IF(ISNUMBER(M11),(M11-AVERAGEIF('Pemetaan Variant'!$A$5:$A$32,$B11,'Pemetaan Variant'!$D$5:$D$32))/AVERAGEIF('Pemetaan Variant'!$A$5:$A$32,$B11,'Pemetaan Variant'!$D$5:$D$32)*100,"n/a"),"n/a")</f>
        <v>10</v>
      </c>
      <c r="O11" s="10">
        <f t="shared" si="3"/>
        <v>0.37010754321023603</v>
      </c>
      <c r="P11" s="18">
        <f>IFERROR(AVERAGEIF('Pemetaan Variant'!$A$5:$A$32,$B11,'Pemetaan Variant'!$P$5:$P$32),"n/a")</f>
        <v>70000</v>
      </c>
      <c r="Q11" s="10">
        <f>IFERROR(IF(ISNUMBER(P11),(P11-AVERAGEIF('Pemetaan Variant'!$A$5:$A$32,$B11,'Pemetaan Variant'!$D$5:$D$32))/AVERAGEIF('Pemetaan Variant'!$A$5:$A$32,$B11,'Pemetaan Variant'!$D$5:$D$32)*100,"n/a"),"n/a")</f>
        <v>16.666666666666664</v>
      </c>
      <c r="R11" s="10">
        <f t="shared" si="4"/>
        <v>0.6168459053503933</v>
      </c>
      <c r="S11" s="18">
        <f>IFERROR(AVERAGEIF('Pemetaan Variant'!$A$5:$A$32,$B11,'Pemetaan Variant'!$Q$5:$Q$32),"n/a")</f>
        <v>70000</v>
      </c>
      <c r="T11" s="10">
        <f>IFERROR(IF(ISNUMBER(S11),(S11-AVERAGEIF('Pemetaan Variant'!$A$5:$A$32,$B11,'Pemetaan Variant'!$E$5:$E$32))/AVERAGEIF('Pemetaan Variant'!$A$5:$A$32,$B11,'Pemetaan Variant'!$E$5:$E$32)*100,"n/a"),"n/a")</f>
        <v>9.375</v>
      </c>
      <c r="U11" s="10">
        <f t="shared" si="5"/>
        <v>0.34697582175959629</v>
      </c>
      <c r="V11" s="18">
        <f>IFERROR(AVERAGEIF('Pemetaan Variant'!$A$5:$A$32,$B11,'Pemetaan Variant'!$R$5:$R$32),"n/a")</f>
        <v>70000</v>
      </c>
      <c r="W11" s="10">
        <f>IFERROR(IF(ISNUMBER(V11),(V11-AVERAGEIF('Pemetaan Variant'!$A$5:$A$32,$B11,'Pemetaan Variant'!$E$5:$E$32))/AVERAGEIF('Pemetaan Variant'!$A$5:$A$32,$B11,'Pemetaan Variant'!$E$5:$E$32)*100,"n/a"),"n/a")</f>
        <v>9.375</v>
      </c>
      <c r="X11" s="10">
        <f t="shared" si="6"/>
        <v>0.34697582175959629</v>
      </c>
      <c r="Y11" s="18">
        <f>IFERROR(AVERAGEIF('Pemetaan Variant'!$A$5:$A$32,$B11,'Pemetaan Variant'!$S$5:$S$32),"n/a")</f>
        <v>70000</v>
      </c>
      <c r="Z11" s="10">
        <f>IFERROR(IF(ISNUMBER(Y11),(Y11-AVERAGEIF('Pemetaan Variant'!$A$5:$A$32,$B11,'Pemetaan Variant'!$E$5:$E$32))/AVERAGEIF('Pemetaan Variant'!$A$5:$A$32,$B11,'Pemetaan Variant'!$E$5:$E$32)*100,"n/a"),"n/a")</f>
        <v>9.375</v>
      </c>
      <c r="AA11" s="10">
        <f t="shared" si="7"/>
        <v>0.34697582175959629</v>
      </c>
      <c r="AB11" s="18">
        <f>IFERROR(AVERAGEIF('Pemetaan Variant'!$A$5:$A$32,$B11,'Pemetaan Variant'!$T$5:$T$32),"n/a")</f>
        <v>70000</v>
      </c>
      <c r="AC11" s="10">
        <f>IFERROR(IF(ISNUMBER(AB11),(AB11-AVERAGEIF('Pemetaan Variant'!$A$5:$A$32,$B11,'Pemetaan Variant'!$E$5:$E$32))/AVERAGEIF('Pemetaan Variant'!$A$5:$A$32,$B11,'Pemetaan Variant'!$E$5:$E$32)*100,"n/a"),"n/a")</f>
        <v>9.375</v>
      </c>
      <c r="AD11" s="10">
        <f t="shared" si="8"/>
        <v>0.34697582175959629</v>
      </c>
      <c r="AE11" s="18">
        <f>IFERROR(AVERAGEIF('Pemetaan Variant'!$A$5:$A$32,$B11,'Pemetaan Variant'!$U$5:$U$32),"n/a")</f>
        <v>70000</v>
      </c>
      <c r="AF11" s="10">
        <f>IFERROR(IF(ISNUMBER(AE11),(AE11-AVERAGEIF('Pemetaan Variant'!$A$5:$A$32,$B11,'Pemetaan Variant'!$F$5:$F$32))/AVERAGEIF('Pemetaan Variant'!$A$5:$A$32,$B11,'Pemetaan Variant'!$F$5:$F$32)*100,"n/a"),"n/a")</f>
        <v>0</v>
      </c>
      <c r="AG11" s="10">
        <f t="shared" si="9"/>
        <v>0</v>
      </c>
      <c r="AH11" s="18">
        <f>IFERROR(AVERAGEIF('Pemetaan Variant'!$A$5:$A$32,$B11,'Pemetaan Variant'!$V$5:$V$32),"n/a")</f>
        <v>70000</v>
      </c>
      <c r="AI11" s="10">
        <f>IFERROR(IF(ISNUMBER(AH11),(AH11-AVERAGEIF('Pemetaan Variant'!$A$5:$A$32,$B11,'Pemetaan Variant'!$F$5:$F$32))/AVERAGEIF('Pemetaan Variant'!$A$5:$A$32,$B11,'Pemetaan Variant'!$F$5:$F$32)*100,"n/a"),"n/a")</f>
        <v>0</v>
      </c>
      <c r="AJ11" s="10">
        <f t="shared" si="10"/>
        <v>0</v>
      </c>
      <c r="AK11" s="18">
        <f>IFERROR(AVERAGEIF('Pemetaan Variant'!$A$5:$A$32,$B11,'Pemetaan Variant'!$W$5:$W$32),"n/a")</f>
        <v>70000</v>
      </c>
      <c r="AL11" s="10">
        <f>IFERROR(IF(ISNUMBER(AK11),(AK11-AVERAGEIF('Pemetaan Variant'!$A$5:$A$32,$B11,'Pemetaan Variant'!$F$5:$F$32))/AVERAGEIF('Pemetaan Variant'!$A$5:$A$32,$B11,'Pemetaan Variant'!$F$5:$F$32)*100,"n/a"),"n/a")</f>
        <v>0</v>
      </c>
      <c r="AM11" s="10">
        <f t="shared" si="11"/>
        <v>0</v>
      </c>
      <c r="AN11" s="18">
        <f>IFERROR(AVERAGEIF('Pemetaan Variant'!$A$5:$A$32,$B11,'Pemetaan Variant'!$X$5:$X$32),"n/a")</f>
        <v>70000</v>
      </c>
      <c r="AO11" s="10">
        <f>IFERROR(IF(ISNUMBER(AN11),(AN11-AVERAGEIF('Pemetaan Variant'!$A$5:$A$32,$B11,'Pemetaan Variant'!$F$5:$F$32))/AVERAGEIF('Pemetaan Variant'!$A$5:$A$32,$B11,'Pemetaan Variant'!$F$5:$F$32)*100,"n/a"),"n/a")</f>
        <v>0</v>
      </c>
      <c r="AP11" s="10">
        <f t="shared" si="12"/>
        <v>0</v>
      </c>
      <c r="AQ11" s="18">
        <f>IFERROR(AVERAGEIF('Pemetaan Variant'!$A$5:$A$32,$B11,'Pemetaan Variant'!$Y$5:$Y$32),"n/a")</f>
        <v>70000</v>
      </c>
      <c r="AR11" s="10">
        <f>IFERROR(IF(ISNUMBER(AQ11),(AQ11-AVERAGEIF('Pemetaan Variant'!$A$5:$A$32,$B11,'Pemetaan Variant'!$F$5:$F$32))/AVERAGEIF('Pemetaan Variant'!$A$5:$A$32,$B11,'Pemetaan Variant'!$F$5:$F$32)*100,"n/a"),"n/a")</f>
        <v>0</v>
      </c>
      <c r="AS11" s="10">
        <f t="shared" si="13"/>
        <v>0</v>
      </c>
      <c r="AT11" s="18">
        <f>IFERROR(AVERAGEIF('Pemetaan Variant'!$A$5:$A$32,$B11,'Pemetaan Variant'!$Z$5:$Z$32),"n/a")</f>
        <v>70000</v>
      </c>
      <c r="AU11" s="10">
        <f>IFERROR(IF(ISNUMBER(AT11),(AT11-AVERAGEIF('Pemetaan Variant'!$A$5:$A$32,$B11,'Pemetaan Variant'!$G$5:$G$32))/AVERAGEIF('Pemetaan Variant'!$A$5:$A$32,$B11,'Pemetaan Variant'!$G$5:$G$32)*100,"n/a"),"n/a")</f>
        <v>0</v>
      </c>
      <c r="AV11" s="10">
        <f t="shared" si="14"/>
        <v>0</v>
      </c>
      <c r="AW11" s="18">
        <f>IFERROR(AVERAGEIF('Pemetaan Variant'!$A$5:$A$32,$B11,'Pemetaan Variant'!$AA$5:$AA$32),"n/a")</f>
        <v>70000</v>
      </c>
      <c r="AX11" s="10">
        <f>IFERROR(IF(ISNUMBER(AW11),(AW11-AVERAGEIF('Pemetaan Variant'!$A$5:$A$32,$B11,'Pemetaan Variant'!$G$5:$G$32))/AVERAGEIF('Pemetaan Variant'!$A$5:$A$32,$B11,'Pemetaan Variant'!$G$5:$G$32)*100,"n/a"),"n/a")</f>
        <v>0</v>
      </c>
      <c r="AY11" s="10">
        <f t="shared" si="15"/>
        <v>0</v>
      </c>
      <c r="AZ11" s="18">
        <f>IFERROR(AVERAGEIF('Pemetaan Variant'!$A$5:$A$32,$B11,'Pemetaan Variant'!$AB$5:$AB$32),"n/a")</f>
        <v>70000</v>
      </c>
      <c r="BA11" s="10">
        <f>IFERROR(IF(ISNUMBER(AZ11),(AZ11-AVERAGEIF('Pemetaan Variant'!$A$5:$A$32,$B11,'Pemetaan Variant'!$G$5:$G$32))/AVERAGEIF('Pemetaan Variant'!$A$5:$A$32,$B11,'Pemetaan Variant'!$G$5:$G$32)*100,"n/a"),"n/a")</f>
        <v>0</v>
      </c>
      <c r="BB11" s="10">
        <f t="shared" si="16"/>
        <v>0</v>
      </c>
      <c r="BC11" s="18">
        <f>IFERROR(AVERAGEIF('Pemetaan Variant'!$A$5:$A$32,$B11,'Pemetaan Variant'!$AC$5:$AC$32),"n/a")</f>
        <v>70000</v>
      </c>
      <c r="BD11" s="10">
        <f>IFERROR(IF(ISNUMBER(BC11),(BC11-AVERAGEIF('Pemetaan Variant'!$A$5:$A$32,$B11,'Pemetaan Variant'!$G$5:$G$32))/AVERAGEIF('Pemetaan Variant'!$A$5:$A$32,$B11,'Pemetaan Variant'!$G$5:$G$32)*100,"n/a"),"n/a")</f>
        <v>0</v>
      </c>
      <c r="BE11" s="10">
        <f t="shared" si="17"/>
        <v>0</v>
      </c>
      <c r="BF11" s="18">
        <f>IFERROR(AVERAGEIF('Pemetaan Variant'!$A$5:$A$32,$B11,'Pemetaan Variant'!$AD$5:$AD$32),"n/a")</f>
        <v>70000</v>
      </c>
      <c r="BG11" s="10">
        <f>IFERROR(IF(ISNUMBER(BF11),(BF11-AVERAGEIF('Pemetaan Variant'!$A$5:$A$32,$B11,'Pemetaan Variant'!$G$5:$G$32))/AVERAGEIF('Pemetaan Variant'!$A$5:$A$32,$B11,'Pemetaan Variant'!$G$5:$G$32)*100,"n/a"),"n/a")</f>
        <v>0</v>
      </c>
      <c r="BH11" s="10">
        <f t="shared" si="18"/>
        <v>0</v>
      </c>
      <c r="BI11" s="18" t="str">
        <f>IFERROR(AVERAGEIF('Pemetaan Variant'!$A$5:$A$32,$B11,'Pemetaan Variant'!$AE$5:$AE$32),"n/a")</f>
        <v>n/a</v>
      </c>
      <c r="BJ11" s="10" t="str">
        <f>IFERROR(IF(ISNUMBER(BI11),(BI11-AVERAGEIF('Pemetaan Variant'!$A$5:$A$32,$B11,'Pemetaan Variant'!$H$5:$H$32))/AVERAGEIF('Pemetaan Variant'!$A$5:$A$32,$B11,'Pemetaan Variant'!$H$5:$H$32)*100,"n/a"),"n/a")</f>
        <v>n/a</v>
      </c>
      <c r="BK11" s="10" t="str">
        <f t="shared" si="19"/>
        <v>n/a</v>
      </c>
      <c r="BL11" s="18">
        <f>IFERROR(AVERAGEIF('Pemetaan Variant'!$A$5:$A$32,$B11,'Pemetaan Variant'!$AF$5:$AF$32),"n/a")</f>
        <v>70000</v>
      </c>
      <c r="BM11" s="10">
        <f>IFERROR(IF(ISNUMBER(BL11),(BL11-AVERAGEIF('Pemetaan Variant'!$A$5:$A$32,$B11,'Pemetaan Variant'!$H$5:$H$32))/AVERAGEIF('Pemetaan Variant'!$A$5:$A$32,$B11,'Pemetaan Variant'!$H$5:$H$32)*100,"n/a"),"n/a")</f>
        <v>0</v>
      </c>
      <c r="BN11" s="10">
        <f t="shared" si="20"/>
        <v>0</v>
      </c>
      <c r="BO11" s="18">
        <f>IFERROR(AVERAGEIF('Pemetaan Variant'!$A$5:$A$32,$B11,'Pemetaan Variant'!$AG$5:$AG$32),"n/a")</f>
        <v>70000</v>
      </c>
      <c r="BP11" s="10">
        <f>IFERROR(IF(ISNUMBER(BO11),(BO11-AVERAGEIF('Pemetaan Variant'!$A$5:$A$32,$B11,'Pemetaan Variant'!$H$5:$H$32))/AVERAGEIF('Pemetaan Variant'!$A$5:$A$32,$B11,'Pemetaan Variant'!$H$5:$H$32)*100,"n/a"),"n/a")</f>
        <v>0</v>
      </c>
      <c r="BQ11" s="10">
        <f t="shared" si="21"/>
        <v>0</v>
      </c>
      <c r="BR11" s="18">
        <f>IFERROR(AVERAGEIF('Pemetaan Variant'!$A$5:$A$32,$B11,'Pemetaan Variant'!$AH$5:$AH$32),"n/a")</f>
        <v>70000</v>
      </c>
      <c r="BS11" s="10">
        <f>IFERROR(IF(ISNUMBER(BR11),(BR11-AVERAGEIF('Pemetaan Variant'!$A$5:$A$32,$B11,'Pemetaan Variant'!$H$5:$H$32))/AVERAGEIF('Pemetaan Variant'!$A$5:$A$32,$B11,'Pemetaan Variant'!$H$5:$H$32)*100,"n/a"),"n/a")</f>
        <v>0</v>
      </c>
      <c r="BT11" s="10">
        <f t="shared" si="22"/>
        <v>0</v>
      </c>
      <c r="BU11" s="18">
        <f>IFERROR(AVERAGEIF('Pemetaan Variant'!$A$5:$A$32,$B11,'Pemetaan Variant'!$AI$5:$AI$32),"n/a")</f>
        <v>70000</v>
      </c>
      <c r="BV11" s="10">
        <f>IFERROR(IF(ISNUMBER(BU11),(BU11-AVERAGEIF('Pemetaan Variant'!$A$5:$A$32,$B11,'Pemetaan Variant'!$H$5:$H$32))/AVERAGEIF('Pemetaan Variant'!$A$5:$A$32,$B11,'Pemetaan Variant'!$H$5:$H$32)*100,"n/a"),"n/a")</f>
        <v>0</v>
      </c>
      <c r="BW11" s="10">
        <f t="shared" si="23"/>
        <v>0</v>
      </c>
      <c r="BX11" s="18">
        <f>IFERROR(AVERAGEIF('Pemetaan Variant'!$A$5:$A$32,$B11,'Pemetaan Variant'!$AJ$5:$AJ$32),"n/a")</f>
        <v>70000</v>
      </c>
      <c r="BY11" s="10">
        <f>IFERROR(IF(ISNUMBER(BX11),(BX11-AVERAGEIF('Pemetaan Variant'!$A$5:$A$32,$B11,'Pemetaan Variant'!$I$5:$I$32))/AVERAGEIF('Pemetaan Variant'!$A$5:$A$32,$B11,'Pemetaan Variant'!$I$5:$I$32)*100,"n/a"),"n/a")</f>
        <v>0</v>
      </c>
      <c r="BZ11" s="10">
        <f t="shared" si="24"/>
        <v>0</v>
      </c>
      <c r="CA11" s="18">
        <f>IFERROR(AVERAGEIF('Pemetaan Variant'!$A$5:$A$32,$B11,'Pemetaan Variant'!$AK$5:$AK$32),"n/a")</f>
        <v>70000</v>
      </c>
      <c r="CB11" s="10">
        <f>IFERROR(IF(ISNUMBER(CA11),(CA11-AVERAGEIF('Pemetaan Variant'!$A$5:$A$32,$B11,'Pemetaan Variant'!$I$5:$I$32))/AVERAGEIF('Pemetaan Variant'!$A$5:$A$32,$B11,'Pemetaan Variant'!$I$5:$I$32)*100,"n/a"),"n/a")</f>
        <v>0</v>
      </c>
      <c r="CC11" s="10">
        <f t="shared" si="25"/>
        <v>0</v>
      </c>
      <c r="CD11" s="18">
        <f>IFERROR(AVERAGEIF('Pemetaan Variant'!$A$5:$A$32,$B11,'Pemetaan Variant'!$AL$5:$AL$32),"n/a")</f>
        <v>70000</v>
      </c>
      <c r="CE11" s="10">
        <f>IFERROR(IF(ISNUMBER(CD11),(CD11-AVERAGEIF('Pemetaan Variant'!$A$5:$A$32,$B11,'Pemetaan Variant'!$I$5:$I$32))/AVERAGEIF('Pemetaan Variant'!$A$5:$A$32,$B11,'Pemetaan Variant'!$I$5:$I$32)*100,"n/a"),"n/a")</f>
        <v>0</v>
      </c>
      <c r="CF11" s="10">
        <f t="shared" si="26"/>
        <v>0</v>
      </c>
      <c r="CG11" s="18">
        <f>IFERROR(AVERAGEIF('Pemetaan Variant'!$A$5:$A$32,$B11,'Pemetaan Variant'!$AM$5:$AM$32),"n/a")</f>
        <v>70000</v>
      </c>
      <c r="CH11" s="10">
        <f>IFERROR(IF(ISNUMBER(CG11),(CG11-AVERAGEIF('Pemetaan Variant'!$A$5:$A$32,$B11,'Pemetaan Variant'!$I$5:$I$32))/AVERAGEIF('Pemetaan Variant'!$A$5:$A$32,$B11,'Pemetaan Variant'!$I$5:$I$32)*100,"n/a"),"n/a")</f>
        <v>0</v>
      </c>
      <c r="CI11" s="10">
        <f t="shared" si="27"/>
        <v>0</v>
      </c>
      <c r="CJ11" s="18">
        <f>IFERROR(AVERAGEIF('Pemetaan Variant'!$A$5:$A$32,$B11,'Pemetaan Variant'!$AN$5:$AN$32),"n/a")</f>
        <v>70000</v>
      </c>
      <c r="CK11" s="10">
        <f>IFERROR(IF(ISNUMBER(CJ11),(CJ11-AVERAGEIF('Pemetaan Variant'!$A$5:$A$32,$B11,'Pemetaan Variant'!$I$5:$I$32))/AVERAGEIF('Pemetaan Variant'!$A$5:$A$32,$B11,'Pemetaan Variant'!$I$5:$I$32)*100,"n/a"),"n/a")</f>
        <v>0</v>
      </c>
      <c r="CL11" s="10">
        <f t="shared" si="28"/>
        <v>0</v>
      </c>
      <c r="CM11" s="18">
        <f>IFERROR(AVERAGEIF('Pemetaan Variant'!$A$5:$A$32,$B11,'Pemetaan Variant'!$AO$5:$AO$32),"n/a")</f>
        <v>70000</v>
      </c>
      <c r="CN11" s="10">
        <f>IFERROR(IF(ISNUMBER(CM11),(CM11-AVERAGEIF('Pemetaan Variant'!$A$5:$A$32,$B11,'Pemetaan Variant'!$J$5:$J$32))/AVERAGEIF('Pemetaan Variant'!$A$5:$A$32,$B11,'Pemetaan Variant'!$J$5:$J$32)*100,"n/a"),"n/a")</f>
        <v>0</v>
      </c>
      <c r="CO11" s="10">
        <f t="shared" si="29"/>
        <v>0</v>
      </c>
      <c r="CP11" s="18">
        <f>IFERROR(AVERAGEIF('Pemetaan Variant'!$A$5:$A$32,$B11,'Pemetaan Variant'!$AP$5:$AP$32),"n/a")</f>
        <v>70000</v>
      </c>
      <c r="CQ11" s="10">
        <f>IFERROR(IF(ISNUMBER(CP11),(CP11-AVERAGEIF('Pemetaan Variant'!$A$5:$A$32,$B11,'Pemetaan Variant'!$J$5:$J$32))/AVERAGEIF('Pemetaan Variant'!$A$5:$A$32,$B11,'Pemetaan Variant'!$J$5:$J$32)*100,"n/a"),"n/a")</f>
        <v>0</v>
      </c>
      <c r="CR11" s="10">
        <f t="shared" si="30"/>
        <v>0</v>
      </c>
      <c r="CS11" s="18">
        <f>IFERROR(AVERAGEIF('Pemetaan Variant'!$A$5:$A$32,$B11,'Pemetaan Variant'!$AQ$5:$AQ$32),"n/a")</f>
        <v>70000</v>
      </c>
      <c r="CT11" s="10">
        <f>IFERROR(IF(ISNUMBER(CS11),(CS11-AVERAGEIF('Pemetaan Variant'!$A$5:$A$32,$B11,'Pemetaan Variant'!$J$5:$J$32))/AVERAGEIF('Pemetaan Variant'!$A$5:$A$32,$B11,'Pemetaan Variant'!$J$5:$J$32)*100,"n/a"),"n/a")</f>
        <v>0</v>
      </c>
      <c r="CU11" s="10">
        <f t="shared" si="31"/>
        <v>0</v>
      </c>
      <c r="CV11" s="18">
        <f>IFERROR(AVERAGEIF('Pemetaan Variant'!$A$5:$A$32,$B11,'Pemetaan Variant'!$AR$5:$AR$32),"n/a")</f>
        <v>70000</v>
      </c>
      <c r="CW11" s="10">
        <f>IFERROR(IF(ISNUMBER(CV11),(CV11-AVERAGEIF('Pemetaan Variant'!$A$5:$A$32,$B11,'Pemetaan Variant'!$J$5:$J$32))/AVERAGEIF('Pemetaan Variant'!$A$5:$A$32,$B11,'Pemetaan Variant'!$J$5:$J$32)*100,"n/a"),"n/a")</f>
        <v>0</v>
      </c>
      <c r="CX11" s="10">
        <f t="shared" si="32"/>
        <v>0</v>
      </c>
      <c r="CY11" s="18">
        <f>IFERROR(AVERAGEIF('Pemetaan Variant'!$A$5:$A$32,$B11,'Pemetaan Variant'!$AS$5:$AS$32),"n/a")</f>
        <v>70000</v>
      </c>
      <c r="CZ11" s="10">
        <f>IFERROR(IF(ISNUMBER(CY11),(CY11-AVERAGEIF('Pemetaan Variant'!$A$5:$A$32,$B11,'Pemetaan Variant'!$J$5:$J$32))/AVERAGEIF('Pemetaan Variant'!$A$5:$A$32,$B11,'Pemetaan Variant'!$J$5:$J$32)*100,"n/a"),"n/a")</f>
        <v>0</v>
      </c>
      <c r="DA11" s="10">
        <f t="shared" si="33"/>
        <v>0</v>
      </c>
      <c r="DB11" s="18">
        <f>IFERROR(AVERAGEIF('Pemetaan Variant'!$A$5:$A$32,$B11,'Pemetaan Variant'!$AT$5:$AT$32),"n/a")</f>
        <v>70000</v>
      </c>
      <c r="DC11" s="10">
        <f>IFERROR(IF(ISNUMBER(DB11),(DB11-AVERAGEIF('Pemetaan Variant'!$A$5:$A$32,$B11,'Pemetaan Variant'!$K$5:$K$32))/AVERAGEIF('Pemetaan Variant'!$A$5:$A$32,$B11,'Pemetaan Variant'!$K$5:$K$32)*100,"n/a"),"n/a")</f>
        <v>0</v>
      </c>
      <c r="DD11" s="10">
        <f t="shared" si="34"/>
        <v>0</v>
      </c>
      <c r="DE11" s="18">
        <f>IFERROR(AVERAGEIF('Pemetaan Variant'!$A$5:$A$32,$B11,'Pemetaan Variant'!$AU$5:$AU$32),"n/a")</f>
        <v>70000</v>
      </c>
      <c r="DF11" s="10">
        <f>IFERROR(IF(ISNUMBER(DE11),(DE11-AVERAGEIF('Pemetaan Variant'!$A$5:$A$32,$B11,'Pemetaan Variant'!$K$5:$K$32))/AVERAGEIF('Pemetaan Variant'!$A$5:$A$32,$B11,'Pemetaan Variant'!$K$5:$K$32)*100,"n/a"),"n/a")</f>
        <v>0</v>
      </c>
      <c r="DG11" s="10">
        <f t="shared" si="35"/>
        <v>0</v>
      </c>
      <c r="DH11" s="18">
        <f>IFERROR(AVERAGEIF('Pemetaan Variant'!$A$5:$A$32,$B11,'Pemetaan Variant'!$AV$5:$AV$32),"n/a")</f>
        <v>70000</v>
      </c>
      <c r="DI11" s="10">
        <f>IFERROR(IF(ISNUMBER(DH11),(DH11-AVERAGEIF('Pemetaan Variant'!$A$5:$A$32,$B11,'Pemetaan Variant'!$K$5:$K$32))/AVERAGEIF('Pemetaan Variant'!$A$5:$A$32,$B11,'Pemetaan Variant'!$K$5:$K$32)*100,"n/a"),"n/a")</f>
        <v>0</v>
      </c>
      <c r="DJ11" s="10">
        <f t="shared" si="36"/>
        <v>0</v>
      </c>
      <c r="DK11" s="18">
        <f>IFERROR(AVERAGEIF('Pemetaan Variant'!$A$5:$A$32,$B11,'Pemetaan Variant'!$AW$5:$AW$32),"n/a")</f>
        <v>70000</v>
      </c>
      <c r="DL11" s="10">
        <f>IFERROR(IF(ISNUMBER(DK11),(DK11-AVERAGEIF('Pemetaan Variant'!$A$5:$A$32,$B11,'Pemetaan Variant'!$K$5:$K$32))/AVERAGEIF('Pemetaan Variant'!$A$5:$A$32,$B11,'Pemetaan Variant'!$K$5:$K$32)*100,"n/a"),"n/a")</f>
        <v>0</v>
      </c>
      <c r="DM11" s="10">
        <f t="shared" si="37"/>
        <v>0</v>
      </c>
      <c r="DN11" s="19">
        <f>IFERROR(AVERAGEIF('Pemetaan Variant'!$A$5:$A$32,$B11,'Pemetaan Variant'!$AZ$5:$AZ$32),"n/a")</f>
        <v>70000</v>
      </c>
      <c r="DO11" s="14">
        <f>IFERROR(IF(ISNUMBER(DN11),(DN11-AVERAGEIF('Pemetaan Variant'!$A$5:$A$32,$B11,'Pemetaan Variant'!$AY$5:$AY$32))/AVERAGEIF('Pemetaan Variant'!$A$5:$A$32,$B11,'Pemetaan Variant'!$AY$5:$AY$32)*100,"n/a"),"n/a")</f>
        <v>0</v>
      </c>
      <c r="DP11" s="14">
        <f t="shared" si="38"/>
        <v>0</v>
      </c>
      <c r="DQ11" s="19" t="str">
        <f>IFERROR(AVERAGEIF('Pemetaan Variant'!$A$5:$A$32,$B11,'Pemetaan Variant'!$BA$5:$BA$32),"n/a")</f>
        <v>n/a</v>
      </c>
      <c r="DR11" s="14" t="str">
        <f>IFERROR(IF(ISNUMBER(DQ11),(DQ11-AVERAGEIF('Pemetaan Variant'!$A$5:$A$32,$B11,'Pemetaan Variant'!$AY$5:$AY$32))/AVERAGEIF('Pemetaan Variant'!$A$5:$A$32,$B11,'Pemetaan Variant'!$AY$5:$AY$32)*100,"n/a"),"n/a")</f>
        <v>n/a</v>
      </c>
      <c r="DS11" s="14" t="str">
        <f t="shared" si="39"/>
        <v>n/a</v>
      </c>
      <c r="DT11" s="19" t="str">
        <f>IFERROR(AVERAGEIF('Pemetaan Variant'!$A$5:$A$32,$B11,'Pemetaan Variant'!$BB$5:$BB$32),"n/a")</f>
        <v>n/a</v>
      </c>
      <c r="DU11" s="14" t="str">
        <f>IFERROR(IF(ISNUMBER(DT11),(DT11-AVERAGEIF('Pemetaan Variant'!$A$5:$A$32,$B11,'Pemetaan Variant'!$AY$5:$AY$32))/AVERAGEIF('Pemetaan Variant'!$A$5:$A$32,$B11,'Pemetaan Variant'!$AY$5:$AY$32)*100,"n/a"),"n/a")</f>
        <v>n/a</v>
      </c>
      <c r="DV11" s="14" t="str">
        <f t="shared" si="40"/>
        <v>n/a</v>
      </c>
      <c r="DW11" s="19" t="str">
        <f>IFERROR(AVERAGEIF('Pemetaan Variant'!$A$5:$A$32,$B11,'Pemetaan Variant'!$BC$5:$BC$32),"n/a")</f>
        <v>n/a</v>
      </c>
      <c r="DX11" s="14" t="str">
        <f>IFERROR(IF(ISNUMBER(DW11),(DW11-AVERAGEIF('Pemetaan Variant'!$A$5:$A$32,$B11,'Pemetaan Variant'!$AY$5:$AY$32))/AVERAGEIF('Pemetaan Variant'!$A$5:$A$32,$B11,'Pemetaan Variant'!$AY$5:$AY$32)*100,"n/a"),"n/a")</f>
        <v>n/a</v>
      </c>
      <c r="DY11" s="14" t="str">
        <f t="shared" si="41"/>
        <v>n/a</v>
      </c>
      <c r="DZ11" s="19" t="str">
        <f>IFERROR(AVERAGEIF('Pemetaan Variant'!$A$5:$A$32,$B11,'Pemetaan Variant'!$BD$5:$BD$32),"n/a")</f>
        <v>n/a</v>
      </c>
      <c r="EA11" s="14" t="str">
        <f>IFERROR(IF(ISNUMBER(DZ11),(DZ11-AVERAGEIF('Pemetaan Variant'!$A$5:$A$32,$B11,'Pemetaan Variant'!$AY$5:$AY$32))/AVERAGEIF('Pemetaan Variant'!$A$5:$A$32,$B11,'Pemetaan Variant'!$AY$5:$AY$32)*100,"n/a"),"n/a")</f>
        <v>n/a</v>
      </c>
      <c r="EB11" s="14" t="str">
        <f t="shared" si="42"/>
        <v>n/a</v>
      </c>
      <c r="ED11" s="14">
        <f>IFERROR(ABS(F11),0)</f>
        <v>0</v>
      </c>
      <c r="EE11" s="14">
        <f>IFERROR(ABS(I11),0)</f>
        <v>0</v>
      </c>
      <c r="EF11" s="14">
        <f>IFERROR(ABS(L11),0)</f>
        <v>0</v>
      </c>
      <c r="EG11" s="14">
        <f>IFERROR(ABS(O11),0)</f>
        <v>0.37010754321023603</v>
      </c>
      <c r="EH11" s="14">
        <f>IFERROR(ABS(R11),0)</f>
        <v>0.6168459053503933</v>
      </c>
      <c r="EI11" s="14">
        <f>IFERROR(ABS(U11),0)</f>
        <v>0.34697582175959629</v>
      </c>
      <c r="EJ11" s="14">
        <f>IFERROR(ABS(X11),0)</f>
        <v>0.34697582175959629</v>
      </c>
      <c r="EK11" s="14">
        <f>IFERROR(ABS(AA11),0)</f>
        <v>0.34697582175959629</v>
      </c>
      <c r="EL11" s="14">
        <f>IFERROR(ABS(AD11),0)</f>
        <v>0.34697582175959629</v>
      </c>
      <c r="EM11" s="14">
        <f>IFERROR(ABS(AG11),0)</f>
        <v>0</v>
      </c>
      <c r="EN11" s="14">
        <f>IFERROR(ABS(AJ11),0)</f>
        <v>0</v>
      </c>
      <c r="EO11" s="14">
        <f>IFERROR(ABS(AM11),0)</f>
        <v>0</v>
      </c>
      <c r="EP11" s="14">
        <f>IFERROR(ABS(AP11),0)</f>
        <v>0</v>
      </c>
      <c r="EQ11" s="14">
        <f>IFERROR(ABS(AS11),0)</f>
        <v>0</v>
      </c>
      <c r="ER11" s="14">
        <f>IFERROR(ABS(AV11),0)</f>
        <v>0</v>
      </c>
      <c r="ES11" s="14">
        <f>IFERROR(ABS(AY11),0)</f>
        <v>0</v>
      </c>
      <c r="ET11" s="14">
        <f>IFERROR(ABS(BB11),0)</f>
        <v>0</v>
      </c>
      <c r="EU11" s="14">
        <f>IFERROR(ABS(BE11),0)</f>
        <v>0</v>
      </c>
      <c r="EV11" s="14">
        <f>IFERROR(ABS(BH11),0)</f>
        <v>0</v>
      </c>
      <c r="EW11" s="14">
        <f>IFERROR(ABS(BK11),0)</f>
        <v>0</v>
      </c>
      <c r="EX11" s="14">
        <f>IFERROR(ABS(BN11),0)</f>
        <v>0</v>
      </c>
      <c r="EY11" s="14">
        <f>IFERROR(ABS(BQ11),0)</f>
        <v>0</v>
      </c>
      <c r="EZ11" s="14">
        <f>IFERROR(ABS(BT11),0)</f>
        <v>0</v>
      </c>
      <c r="FA11" s="14">
        <f>IFERROR(ABS(BW11),0)</f>
        <v>0</v>
      </c>
      <c r="FB11" s="14">
        <f>IFERROR(ABS(BZ11),0)</f>
        <v>0</v>
      </c>
      <c r="FC11" s="14">
        <f>IFERROR(ABS(CC11),0)</f>
        <v>0</v>
      </c>
      <c r="FD11" s="14">
        <f>IFERROR(ABS(CF11),0)</f>
        <v>0</v>
      </c>
      <c r="FE11" s="14">
        <f>IFERROR(ABS(CI11),0)</f>
        <v>0</v>
      </c>
      <c r="FF11" s="14">
        <f>IFERROR(ABS(CL11),0)</f>
        <v>0</v>
      </c>
      <c r="FG11" s="14">
        <f>IFERROR(ABS(CO11),0)</f>
        <v>0</v>
      </c>
      <c r="FH11" s="14">
        <f>IFERROR(ABS(CR11),0)</f>
        <v>0</v>
      </c>
      <c r="FI11" s="14">
        <f>IFERROR(ABS(CU11),0)</f>
        <v>0</v>
      </c>
      <c r="FJ11" s="14">
        <f>IFERROR(ABS(CX11),0)</f>
        <v>0</v>
      </c>
      <c r="FK11" s="14">
        <f>IFERROR(ABS(DA11),0)</f>
        <v>0</v>
      </c>
      <c r="FL11" s="14">
        <f>IFERROR(ABS(DD11),0)</f>
        <v>0</v>
      </c>
      <c r="FM11" s="14">
        <f>IFERROR(ABS(DG11),0)</f>
        <v>0</v>
      </c>
      <c r="FN11" s="14">
        <f>IFERROR(ABS(DJ11),0)</f>
        <v>0</v>
      </c>
      <c r="FO11" s="14">
        <f>IFERROR(ABS(DM11),0)</f>
        <v>0</v>
      </c>
      <c r="FP11" s="14">
        <f>IFERROR(ABS(#REF!),0)</f>
        <v>0</v>
      </c>
      <c r="FQ11" s="14">
        <f t="shared" si="43"/>
        <v>0</v>
      </c>
      <c r="FR11" s="14">
        <f t="shared" si="44"/>
        <v>0</v>
      </c>
      <c r="FS11" s="14">
        <f t="shared" si="45"/>
        <v>0</v>
      </c>
      <c r="FT11" s="14">
        <f t="shared" si="46"/>
        <v>0</v>
      </c>
      <c r="FU11" s="14">
        <f t="shared" si="47"/>
        <v>0</v>
      </c>
    </row>
    <row r="12" spans="1:177" ht="12.75" customHeight="1" x14ac:dyDescent="0.35">
      <c r="A12" s="8">
        <v>7</v>
      </c>
      <c r="B12" s="9" t="s">
        <v>193</v>
      </c>
      <c r="C12" s="10">
        <f>'P0Q0 Dasar 2022'!F11</f>
        <v>4.0636572858027402E-2</v>
      </c>
      <c r="D12" s="18">
        <f>IFERROR(AVERAGEIF('Pemetaan Variant'!$A$5:$A$32,$B12,'Pemetaan Variant'!$L$5:$L$32),"n/a")</f>
        <v>11000</v>
      </c>
      <c r="E12" s="10">
        <f>IFERROR(IF(ISNUMBER(D12),(D12-AVERAGEIF('Pemetaan Variant'!$A$5:$A$32,$B12,'Pemetaan Variant'!$D$5:$D$32))/AVERAGEIF('Pemetaan Variant'!$A$5:$A$32,$B12,'Pemetaan Variant'!$D$5:$D$32)*100,"n/a"),"n/a")</f>
        <v>-3.3472803347280395</v>
      </c>
      <c r="F12" s="10">
        <f t="shared" si="0"/>
        <v>-0.13602200119841834</v>
      </c>
      <c r="G12" s="18">
        <f>IFERROR(AVERAGEIF('Pemetaan Variant'!$A$5:$A$32,$B12,'Pemetaan Variant'!$M$5:$M$32),"n/a")</f>
        <v>11000</v>
      </c>
      <c r="H12" s="10">
        <f>IFERROR(IF(ISNUMBER(G12),(G12-AVERAGEIF('Pemetaan Variant'!$A$5:$A$32,$B12,'Pemetaan Variant'!$D$5:$D$32))/AVERAGEIF('Pemetaan Variant'!$A$5:$A$32,$B12,'Pemetaan Variant'!$D$5:$D$32)*100,"n/a"),"n/a")</f>
        <v>-3.3472803347280395</v>
      </c>
      <c r="I12" s="10">
        <f t="shared" si="1"/>
        <v>-0.13602200119841834</v>
      </c>
      <c r="J12" s="18">
        <f>IFERROR(AVERAGEIF('Pemetaan Variant'!$A$5:$A$32,$B12,'Pemetaan Variant'!$N$5:$N$32),"n/a")</f>
        <v>11000</v>
      </c>
      <c r="K12" s="10">
        <f>IFERROR(IF(ISNUMBER(J12),(J12-AVERAGEIF('Pemetaan Variant'!$A$5:$A$32,$B12,'Pemetaan Variant'!$D$5:$D$32))/AVERAGEIF('Pemetaan Variant'!$A$5:$A$32,$B12,'Pemetaan Variant'!$D$5:$D$32)*100,"n/a"),"n/a")</f>
        <v>-3.3472803347280395</v>
      </c>
      <c r="L12" s="10">
        <f t="shared" si="2"/>
        <v>-0.13602200119841834</v>
      </c>
      <c r="M12" s="18">
        <f>IFERROR(AVERAGEIF('Pemetaan Variant'!$A$5:$A$32,$B12,'Pemetaan Variant'!$O$5:$O$32),"n/a")</f>
        <v>11000</v>
      </c>
      <c r="N12" s="10">
        <f>IFERROR(IF(ISNUMBER(M12),(M12-AVERAGEIF('Pemetaan Variant'!$A$5:$A$32,$B12,'Pemetaan Variant'!$D$5:$D$32))/AVERAGEIF('Pemetaan Variant'!$A$5:$A$32,$B12,'Pemetaan Variant'!$D$5:$D$32)*100,"n/a"),"n/a")</f>
        <v>-3.3472803347280395</v>
      </c>
      <c r="O12" s="10">
        <f t="shared" si="3"/>
        <v>-0.13602200119841834</v>
      </c>
      <c r="P12" s="18">
        <f>IFERROR(AVERAGEIF('Pemetaan Variant'!$A$5:$A$32,$B12,'Pemetaan Variant'!$P$5:$P$32),"n/a")</f>
        <v>11000</v>
      </c>
      <c r="Q12" s="10">
        <f>IFERROR(IF(ISNUMBER(P12),(P12-AVERAGEIF('Pemetaan Variant'!$A$5:$A$32,$B12,'Pemetaan Variant'!$D$5:$D$32))/AVERAGEIF('Pemetaan Variant'!$A$5:$A$32,$B12,'Pemetaan Variant'!$D$5:$D$32)*100,"n/a"),"n/a")</f>
        <v>-3.3472803347280395</v>
      </c>
      <c r="R12" s="10">
        <f t="shared" si="4"/>
        <v>-0.13602200119841834</v>
      </c>
      <c r="S12" s="18">
        <f>IFERROR(AVERAGEIF('Pemetaan Variant'!$A$5:$A$32,$B12,'Pemetaan Variant'!$Q$5:$Q$32),"n/a")</f>
        <v>11200</v>
      </c>
      <c r="T12" s="10">
        <f>IFERROR(IF(ISNUMBER(S12),(S12-AVERAGEIF('Pemetaan Variant'!$A$5:$A$32,$B12,'Pemetaan Variant'!$E$5:$E$32))/AVERAGEIF('Pemetaan Variant'!$A$5:$A$32,$B12,'Pemetaan Variant'!$E$5:$E$32)*100,"n/a"),"n/a")</f>
        <v>1.8181818181818181</v>
      </c>
      <c r="U12" s="10">
        <f t="shared" si="5"/>
        <v>7.3884677923686179E-2</v>
      </c>
      <c r="V12" s="18">
        <f>IFERROR(AVERAGEIF('Pemetaan Variant'!$A$5:$A$32,$B12,'Pemetaan Variant'!$R$5:$R$32),"n/a")</f>
        <v>11000</v>
      </c>
      <c r="W12" s="10">
        <f>IFERROR(IF(ISNUMBER(V12),(V12-AVERAGEIF('Pemetaan Variant'!$A$5:$A$32,$B12,'Pemetaan Variant'!$E$5:$E$32))/AVERAGEIF('Pemetaan Variant'!$A$5:$A$32,$B12,'Pemetaan Variant'!$E$5:$E$32)*100,"n/a"),"n/a")</f>
        <v>0</v>
      </c>
      <c r="X12" s="10">
        <f t="shared" si="6"/>
        <v>0</v>
      </c>
      <c r="Y12" s="18">
        <f>IFERROR(AVERAGEIF('Pemetaan Variant'!$A$5:$A$32,$B12,'Pemetaan Variant'!$S$5:$S$32),"n/a")</f>
        <v>11666.666666666666</v>
      </c>
      <c r="Z12" s="10">
        <f>IFERROR(IF(ISNUMBER(Y12),(Y12-AVERAGEIF('Pemetaan Variant'!$A$5:$A$32,$B12,'Pemetaan Variant'!$E$5:$E$32))/AVERAGEIF('Pemetaan Variant'!$A$5:$A$32,$B12,'Pemetaan Variant'!$E$5:$E$32)*100,"n/a"),"n/a")</f>
        <v>6.0606060606060552</v>
      </c>
      <c r="AA12" s="10">
        <f t="shared" si="7"/>
        <v>0.2462822597456204</v>
      </c>
      <c r="AB12" s="18">
        <f>IFERROR(AVERAGEIF('Pemetaan Variant'!$A$5:$A$32,$B12,'Pemetaan Variant'!$T$5:$T$32),"n/a")</f>
        <v>11600</v>
      </c>
      <c r="AC12" s="10">
        <f>IFERROR(IF(ISNUMBER(AB12),(AB12-AVERAGEIF('Pemetaan Variant'!$A$5:$A$32,$B12,'Pemetaan Variant'!$E$5:$E$32))/AVERAGEIF('Pemetaan Variant'!$A$5:$A$32,$B12,'Pemetaan Variant'!$E$5:$E$32)*100,"n/a"),"n/a")</f>
        <v>5.4545454545454541</v>
      </c>
      <c r="AD12" s="10">
        <f t="shared" si="8"/>
        <v>0.22165403377105855</v>
      </c>
      <c r="AE12" s="18">
        <f>IFERROR(AVERAGEIF('Pemetaan Variant'!$A$5:$A$32,$B12,'Pemetaan Variant'!$U$5:$U$32),"n/a")</f>
        <v>12000</v>
      </c>
      <c r="AF12" s="10">
        <f>IFERROR(IF(ISNUMBER(AE12),(AE12-AVERAGEIF('Pemetaan Variant'!$A$5:$A$32,$B12,'Pemetaan Variant'!$F$5:$F$32))/AVERAGEIF('Pemetaan Variant'!$A$5:$A$32,$B12,'Pemetaan Variant'!$F$5:$F$32)*100,"n/a"),"n/a")</f>
        <v>5.8823529411764648</v>
      </c>
      <c r="AG12" s="10">
        <f t="shared" si="9"/>
        <v>0.23903866387074918</v>
      </c>
      <c r="AH12" s="18">
        <f>IFERROR(AVERAGEIF('Pemetaan Variant'!$A$5:$A$32,$B12,'Pemetaan Variant'!$V$5:$V$32),"n/a")</f>
        <v>12000</v>
      </c>
      <c r="AI12" s="10">
        <f>IFERROR(IF(ISNUMBER(AH12),(AH12-AVERAGEIF('Pemetaan Variant'!$A$5:$A$32,$B12,'Pemetaan Variant'!$F$5:$F$32))/AVERAGEIF('Pemetaan Variant'!$A$5:$A$32,$B12,'Pemetaan Variant'!$F$5:$F$32)*100,"n/a"),"n/a")</f>
        <v>5.8823529411764648</v>
      </c>
      <c r="AJ12" s="10">
        <f t="shared" si="10"/>
        <v>0.23903866387074918</v>
      </c>
      <c r="AK12" s="18">
        <f>IFERROR(AVERAGEIF('Pemetaan Variant'!$A$5:$A$32,$B12,'Pemetaan Variant'!$W$5:$W$32),"n/a")</f>
        <v>12000</v>
      </c>
      <c r="AL12" s="10">
        <f>IFERROR(IF(ISNUMBER(AK12),(AK12-AVERAGEIF('Pemetaan Variant'!$A$5:$A$32,$B12,'Pemetaan Variant'!$F$5:$F$32))/AVERAGEIF('Pemetaan Variant'!$A$5:$A$32,$B12,'Pemetaan Variant'!$F$5:$F$32)*100,"n/a"),"n/a")</f>
        <v>5.8823529411764648</v>
      </c>
      <c r="AM12" s="10">
        <f t="shared" si="11"/>
        <v>0.23903866387074918</v>
      </c>
      <c r="AN12" s="18">
        <f>IFERROR(AVERAGEIF('Pemetaan Variant'!$A$5:$A$32,$B12,'Pemetaan Variant'!$X$5:$X$32),"n/a")</f>
        <v>12000</v>
      </c>
      <c r="AO12" s="10">
        <f>IFERROR(IF(ISNUMBER(AN12),(AN12-AVERAGEIF('Pemetaan Variant'!$A$5:$A$32,$B12,'Pemetaan Variant'!$F$5:$F$32))/AVERAGEIF('Pemetaan Variant'!$A$5:$A$32,$B12,'Pemetaan Variant'!$F$5:$F$32)*100,"n/a"),"n/a")</f>
        <v>5.8823529411764648</v>
      </c>
      <c r="AP12" s="10">
        <f t="shared" si="12"/>
        <v>0.23903866387074918</v>
      </c>
      <c r="AQ12" s="18">
        <f>IFERROR(AVERAGEIF('Pemetaan Variant'!$A$5:$A$32,$B12,'Pemetaan Variant'!$Y$5:$Y$32),"n/a")</f>
        <v>12000</v>
      </c>
      <c r="AR12" s="10">
        <f>IFERROR(IF(ISNUMBER(AQ12),(AQ12-AVERAGEIF('Pemetaan Variant'!$A$5:$A$32,$B12,'Pemetaan Variant'!$F$5:$F$32))/AVERAGEIF('Pemetaan Variant'!$A$5:$A$32,$B12,'Pemetaan Variant'!$F$5:$F$32)*100,"n/a"),"n/a")</f>
        <v>5.8823529411764648</v>
      </c>
      <c r="AS12" s="10">
        <f t="shared" si="13"/>
        <v>0.23903866387074918</v>
      </c>
      <c r="AT12" s="18">
        <f>IFERROR(AVERAGEIF('Pemetaan Variant'!$A$5:$A$32,$B12,'Pemetaan Variant'!$Z$5:$Z$32),"n/a")</f>
        <v>12000</v>
      </c>
      <c r="AU12" s="10">
        <f>IFERROR(IF(ISNUMBER(AT12),(AT12-AVERAGEIF('Pemetaan Variant'!$A$5:$A$32,$B12,'Pemetaan Variant'!$G$5:$G$32))/AVERAGEIF('Pemetaan Variant'!$A$5:$A$32,$B12,'Pemetaan Variant'!$G$5:$G$32)*100,"n/a"),"n/a")</f>
        <v>0</v>
      </c>
      <c r="AV12" s="10">
        <f t="shared" si="14"/>
        <v>0</v>
      </c>
      <c r="AW12" s="18">
        <f>IFERROR(AVERAGEIF('Pemetaan Variant'!$A$5:$A$32,$B12,'Pemetaan Variant'!$AA$5:$AA$32),"n/a")</f>
        <v>12000</v>
      </c>
      <c r="AX12" s="10">
        <f>IFERROR(IF(ISNUMBER(AW12),(AW12-AVERAGEIF('Pemetaan Variant'!$A$5:$A$32,$B12,'Pemetaan Variant'!$G$5:$G$32))/AVERAGEIF('Pemetaan Variant'!$A$5:$A$32,$B12,'Pemetaan Variant'!$G$5:$G$32)*100,"n/a"),"n/a")</f>
        <v>0</v>
      </c>
      <c r="AY12" s="10">
        <f t="shared" si="15"/>
        <v>0</v>
      </c>
      <c r="AZ12" s="18">
        <f>IFERROR(AVERAGEIF('Pemetaan Variant'!$A$5:$A$32,$B12,'Pemetaan Variant'!$AB$5:$AB$32),"n/a")</f>
        <v>12000</v>
      </c>
      <c r="BA12" s="10">
        <f>IFERROR(IF(ISNUMBER(AZ12),(AZ12-AVERAGEIF('Pemetaan Variant'!$A$5:$A$32,$B12,'Pemetaan Variant'!$G$5:$G$32))/AVERAGEIF('Pemetaan Variant'!$A$5:$A$32,$B12,'Pemetaan Variant'!$G$5:$G$32)*100,"n/a"),"n/a")</f>
        <v>0</v>
      </c>
      <c r="BB12" s="10">
        <f t="shared" si="16"/>
        <v>0</v>
      </c>
      <c r="BC12" s="18">
        <f>IFERROR(AVERAGEIF('Pemetaan Variant'!$A$5:$A$32,$B12,'Pemetaan Variant'!$AC$5:$AC$32),"n/a")</f>
        <v>12000</v>
      </c>
      <c r="BD12" s="10">
        <f>IFERROR(IF(ISNUMBER(BC12),(BC12-AVERAGEIF('Pemetaan Variant'!$A$5:$A$32,$B12,'Pemetaan Variant'!$G$5:$G$32))/AVERAGEIF('Pemetaan Variant'!$A$5:$A$32,$B12,'Pemetaan Variant'!$G$5:$G$32)*100,"n/a"),"n/a")</f>
        <v>0</v>
      </c>
      <c r="BE12" s="10">
        <f t="shared" si="17"/>
        <v>0</v>
      </c>
      <c r="BF12" s="18">
        <f>IFERROR(AVERAGEIF('Pemetaan Variant'!$A$5:$A$32,$B12,'Pemetaan Variant'!$AD$5:$AD$32),"n/a")</f>
        <v>12000</v>
      </c>
      <c r="BG12" s="10">
        <f>IFERROR(IF(ISNUMBER(BF12),(BF12-AVERAGEIF('Pemetaan Variant'!$A$5:$A$32,$B12,'Pemetaan Variant'!$G$5:$G$32))/AVERAGEIF('Pemetaan Variant'!$A$5:$A$32,$B12,'Pemetaan Variant'!$G$5:$G$32)*100,"n/a"),"n/a")</f>
        <v>0</v>
      </c>
      <c r="BH12" s="10">
        <f t="shared" si="18"/>
        <v>0</v>
      </c>
      <c r="BI12" s="18" t="str">
        <f>IFERROR(AVERAGEIF('Pemetaan Variant'!$A$5:$A$32,$B12,'Pemetaan Variant'!$AE$5:$AE$32),"n/a")</f>
        <v>n/a</v>
      </c>
      <c r="BJ12" s="10" t="str">
        <f>IFERROR(IF(ISNUMBER(BI12),(BI12-AVERAGEIF('Pemetaan Variant'!$A$5:$A$32,$B12,'Pemetaan Variant'!$H$5:$H$32))/AVERAGEIF('Pemetaan Variant'!$A$5:$A$32,$B12,'Pemetaan Variant'!$H$5:$H$32)*100,"n/a"),"n/a")</f>
        <v>n/a</v>
      </c>
      <c r="BK12" s="10" t="str">
        <f t="shared" si="19"/>
        <v>n/a</v>
      </c>
      <c r="BL12" s="18">
        <f>IFERROR(AVERAGEIF('Pemetaan Variant'!$A$5:$A$32,$B12,'Pemetaan Variant'!$AF$5:$AF$32),"n/a")</f>
        <v>12000</v>
      </c>
      <c r="BM12" s="10">
        <f>IFERROR(IF(ISNUMBER(BL12),(BL12-AVERAGEIF('Pemetaan Variant'!$A$5:$A$32,$B12,'Pemetaan Variant'!$H$5:$H$32))/AVERAGEIF('Pemetaan Variant'!$A$5:$A$32,$B12,'Pemetaan Variant'!$H$5:$H$32)*100,"n/a"),"n/a")</f>
        <v>0</v>
      </c>
      <c r="BN12" s="10">
        <f t="shared" si="20"/>
        <v>0</v>
      </c>
      <c r="BO12" s="18">
        <f>IFERROR(AVERAGEIF('Pemetaan Variant'!$A$5:$A$32,$B12,'Pemetaan Variant'!$AG$5:$AG$32),"n/a")</f>
        <v>12000</v>
      </c>
      <c r="BP12" s="10">
        <f>IFERROR(IF(ISNUMBER(BO12),(BO12-AVERAGEIF('Pemetaan Variant'!$A$5:$A$32,$B12,'Pemetaan Variant'!$H$5:$H$32))/AVERAGEIF('Pemetaan Variant'!$A$5:$A$32,$B12,'Pemetaan Variant'!$H$5:$H$32)*100,"n/a"),"n/a")</f>
        <v>0</v>
      </c>
      <c r="BQ12" s="10">
        <f t="shared" si="21"/>
        <v>0</v>
      </c>
      <c r="BR12" s="18">
        <f>IFERROR(AVERAGEIF('Pemetaan Variant'!$A$5:$A$32,$B12,'Pemetaan Variant'!$AH$5:$AH$32),"n/a")</f>
        <v>12000</v>
      </c>
      <c r="BS12" s="10">
        <f>IFERROR(IF(ISNUMBER(BR12),(BR12-AVERAGEIF('Pemetaan Variant'!$A$5:$A$32,$B12,'Pemetaan Variant'!$H$5:$H$32))/AVERAGEIF('Pemetaan Variant'!$A$5:$A$32,$B12,'Pemetaan Variant'!$H$5:$H$32)*100,"n/a"),"n/a")</f>
        <v>0</v>
      </c>
      <c r="BT12" s="10">
        <f t="shared" si="22"/>
        <v>0</v>
      </c>
      <c r="BU12" s="18">
        <f>IFERROR(AVERAGEIF('Pemetaan Variant'!$A$5:$A$32,$B12,'Pemetaan Variant'!$AI$5:$AI$32),"n/a")</f>
        <v>12000</v>
      </c>
      <c r="BV12" s="10">
        <f>IFERROR(IF(ISNUMBER(BU12),(BU12-AVERAGEIF('Pemetaan Variant'!$A$5:$A$32,$B12,'Pemetaan Variant'!$H$5:$H$32))/AVERAGEIF('Pemetaan Variant'!$A$5:$A$32,$B12,'Pemetaan Variant'!$H$5:$H$32)*100,"n/a"),"n/a")</f>
        <v>0</v>
      </c>
      <c r="BW12" s="10">
        <f t="shared" si="23"/>
        <v>0</v>
      </c>
      <c r="BX12" s="18">
        <f>IFERROR(AVERAGEIF('Pemetaan Variant'!$A$5:$A$32,$B12,'Pemetaan Variant'!$AJ$5:$AJ$32),"n/a")</f>
        <v>12000</v>
      </c>
      <c r="BY12" s="10">
        <f>IFERROR(IF(ISNUMBER(BX12),(BX12-AVERAGEIF('Pemetaan Variant'!$A$5:$A$32,$B12,'Pemetaan Variant'!$I$5:$I$32))/AVERAGEIF('Pemetaan Variant'!$A$5:$A$32,$B12,'Pemetaan Variant'!$I$5:$I$32)*100,"n/a"),"n/a")</f>
        <v>0</v>
      </c>
      <c r="BZ12" s="10">
        <f t="shared" si="24"/>
        <v>0</v>
      </c>
      <c r="CA12" s="18">
        <f>IFERROR(AVERAGEIF('Pemetaan Variant'!$A$5:$A$32,$B12,'Pemetaan Variant'!$AK$5:$AK$32),"n/a")</f>
        <v>12000</v>
      </c>
      <c r="CB12" s="10">
        <f>IFERROR(IF(ISNUMBER(CA12),(CA12-AVERAGEIF('Pemetaan Variant'!$A$5:$A$32,$B12,'Pemetaan Variant'!$I$5:$I$32))/AVERAGEIF('Pemetaan Variant'!$A$5:$A$32,$B12,'Pemetaan Variant'!$I$5:$I$32)*100,"n/a"),"n/a")</f>
        <v>0</v>
      </c>
      <c r="CC12" s="10">
        <f t="shared" si="25"/>
        <v>0</v>
      </c>
      <c r="CD12" s="18">
        <f>IFERROR(AVERAGEIF('Pemetaan Variant'!$A$5:$A$32,$B12,'Pemetaan Variant'!$AL$5:$AL$32),"n/a")</f>
        <v>12000</v>
      </c>
      <c r="CE12" s="10">
        <f>IFERROR(IF(ISNUMBER(CD12),(CD12-AVERAGEIF('Pemetaan Variant'!$A$5:$A$32,$B12,'Pemetaan Variant'!$I$5:$I$32))/AVERAGEIF('Pemetaan Variant'!$A$5:$A$32,$B12,'Pemetaan Variant'!$I$5:$I$32)*100,"n/a"),"n/a")</f>
        <v>0</v>
      </c>
      <c r="CF12" s="10">
        <f t="shared" si="26"/>
        <v>0</v>
      </c>
      <c r="CG12" s="18">
        <f>IFERROR(AVERAGEIF('Pemetaan Variant'!$A$5:$A$32,$B12,'Pemetaan Variant'!$AM$5:$AM$32),"n/a")</f>
        <v>12000</v>
      </c>
      <c r="CH12" s="10">
        <f>IFERROR(IF(ISNUMBER(CG12),(CG12-AVERAGEIF('Pemetaan Variant'!$A$5:$A$32,$B12,'Pemetaan Variant'!$I$5:$I$32))/AVERAGEIF('Pemetaan Variant'!$A$5:$A$32,$B12,'Pemetaan Variant'!$I$5:$I$32)*100,"n/a"),"n/a")</f>
        <v>0</v>
      </c>
      <c r="CI12" s="10">
        <f t="shared" si="27"/>
        <v>0</v>
      </c>
      <c r="CJ12" s="18">
        <f>IFERROR(AVERAGEIF('Pemetaan Variant'!$A$5:$A$32,$B12,'Pemetaan Variant'!$AN$5:$AN$32),"n/a")</f>
        <v>12000</v>
      </c>
      <c r="CK12" s="10">
        <f>IFERROR(IF(ISNUMBER(CJ12),(CJ12-AVERAGEIF('Pemetaan Variant'!$A$5:$A$32,$B12,'Pemetaan Variant'!$I$5:$I$32))/AVERAGEIF('Pemetaan Variant'!$A$5:$A$32,$B12,'Pemetaan Variant'!$I$5:$I$32)*100,"n/a"),"n/a")</f>
        <v>0</v>
      </c>
      <c r="CL12" s="10">
        <f t="shared" si="28"/>
        <v>0</v>
      </c>
      <c r="CM12" s="18">
        <f>IFERROR(AVERAGEIF('Pemetaan Variant'!$A$5:$A$32,$B12,'Pemetaan Variant'!$AO$5:$AO$32),"n/a")</f>
        <v>12000</v>
      </c>
      <c r="CN12" s="10">
        <f>IFERROR(IF(ISNUMBER(CM12),(CM12-AVERAGEIF('Pemetaan Variant'!$A$5:$A$32,$B12,'Pemetaan Variant'!$J$5:$J$32))/AVERAGEIF('Pemetaan Variant'!$A$5:$A$32,$B12,'Pemetaan Variant'!$J$5:$J$32)*100,"n/a"),"n/a")</f>
        <v>0</v>
      </c>
      <c r="CO12" s="10">
        <f t="shared" si="29"/>
        <v>0</v>
      </c>
      <c r="CP12" s="18">
        <f>IFERROR(AVERAGEIF('Pemetaan Variant'!$A$5:$A$32,$B12,'Pemetaan Variant'!$AP$5:$AP$32),"n/a")</f>
        <v>12000</v>
      </c>
      <c r="CQ12" s="10">
        <f>IFERROR(IF(ISNUMBER(CP12),(CP12-AVERAGEIF('Pemetaan Variant'!$A$5:$A$32,$B12,'Pemetaan Variant'!$J$5:$J$32))/AVERAGEIF('Pemetaan Variant'!$A$5:$A$32,$B12,'Pemetaan Variant'!$J$5:$J$32)*100,"n/a"),"n/a")</f>
        <v>0</v>
      </c>
      <c r="CR12" s="10">
        <f t="shared" si="30"/>
        <v>0</v>
      </c>
      <c r="CS12" s="18">
        <f>IFERROR(AVERAGEIF('Pemetaan Variant'!$A$5:$A$32,$B12,'Pemetaan Variant'!$AQ$5:$AQ$32),"n/a")</f>
        <v>12000</v>
      </c>
      <c r="CT12" s="10">
        <f>IFERROR(IF(ISNUMBER(CS12),(CS12-AVERAGEIF('Pemetaan Variant'!$A$5:$A$32,$B12,'Pemetaan Variant'!$J$5:$J$32))/AVERAGEIF('Pemetaan Variant'!$A$5:$A$32,$B12,'Pemetaan Variant'!$J$5:$J$32)*100,"n/a"),"n/a")</f>
        <v>0</v>
      </c>
      <c r="CU12" s="10">
        <f t="shared" si="31"/>
        <v>0</v>
      </c>
      <c r="CV12" s="18">
        <f>IFERROR(AVERAGEIF('Pemetaan Variant'!$A$5:$A$32,$B12,'Pemetaan Variant'!$AR$5:$AR$32),"n/a")</f>
        <v>12000</v>
      </c>
      <c r="CW12" s="10">
        <f>IFERROR(IF(ISNUMBER(CV12),(CV12-AVERAGEIF('Pemetaan Variant'!$A$5:$A$32,$B12,'Pemetaan Variant'!$J$5:$J$32))/AVERAGEIF('Pemetaan Variant'!$A$5:$A$32,$B12,'Pemetaan Variant'!$J$5:$J$32)*100,"n/a"),"n/a")</f>
        <v>0</v>
      </c>
      <c r="CX12" s="10">
        <f t="shared" si="32"/>
        <v>0</v>
      </c>
      <c r="CY12" s="18">
        <f>IFERROR(AVERAGEIF('Pemetaan Variant'!$A$5:$A$32,$B12,'Pemetaan Variant'!$AS$5:$AS$32),"n/a")</f>
        <v>12000</v>
      </c>
      <c r="CZ12" s="10">
        <f>IFERROR(IF(ISNUMBER(CY12),(CY12-AVERAGEIF('Pemetaan Variant'!$A$5:$A$32,$B12,'Pemetaan Variant'!$J$5:$J$32))/AVERAGEIF('Pemetaan Variant'!$A$5:$A$32,$B12,'Pemetaan Variant'!$J$5:$J$32)*100,"n/a"),"n/a")</f>
        <v>0</v>
      </c>
      <c r="DA12" s="10">
        <f t="shared" si="33"/>
        <v>0</v>
      </c>
      <c r="DB12" s="18">
        <f>IFERROR(AVERAGEIF('Pemetaan Variant'!$A$5:$A$32,$B12,'Pemetaan Variant'!$AT$5:$AT$32),"n/a")</f>
        <v>12000</v>
      </c>
      <c r="DC12" s="10">
        <f>IFERROR(IF(ISNUMBER(DB12),(DB12-AVERAGEIF('Pemetaan Variant'!$A$5:$A$32,$B12,'Pemetaan Variant'!$K$5:$K$32))/AVERAGEIF('Pemetaan Variant'!$A$5:$A$32,$B12,'Pemetaan Variant'!$K$5:$K$32)*100,"n/a"),"n/a")</f>
        <v>0</v>
      </c>
      <c r="DD12" s="10">
        <f t="shared" si="34"/>
        <v>0</v>
      </c>
      <c r="DE12" s="18">
        <f>IFERROR(AVERAGEIF('Pemetaan Variant'!$A$5:$A$32,$B12,'Pemetaan Variant'!$AU$5:$AU$32),"n/a")</f>
        <v>12000</v>
      </c>
      <c r="DF12" s="10">
        <f>IFERROR(IF(ISNUMBER(DE12),(DE12-AVERAGEIF('Pemetaan Variant'!$A$5:$A$32,$B12,'Pemetaan Variant'!$K$5:$K$32))/AVERAGEIF('Pemetaan Variant'!$A$5:$A$32,$B12,'Pemetaan Variant'!$K$5:$K$32)*100,"n/a"),"n/a")</f>
        <v>0</v>
      </c>
      <c r="DG12" s="10">
        <f t="shared" si="35"/>
        <v>0</v>
      </c>
      <c r="DH12" s="18">
        <f>IFERROR(AVERAGEIF('Pemetaan Variant'!$A$5:$A$32,$B12,'Pemetaan Variant'!$AV$5:$AV$32),"n/a")</f>
        <v>12000</v>
      </c>
      <c r="DI12" s="10">
        <f>IFERROR(IF(ISNUMBER(DH12),(DH12-AVERAGEIF('Pemetaan Variant'!$A$5:$A$32,$B12,'Pemetaan Variant'!$K$5:$K$32))/AVERAGEIF('Pemetaan Variant'!$A$5:$A$32,$B12,'Pemetaan Variant'!$K$5:$K$32)*100,"n/a"),"n/a")</f>
        <v>0</v>
      </c>
      <c r="DJ12" s="10">
        <f t="shared" si="36"/>
        <v>0</v>
      </c>
      <c r="DK12" s="18">
        <f>IFERROR(AVERAGEIF('Pemetaan Variant'!$A$5:$A$32,$B12,'Pemetaan Variant'!$AW$5:$AW$32),"n/a")</f>
        <v>12000</v>
      </c>
      <c r="DL12" s="10">
        <f>IFERROR(IF(ISNUMBER(DK12),(DK12-AVERAGEIF('Pemetaan Variant'!$A$5:$A$32,$B12,'Pemetaan Variant'!$K$5:$K$32))/AVERAGEIF('Pemetaan Variant'!$A$5:$A$32,$B12,'Pemetaan Variant'!$K$5:$K$32)*100,"n/a"),"n/a")</f>
        <v>0</v>
      </c>
      <c r="DM12" s="10">
        <f t="shared" si="37"/>
        <v>0</v>
      </c>
      <c r="DN12" s="19">
        <f>IFERROR(AVERAGEIF('Pemetaan Variant'!$A$5:$A$32,$B12,'Pemetaan Variant'!$AZ$5:$AZ$32),"n/a")</f>
        <v>12000</v>
      </c>
      <c r="DO12" s="14">
        <f>IFERROR(IF(ISNUMBER(DN12),(DN12-AVERAGEIF('Pemetaan Variant'!$A$5:$A$32,$B12,'Pemetaan Variant'!$AY$5:$AY$32))/AVERAGEIF('Pemetaan Variant'!$A$5:$A$32,$B12,'Pemetaan Variant'!$AY$5:$AY$32)*100,"n/a"),"n/a")</f>
        <v>0</v>
      </c>
      <c r="DP12" s="14">
        <f t="shared" si="38"/>
        <v>0</v>
      </c>
      <c r="DQ12" s="19" t="str">
        <f>IFERROR(AVERAGEIF('Pemetaan Variant'!$A$5:$A$32,$B12,'Pemetaan Variant'!$BA$5:$BA$32),"n/a")</f>
        <v>n/a</v>
      </c>
      <c r="DR12" s="14" t="str">
        <f>IFERROR(IF(ISNUMBER(DQ12),(DQ12-AVERAGEIF('Pemetaan Variant'!$A$5:$A$32,$B12,'Pemetaan Variant'!$AY$5:$AY$32))/AVERAGEIF('Pemetaan Variant'!$A$5:$A$32,$B12,'Pemetaan Variant'!$AY$5:$AY$32)*100,"n/a"),"n/a")</f>
        <v>n/a</v>
      </c>
      <c r="DS12" s="14" t="str">
        <f t="shared" si="39"/>
        <v>n/a</v>
      </c>
      <c r="DT12" s="19" t="str">
        <f>IFERROR(AVERAGEIF('Pemetaan Variant'!$A$5:$A$32,$B12,'Pemetaan Variant'!$BB$5:$BB$32),"n/a")</f>
        <v>n/a</v>
      </c>
      <c r="DU12" s="14" t="str">
        <f>IFERROR(IF(ISNUMBER(DT12),(DT12-AVERAGEIF('Pemetaan Variant'!$A$5:$A$32,$B12,'Pemetaan Variant'!$AY$5:$AY$32))/AVERAGEIF('Pemetaan Variant'!$A$5:$A$32,$B12,'Pemetaan Variant'!$AY$5:$AY$32)*100,"n/a"),"n/a")</f>
        <v>n/a</v>
      </c>
      <c r="DV12" s="14" t="str">
        <f t="shared" si="40"/>
        <v>n/a</v>
      </c>
      <c r="DW12" s="19" t="str">
        <f>IFERROR(AVERAGEIF('Pemetaan Variant'!$A$5:$A$32,$B12,'Pemetaan Variant'!$BC$5:$BC$32),"n/a")</f>
        <v>n/a</v>
      </c>
      <c r="DX12" s="14" t="str">
        <f>IFERROR(IF(ISNUMBER(DW12),(DW12-AVERAGEIF('Pemetaan Variant'!$A$5:$A$32,$B12,'Pemetaan Variant'!$AY$5:$AY$32))/AVERAGEIF('Pemetaan Variant'!$A$5:$A$32,$B12,'Pemetaan Variant'!$AY$5:$AY$32)*100,"n/a"),"n/a")</f>
        <v>n/a</v>
      </c>
      <c r="DY12" s="14" t="str">
        <f t="shared" si="41"/>
        <v>n/a</v>
      </c>
      <c r="DZ12" s="19" t="str">
        <f>IFERROR(AVERAGEIF('Pemetaan Variant'!$A$5:$A$32,$B12,'Pemetaan Variant'!$BD$5:$BD$32),"n/a")</f>
        <v>n/a</v>
      </c>
      <c r="EA12" s="14" t="str">
        <f>IFERROR(IF(ISNUMBER(DZ12),(DZ12-AVERAGEIF('Pemetaan Variant'!$A$5:$A$32,$B12,'Pemetaan Variant'!$AY$5:$AY$32))/AVERAGEIF('Pemetaan Variant'!$A$5:$A$32,$B12,'Pemetaan Variant'!$AY$5:$AY$32)*100,"n/a"),"n/a")</f>
        <v>n/a</v>
      </c>
      <c r="EB12" s="14" t="str">
        <f t="shared" si="42"/>
        <v>n/a</v>
      </c>
      <c r="ED12" s="14">
        <f>IFERROR(ABS(F12),0)</f>
        <v>0.13602200119841834</v>
      </c>
      <c r="EE12" s="14">
        <f>IFERROR(ABS(I12),0)</f>
        <v>0.13602200119841834</v>
      </c>
      <c r="EF12" s="14">
        <f>IFERROR(ABS(L12),0)</f>
        <v>0.13602200119841834</v>
      </c>
      <c r="EG12" s="14">
        <f>IFERROR(ABS(O12),0)</f>
        <v>0.13602200119841834</v>
      </c>
      <c r="EH12" s="14">
        <f>IFERROR(ABS(R12),0)</f>
        <v>0.13602200119841834</v>
      </c>
      <c r="EI12" s="14">
        <f>IFERROR(ABS(U12),0)</f>
        <v>7.3884677923686179E-2</v>
      </c>
      <c r="EJ12" s="14">
        <f>IFERROR(ABS(X12),0)</f>
        <v>0</v>
      </c>
      <c r="EK12" s="14">
        <f>IFERROR(ABS(AA12),0)</f>
        <v>0.2462822597456204</v>
      </c>
      <c r="EL12" s="14">
        <f>IFERROR(ABS(AD12),0)</f>
        <v>0.22165403377105855</v>
      </c>
      <c r="EM12" s="14">
        <f>IFERROR(ABS(AG12),0)</f>
        <v>0.23903866387074918</v>
      </c>
      <c r="EN12" s="14">
        <f>IFERROR(ABS(AJ12),0)</f>
        <v>0.23903866387074918</v>
      </c>
      <c r="EO12" s="14">
        <f>IFERROR(ABS(AM12),0)</f>
        <v>0.23903866387074918</v>
      </c>
      <c r="EP12" s="14">
        <f>IFERROR(ABS(AP12),0)</f>
        <v>0.23903866387074918</v>
      </c>
      <c r="EQ12" s="14">
        <f>IFERROR(ABS(AS12),0)</f>
        <v>0.23903866387074918</v>
      </c>
      <c r="ER12" s="14">
        <f>IFERROR(ABS(AV12),0)</f>
        <v>0</v>
      </c>
      <c r="ES12" s="14">
        <f>IFERROR(ABS(AY12),0)</f>
        <v>0</v>
      </c>
      <c r="ET12" s="14">
        <f>IFERROR(ABS(BB12),0)</f>
        <v>0</v>
      </c>
      <c r="EU12" s="14">
        <f>IFERROR(ABS(BE12),0)</f>
        <v>0</v>
      </c>
      <c r="EV12" s="14">
        <f>IFERROR(ABS(BH12),0)</f>
        <v>0</v>
      </c>
      <c r="EW12" s="14">
        <f>IFERROR(ABS(BK12),0)</f>
        <v>0</v>
      </c>
      <c r="EX12" s="14">
        <f>IFERROR(ABS(BN12),0)</f>
        <v>0</v>
      </c>
      <c r="EY12" s="14">
        <f>IFERROR(ABS(BQ12),0)</f>
        <v>0</v>
      </c>
      <c r="EZ12" s="14">
        <f>IFERROR(ABS(BT12),0)</f>
        <v>0</v>
      </c>
      <c r="FA12" s="14">
        <f>IFERROR(ABS(BW12),0)</f>
        <v>0</v>
      </c>
      <c r="FB12" s="14">
        <f>IFERROR(ABS(BZ12),0)</f>
        <v>0</v>
      </c>
      <c r="FC12" s="14">
        <f>IFERROR(ABS(CC12),0)</f>
        <v>0</v>
      </c>
      <c r="FD12" s="14">
        <f>IFERROR(ABS(CF12),0)</f>
        <v>0</v>
      </c>
      <c r="FE12" s="14">
        <f>IFERROR(ABS(CI12),0)</f>
        <v>0</v>
      </c>
      <c r="FF12" s="14">
        <f>IFERROR(ABS(CL12),0)</f>
        <v>0</v>
      </c>
      <c r="FG12" s="14">
        <f>IFERROR(ABS(CO12),0)</f>
        <v>0</v>
      </c>
      <c r="FH12" s="14">
        <f>IFERROR(ABS(CR12),0)</f>
        <v>0</v>
      </c>
      <c r="FI12" s="14">
        <f>IFERROR(ABS(CU12),0)</f>
        <v>0</v>
      </c>
      <c r="FJ12" s="14">
        <f>IFERROR(ABS(CX12),0)</f>
        <v>0</v>
      </c>
      <c r="FK12" s="14">
        <f>IFERROR(ABS(DA12),0)</f>
        <v>0</v>
      </c>
      <c r="FL12" s="14">
        <f>IFERROR(ABS(DD12),0)</f>
        <v>0</v>
      </c>
      <c r="FM12" s="14">
        <f>IFERROR(ABS(DG12),0)</f>
        <v>0</v>
      </c>
      <c r="FN12" s="14">
        <f>IFERROR(ABS(DJ12),0)</f>
        <v>0</v>
      </c>
      <c r="FO12" s="14">
        <f>IFERROR(ABS(DM12),0)</f>
        <v>0</v>
      </c>
      <c r="FP12" s="14">
        <f>IFERROR(ABS(#REF!),0)</f>
        <v>0</v>
      </c>
      <c r="FQ12" s="14">
        <f t="shared" si="43"/>
        <v>0</v>
      </c>
      <c r="FR12" s="14">
        <f t="shared" si="44"/>
        <v>0</v>
      </c>
      <c r="FS12" s="14">
        <f t="shared" si="45"/>
        <v>0</v>
      </c>
      <c r="FT12" s="14">
        <f t="shared" si="46"/>
        <v>0</v>
      </c>
      <c r="FU12" s="14">
        <f t="shared" si="47"/>
        <v>0</v>
      </c>
    </row>
    <row r="13" spans="1:177" ht="12.75" customHeight="1" x14ac:dyDescent="0.35">
      <c r="A13" s="8">
        <v>8</v>
      </c>
      <c r="B13" s="9" t="s">
        <v>194</v>
      </c>
      <c r="C13" s="10">
        <f>'P0Q0 Dasar 2022'!F12</f>
        <v>1.7701732362870599E-2</v>
      </c>
      <c r="D13" s="18">
        <f>IFERROR(AVERAGEIF('Pemetaan Variant'!$A$5:$A$32,$B13,'Pemetaan Variant'!$L$5:$L$32),"n/a")</f>
        <v>30000</v>
      </c>
      <c r="E13" s="10">
        <f>IFERROR(IF(ISNUMBER(D13),(D13-AVERAGEIF('Pemetaan Variant'!$A$5:$A$32,$B13,'Pemetaan Variant'!$D$5:$D$32))/AVERAGEIF('Pemetaan Variant'!$A$5:$A$32,$B13,'Pemetaan Variant'!$D$5:$D$32)*100,"n/a"),"n/a")</f>
        <v>8.4337349397590309</v>
      </c>
      <c r="F13" s="10">
        <f t="shared" si="0"/>
        <v>0.14929171872300495</v>
      </c>
      <c r="G13" s="18">
        <f>IFERROR(AVERAGEIF('Pemetaan Variant'!$A$5:$A$32,$B13,'Pemetaan Variant'!$M$5:$M$32),"n/a")</f>
        <v>30000</v>
      </c>
      <c r="H13" s="10">
        <f>IFERROR(IF(ISNUMBER(G13),(G13-AVERAGEIF('Pemetaan Variant'!$A$5:$A$32,$B13,'Pemetaan Variant'!$D$5:$D$32))/AVERAGEIF('Pemetaan Variant'!$A$5:$A$32,$B13,'Pemetaan Variant'!$D$5:$D$32)*100,"n/a"),"n/a")</f>
        <v>8.4337349397590309</v>
      </c>
      <c r="I13" s="10">
        <f t="shared" si="1"/>
        <v>0.14929171872300495</v>
      </c>
      <c r="J13" s="18">
        <f>IFERROR(AVERAGEIF('Pemetaan Variant'!$A$5:$A$32,$B13,'Pemetaan Variant'!$N$5:$N$32),"n/a")</f>
        <v>30000</v>
      </c>
      <c r="K13" s="10">
        <f>IFERROR(IF(ISNUMBER(J13),(J13-AVERAGEIF('Pemetaan Variant'!$A$5:$A$32,$B13,'Pemetaan Variant'!$D$5:$D$32))/AVERAGEIF('Pemetaan Variant'!$A$5:$A$32,$B13,'Pemetaan Variant'!$D$5:$D$32)*100,"n/a"),"n/a")</f>
        <v>8.4337349397590309</v>
      </c>
      <c r="L13" s="10">
        <f t="shared" si="2"/>
        <v>0.14929171872300495</v>
      </c>
      <c r="M13" s="18">
        <f>IFERROR(AVERAGEIF('Pemetaan Variant'!$A$5:$A$32,$B13,'Pemetaan Variant'!$O$5:$O$32),"n/a")</f>
        <v>30000</v>
      </c>
      <c r="N13" s="10">
        <f>IFERROR(IF(ISNUMBER(M13),(M13-AVERAGEIF('Pemetaan Variant'!$A$5:$A$32,$B13,'Pemetaan Variant'!$D$5:$D$32))/AVERAGEIF('Pemetaan Variant'!$A$5:$A$32,$B13,'Pemetaan Variant'!$D$5:$D$32)*100,"n/a"),"n/a")</f>
        <v>8.4337349397590309</v>
      </c>
      <c r="O13" s="10">
        <f t="shared" si="3"/>
        <v>0.14929171872300495</v>
      </c>
      <c r="P13" s="18">
        <f>IFERROR(AVERAGEIF('Pemetaan Variant'!$A$5:$A$32,$B13,'Pemetaan Variant'!$P$5:$P$32),"n/a")</f>
        <v>30000</v>
      </c>
      <c r="Q13" s="10">
        <f>IFERROR(IF(ISNUMBER(P13),(P13-AVERAGEIF('Pemetaan Variant'!$A$5:$A$32,$B13,'Pemetaan Variant'!$D$5:$D$32))/AVERAGEIF('Pemetaan Variant'!$A$5:$A$32,$B13,'Pemetaan Variant'!$D$5:$D$32)*100,"n/a"),"n/a")</f>
        <v>8.4337349397590309</v>
      </c>
      <c r="R13" s="10">
        <f t="shared" si="4"/>
        <v>0.14929171872300495</v>
      </c>
      <c r="S13" s="18">
        <f>IFERROR(AVERAGEIF('Pemetaan Variant'!$A$5:$A$32,$B13,'Pemetaan Variant'!$Q$5:$Q$32),"n/a")</f>
        <v>41800</v>
      </c>
      <c r="T13" s="10">
        <f>IFERROR(IF(ISNUMBER(S13),(S13-AVERAGEIF('Pemetaan Variant'!$A$5:$A$32,$B13,'Pemetaan Variant'!$E$5:$E$32))/AVERAGEIF('Pemetaan Variant'!$A$5:$A$32,$B13,'Pemetaan Variant'!$E$5:$E$32)*100,"n/a"),"n/a")</f>
        <v>39.333333333333329</v>
      </c>
      <c r="U13" s="10">
        <f t="shared" si="5"/>
        <v>0.69626813960624345</v>
      </c>
      <c r="V13" s="18">
        <f>IFERROR(AVERAGEIF('Pemetaan Variant'!$A$5:$A$32,$B13,'Pemetaan Variant'!$R$5:$R$32),"n/a")</f>
        <v>33200</v>
      </c>
      <c r="W13" s="10">
        <f>IFERROR(IF(ISNUMBER(V13),(V13-AVERAGEIF('Pemetaan Variant'!$A$5:$A$32,$B13,'Pemetaan Variant'!$E$5:$E$32))/AVERAGEIF('Pemetaan Variant'!$A$5:$A$32,$B13,'Pemetaan Variant'!$E$5:$E$32)*100,"n/a"),"n/a")</f>
        <v>10.666666666666668</v>
      </c>
      <c r="X13" s="10">
        <f t="shared" si="6"/>
        <v>0.18881847853728642</v>
      </c>
      <c r="Y13" s="18">
        <f>IFERROR(AVERAGEIF('Pemetaan Variant'!$A$5:$A$32,$B13,'Pemetaan Variant'!$S$5:$S$32),"n/a")</f>
        <v>71000</v>
      </c>
      <c r="Z13" s="10">
        <f>IFERROR(IF(ISNUMBER(Y13),(Y13-AVERAGEIF('Pemetaan Variant'!$A$5:$A$32,$B13,'Pemetaan Variant'!$E$5:$E$32))/AVERAGEIF('Pemetaan Variant'!$A$5:$A$32,$B13,'Pemetaan Variant'!$E$5:$E$32)*100,"n/a"),"n/a")</f>
        <v>136.66666666666666</v>
      </c>
      <c r="AA13" s="10">
        <f t="shared" si="7"/>
        <v>2.4192367562589818</v>
      </c>
      <c r="AB13" s="18">
        <f>IFERROR(AVERAGEIF('Pemetaan Variant'!$A$5:$A$32,$B13,'Pemetaan Variant'!$T$5:$T$32),"n/a")</f>
        <v>69000</v>
      </c>
      <c r="AC13" s="10">
        <f>IFERROR(IF(ISNUMBER(AB13),(AB13-AVERAGEIF('Pemetaan Variant'!$A$5:$A$32,$B13,'Pemetaan Variant'!$E$5:$E$32))/AVERAGEIF('Pemetaan Variant'!$A$5:$A$32,$B13,'Pemetaan Variant'!$E$5:$E$32)*100,"n/a"),"n/a")</f>
        <v>130</v>
      </c>
      <c r="AD13" s="10">
        <f t="shared" si="8"/>
        <v>2.3012252071731778</v>
      </c>
      <c r="AE13" s="18">
        <f>IFERROR(AVERAGEIF('Pemetaan Variant'!$A$5:$A$32,$B13,'Pemetaan Variant'!$U$5:$U$32),"n/a")</f>
        <v>86000</v>
      </c>
      <c r="AF13" s="10">
        <f>IFERROR(IF(ISNUMBER(AE13),(AE13-AVERAGEIF('Pemetaan Variant'!$A$5:$A$32,$B13,'Pemetaan Variant'!$F$5:$F$32))/AVERAGEIF('Pemetaan Variant'!$A$5:$A$32,$B13,'Pemetaan Variant'!$F$5:$F$32)*100,"n/a"),"n/a")</f>
        <v>65.916398713826368</v>
      </c>
      <c r="AG13" s="10">
        <f t="shared" si="9"/>
        <v>1.1668344483564221</v>
      </c>
      <c r="AH13" s="18">
        <f>IFERROR(AVERAGEIF('Pemetaan Variant'!$A$5:$A$32,$B13,'Pemetaan Variant'!$V$5:$V$32),"n/a")</f>
        <v>84000</v>
      </c>
      <c r="AI13" s="10">
        <f>IFERROR(IF(ISNUMBER(AH13),(AH13-AVERAGEIF('Pemetaan Variant'!$A$5:$A$32,$B13,'Pemetaan Variant'!$F$5:$F$32))/AVERAGEIF('Pemetaan Variant'!$A$5:$A$32,$B13,'Pemetaan Variant'!$F$5:$F$32)*100,"n/a"),"n/a")</f>
        <v>62.057877813504817</v>
      </c>
      <c r="AJ13" s="10">
        <f t="shared" si="10"/>
        <v>1.0985319440623875</v>
      </c>
      <c r="AK13" s="18">
        <f>IFERROR(AVERAGEIF('Pemetaan Variant'!$A$5:$A$32,$B13,'Pemetaan Variant'!$W$5:$W$32),"n/a")</f>
        <v>85200</v>
      </c>
      <c r="AL13" s="10">
        <f>IFERROR(IF(ISNUMBER(AK13),(AK13-AVERAGEIF('Pemetaan Variant'!$A$5:$A$32,$B13,'Pemetaan Variant'!$F$5:$F$32))/AVERAGEIF('Pemetaan Variant'!$A$5:$A$32,$B13,'Pemetaan Variant'!$F$5:$F$32)*100,"n/a"),"n/a")</f>
        <v>64.372990353697745</v>
      </c>
      <c r="AM13" s="10">
        <f t="shared" si="11"/>
        <v>1.1395134466388084</v>
      </c>
      <c r="AN13" s="18">
        <f>IFERROR(AVERAGEIF('Pemetaan Variant'!$A$5:$A$32,$B13,'Pemetaan Variant'!$X$5:$X$32),"n/a")</f>
        <v>60000</v>
      </c>
      <c r="AO13" s="10">
        <f>IFERROR(IF(ISNUMBER(AN13),(AN13-AVERAGEIF('Pemetaan Variant'!$A$5:$A$32,$B13,'Pemetaan Variant'!$F$5:$F$32))/AVERAGEIF('Pemetaan Variant'!$A$5:$A$32,$B13,'Pemetaan Variant'!$F$5:$F$32)*100,"n/a"),"n/a")</f>
        <v>15.755627009646297</v>
      </c>
      <c r="AP13" s="10">
        <f t="shared" si="12"/>
        <v>0.27890189253397396</v>
      </c>
      <c r="AQ13" s="18">
        <f>IFERROR(AVERAGEIF('Pemetaan Variant'!$A$5:$A$32,$B13,'Pemetaan Variant'!$Y$5:$Y$32),"n/a")</f>
        <v>67000</v>
      </c>
      <c r="AR13" s="10">
        <f>IFERROR(IF(ISNUMBER(AQ13),(AQ13-AVERAGEIF('Pemetaan Variant'!$A$5:$A$32,$B13,'Pemetaan Variant'!$F$5:$F$32))/AVERAGEIF('Pemetaan Variant'!$A$5:$A$32,$B13,'Pemetaan Variant'!$F$5:$F$32)*100,"n/a"),"n/a")</f>
        <v>29.2604501607717</v>
      </c>
      <c r="AS13" s="10">
        <f t="shared" si="13"/>
        <v>0.51796065756309462</v>
      </c>
      <c r="AT13" s="18">
        <f>IFERROR(AVERAGEIF('Pemetaan Variant'!$A$5:$A$32,$B13,'Pemetaan Variant'!$Z$5:$Z$32),"n/a")</f>
        <v>67500</v>
      </c>
      <c r="AU13" s="10">
        <f>IFERROR(IF(ISNUMBER(AT13),(AT13-AVERAGEIF('Pemetaan Variant'!$A$5:$A$32,$B13,'Pemetaan Variant'!$G$5:$G$32))/AVERAGEIF('Pemetaan Variant'!$A$5:$A$32,$B13,'Pemetaan Variant'!$G$5:$G$32)*100,"n/a"),"n/a")</f>
        <v>-15.09433962264151</v>
      </c>
      <c r="AV13" s="10">
        <f t="shared" si="14"/>
        <v>-0.26719596019427322</v>
      </c>
      <c r="AW13" s="18">
        <f>IFERROR(AVERAGEIF('Pemetaan Variant'!$A$5:$A$32,$B13,'Pemetaan Variant'!$AA$5:$AA$32),"n/a")</f>
        <v>61200</v>
      </c>
      <c r="AX13" s="10">
        <f>IFERROR(IF(ISNUMBER(AW13),(AW13-AVERAGEIF('Pemetaan Variant'!$A$5:$A$32,$B13,'Pemetaan Variant'!$G$5:$G$32))/AVERAGEIF('Pemetaan Variant'!$A$5:$A$32,$B13,'Pemetaan Variant'!$G$5:$G$32)*100,"n/a"),"n/a")</f>
        <v>-23.018867924528301</v>
      </c>
      <c r="AY13" s="10">
        <f t="shared" si="15"/>
        <v>-0.40747383929626663</v>
      </c>
      <c r="AZ13" s="18">
        <f>IFERROR(AVERAGEIF('Pemetaan Variant'!$A$5:$A$32,$B13,'Pemetaan Variant'!$AB$5:$AB$32),"n/a")</f>
        <v>54000</v>
      </c>
      <c r="BA13" s="10">
        <f>IFERROR(IF(ISNUMBER(AZ13),(AZ13-AVERAGEIF('Pemetaan Variant'!$A$5:$A$32,$B13,'Pemetaan Variant'!$G$5:$G$32))/AVERAGEIF('Pemetaan Variant'!$A$5:$A$32,$B13,'Pemetaan Variant'!$G$5:$G$32)*100,"n/a"),"n/a")</f>
        <v>-32.075471698113205</v>
      </c>
      <c r="BB13" s="10">
        <f t="shared" si="16"/>
        <v>-0.56779141541283051</v>
      </c>
      <c r="BC13" s="18">
        <f>IFERROR(AVERAGEIF('Pemetaan Variant'!$A$5:$A$32,$B13,'Pemetaan Variant'!$AC$5:$AC$32),"n/a")</f>
        <v>49200</v>
      </c>
      <c r="BD13" s="10">
        <f>IFERROR(IF(ISNUMBER(BC13),(BC13-AVERAGEIF('Pemetaan Variant'!$A$5:$A$32,$B13,'Pemetaan Variant'!$G$5:$G$32))/AVERAGEIF('Pemetaan Variant'!$A$5:$A$32,$B13,'Pemetaan Variant'!$G$5:$G$32)*100,"n/a"),"n/a")</f>
        <v>-38.113207547169814</v>
      </c>
      <c r="BE13" s="10">
        <f t="shared" si="17"/>
        <v>-0.67466979949053985</v>
      </c>
      <c r="BF13" s="18">
        <f>IFERROR(AVERAGEIF('Pemetaan Variant'!$A$5:$A$32,$B13,'Pemetaan Variant'!$AD$5:$AD$32),"n/a")</f>
        <v>42500</v>
      </c>
      <c r="BG13" s="10">
        <f>IFERROR(IF(ISNUMBER(BF13),(BF13-AVERAGEIF('Pemetaan Variant'!$A$5:$A$32,$B13,'Pemetaan Variant'!$G$5:$G$32))/AVERAGEIF('Pemetaan Variant'!$A$5:$A$32,$B13,'Pemetaan Variant'!$G$5:$G$32)*100,"n/a"),"n/a")</f>
        <v>-46.540880503144656</v>
      </c>
      <c r="BH13" s="10">
        <f t="shared" si="18"/>
        <v>-0.8238542105990091</v>
      </c>
      <c r="BI13" s="18" t="str">
        <f>IFERROR(AVERAGEIF('Pemetaan Variant'!$A$5:$A$32,$B13,'Pemetaan Variant'!$AE$5:$AE$32),"n/a")</f>
        <v>n/a</v>
      </c>
      <c r="BJ13" s="10" t="str">
        <f>IFERROR(IF(ISNUMBER(BI13),(BI13-AVERAGEIF('Pemetaan Variant'!$A$5:$A$32,$B13,'Pemetaan Variant'!$H$5:$H$32))/AVERAGEIF('Pemetaan Variant'!$A$5:$A$32,$B13,'Pemetaan Variant'!$H$5:$H$32)*100,"n/a"),"n/a")</f>
        <v>n/a</v>
      </c>
      <c r="BK13" s="10" t="str">
        <f t="shared" si="19"/>
        <v>n/a</v>
      </c>
      <c r="BL13" s="18">
        <f>IFERROR(AVERAGEIF('Pemetaan Variant'!$A$5:$A$32,$B13,'Pemetaan Variant'!$AF$5:$AF$32),"n/a")</f>
        <v>65000</v>
      </c>
      <c r="BM13" s="10">
        <f>IFERROR(IF(ISNUMBER(BL13),(BL13-AVERAGEIF('Pemetaan Variant'!$A$5:$A$32,$B13,'Pemetaan Variant'!$H$5:$H$32))/AVERAGEIF('Pemetaan Variant'!$A$5:$A$32,$B13,'Pemetaan Variant'!$H$5:$H$32)*100,"n/a"),"n/a")</f>
        <v>21.118012422360255</v>
      </c>
      <c r="BN13" s="10">
        <f t="shared" si="20"/>
        <v>0.37382540393639785</v>
      </c>
      <c r="BO13" s="18">
        <f>IFERROR(AVERAGEIF('Pemetaan Variant'!$A$5:$A$32,$B13,'Pemetaan Variant'!$AG$5:$AG$32),"n/a")</f>
        <v>73333.333333333328</v>
      </c>
      <c r="BP13" s="10">
        <f>IFERROR(IF(ISNUMBER(BO13),(BO13-AVERAGEIF('Pemetaan Variant'!$A$5:$A$32,$B13,'Pemetaan Variant'!$H$5:$H$32))/AVERAGEIF('Pemetaan Variant'!$A$5:$A$32,$B13,'Pemetaan Variant'!$H$5:$H$32)*100,"n/a"),"n/a")</f>
        <v>36.645962732919251</v>
      </c>
      <c r="BQ13" s="10">
        <f t="shared" si="21"/>
        <v>0.64869702447786659</v>
      </c>
      <c r="BR13" s="18">
        <f>IFERROR(AVERAGEIF('Pemetaan Variant'!$A$5:$A$32,$B13,'Pemetaan Variant'!$AH$5:$AH$32),"n/a")</f>
        <v>77600</v>
      </c>
      <c r="BS13" s="10">
        <f>IFERROR(IF(ISNUMBER(BR13),(BR13-AVERAGEIF('Pemetaan Variant'!$A$5:$A$32,$B13,'Pemetaan Variant'!$H$5:$H$32))/AVERAGEIF('Pemetaan Variant'!$A$5:$A$32,$B13,'Pemetaan Variant'!$H$5:$H$32)*100,"n/a"),"n/a")</f>
        <v>44.596273291925471</v>
      </c>
      <c r="BT13" s="10">
        <f t="shared" si="22"/>
        <v>0.78943129419509883</v>
      </c>
      <c r="BU13" s="18">
        <f>IFERROR(AVERAGEIF('Pemetaan Variant'!$A$5:$A$32,$B13,'Pemetaan Variant'!$AI$5:$AI$32),"n/a")</f>
        <v>72333.333333333328</v>
      </c>
      <c r="BV13" s="10">
        <f>IFERROR(IF(ISNUMBER(BU13),(BU13-AVERAGEIF('Pemetaan Variant'!$A$5:$A$32,$B13,'Pemetaan Variant'!$H$5:$H$32))/AVERAGEIF('Pemetaan Variant'!$A$5:$A$32,$B13,'Pemetaan Variant'!$H$5:$H$32)*100,"n/a"),"n/a")</f>
        <v>34.782608695652172</v>
      </c>
      <c r="BW13" s="10">
        <f t="shared" si="23"/>
        <v>0.61571243001289033</v>
      </c>
      <c r="BX13" s="18">
        <f>IFERROR(AVERAGEIF('Pemetaan Variant'!$A$5:$A$32,$B13,'Pemetaan Variant'!$AJ$5:$AJ$32),"n/a")</f>
        <v>63750</v>
      </c>
      <c r="BY13" s="10">
        <f>IFERROR(IF(ISNUMBER(BX13),(BX13-AVERAGEIF('Pemetaan Variant'!$A$5:$A$32,$B13,'Pemetaan Variant'!$I$5:$I$32))/AVERAGEIF('Pemetaan Variant'!$A$5:$A$32,$B13,'Pemetaan Variant'!$I$5:$I$32)*100,"n/a"),"n/a")</f>
        <v>-11.304347826086957</v>
      </c>
      <c r="BZ13" s="10">
        <f t="shared" si="24"/>
        <v>-0.20010653975418941</v>
      </c>
      <c r="CA13" s="18">
        <f>IFERROR(AVERAGEIF('Pemetaan Variant'!$A$5:$A$32,$B13,'Pemetaan Variant'!$AK$5:$AK$32),"n/a")</f>
        <v>61600</v>
      </c>
      <c r="CB13" s="10">
        <f>IFERROR(IF(ISNUMBER(CA13),(CA13-AVERAGEIF('Pemetaan Variant'!$A$5:$A$32,$B13,'Pemetaan Variant'!$I$5:$I$32))/AVERAGEIF('Pemetaan Variant'!$A$5:$A$32,$B13,'Pemetaan Variant'!$I$5:$I$32)*100,"n/a"),"n/a")</f>
        <v>-14.295652173913043</v>
      </c>
      <c r="CC13" s="10">
        <f t="shared" si="25"/>
        <v>-0.25305780873529793</v>
      </c>
      <c r="CD13" s="18">
        <f>IFERROR(AVERAGEIF('Pemetaan Variant'!$A$5:$A$32,$B13,'Pemetaan Variant'!$AL$5:$AL$32),"n/a")</f>
        <v>57250</v>
      </c>
      <c r="CE13" s="10">
        <f>IFERROR(IF(ISNUMBER(CD13),(CD13-AVERAGEIF('Pemetaan Variant'!$A$5:$A$32,$B13,'Pemetaan Variant'!$I$5:$I$32))/AVERAGEIF('Pemetaan Variant'!$A$5:$A$32,$B13,'Pemetaan Variant'!$I$5:$I$32)*100,"n/a"),"n/a")</f>
        <v>-20.347826086956523</v>
      </c>
      <c r="CF13" s="10">
        <f t="shared" si="26"/>
        <v>-0.3601917715575409</v>
      </c>
      <c r="CG13" s="18">
        <f>IFERROR(AVERAGEIF('Pemetaan Variant'!$A$5:$A$32,$B13,'Pemetaan Variant'!$AM$5:$AM$32),"n/a")</f>
        <v>50000</v>
      </c>
      <c r="CH13" s="10">
        <f>IFERROR(IF(ISNUMBER(CG13),(CG13-AVERAGEIF('Pemetaan Variant'!$A$5:$A$32,$B13,'Pemetaan Variant'!$I$5:$I$32))/AVERAGEIF('Pemetaan Variant'!$A$5:$A$32,$B13,'Pemetaan Variant'!$I$5:$I$32)*100,"n/a"),"n/a")</f>
        <v>-30.434782608695656</v>
      </c>
      <c r="CI13" s="10">
        <f t="shared" si="27"/>
        <v>-0.53874837626127914</v>
      </c>
      <c r="CJ13" s="18">
        <f>IFERROR(AVERAGEIF('Pemetaan Variant'!$A$5:$A$32,$B13,'Pemetaan Variant'!$AN$5:$AN$32),"n/a")</f>
        <v>47500</v>
      </c>
      <c r="CK13" s="10">
        <f>IFERROR(IF(ISNUMBER(CJ13),(CJ13-AVERAGEIF('Pemetaan Variant'!$A$5:$A$32,$B13,'Pemetaan Variant'!$I$5:$I$32))/AVERAGEIF('Pemetaan Variant'!$A$5:$A$32,$B13,'Pemetaan Variant'!$I$5:$I$32)*100,"n/a"),"n/a")</f>
        <v>-33.913043478260867</v>
      </c>
      <c r="CL13" s="10">
        <f t="shared" si="28"/>
        <v>-0.60031961926256816</v>
      </c>
      <c r="CM13" s="18">
        <f>IFERROR(AVERAGEIF('Pemetaan Variant'!$A$5:$A$32,$B13,'Pemetaan Variant'!$AO$5:$AO$32),"n/a")</f>
        <v>45000</v>
      </c>
      <c r="CN13" s="10">
        <f>IFERROR(IF(ISNUMBER(CM13),(CM13-AVERAGEIF('Pemetaan Variant'!$A$5:$A$32,$B13,'Pemetaan Variant'!$J$5:$J$32))/AVERAGEIF('Pemetaan Variant'!$A$5:$A$32,$B13,'Pemetaan Variant'!$J$5:$J$32)*100,"n/a"),"n/a")</f>
        <v>-20.844327176781004</v>
      </c>
      <c r="CO13" s="10">
        <f t="shared" si="29"/>
        <v>-0.36898070096748747</v>
      </c>
      <c r="CP13" s="18">
        <f>IFERROR(AVERAGEIF('Pemetaan Variant'!$A$5:$A$32,$B13,'Pemetaan Variant'!$AP$5:$AP$32),"n/a")</f>
        <v>45000</v>
      </c>
      <c r="CQ13" s="10">
        <f>IFERROR(IF(ISNUMBER(CP13),(CP13-AVERAGEIF('Pemetaan Variant'!$A$5:$A$32,$B13,'Pemetaan Variant'!$J$5:$J$32))/AVERAGEIF('Pemetaan Variant'!$A$5:$A$32,$B13,'Pemetaan Variant'!$J$5:$J$32)*100,"n/a"),"n/a")</f>
        <v>-20.844327176781004</v>
      </c>
      <c r="CR13" s="10">
        <f t="shared" si="30"/>
        <v>-0.36898070096748747</v>
      </c>
      <c r="CS13" s="18">
        <f>IFERROR(AVERAGEIF('Pemetaan Variant'!$A$5:$A$32,$B13,'Pemetaan Variant'!$AQ$5:$AQ$32),"n/a")</f>
        <v>45000</v>
      </c>
      <c r="CT13" s="10">
        <f>IFERROR(IF(ISNUMBER(CS13),(CS13-AVERAGEIF('Pemetaan Variant'!$A$5:$A$32,$B13,'Pemetaan Variant'!$J$5:$J$32))/AVERAGEIF('Pemetaan Variant'!$A$5:$A$32,$B13,'Pemetaan Variant'!$J$5:$J$32)*100,"n/a"),"n/a")</f>
        <v>-20.844327176781004</v>
      </c>
      <c r="CU13" s="10">
        <f t="shared" si="31"/>
        <v>-0.36898070096748747</v>
      </c>
      <c r="CV13" s="18">
        <f>IFERROR(AVERAGEIF('Pemetaan Variant'!$A$5:$A$32,$B13,'Pemetaan Variant'!$AR$5:$AR$32),"n/a")</f>
        <v>44000</v>
      </c>
      <c r="CW13" s="10">
        <f>IFERROR(IF(ISNUMBER(CV13),(CV13-AVERAGEIF('Pemetaan Variant'!$A$5:$A$32,$B13,'Pemetaan Variant'!$J$5:$J$32))/AVERAGEIF('Pemetaan Variant'!$A$5:$A$32,$B13,'Pemetaan Variant'!$J$5:$J$32)*100,"n/a"),"n/a")</f>
        <v>-22.603342128408091</v>
      </c>
      <c r="CX13" s="10">
        <f t="shared" si="32"/>
        <v>-0.40011831286347793</v>
      </c>
      <c r="CY13" s="18">
        <f>IFERROR(AVERAGEIF('Pemetaan Variant'!$A$5:$A$32,$B13,'Pemetaan Variant'!$AS$5:$AS$32),"n/a")</f>
        <v>41200</v>
      </c>
      <c r="CZ13" s="10">
        <f>IFERROR(IF(ISNUMBER(CY13),(CY13-AVERAGEIF('Pemetaan Variant'!$A$5:$A$32,$B13,'Pemetaan Variant'!$J$5:$J$32))/AVERAGEIF('Pemetaan Variant'!$A$5:$A$32,$B13,'Pemetaan Variant'!$J$5:$J$32)*100,"n/a"),"n/a")</f>
        <v>-27.528583992963938</v>
      </c>
      <c r="DA13" s="10">
        <f t="shared" si="33"/>
        <v>-0.48730362617225131</v>
      </c>
      <c r="DB13" s="18">
        <f>IFERROR(AVERAGEIF('Pemetaan Variant'!$A$5:$A$32,$B13,'Pemetaan Variant'!$AT$5:$AT$32),"n/a")</f>
        <v>40400</v>
      </c>
      <c r="DC13" s="10">
        <f>IFERROR(IF(ISNUMBER(DB13),(DB13-AVERAGEIF('Pemetaan Variant'!$A$5:$A$32,$B13,'Pemetaan Variant'!$K$5:$K$32))/AVERAGEIF('Pemetaan Variant'!$A$5:$A$32,$B13,'Pemetaan Variant'!$K$5:$K$32)*100,"n/a"),"n/a")</f>
        <v>-8.09099901088031</v>
      </c>
      <c r="DD13" s="10">
        <f t="shared" si="34"/>
        <v>-0.14322469903885399</v>
      </c>
      <c r="DE13" s="18">
        <f>IFERROR(AVERAGEIF('Pemetaan Variant'!$A$5:$A$32,$B13,'Pemetaan Variant'!$AU$5:$AU$32),"n/a")</f>
        <v>40000</v>
      </c>
      <c r="DF13" s="10">
        <f>IFERROR(IF(ISNUMBER(DE13),(DE13-AVERAGEIF('Pemetaan Variant'!$A$5:$A$32,$B13,'Pemetaan Variant'!$K$5:$K$32))/AVERAGEIF('Pemetaan Variant'!$A$5:$A$32,$B13,'Pemetaan Variant'!$K$5:$K$32)*100,"n/a"),"n/a")</f>
        <v>-9.0009891196834761</v>
      </c>
      <c r="DG13" s="10">
        <f t="shared" si="35"/>
        <v>-0.15933310039774715</v>
      </c>
      <c r="DH13" s="18">
        <f>IFERROR(AVERAGEIF('Pemetaan Variant'!$A$5:$A$32,$B13,'Pemetaan Variant'!$AV$5:$AV$32),"n/a")</f>
        <v>41500</v>
      </c>
      <c r="DI13" s="10">
        <f>IFERROR(IF(ISNUMBER(DH13),(DH13-AVERAGEIF('Pemetaan Variant'!$A$5:$A$32,$B13,'Pemetaan Variant'!$K$5:$K$32))/AVERAGEIF('Pemetaan Variant'!$A$5:$A$32,$B13,'Pemetaan Variant'!$K$5:$K$32)*100,"n/a"),"n/a")</f>
        <v>-5.5885262116716063</v>
      </c>
      <c r="DJ13" s="10">
        <f t="shared" si="36"/>
        <v>-9.8926595301897902E-2</v>
      </c>
      <c r="DK13" s="18">
        <f>IFERROR(AVERAGEIF('Pemetaan Variant'!$A$5:$A$32,$B13,'Pemetaan Variant'!$AW$5:$AW$32),"n/a")</f>
        <v>42750</v>
      </c>
      <c r="DL13" s="10">
        <f>IFERROR(IF(ISNUMBER(DK13),(DK13-AVERAGEIF('Pemetaan Variant'!$A$5:$A$32,$B13,'Pemetaan Variant'!$K$5:$K$32))/AVERAGEIF('Pemetaan Variant'!$A$5:$A$32,$B13,'Pemetaan Variant'!$K$5:$K$32)*100,"n/a"),"n/a")</f>
        <v>-2.7448071216617156</v>
      </c>
      <c r="DM13" s="10">
        <f t="shared" si="37"/>
        <v>-4.8587841055356892E-2</v>
      </c>
      <c r="DN13" s="19">
        <f>IFERROR(AVERAGEIF('Pemetaan Variant'!$A$5:$A$32,$B13,'Pemetaan Variant'!$AZ$5:$AZ$32),"n/a")</f>
        <v>43000</v>
      </c>
      <c r="DO13" s="14">
        <f>IFERROR(IF(ISNUMBER(DN13),(DN13-AVERAGEIF('Pemetaan Variant'!$A$5:$A$32,$B13,'Pemetaan Variant'!$AY$5:$AY$32))/AVERAGEIF('Pemetaan Variant'!$A$5:$A$32,$B13,'Pemetaan Variant'!$AY$5:$AY$32)*100,"n/a"),"n/a")</f>
        <v>4.7361299052774042</v>
      </c>
      <c r="DP13" s="14">
        <f t="shared" si="38"/>
        <v>8.3837704019008294E-2</v>
      </c>
      <c r="DQ13" s="19" t="str">
        <f>IFERROR(AVERAGEIF('Pemetaan Variant'!$A$5:$A$32,$B13,'Pemetaan Variant'!$BA$5:$BA$32),"n/a")</f>
        <v>n/a</v>
      </c>
      <c r="DR13" s="14" t="str">
        <f>IFERROR(IF(ISNUMBER(DQ13),(DQ13-AVERAGEIF('Pemetaan Variant'!$A$5:$A$32,$B13,'Pemetaan Variant'!$AY$5:$AY$32))/AVERAGEIF('Pemetaan Variant'!$A$5:$A$32,$B13,'Pemetaan Variant'!$AY$5:$AY$32)*100,"n/a"),"n/a")</f>
        <v>n/a</v>
      </c>
      <c r="DS13" s="14" t="str">
        <f t="shared" si="39"/>
        <v>n/a</v>
      </c>
      <c r="DT13" s="19" t="str">
        <f>IFERROR(AVERAGEIF('Pemetaan Variant'!$A$5:$A$32,$B13,'Pemetaan Variant'!$BB$5:$BB$32),"n/a")</f>
        <v>n/a</v>
      </c>
      <c r="DU13" s="14" t="str">
        <f>IFERROR(IF(ISNUMBER(DT13),(DT13-AVERAGEIF('Pemetaan Variant'!$A$5:$A$32,$B13,'Pemetaan Variant'!$AY$5:$AY$32))/AVERAGEIF('Pemetaan Variant'!$A$5:$A$32,$B13,'Pemetaan Variant'!$AY$5:$AY$32)*100,"n/a"),"n/a")</f>
        <v>n/a</v>
      </c>
      <c r="DV13" s="14" t="str">
        <f t="shared" si="40"/>
        <v>n/a</v>
      </c>
      <c r="DW13" s="19" t="str">
        <f>IFERROR(AVERAGEIF('Pemetaan Variant'!$A$5:$A$32,$B13,'Pemetaan Variant'!$BC$5:$BC$32),"n/a")</f>
        <v>n/a</v>
      </c>
      <c r="DX13" s="14" t="str">
        <f>IFERROR(IF(ISNUMBER(DW13),(DW13-AVERAGEIF('Pemetaan Variant'!$A$5:$A$32,$B13,'Pemetaan Variant'!$AY$5:$AY$32))/AVERAGEIF('Pemetaan Variant'!$A$5:$A$32,$B13,'Pemetaan Variant'!$AY$5:$AY$32)*100,"n/a"),"n/a")</f>
        <v>n/a</v>
      </c>
      <c r="DY13" s="14" t="str">
        <f t="shared" si="41"/>
        <v>n/a</v>
      </c>
      <c r="DZ13" s="19" t="str">
        <f>IFERROR(AVERAGEIF('Pemetaan Variant'!$A$5:$A$32,$B13,'Pemetaan Variant'!$BD$5:$BD$32),"n/a")</f>
        <v>n/a</v>
      </c>
      <c r="EA13" s="14" t="str">
        <f>IFERROR(IF(ISNUMBER(DZ13),(DZ13-AVERAGEIF('Pemetaan Variant'!$A$5:$A$32,$B13,'Pemetaan Variant'!$AY$5:$AY$32))/AVERAGEIF('Pemetaan Variant'!$A$5:$A$32,$B13,'Pemetaan Variant'!$AY$5:$AY$32)*100,"n/a"),"n/a")</f>
        <v>n/a</v>
      </c>
      <c r="EB13" s="14" t="str">
        <f t="shared" si="42"/>
        <v>n/a</v>
      </c>
      <c r="ED13" s="14">
        <f>IFERROR(ABS(F13),0)</f>
        <v>0.14929171872300495</v>
      </c>
      <c r="EE13" s="14">
        <f>IFERROR(ABS(I13),0)</f>
        <v>0.14929171872300495</v>
      </c>
      <c r="EF13" s="14">
        <f>IFERROR(ABS(L13),0)</f>
        <v>0.14929171872300495</v>
      </c>
      <c r="EG13" s="14">
        <f>IFERROR(ABS(O13),0)</f>
        <v>0.14929171872300495</v>
      </c>
      <c r="EH13" s="14">
        <f>IFERROR(ABS(R13),0)</f>
        <v>0.14929171872300495</v>
      </c>
      <c r="EI13" s="14">
        <f>IFERROR(ABS(U13),0)</f>
        <v>0.69626813960624345</v>
      </c>
      <c r="EJ13" s="14">
        <f>IFERROR(ABS(X13),0)</f>
        <v>0.18881847853728642</v>
      </c>
      <c r="EK13" s="14">
        <f>IFERROR(ABS(AA13),0)</f>
        <v>2.4192367562589818</v>
      </c>
      <c r="EL13" s="14">
        <f>IFERROR(ABS(AD13),0)</f>
        <v>2.3012252071731778</v>
      </c>
      <c r="EM13" s="14">
        <f>IFERROR(ABS(AG13),0)</f>
        <v>1.1668344483564221</v>
      </c>
      <c r="EN13" s="14">
        <f>IFERROR(ABS(AJ13),0)</f>
        <v>1.0985319440623875</v>
      </c>
      <c r="EO13" s="14">
        <f>IFERROR(ABS(AM13),0)</f>
        <v>1.1395134466388084</v>
      </c>
      <c r="EP13" s="14">
        <f>IFERROR(ABS(AP13),0)</f>
        <v>0.27890189253397396</v>
      </c>
      <c r="EQ13" s="14">
        <f>IFERROR(ABS(AS13),0)</f>
        <v>0.51796065756309462</v>
      </c>
      <c r="ER13" s="14">
        <f>IFERROR(ABS(AV13),0)</f>
        <v>0.26719596019427322</v>
      </c>
      <c r="ES13" s="14">
        <f>IFERROR(ABS(AY13),0)</f>
        <v>0.40747383929626663</v>
      </c>
      <c r="ET13" s="14">
        <f>IFERROR(ABS(BB13),0)</f>
        <v>0.56779141541283051</v>
      </c>
      <c r="EU13" s="14">
        <f>IFERROR(ABS(BE13),0)</f>
        <v>0.67466979949053985</v>
      </c>
      <c r="EV13" s="14">
        <f>IFERROR(ABS(BH13),0)</f>
        <v>0.8238542105990091</v>
      </c>
      <c r="EW13" s="14">
        <f>IFERROR(ABS(BK13),0)</f>
        <v>0</v>
      </c>
      <c r="EX13" s="14">
        <f>IFERROR(ABS(BN13),0)</f>
        <v>0.37382540393639785</v>
      </c>
      <c r="EY13" s="14">
        <f>IFERROR(ABS(BQ13),0)</f>
        <v>0.64869702447786659</v>
      </c>
      <c r="EZ13" s="14">
        <f>IFERROR(ABS(BT13),0)</f>
        <v>0.78943129419509883</v>
      </c>
      <c r="FA13" s="14">
        <f>IFERROR(ABS(BW13),0)</f>
        <v>0.61571243001289033</v>
      </c>
      <c r="FB13" s="14">
        <f>IFERROR(ABS(BZ13),0)</f>
        <v>0.20010653975418941</v>
      </c>
      <c r="FC13" s="14">
        <f>IFERROR(ABS(CC13),0)</f>
        <v>0.25305780873529793</v>
      </c>
      <c r="FD13" s="14">
        <f>IFERROR(ABS(CF13),0)</f>
        <v>0.3601917715575409</v>
      </c>
      <c r="FE13" s="14">
        <f>IFERROR(ABS(CI13),0)</f>
        <v>0.53874837626127914</v>
      </c>
      <c r="FF13" s="14">
        <f>IFERROR(ABS(CL13),0)</f>
        <v>0.60031961926256816</v>
      </c>
      <c r="FG13" s="14">
        <f>IFERROR(ABS(CO13),0)</f>
        <v>0.36898070096748747</v>
      </c>
      <c r="FH13" s="14">
        <f>IFERROR(ABS(CR13),0)</f>
        <v>0.36898070096748747</v>
      </c>
      <c r="FI13" s="14">
        <f>IFERROR(ABS(CU13),0)</f>
        <v>0.36898070096748747</v>
      </c>
      <c r="FJ13" s="14">
        <f>IFERROR(ABS(CX13),0)</f>
        <v>0.40011831286347793</v>
      </c>
      <c r="FK13" s="14">
        <f>IFERROR(ABS(DA13),0)</f>
        <v>0.48730362617225131</v>
      </c>
      <c r="FL13" s="14">
        <f>IFERROR(ABS(DD13),0)</f>
        <v>0.14322469903885399</v>
      </c>
      <c r="FM13" s="14">
        <f>IFERROR(ABS(DG13),0)</f>
        <v>0.15933310039774715</v>
      </c>
      <c r="FN13" s="14">
        <f>IFERROR(ABS(DJ13),0)</f>
        <v>9.8926595301897902E-2</v>
      </c>
      <c r="FO13" s="14">
        <f>IFERROR(ABS(DM13),0)</f>
        <v>4.8587841055356892E-2</v>
      </c>
      <c r="FP13" s="14">
        <f>IFERROR(ABS(#REF!),0)</f>
        <v>0</v>
      </c>
      <c r="FQ13" s="14">
        <f t="shared" si="43"/>
        <v>8.3837704019008294E-2</v>
      </c>
      <c r="FR13" s="14">
        <f t="shared" si="44"/>
        <v>0</v>
      </c>
      <c r="FS13" s="14">
        <f t="shared" si="45"/>
        <v>0</v>
      </c>
      <c r="FT13" s="14">
        <f t="shared" si="46"/>
        <v>0</v>
      </c>
      <c r="FU13" s="14">
        <f t="shared" si="47"/>
        <v>0</v>
      </c>
    </row>
    <row r="14" spans="1:177" ht="12.75" customHeight="1" x14ac:dyDescent="0.35">
      <c r="A14" s="8">
        <v>9</v>
      </c>
      <c r="B14" s="9" t="s">
        <v>195</v>
      </c>
      <c r="C14" s="10">
        <f>'P0Q0 Dasar 2022'!F13</f>
        <v>2.9877791079459301E-2</v>
      </c>
      <c r="D14" s="18">
        <f>IFERROR(AVERAGEIF('Pemetaan Variant'!$A$5:$A$32,$B14,'Pemetaan Variant'!$L$5:$L$32),"n/a")</f>
        <v>25000</v>
      </c>
      <c r="E14" s="10">
        <f>IFERROR(IF(ISNUMBER(D14),(D14-AVERAGEIF('Pemetaan Variant'!$A$5:$A$32,$B14,'Pemetaan Variant'!$D$5:$D$32))/AVERAGEIF('Pemetaan Variant'!$A$5:$A$32,$B14,'Pemetaan Variant'!$D$5:$D$32)*100,"n/a"),"n/a")</f>
        <v>-0.19011406844105774</v>
      </c>
      <c r="F14" s="10">
        <f t="shared" si="0"/>
        <v>-5.6801884181479504E-3</v>
      </c>
      <c r="G14" s="18">
        <f>IFERROR(AVERAGEIF('Pemetaan Variant'!$A$5:$A$32,$B14,'Pemetaan Variant'!$M$5:$M$32),"n/a")</f>
        <v>25000</v>
      </c>
      <c r="H14" s="10">
        <f>IFERROR(IF(ISNUMBER(G14),(G14-AVERAGEIF('Pemetaan Variant'!$A$5:$A$32,$B14,'Pemetaan Variant'!$D$5:$D$32))/AVERAGEIF('Pemetaan Variant'!$A$5:$A$32,$B14,'Pemetaan Variant'!$D$5:$D$32)*100,"n/a"),"n/a")</f>
        <v>-0.19011406844105774</v>
      </c>
      <c r="I14" s="10">
        <f t="shared" si="1"/>
        <v>-5.6801884181479504E-3</v>
      </c>
      <c r="J14" s="18">
        <f>IFERROR(AVERAGEIF('Pemetaan Variant'!$A$5:$A$32,$B14,'Pemetaan Variant'!$N$5:$N$32),"n/a")</f>
        <v>25000</v>
      </c>
      <c r="K14" s="10">
        <f>IFERROR(IF(ISNUMBER(J14),(J14-AVERAGEIF('Pemetaan Variant'!$A$5:$A$32,$B14,'Pemetaan Variant'!$D$5:$D$32))/AVERAGEIF('Pemetaan Variant'!$A$5:$A$32,$B14,'Pemetaan Variant'!$D$5:$D$32)*100,"n/a"),"n/a")</f>
        <v>-0.19011406844105774</v>
      </c>
      <c r="L14" s="10">
        <f t="shared" si="2"/>
        <v>-5.6801884181479504E-3</v>
      </c>
      <c r="M14" s="18">
        <f>IFERROR(AVERAGEIF('Pemetaan Variant'!$A$5:$A$32,$B14,'Pemetaan Variant'!$O$5:$O$32),"n/a")</f>
        <v>25000</v>
      </c>
      <c r="N14" s="10">
        <f>IFERROR(IF(ISNUMBER(M14),(M14-AVERAGEIF('Pemetaan Variant'!$A$5:$A$32,$B14,'Pemetaan Variant'!$D$5:$D$32))/AVERAGEIF('Pemetaan Variant'!$A$5:$A$32,$B14,'Pemetaan Variant'!$D$5:$D$32)*100,"n/a"),"n/a")</f>
        <v>-0.19011406844105774</v>
      </c>
      <c r="O14" s="10">
        <f t="shared" si="3"/>
        <v>-5.6801884181479504E-3</v>
      </c>
      <c r="P14" s="18">
        <f>IFERROR(AVERAGEIF('Pemetaan Variant'!$A$5:$A$32,$B14,'Pemetaan Variant'!$P$5:$P$32),"n/a")</f>
        <v>25000</v>
      </c>
      <c r="Q14" s="10">
        <f>IFERROR(IF(ISNUMBER(P14),(P14-AVERAGEIF('Pemetaan Variant'!$A$5:$A$32,$B14,'Pemetaan Variant'!$D$5:$D$32))/AVERAGEIF('Pemetaan Variant'!$A$5:$A$32,$B14,'Pemetaan Variant'!$D$5:$D$32)*100,"n/a"),"n/a")</f>
        <v>-0.19011406844105774</v>
      </c>
      <c r="R14" s="10">
        <f t="shared" si="4"/>
        <v>-5.6801884181479504E-3</v>
      </c>
      <c r="S14" s="18">
        <f>IFERROR(AVERAGEIF('Pemetaan Variant'!$A$5:$A$32,$B14,'Pemetaan Variant'!$Q$5:$Q$32),"n/a")</f>
        <v>25600</v>
      </c>
      <c r="T14" s="10">
        <f>IFERROR(IF(ISNUMBER(S14),(S14-AVERAGEIF('Pemetaan Variant'!$A$5:$A$32,$B14,'Pemetaan Variant'!$E$5:$E$32))/AVERAGEIF('Pemetaan Variant'!$A$5:$A$32,$B14,'Pemetaan Variant'!$E$5:$E$32)*100,"n/a"),"n/a")</f>
        <v>2.4</v>
      </c>
      <c r="U14" s="10">
        <f t="shared" si="5"/>
        <v>7.170669859070232E-2</v>
      </c>
      <c r="V14" s="18">
        <f>IFERROR(AVERAGEIF('Pemetaan Variant'!$A$5:$A$32,$B14,'Pemetaan Variant'!$R$5:$R$32),"n/a")</f>
        <v>25200</v>
      </c>
      <c r="W14" s="10">
        <f>IFERROR(IF(ISNUMBER(V14),(V14-AVERAGEIF('Pemetaan Variant'!$A$5:$A$32,$B14,'Pemetaan Variant'!$E$5:$E$32))/AVERAGEIF('Pemetaan Variant'!$A$5:$A$32,$B14,'Pemetaan Variant'!$E$5:$E$32)*100,"n/a"),"n/a")</f>
        <v>0.8</v>
      </c>
      <c r="X14" s="10">
        <f t="shared" si="6"/>
        <v>2.3902232863567442E-2</v>
      </c>
      <c r="Y14" s="18">
        <f>IFERROR(AVERAGEIF('Pemetaan Variant'!$A$5:$A$32,$B14,'Pemetaan Variant'!$S$5:$S$32),"n/a")</f>
        <v>27333.333333333332</v>
      </c>
      <c r="Z14" s="10">
        <f>IFERROR(IF(ISNUMBER(Y14),(Y14-AVERAGEIF('Pemetaan Variant'!$A$5:$A$32,$B14,'Pemetaan Variant'!$E$5:$E$32))/AVERAGEIF('Pemetaan Variant'!$A$5:$A$32,$B14,'Pemetaan Variant'!$E$5:$E$32)*100,"n/a"),"n/a")</f>
        <v>9.3333333333333286</v>
      </c>
      <c r="AA14" s="10">
        <f t="shared" si="7"/>
        <v>0.27885938340828664</v>
      </c>
      <c r="AB14" s="18">
        <f>IFERROR(AVERAGEIF('Pemetaan Variant'!$A$5:$A$32,$B14,'Pemetaan Variant'!$T$5:$T$32),"n/a")</f>
        <v>27200</v>
      </c>
      <c r="AC14" s="10">
        <f>IFERROR(IF(ISNUMBER(AB14),(AB14-AVERAGEIF('Pemetaan Variant'!$A$5:$A$32,$B14,'Pemetaan Variant'!$E$5:$E$32))/AVERAGEIF('Pemetaan Variant'!$A$5:$A$32,$B14,'Pemetaan Variant'!$E$5:$E$32)*100,"n/a"),"n/a")</f>
        <v>8.7999999999999989</v>
      </c>
      <c r="AD14" s="10">
        <f t="shared" si="8"/>
        <v>0.26292456149924182</v>
      </c>
      <c r="AE14" s="18">
        <f>IFERROR(AVERAGEIF('Pemetaan Variant'!$A$5:$A$32,$B14,'Pemetaan Variant'!$U$5:$U$32),"n/a")</f>
        <v>28000</v>
      </c>
      <c r="AF14" s="10">
        <f>IFERROR(IF(ISNUMBER(AE14),(AE14-AVERAGEIF('Pemetaan Variant'!$A$5:$A$32,$B14,'Pemetaan Variant'!$F$5:$F$32))/AVERAGEIF('Pemetaan Variant'!$A$5:$A$32,$B14,'Pemetaan Variant'!$F$5:$F$32)*100,"n/a"),"n/a")</f>
        <v>6.7796610169491514</v>
      </c>
      <c r="AG14" s="10">
        <f t="shared" si="9"/>
        <v>0.20256129545396132</v>
      </c>
      <c r="AH14" s="18">
        <f>IFERROR(AVERAGEIF('Pemetaan Variant'!$A$5:$A$32,$B14,'Pemetaan Variant'!$V$5:$V$32),"n/a")</f>
        <v>28100</v>
      </c>
      <c r="AI14" s="10">
        <f>IFERROR(IF(ISNUMBER(AH14),(AH14-AVERAGEIF('Pemetaan Variant'!$A$5:$A$32,$B14,'Pemetaan Variant'!$F$5:$F$32))/AVERAGEIF('Pemetaan Variant'!$A$5:$A$32,$B14,'Pemetaan Variant'!$F$5:$F$32)*100,"n/a"),"n/a")</f>
        <v>7.1610169491525406</v>
      </c>
      <c r="AJ14" s="10">
        <f t="shared" si="10"/>
        <v>0.21395536832324663</v>
      </c>
      <c r="AK14" s="18">
        <f>IFERROR(AVERAGEIF('Pemetaan Variant'!$A$5:$A$32,$B14,'Pemetaan Variant'!$W$5:$W$32),"n/a")</f>
        <v>28000</v>
      </c>
      <c r="AL14" s="10">
        <f>IFERROR(IF(ISNUMBER(AK14),(AK14-AVERAGEIF('Pemetaan Variant'!$A$5:$A$32,$B14,'Pemetaan Variant'!$F$5:$F$32))/AVERAGEIF('Pemetaan Variant'!$A$5:$A$32,$B14,'Pemetaan Variant'!$F$5:$F$32)*100,"n/a"),"n/a")</f>
        <v>6.7796610169491514</v>
      </c>
      <c r="AM14" s="10">
        <f t="shared" si="11"/>
        <v>0.20256129545396132</v>
      </c>
      <c r="AN14" s="18">
        <f>IFERROR(AVERAGEIF('Pemetaan Variant'!$A$5:$A$32,$B14,'Pemetaan Variant'!$X$5:$X$32),"n/a")</f>
        <v>27833.333333333332</v>
      </c>
      <c r="AO14" s="10">
        <f>IFERROR(IF(ISNUMBER(AN14),(AN14-AVERAGEIF('Pemetaan Variant'!$A$5:$A$32,$B14,'Pemetaan Variant'!$F$5:$F$32))/AVERAGEIF('Pemetaan Variant'!$A$5:$A$32,$B14,'Pemetaan Variant'!$F$5:$F$32)*100,"n/a"),"n/a")</f>
        <v>6.1440677966101633</v>
      </c>
      <c r="AP14" s="10">
        <f t="shared" si="12"/>
        <v>0.1835711740051523</v>
      </c>
      <c r="AQ14" s="18">
        <f>IFERROR(AVERAGEIF('Pemetaan Variant'!$A$5:$A$32,$B14,'Pemetaan Variant'!$Y$5:$Y$32),"n/a")</f>
        <v>27500</v>
      </c>
      <c r="AR14" s="10">
        <f>IFERROR(IF(ISNUMBER(AQ14),(AQ14-AVERAGEIF('Pemetaan Variant'!$A$5:$A$32,$B14,'Pemetaan Variant'!$F$5:$F$32))/AVERAGEIF('Pemetaan Variant'!$A$5:$A$32,$B14,'Pemetaan Variant'!$F$5:$F$32)*100,"n/a"),"n/a")</f>
        <v>4.8728813559322015</v>
      </c>
      <c r="AS14" s="10">
        <f t="shared" si="13"/>
        <v>0.14559093110753468</v>
      </c>
      <c r="AT14" s="18">
        <f>IFERROR(AVERAGEIF('Pemetaan Variant'!$A$5:$A$32,$B14,'Pemetaan Variant'!$Z$5:$Z$32),"n/a")</f>
        <v>26500</v>
      </c>
      <c r="AU14" s="10">
        <f>IFERROR(IF(ISNUMBER(AT14),(AT14-AVERAGEIF('Pemetaan Variant'!$A$5:$A$32,$B14,'Pemetaan Variant'!$G$5:$G$32))/AVERAGEIF('Pemetaan Variant'!$A$5:$A$32,$B14,'Pemetaan Variant'!$G$5:$G$32)*100,"n/a"),"n/a")</f>
        <v>-5.1878354203935597</v>
      </c>
      <c r="AV14" s="10">
        <f t="shared" si="14"/>
        <v>-0.1550010628451377</v>
      </c>
      <c r="AW14" s="18">
        <f>IFERROR(AVERAGEIF('Pemetaan Variant'!$A$5:$A$32,$B14,'Pemetaan Variant'!$AA$5:$AA$32),"n/a")</f>
        <v>25800</v>
      </c>
      <c r="AX14" s="10">
        <f>IFERROR(IF(ISNUMBER(AW14),(AW14-AVERAGEIF('Pemetaan Variant'!$A$5:$A$32,$B14,'Pemetaan Variant'!$G$5:$G$32))/AVERAGEIF('Pemetaan Variant'!$A$5:$A$32,$B14,'Pemetaan Variant'!$G$5:$G$32)*100,"n/a"),"n/a")</f>
        <v>-7.6923076923076925</v>
      </c>
      <c r="AY14" s="10">
        <f t="shared" si="15"/>
        <v>-0.22982916214968693</v>
      </c>
      <c r="AZ14" s="18">
        <f>IFERROR(AVERAGEIF('Pemetaan Variant'!$A$5:$A$32,$B14,'Pemetaan Variant'!$AB$5:$AB$32),"n/a")</f>
        <v>25900</v>
      </c>
      <c r="BA14" s="10">
        <f>IFERROR(IF(ISNUMBER(AZ14),(AZ14-AVERAGEIF('Pemetaan Variant'!$A$5:$A$32,$B14,'Pemetaan Variant'!$G$5:$G$32))/AVERAGEIF('Pemetaan Variant'!$A$5:$A$32,$B14,'Pemetaan Variant'!$G$5:$G$32)*100,"n/a"),"n/a")</f>
        <v>-7.3345259391771016</v>
      </c>
      <c r="BB14" s="10">
        <f t="shared" si="16"/>
        <v>-0.21913943367760846</v>
      </c>
      <c r="BC14" s="18">
        <f>IFERROR(AVERAGEIF('Pemetaan Variant'!$A$5:$A$32,$B14,'Pemetaan Variant'!$AC$5:$AC$32),"n/a")</f>
        <v>25600</v>
      </c>
      <c r="BD14" s="10">
        <f>IFERROR(IF(ISNUMBER(BC14),(BC14-AVERAGEIF('Pemetaan Variant'!$A$5:$A$32,$B14,'Pemetaan Variant'!$G$5:$G$32))/AVERAGEIF('Pemetaan Variant'!$A$5:$A$32,$B14,'Pemetaan Variant'!$G$5:$G$32)*100,"n/a"),"n/a")</f>
        <v>-8.4078711985688734</v>
      </c>
      <c r="BE14" s="10">
        <f t="shared" si="17"/>
        <v>-0.25120861909384384</v>
      </c>
      <c r="BF14" s="18">
        <f>IFERROR(AVERAGEIF('Pemetaan Variant'!$A$5:$A$32,$B14,'Pemetaan Variant'!$AD$5:$AD$32),"n/a")</f>
        <v>25000</v>
      </c>
      <c r="BG14" s="10">
        <f>IFERROR(IF(ISNUMBER(BF14),(BF14-AVERAGEIF('Pemetaan Variant'!$A$5:$A$32,$B14,'Pemetaan Variant'!$G$5:$G$32))/AVERAGEIF('Pemetaan Variant'!$A$5:$A$32,$B14,'Pemetaan Variant'!$G$5:$G$32)*100,"n/a"),"n/a")</f>
        <v>-10.554561717352415</v>
      </c>
      <c r="BH14" s="10">
        <f t="shared" si="18"/>
        <v>-0.31534698992631466</v>
      </c>
      <c r="BI14" s="18" t="str">
        <f>IFERROR(AVERAGEIF('Pemetaan Variant'!$A$5:$A$32,$B14,'Pemetaan Variant'!$AE$5:$AE$32),"n/a")</f>
        <v>n/a</v>
      </c>
      <c r="BJ14" s="10" t="str">
        <f>IFERROR(IF(ISNUMBER(BI14),(BI14-AVERAGEIF('Pemetaan Variant'!$A$5:$A$32,$B14,'Pemetaan Variant'!$H$5:$H$32))/AVERAGEIF('Pemetaan Variant'!$A$5:$A$32,$B14,'Pemetaan Variant'!$H$5:$H$32)*100,"n/a"),"n/a")</f>
        <v>n/a</v>
      </c>
      <c r="BK14" s="10" t="str">
        <f t="shared" si="19"/>
        <v>n/a</v>
      </c>
      <c r="BL14" s="18">
        <f>IFERROR(AVERAGEIF('Pemetaan Variant'!$A$5:$A$32,$B14,'Pemetaan Variant'!$AF$5:$AF$32),"n/a")</f>
        <v>25000</v>
      </c>
      <c r="BM14" s="10">
        <f>IFERROR(IF(ISNUMBER(BL14),(BL14-AVERAGEIF('Pemetaan Variant'!$A$5:$A$32,$B14,'Pemetaan Variant'!$H$5:$H$32))/AVERAGEIF('Pemetaan Variant'!$A$5:$A$32,$B14,'Pemetaan Variant'!$H$5:$H$32)*100,"n/a"),"n/a")</f>
        <v>-2.6876737720111228</v>
      </c>
      <c r="BN14" s="10">
        <f t="shared" si="20"/>
        <v>-8.0301755449890655E-2</v>
      </c>
      <c r="BO14" s="18">
        <f>IFERROR(AVERAGEIF('Pemetaan Variant'!$A$5:$A$32,$B14,'Pemetaan Variant'!$AG$5:$AG$32),"n/a")</f>
        <v>24833.333333333332</v>
      </c>
      <c r="BP14" s="10">
        <f>IFERROR(IF(ISNUMBER(BO14),(BO14-AVERAGEIF('Pemetaan Variant'!$A$5:$A$32,$B14,'Pemetaan Variant'!$H$5:$H$32))/AVERAGEIF('Pemetaan Variant'!$A$5:$A$32,$B14,'Pemetaan Variant'!$H$5:$H$32)*100,"n/a"),"n/a")</f>
        <v>-3.3364226135310528</v>
      </c>
      <c r="BQ14" s="10">
        <f t="shared" si="21"/>
        <v>-9.9684937799864384E-2</v>
      </c>
      <c r="BR14" s="18">
        <f>IFERROR(AVERAGEIF('Pemetaan Variant'!$A$5:$A$32,$B14,'Pemetaan Variant'!$AH$5:$AH$32),"n/a")</f>
        <v>24000</v>
      </c>
      <c r="BS14" s="10">
        <f>IFERROR(IF(ISNUMBER(BR14),(BR14-AVERAGEIF('Pemetaan Variant'!$A$5:$A$32,$B14,'Pemetaan Variant'!$H$5:$H$32))/AVERAGEIF('Pemetaan Variant'!$A$5:$A$32,$B14,'Pemetaan Variant'!$H$5:$H$32)*100,"n/a"),"n/a")</f>
        <v>-6.5801668211306774</v>
      </c>
      <c r="BT14" s="10">
        <f t="shared" si="22"/>
        <v>-0.19660084954973223</v>
      </c>
      <c r="BU14" s="18">
        <f>IFERROR(AVERAGEIF('Pemetaan Variant'!$A$5:$A$32,$B14,'Pemetaan Variant'!$AI$5:$AI$32),"n/a")</f>
        <v>25000</v>
      </c>
      <c r="BV14" s="10">
        <f>IFERROR(IF(ISNUMBER(BU14),(BU14-AVERAGEIF('Pemetaan Variant'!$A$5:$A$32,$B14,'Pemetaan Variant'!$H$5:$H$32))/AVERAGEIF('Pemetaan Variant'!$A$5:$A$32,$B14,'Pemetaan Variant'!$H$5:$H$32)*100,"n/a"),"n/a")</f>
        <v>-2.6876737720111228</v>
      </c>
      <c r="BW14" s="10">
        <f t="shared" si="23"/>
        <v>-8.0301755449890655E-2</v>
      </c>
      <c r="BX14" s="18">
        <f>IFERROR(AVERAGEIF('Pemetaan Variant'!$A$5:$A$32,$B14,'Pemetaan Variant'!$AJ$5:$AJ$32),"n/a")</f>
        <v>24000</v>
      </c>
      <c r="BY14" s="10">
        <f>IFERROR(IF(ISNUMBER(BX14),(BX14-AVERAGEIF('Pemetaan Variant'!$A$5:$A$32,$B14,'Pemetaan Variant'!$I$5:$I$32))/AVERAGEIF('Pemetaan Variant'!$A$5:$A$32,$B14,'Pemetaan Variant'!$I$5:$I$32)*100,"n/a"),"n/a")</f>
        <v>-2.6615969581749046</v>
      </c>
      <c r="BZ14" s="10">
        <f t="shared" si="24"/>
        <v>-7.952263785407418E-2</v>
      </c>
      <c r="CA14" s="18">
        <f>IFERROR(AVERAGEIF('Pemetaan Variant'!$A$5:$A$32,$B14,'Pemetaan Variant'!$AK$5:$AK$32),"n/a")</f>
        <v>24200</v>
      </c>
      <c r="CB14" s="10">
        <f>IFERROR(IF(ISNUMBER(CA14),(CA14-AVERAGEIF('Pemetaan Variant'!$A$5:$A$32,$B14,'Pemetaan Variant'!$I$5:$I$32))/AVERAGEIF('Pemetaan Variant'!$A$5:$A$32,$B14,'Pemetaan Variant'!$I$5:$I$32)*100,"n/a"),"n/a")</f>
        <v>-1.8504435994930291</v>
      </c>
      <c r="CC14" s="10">
        <f t="shared" si="25"/>
        <v>-5.5287167269975381E-2</v>
      </c>
      <c r="CD14" s="18">
        <f>IFERROR(AVERAGEIF('Pemetaan Variant'!$A$5:$A$32,$B14,'Pemetaan Variant'!$AL$5:$AL$32),"n/a")</f>
        <v>23875</v>
      </c>
      <c r="CE14" s="10">
        <f>IFERROR(IF(ISNUMBER(CD14),(CD14-AVERAGEIF('Pemetaan Variant'!$A$5:$A$32,$B14,'Pemetaan Variant'!$I$5:$I$32))/AVERAGEIF('Pemetaan Variant'!$A$5:$A$32,$B14,'Pemetaan Variant'!$I$5:$I$32)*100,"n/a"),"n/a")</f>
        <v>-3.1685678073510775</v>
      </c>
      <c r="CF14" s="10">
        <f t="shared" si="26"/>
        <v>-9.4669806969135933E-2</v>
      </c>
      <c r="CG14" s="18">
        <f>IFERROR(AVERAGEIF('Pemetaan Variant'!$A$5:$A$32,$B14,'Pemetaan Variant'!$AM$5:$AM$32),"n/a")</f>
        <v>23000</v>
      </c>
      <c r="CH14" s="10">
        <f>IFERROR(IF(ISNUMBER(CG14),(CG14-AVERAGEIF('Pemetaan Variant'!$A$5:$A$32,$B14,'Pemetaan Variant'!$I$5:$I$32))/AVERAGEIF('Pemetaan Variant'!$A$5:$A$32,$B14,'Pemetaan Variant'!$I$5:$I$32)*100,"n/a"),"n/a")</f>
        <v>-6.7173637515842834</v>
      </c>
      <c r="CI14" s="10">
        <f t="shared" si="27"/>
        <v>-0.20069999077456815</v>
      </c>
      <c r="CJ14" s="18">
        <f>IFERROR(AVERAGEIF('Pemetaan Variant'!$A$5:$A$32,$B14,'Pemetaan Variant'!$AN$5:$AN$32),"n/a")</f>
        <v>23000</v>
      </c>
      <c r="CK14" s="10">
        <f>IFERROR(IF(ISNUMBER(CJ14),(CJ14-AVERAGEIF('Pemetaan Variant'!$A$5:$A$32,$B14,'Pemetaan Variant'!$I$5:$I$32))/AVERAGEIF('Pemetaan Variant'!$A$5:$A$32,$B14,'Pemetaan Variant'!$I$5:$I$32)*100,"n/a"),"n/a")</f>
        <v>-6.7173637515842834</v>
      </c>
      <c r="CL14" s="10">
        <f t="shared" si="28"/>
        <v>-0.20069999077456815</v>
      </c>
      <c r="CM14" s="18">
        <f>IFERROR(AVERAGEIF('Pemetaan Variant'!$A$5:$A$32,$B14,'Pemetaan Variant'!$AO$5:$AO$32),"n/a")</f>
        <v>23000</v>
      </c>
      <c r="CN14" s="10">
        <f>IFERROR(IF(ISNUMBER(CM14),(CM14-AVERAGEIF('Pemetaan Variant'!$A$5:$A$32,$B14,'Pemetaan Variant'!$J$5:$J$32))/AVERAGEIF('Pemetaan Variant'!$A$5:$A$32,$B14,'Pemetaan Variant'!$J$5:$J$32)*100,"n/a"),"n/a")</f>
        <v>-2.8511087645195352</v>
      </c>
      <c r="CO14" s="10">
        <f t="shared" si="29"/>
        <v>-8.5184832011130002E-2</v>
      </c>
      <c r="CP14" s="18">
        <f>IFERROR(AVERAGEIF('Pemetaan Variant'!$A$5:$A$32,$B14,'Pemetaan Variant'!$AP$5:$AP$32),"n/a")</f>
        <v>22500</v>
      </c>
      <c r="CQ14" s="10">
        <f>IFERROR(IF(ISNUMBER(CP14),(CP14-AVERAGEIF('Pemetaan Variant'!$A$5:$A$32,$B14,'Pemetaan Variant'!$J$5:$J$32))/AVERAGEIF('Pemetaan Variant'!$A$5:$A$32,$B14,'Pemetaan Variant'!$J$5:$J$32)*100,"n/a"),"n/a")</f>
        <v>-4.9630411826821543</v>
      </c>
      <c r="CR14" s="10">
        <f t="shared" si="30"/>
        <v>-0.14828470757493001</v>
      </c>
      <c r="CS14" s="18">
        <f>IFERROR(AVERAGEIF('Pemetaan Variant'!$A$5:$A$32,$B14,'Pemetaan Variant'!$AQ$5:$AQ$32),"n/a")</f>
        <v>22500</v>
      </c>
      <c r="CT14" s="10">
        <f>IFERROR(IF(ISNUMBER(CS14),(CS14-AVERAGEIF('Pemetaan Variant'!$A$5:$A$32,$B14,'Pemetaan Variant'!$J$5:$J$32))/AVERAGEIF('Pemetaan Variant'!$A$5:$A$32,$B14,'Pemetaan Variant'!$J$5:$J$32)*100,"n/a"),"n/a")</f>
        <v>-4.9630411826821543</v>
      </c>
      <c r="CU14" s="10">
        <f t="shared" si="31"/>
        <v>-0.14828470757493001</v>
      </c>
      <c r="CV14" s="18">
        <f>IFERROR(AVERAGEIF('Pemetaan Variant'!$A$5:$A$32,$B14,'Pemetaan Variant'!$AR$5:$AR$32),"n/a")</f>
        <v>22800</v>
      </c>
      <c r="CW14" s="10">
        <f>IFERROR(IF(ISNUMBER(CV14),(CV14-AVERAGEIF('Pemetaan Variant'!$A$5:$A$32,$B14,'Pemetaan Variant'!$J$5:$J$32))/AVERAGEIF('Pemetaan Variant'!$A$5:$A$32,$B14,'Pemetaan Variant'!$J$5:$J$32)*100,"n/a"),"n/a")</f>
        <v>-3.6958817317845831</v>
      </c>
      <c r="CX14" s="10">
        <f t="shared" si="32"/>
        <v>-0.11042478223665</v>
      </c>
      <c r="CY14" s="18">
        <f>IFERROR(AVERAGEIF('Pemetaan Variant'!$A$5:$A$32,$B14,'Pemetaan Variant'!$AS$5:$AS$32),"n/a")</f>
        <v>23100</v>
      </c>
      <c r="CZ14" s="10">
        <f>IFERROR(IF(ISNUMBER(CY14),(CY14-AVERAGEIF('Pemetaan Variant'!$A$5:$A$32,$B14,'Pemetaan Variant'!$J$5:$J$32))/AVERAGEIF('Pemetaan Variant'!$A$5:$A$32,$B14,'Pemetaan Variant'!$J$5:$J$32)*100,"n/a"),"n/a")</f>
        <v>-2.4287222808870119</v>
      </c>
      <c r="DA14" s="10">
        <f t="shared" si="33"/>
        <v>-7.2564856898370014E-2</v>
      </c>
      <c r="DB14" s="18">
        <f>IFERROR(AVERAGEIF('Pemetaan Variant'!$A$5:$A$32,$B14,'Pemetaan Variant'!$AT$5:$AT$32),"n/a")</f>
        <v>22200</v>
      </c>
      <c r="DC14" s="10">
        <f>IFERROR(IF(ISNUMBER(DB14),(DB14-AVERAGEIF('Pemetaan Variant'!$A$5:$A$32,$B14,'Pemetaan Variant'!$K$5:$K$32))/AVERAGEIF('Pemetaan Variant'!$A$5:$A$32,$B14,'Pemetaan Variant'!$K$5:$K$32)*100,"n/a"),"n/a")</f>
        <v>-2.4641833810888278</v>
      </c>
      <c r="DD14" s="10">
        <f t="shared" si="34"/>
        <v>-7.3624356241647634E-2</v>
      </c>
      <c r="DE14" s="18">
        <f>IFERROR(AVERAGEIF('Pemetaan Variant'!$A$5:$A$32,$B14,'Pemetaan Variant'!$AU$5:$AU$32),"n/a")</f>
        <v>22000</v>
      </c>
      <c r="DF14" s="10">
        <f>IFERROR(IF(ISNUMBER(DE14),(DE14-AVERAGEIF('Pemetaan Variant'!$A$5:$A$32,$B14,'Pemetaan Variant'!$K$5:$K$32))/AVERAGEIF('Pemetaan Variant'!$A$5:$A$32,$B14,'Pemetaan Variant'!$K$5:$K$32)*100,"n/a"),"n/a")</f>
        <v>-3.3428844317096496</v>
      </c>
      <c r="DG14" s="10">
        <f t="shared" si="35"/>
        <v>-9.987800265339794E-2</v>
      </c>
      <c r="DH14" s="18">
        <f>IFERROR(AVERAGEIF('Pemetaan Variant'!$A$5:$A$32,$B14,'Pemetaan Variant'!$AV$5:$AV$32),"n/a")</f>
        <v>22000</v>
      </c>
      <c r="DI14" s="10">
        <f>IFERROR(IF(ISNUMBER(DH14),(DH14-AVERAGEIF('Pemetaan Variant'!$A$5:$A$32,$B14,'Pemetaan Variant'!$K$5:$K$32))/AVERAGEIF('Pemetaan Variant'!$A$5:$A$32,$B14,'Pemetaan Variant'!$K$5:$K$32)*100,"n/a"),"n/a")</f>
        <v>-3.3428844317096496</v>
      </c>
      <c r="DJ14" s="10">
        <f t="shared" si="36"/>
        <v>-9.987800265339794E-2</v>
      </c>
      <c r="DK14" s="18">
        <f>IFERROR(AVERAGEIF('Pemetaan Variant'!$A$5:$A$32,$B14,'Pemetaan Variant'!$AW$5:$AW$32),"n/a")</f>
        <v>22750</v>
      </c>
      <c r="DL14" s="10">
        <f>IFERROR(IF(ISNUMBER(DK14),(DK14-AVERAGEIF('Pemetaan Variant'!$A$5:$A$32,$B14,'Pemetaan Variant'!$K$5:$K$32))/AVERAGEIF('Pemetaan Variant'!$A$5:$A$32,$B14,'Pemetaan Variant'!$K$5:$K$32)*100,"n/a"),"n/a")</f>
        <v>-4.7755491881569162E-2</v>
      </c>
      <c r="DM14" s="10">
        <f t="shared" si="37"/>
        <v>-1.4268286093343382E-3</v>
      </c>
      <c r="DN14" s="19">
        <f>IFERROR(AVERAGEIF('Pemetaan Variant'!$A$5:$A$32,$B14,'Pemetaan Variant'!$AZ$5:$AZ$32),"n/a")</f>
        <v>23000</v>
      </c>
      <c r="DO14" s="14">
        <f>IFERROR(IF(ISNUMBER(DN14),(DN14-AVERAGEIF('Pemetaan Variant'!$A$5:$A$32,$B14,'Pemetaan Variant'!$AY$5:$AY$32))/AVERAGEIF('Pemetaan Variant'!$A$5:$A$32,$B14,'Pemetaan Variant'!$AY$5:$AY$32)*100,"n/a"),"n/a")</f>
        <v>3.4999999999999982</v>
      </c>
      <c r="DP14" s="14">
        <f t="shared" si="38"/>
        <v>0.1045722687781075</v>
      </c>
      <c r="DQ14" s="19" t="str">
        <f>IFERROR(AVERAGEIF('Pemetaan Variant'!$A$5:$A$32,$B14,'Pemetaan Variant'!$BA$5:$BA$32),"n/a")</f>
        <v>n/a</v>
      </c>
      <c r="DR14" s="14" t="str">
        <f>IFERROR(IF(ISNUMBER(DQ14),(DQ14-AVERAGEIF('Pemetaan Variant'!$A$5:$A$32,$B14,'Pemetaan Variant'!$AY$5:$AY$32))/AVERAGEIF('Pemetaan Variant'!$A$5:$A$32,$B14,'Pemetaan Variant'!$AY$5:$AY$32)*100,"n/a"),"n/a")</f>
        <v>n/a</v>
      </c>
      <c r="DS14" s="14" t="str">
        <f t="shared" si="39"/>
        <v>n/a</v>
      </c>
      <c r="DT14" s="19" t="str">
        <f>IFERROR(AVERAGEIF('Pemetaan Variant'!$A$5:$A$32,$B14,'Pemetaan Variant'!$BB$5:$BB$32),"n/a")</f>
        <v>n/a</v>
      </c>
      <c r="DU14" s="14" t="str">
        <f>IFERROR(IF(ISNUMBER(DT14),(DT14-AVERAGEIF('Pemetaan Variant'!$A$5:$A$32,$B14,'Pemetaan Variant'!$AY$5:$AY$32))/AVERAGEIF('Pemetaan Variant'!$A$5:$A$32,$B14,'Pemetaan Variant'!$AY$5:$AY$32)*100,"n/a"),"n/a")</f>
        <v>n/a</v>
      </c>
      <c r="DV14" s="14" t="str">
        <f t="shared" si="40"/>
        <v>n/a</v>
      </c>
      <c r="DW14" s="19" t="str">
        <f>IFERROR(AVERAGEIF('Pemetaan Variant'!$A$5:$A$32,$B14,'Pemetaan Variant'!$BC$5:$BC$32),"n/a")</f>
        <v>n/a</v>
      </c>
      <c r="DX14" s="14" t="str">
        <f>IFERROR(IF(ISNUMBER(DW14),(DW14-AVERAGEIF('Pemetaan Variant'!$A$5:$A$32,$B14,'Pemetaan Variant'!$AY$5:$AY$32))/AVERAGEIF('Pemetaan Variant'!$A$5:$A$32,$B14,'Pemetaan Variant'!$AY$5:$AY$32)*100,"n/a"),"n/a")</f>
        <v>n/a</v>
      </c>
      <c r="DY14" s="14" t="str">
        <f t="shared" si="41"/>
        <v>n/a</v>
      </c>
      <c r="DZ14" s="19" t="str">
        <f>IFERROR(AVERAGEIF('Pemetaan Variant'!$A$5:$A$32,$B14,'Pemetaan Variant'!$BD$5:$BD$32),"n/a")</f>
        <v>n/a</v>
      </c>
      <c r="EA14" s="14" t="str">
        <f>IFERROR(IF(ISNUMBER(DZ14),(DZ14-AVERAGEIF('Pemetaan Variant'!$A$5:$A$32,$B14,'Pemetaan Variant'!$AY$5:$AY$32))/AVERAGEIF('Pemetaan Variant'!$A$5:$A$32,$B14,'Pemetaan Variant'!$AY$5:$AY$32)*100,"n/a"),"n/a")</f>
        <v>n/a</v>
      </c>
      <c r="EB14" s="14" t="str">
        <f t="shared" si="42"/>
        <v>n/a</v>
      </c>
      <c r="ED14" s="14">
        <f>IFERROR(ABS(F14),0)</f>
        <v>5.6801884181479504E-3</v>
      </c>
      <c r="EE14" s="14">
        <f>IFERROR(ABS(I14),0)</f>
        <v>5.6801884181479504E-3</v>
      </c>
      <c r="EF14" s="14">
        <f>IFERROR(ABS(L14),0)</f>
        <v>5.6801884181479504E-3</v>
      </c>
      <c r="EG14" s="14">
        <f>IFERROR(ABS(O14),0)</f>
        <v>5.6801884181479504E-3</v>
      </c>
      <c r="EH14" s="14">
        <f>IFERROR(ABS(R14),0)</f>
        <v>5.6801884181479504E-3</v>
      </c>
      <c r="EI14" s="14">
        <f>IFERROR(ABS(U14),0)</f>
        <v>7.170669859070232E-2</v>
      </c>
      <c r="EJ14" s="14">
        <f>IFERROR(ABS(X14),0)</f>
        <v>2.3902232863567442E-2</v>
      </c>
      <c r="EK14" s="14">
        <f>IFERROR(ABS(AA14),0)</f>
        <v>0.27885938340828664</v>
      </c>
      <c r="EL14" s="14">
        <f>IFERROR(ABS(AD14),0)</f>
        <v>0.26292456149924182</v>
      </c>
      <c r="EM14" s="14">
        <f>IFERROR(ABS(AG14),0)</f>
        <v>0.20256129545396132</v>
      </c>
      <c r="EN14" s="14">
        <f>IFERROR(ABS(AJ14),0)</f>
        <v>0.21395536832324663</v>
      </c>
      <c r="EO14" s="14">
        <f>IFERROR(ABS(AM14),0)</f>
        <v>0.20256129545396132</v>
      </c>
      <c r="EP14" s="14">
        <f>IFERROR(ABS(AP14),0)</f>
        <v>0.1835711740051523</v>
      </c>
      <c r="EQ14" s="14">
        <f>IFERROR(ABS(AS14),0)</f>
        <v>0.14559093110753468</v>
      </c>
      <c r="ER14" s="14">
        <f>IFERROR(ABS(AV14),0)</f>
        <v>0.1550010628451377</v>
      </c>
      <c r="ES14" s="14">
        <f>IFERROR(ABS(AY14),0)</f>
        <v>0.22982916214968693</v>
      </c>
      <c r="ET14" s="14">
        <f>IFERROR(ABS(BB14),0)</f>
        <v>0.21913943367760846</v>
      </c>
      <c r="EU14" s="14">
        <f>IFERROR(ABS(BE14),0)</f>
        <v>0.25120861909384384</v>
      </c>
      <c r="EV14" s="14">
        <f>IFERROR(ABS(BH14),0)</f>
        <v>0.31534698992631466</v>
      </c>
      <c r="EW14" s="14">
        <f>IFERROR(ABS(BK14),0)</f>
        <v>0</v>
      </c>
      <c r="EX14" s="14">
        <f>IFERROR(ABS(BN14),0)</f>
        <v>8.0301755449890655E-2</v>
      </c>
      <c r="EY14" s="14">
        <f>IFERROR(ABS(BQ14),0)</f>
        <v>9.9684937799864384E-2</v>
      </c>
      <c r="EZ14" s="14">
        <f>IFERROR(ABS(BT14),0)</f>
        <v>0.19660084954973223</v>
      </c>
      <c r="FA14" s="14">
        <f>IFERROR(ABS(BW14),0)</f>
        <v>8.0301755449890655E-2</v>
      </c>
      <c r="FB14" s="14">
        <f>IFERROR(ABS(BZ14),0)</f>
        <v>7.952263785407418E-2</v>
      </c>
      <c r="FC14" s="14">
        <f>IFERROR(ABS(CC14),0)</f>
        <v>5.5287167269975381E-2</v>
      </c>
      <c r="FD14" s="14">
        <f>IFERROR(ABS(CF14),0)</f>
        <v>9.4669806969135933E-2</v>
      </c>
      <c r="FE14" s="14">
        <f>IFERROR(ABS(CI14),0)</f>
        <v>0.20069999077456815</v>
      </c>
      <c r="FF14" s="14">
        <f>IFERROR(ABS(CL14),0)</f>
        <v>0.20069999077456815</v>
      </c>
      <c r="FG14" s="14">
        <f>IFERROR(ABS(CO14),0)</f>
        <v>8.5184832011130002E-2</v>
      </c>
      <c r="FH14" s="14">
        <f>IFERROR(ABS(CR14),0)</f>
        <v>0.14828470757493001</v>
      </c>
      <c r="FI14" s="14">
        <f>IFERROR(ABS(CU14),0)</f>
        <v>0.14828470757493001</v>
      </c>
      <c r="FJ14" s="14">
        <f>IFERROR(ABS(CX14),0)</f>
        <v>0.11042478223665</v>
      </c>
      <c r="FK14" s="14">
        <f>IFERROR(ABS(DA14),0)</f>
        <v>7.2564856898370014E-2</v>
      </c>
      <c r="FL14" s="14">
        <f>IFERROR(ABS(DD14),0)</f>
        <v>7.3624356241647634E-2</v>
      </c>
      <c r="FM14" s="14">
        <f>IFERROR(ABS(DG14),0)</f>
        <v>9.987800265339794E-2</v>
      </c>
      <c r="FN14" s="14">
        <f>IFERROR(ABS(DJ14),0)</f>
        <v>9.987800265339794E-2</v>
      </c>
      <c r="FO14" s="14">
        <f>IFERROR(ABS(DM14),0)</f>
        <v>1.4268286093343382E-3</v>
      </c>
      <c r="FP14" s="14">
        <f>IFERROR(ABS(#REF!),0)</f>
        <v>0</v>
      </c>
      <c r="FQ14" s="14">
        <f t="shared" si="43"/>
        <v>0.1045722687781075</v>
      </c>
      <c r="FR14" s="14">
        <f t="shared" si="44"/>
        <v>0</v>
      </c>
      <c r="FS14" s="14">
        <f t="shared" si="45"/>
        <v>0</v>
      </c>
      <c r="FT14" s="14">
        <f t="shared" si="46"/>
        <v>0</v>
      </c>
      <c r="FU14" s="14">
        <f t="shared" si="47"/>
        <v>0</v>
      </c>
    </row>
    <row r="15" spans="1:177" ht="12.75" customHeight="1" x14ac:dyDescent="0.35">
      <c r="A15" s="8">
        <v>10</v>
      </c>
      <c r="B15" s="9" t="s">
        <v>196</v>
      </c>
      <c r="C15" s="10">
        <f>'P0Q0 Dasar 2022'!F14</f>
        <v>1.93652206786879E-2</v>
      </c>
      <c r="D15" s="18">
        <f>IFERROR(AVERAGEIF('Pemetaan Variant'!$A$5:$A$32,$B15,'Pemetaan Variant'!$L$5:$L$32),"n/a")</f>
        <v>15000</v>
      </c>
      <c r="E15" s="10">
        <f>IFERROR(IF(ISNUMBER(D15),(D15-AVERAGEIF('Pemetaan Variant'!$A$5:$A$32,$B15,'Pemetaan Variant'!$D$5:$D$32))/AVERAGEIF('Pemetaan Variant'!$A$5:$A$32,$B15,'Pemetaan Variant'!$D$5:$D$32)*100,"n/a"),"n/a")</f>
        <v>0</v>
      </c>
      <c r="F15" s="10">
        <f t="shared" si="0"/>
        <v>0</v>
      </c>
      <c r="G15" s="18">
        <f>IFERROR(AVERAGEIF('Pemetaan Variant'!$A$5:$A$32,$B15,'Pemetaan Variant'!$M$5:$M$32),"n/a")</f>
        <v>15000</v>
      </c>
      <c r="H15" s="10">
        <f>IFERROR(IF(ISNUMBER(G15),(G15-AVERAGEIF('Pemetaan Variant'!$A$5:$A$32,$B15,'Pemetaan Variant'!$D$5:$D$32))/AVERAGEIF('Pemetaan Variant'!$A$5:$A$32,$B15,'Pemetaan Variant'!$D$5:$D$32)*100,"n/a"),"n/a")</f>
        <v>0</v>
      </c>
      <c r="I15" s="10">
        <f t="shared" si="1"/>
        <v>0</v>
      </c>
      <c r="J15" s="18">
        <f>IFERROR(AVERAGEIF('Pemetaan Variant'!$A$5:$A$32,$B15,'Pemetaan Variant'!$N$5:$N$32),"n/a")</f>
        <v>15000</v>
      </c>
      <c r="K15" s="10">
        <f>IFERROR(IF(ISNUMBER(J15),(J15-AVERAGEIF('Pemetaan Variant'!$A$5:$A$32,$B15,'Pemetaan Variant'!$D$5:$D$32))/AVERAGEIF('Pemetaan Variant'!$A$5:$A$32,$B15,'Pemetaan Variant'!$D$5:$D$32)*100,"n/a"),"n/a")</f>
        <v>0</v>
      </c>
      <c r="L15" s="10">
        <f t="shared" si="2"/>
        <v>0</v>
      </c>
      <c r="M15" s="18">
        <f>IFERROR(AVERAGEIF('Pemetaan Variant'!$A$5:$A$32,$B15,'Pemetaan Variant'!$O$5:$O$32),"n/a")</f>
        <v>15000</v>
      </c>
      <c r="N15" s="10">
        <f>IFERROR(IF(ISNUMBER(M15),(M15-AVERAGEIF('Pemetaan Variant'!$A$5:$A$32,$B15,'Pemetaan Variant'!$D$5:$D$32))/AVERAGEIF('Pemetaan Variant'!$A$5:$A$32,$B15,'Pemetaan Variant'!$D$5:$D$32)*100,"n/a"),"n/a")</f>
        <v>0</v>
      </c>
      <c r="O15" s="10">
        <f t="shared" si="3"/>
        <v>0</v>
      </c>
      <c r="P15" s="18">
        <f>IFERROR(AVERAGEIF('Pemetaan Variant'!$A$5:$A$32,$B15,'Pemetaan Variant'!$P$5:$P$32),"n/a")</f>
        <v>15000</v>
      </c>
      <c r="Q15" s="10">
        <f>IFERROR(IF(ISNUMBER(P15),(P15-AVERAGEIF('Pemetaan Variant'!$A$5:$A$32,$B15,'Pemetaan Variant'!$D$5:$D$32))/AVERAGEIF('Pemetaan Variant'!$A$5:$A$32,$B15,'Pemetaan Variant'!$D$5:$D$32)*100,"n/a"),"n/a")</f>
        <v>0</v>
      </c>
      <c r="R15" s="10">
        <f t="shared" si="4"/>
        <v>0</v>
      </c>
      <c r="S15" s="18">
        <f>IFERROR(AVERAGEIF('Pemetaan Variant'!$A$5:$A$32,$B15,'Pemetaan Variant'!$Q$5:$Q$32),"n/a")</f>
        <v>15300</v>
      </c>
      <c r="T15" s="10">
        <f>IFERROR(IF(ISNUMBER(S15),(S15-AVERAGEIF('Pemetaan Variant'!$A$5:$A$32,$B15,'Pemetaan Variant'!$E$5:$E$32))/AVERAGEIF('Pemetaan Variant'!$A$5:$A$32,$B15,'Pemetaan Variant'!$E$5:$E$32)*100,"n/a"),"n/a")</f>
        <v>2</v>
      </c>
      <c r="U15" s="10">
        <f t="shared" si="5"/>
        <v>3.87304413573758E-2</v>
      </c>
      <c r="V15" s="18">
        <f>IFERROR(AVERAGEIF('Pemetaan Variant'!$A$5:$A$32,$B15,'Pemetaan Variant'!$R$5:$R$32),"n/a")</f>
        <v>15000</v>
      </c>
      <c r="W15" s="10">
        <f>IFERROR(IF(ISNUMBER(V15),(V15-AVERAGEIF('Pemetaan Variant'!$A$5:$A$32,$B15,'Pemetaan Variant'!$E$5:$E$32))/AVERAGEIF('Pemetaan Variant'!$A$5:$A$32,$B15,'Pemetaan Variant'!$E$5:$E$32)*100,"n/a"),"n/a")</f>
        <v>0</v>
      </c>
      <c r="X15" s="10">
        <f t="shared" si="6"/>
        <v>0</v>
      </c>
      <c r="Y15" s="18">
        <f>IFERROR(AVERAGEIF('Pemetaan Variant'!$A$5:$A$32,$B15,'Pemetaan Variant'!$S$5:$S$32),"n/a")</f>
        <v>16000</v>
      </c>
      <c r="Z15" s="10">
        <f>IFERROR(IF(ISNUMBER(Y15),(Y15-AVERAGEIF('Pemetaan Variant'!$A$5:$A$32,$B15,'Pemetaan Variant'!$E$5:$E$32))/AVERAGEIF('Pemetaan Variant'!$A$5:$A$32,$B15,'Pemetaan Variant'!$E$5:$E$32)*100,"n/a"),"n/a")</f>
        <v>6.666666666666667</v>
      </c>
      <c r="AA15" s="10">
        <f t="shared" si="7"/>
        <v>0.12910147119125268</v>
      </c>
      <c r="AB15" s="18">
        <f>IFERROR(AVERAGEIF('Pemetaan Variant'!$A$5:$A$32,$B15,'Pemetaan Variant'!$T$5:$T$32),"n/a")</f>
        <v>15900</v>
      </c>
      <c r="AC15" s="10">
        <f>IFERROR(IF(ISNUMBER(AB15),(AB15-AVERAGEIF('Pemetaan Variant'!$A$5:$A$32,$B15,'Pemetaan Variant'!$E$5:$E$32))/AVERAGEIF('Pemetaan Variant'!$A$5:$A$32,$B15,'Pemetaan Variant'!$E$5:$E$32)*100,"n/a"),"n/a")</f>
        <v>6</v>
      </c>
      <c r="AD15" s="10">
        <f t="shared" si="8"/>
        <v>0.1161913240721274</v>
      </c>
      <c r="AE15" s="18">
        <f>IFERROR(AVERAGEIF('Pemetaan Variant'!$A$5:$A$32,$B15,'Pemetaan Variant'!$U$5:$U$32),"n/a")</f>
        <v>16500</v>
      </c>
      <c r="AF15" s="10">
        <f>IFERROR(IF(ISNUMBER(AE15),(AE15-AVERAGEIF('Pemetaan Variant'!$A$5:$A$32,$B15,'Pemetaan Variant'!$F$5:$F$32))/AVERAGEIF('Pemetaan Variant'!$A$5:$A$32,$B15,'Pemetaan Variant'!$F$5:$F$32)*100,"n/a"),"n/a")</f>
        <v>6.4516129032258061</v>
      </c>
      <c r="AG15" s="10">
        <f t="shared" si="9"/>
        <v>0.12493690760443805</v>
      </c>
      <c r="AH15" s="18">
        <f>IFERROR(AVERAGEIF('Pemetaan Variant'!$A$5:$A$32,$B15,'Pemetaan Variant'!$V$5:$V$32),"n/a")</f>
        <v>16800</v>
      </c>
      <c r="AI15" s="10">
        <f>IFERROR(IF(ISNUMBER(AH15),(AH15-AVERAGEIF('Pemetaan Variant'!$A$5:$A$32,$B15,'Pemetaan Variant'!$F$5:$F$32))/AVERAGEIF('Pemetaan Variant'!$A$5:$A$32,$B15,'Pemetaan Variant'!$F$5:$F$32)*100,"n/a"),"n/a")</f>
        <v>8.3870967741935498</v>
      </c>
      <c r="AJ15" s="10">
        <f t="shared" si="10"/>
        <v>0.1624179798857695</v>
      </c>
      <c r="AK15" s="18">
        <f>IFERROR(AVERAGEIF('Pemetaan Variant'!$A$5:$A$32,$B15,'Pemetaan Variant'!$W$5:$W$32),"n/a")</f>
        <v>17500</v>
      </c>
      <c r="AL15" s="10">
        <f>IFERROR(IF(ISNUMBER(AK15),(AK15-AVERAGEIF('Pemetaan Variant'!$A$5:$A$32,$B15,'Pemetaan Variant'!$F$5:$F$32))/AVERAGEIF('Pemetaan Variant'!$A$5:$A$32,$B15,'Pemetaan Variant'!$F$5:$F$32)*100,"n/a"),"n/a")</f>
        <v>12.903225806451612</v>
      </c>
      <c r="AM15" s="10">
        <f t="shared" si="11"/>
        <v>0.24987381520887611</v>
      </c>
      <c r="AN15" s="18">
        <f>IFERROR(AVERAGEIF('Pemetaan Variant'!$A$5:$A$32,$B15,'Pemetaan Variant'!$X$5:$X$32),"n/a")</f>
        <v>17433.333333333332</v>
      </c>
      <c r="AO15" s="10">
        <f>IFERROR(IF(ISNUMBER(AN15),(AN15-AVERAGEIF('Pemetaan Variant'!$A$5:$A$32,$B15,'Pemetaan Variant'!$F$5:$F$32))/AVERAGEIF('Pemetaan Variant'!$A$5:$A$32,$B15,'Pemetaan Variant'!$F$5:$F$32)*100,"n/a"),"n/a")</f>
        <v>12.473118279569885</v>
      </c>
      <c r="AP15" s="10">
        <f t="shared" si="12"/>
        <v>0.24154468803524679</v>
      </c>
      <c r="AQ15" s="18">
        <f>IFERROR(AVERAGEIF('Pemetaan Variant'!$A$5:$A$32,$B15,'Pemetaan Variant'!$Y$5:$Y$32),"n/a")</f>
        <v>17300</v>
      </c>
      <c r="AR15" s="10">
        <f>IFERROR(IF(ISNUMBER(AQ15),(AQ15-AVERAGEIF('Pemetaan Variant'!$A$5:$A$32,$B15,'Pemetaan Variant'!$F$5:$F$32))/AVERAGEIF('Pemetaan Variant'!$A$5:$A$32,$B15,'Pemetaan Variant'!$F$5:$F$32)*100,"n/a"),"n/a")</f>
        <v>11.612903225806452</v>
      </c>
      <c r="AS15" s="10">
        <f t="shared" si="13"/>
        <v>0.22488643368798852</v>
      </c>
      <c r="AT15" s="18">
        <f>IFERROR(AVERAGEIF('Pemetaan Variant'!$A$5:$A$32,$B15,'Pemetaan Variant'!$Z$5:$Z$32),"n/a")</f>
        <v>17300</v>
      </c>
      <c r="AU15" s="10">
        <f>IFERROR(IF(ISNUMBER(AT15),(AT15-AVERAGEIF('Pemetaan Variant'!$A$5:$A$32,$B15,'Pemetaan Variant'!$G$5:$G$32))/AVERAGEIF('Pemetaan Variant'!$A$5:$A$32,$B15,'Pemetaan Variant'!$G$5:$G$32)*100,"n/a"),"n/a")</f>
        <v>1.496039894397184</v>
      </c>
      <c r="AV15" s="10">
        <f t="shared" si="14"/>
        <v>2.8971142699122411E-2</v>
      </c>
      <c r="AW15" s="18">
        <f>IFERROR(AVERAGEIF('Pemetaan Variant'!$A$5:$A$32,$B15,'Pemetaan Variant'!$AA$5:$AA$32),"n/a")</f>
        <v>17300</v>
      </c>
      <c r="AX15" s="10">
        <f>IFERROR(IF(ISNUMBER(AW15),(AW15-AVERAGEIF('Pemetaan Variant'!$A$5:$A$32,$B15,'Pemetaan Variant'!$G$5:$G$32))/AVERAGEIF('Pemetaan Variant'!$A$5:$A$32,$B15,'Pemetaan Variant'!$G$5:$G$32)*100,"n/a"),"n/a")</f>
        <v>1.496039894397184</v>
      </c>
      <c r="AY15" s="10">
        <f t="shared" si="15"/>
        <v>2.8971142699122411E-2</v>
      </c>
      <c r="AZ15" s="18">
        <f>IFERROR(AVERAGEIF('Pemetaan Variant'!$A$5:$A$32,$B15,'Pemetaan Variant'!$AB$5:$AB$32),"n/a")</f>
        <v>17300</v>
      </c>
      <c r="BA15" s="10">
        <f>IFERROR(IF(ISNUMBER(AZ15),(AZ15-AVERAGEIF('Pemetaan Variant'!$A$5:$A$32,$B15,'Pemetaan Variant'!$G$5:$G$32))/AVERAGEIF('Pemetaan Variant'!$A$5:$A$32,$B15,'Pemetaan Variant'!$G$5:$G$32)*100,"n/a"),"n/a")</f>
        <v>1.496039894397184</v>
      </c>
      <c r="BB15" s="10">
        <f t="shared" si="16"/>
        <v>2.8971142699122411E-2</v>
      </c>
      <c r="BC15" s="18">
        <f>IFERROR(AVERAGEIF('Pemetaan Variant'!$A$5:$A$32,$B15,'Pemetaan Variant'!$AC$5:$AC$32),"n/a")</f>
        <v>17300</v>
      </c>
      <c r="BD15" s="10">
        <f>IFERROR(IF(ISNUMBER(BC15),(BC15-AVERAGEIF('Pemetaan Variant'!$A$5:$A$32,$B15,'Pemetaan Variant'!$G$5:$G$32))/AVERAGEIF('Pemetaan Variant'!$A$5:$A$32,$B15,'Pemetaan Variant'!$G$5:$G$32)*100,"n/a"),"n/a")</f>
        <v>1.496039894397184</v>
      </c>
      <c r="BE15" s="10">
        <f t="shared" si="17"/>
        <v>2.8971142699122411E-2</v>
      </c>
      <c r="BF15" s="18">
        <f>IFERROR(AVERAGEIF('Pemetaan Variant'!$A$5:$A$32,$B15,'Pemetaan Variant'!$AD$5:$AD$32),"n/a")</f>
        <v>17100</v>
      </c>
      <c r="BG15" s="10">
        <f>IFERROR(IF(ISNUMBER(BF15),(BF15-AVERAGEIF('Pemetaan Variant'!$A$5:$A$32,$B15,'Pemetaan Variant'!$G$5:$G$32))/AVERAGEIF('Pemetaan Variant'!$A$5:$A$32,$B15,'Pemetaan Variant'!$G$5:$G$32)*100,"n/a"),"n/a")</f>
        <v>0.32267527134056906</v>
      </c>
      <c r="BH15" s="10">
        <f t="shared" si="18"/>
        <v>6.2486778370656167E-3</v>
      </c>
      <c r="BI15" s="18" t="str">
        <f>IFERROR(AVERAGEIF('Pemetaan Variant'!$A$5:$A$32,$B15,'Pemetaan Variant'!$AE$5:$AE$32),"n/a")</f>
        <v>n/a</v>
      </c>
      <c r="BJ15" s="10" t="str">
        <f>IFERROR(IF(ISNUMBER(BI15),(BI15-AVERAGEIF('Pemetaan Variant'!$A$5:$A$32,$B15,'Pemetaan Variant'!$H$5:$H$32))/AVERAGEIF('Pemetaan Variant'!$A$5:$A$32,$B15,'Pemetaan Variant'!$H$5:$H$32)*100,"n/a"),"n/a")</f>
        <v>n/a</v>
      </c>
      <c r="BK15" s="10" t="str">
        <f t="shared" si="19"/>
        <v>n/a</v>
      </c>
      <c r="BL15" s="18">
        <f>IFERROR(AVERAGEIF('Pemetaan Variant'!$A$5:$A$32,$B15,'Pemetaan Variant'!$AF$5:$AF$32),"n/a")</f>
        <v>16500</v>
      </c>
      <c r="BM15" s="10">
        <f>IFERROR(IF(ISNUMBER(BL15),(BL15-AVERAGEIF('Pemetaan Variant'!$A$5:$A$32,$B15,'Pemetaan Variant'!$H$5:$H$32))/AVERAGEIF('Pemetaan Variant'!$A$5:$A$32,$B15,'Pemetaan Variant'!$H$5:$H$32)*100,"n/a"),"n/a")</f>
        <v>-4.4137931034482838</v>
      </c>
      <c r="BN15" s="10">
        <f t="shared" si="20"/>
        <v>-8.5474077478346747E-2</v>
      </c>
      <c r="BO15" s="18">
        <f>IFERROR(AVERAGEIF('Pemetaan Variant'!$A$5:$A$32,$B15,'Pemetaan Variant'!$AG$5:$AG$32),"n/a")</f>
        <v>16500</v>
      </c>
      <c r="BP15" s="10">
        <f>IFERROR(IF(ISNUMBER(BO15),(BO15-AVERAGEIF('Pemetaan Variant'!$A$5:$A$32,$B15,'Pemetaan Variant'!$H$5:$H$32))/AVERAGEIF('Pemetaan Variant'!$A$5:$A$32,$B15,'Pemetaan Variant'!$H$5:$H$32)*100,"n/a"),"n/a")</f>
        <v>-4.4137931034482838</v>
      </c>
      <c r="BQ15" s="10">
        <f t="shared" si="21"/>
        <v>-8.5474077478346747E-2</v>
      </c>
      <c r="BR15" s="18">
        <f>IFERROR(AVERAGEIF('Pemetaan Variant'!$A$5:$A$32,$B15,'Pemetaan Variant'!$AH$5:$AH$32),"n/a")</f>
        <v>16500</v>
      </c>
      <c r="BS15" s="10">
        <f>IFERROR(IF(ISNUMBER(BR15),(BR15-AVERAGEIF('Pemetaan Variant'!$A$5:$A$32,$B15,'Pemetaan Variant'!$H$5:$H$32))/AVERAGEIF('Pemetaan Variant'!$A$5:$A$32,$B15,'Pemetaan Variant'!$H$5:$H$32)*100,"n/a"),"n/a")</f>
        <v>-4.4137931034482838</v>
      </c>
      <c r="BT15" s="10">
        <f t="shared" si="22"/>
        <v>-8.5474077478346747E-2</v>
      </c>
      <c r="BU15" s="18">
        <f>IFERROR(AVERAGEIF('Pemetaan Variant'!$A$5:$A$32,$B15,'Pemetaan Variant'!$AI$5:$AI$32),"n/a")</f>
        <v>16500</v>
      </c>
      <c r="BV15" s="10">
        <f>IFERROR(IF(ISNUMBER(BU15),(BU15-AVERAGEIF('Pemetaan Variant'!$A$5:$A$32,$B15,'Pemetaan Variant'!$H$5:$H$32))/AVERAGEIF('Pemetaan Variant'!$A$5:$A$32,$B15,'Pemetaan Variant'!$H$5:$H$32)*100,"n/a"),"n/a")</f>
        <v>-4.4137931034482838</v>
      </c>
      <c r="BW15" s="10">
        <f t="shared" si="23"/>
        <v>-8.5474077478346747E-2</v>
      </c>
      <c r="BX15" s="18">
        <f>IFERROR(AVERAGEIF('Pemetaan Variant'!$A$5:$A$32,$B15,'Pemetaan Variant'!$AJ$5:$AJ$32),"n/a")</f>
        <v>16500</v>
      </c>
      <c r="BY15" s="10">
        <f>IFERROR(IF(ISNUMBER(BX15),(BX15-AVERAGEIF('Pemetaan Variant'!$A$5:$A$32,$B15,'Pemetaan Variant'!$I$5:$I$32))/AVERAGEIF('Pemetaan Variant'!$A$5:$A$32,$B15,'Pemetaan Variant'!$I$5:$I$32)*100,"n/a"),"n/a")</f>
        <v>0</v>
      </c>
      <c r="BZ15" s="10">
        <f t="shared" si="24"/>
        <v>0</v>
      </c>
      <c r="CA15" s="18">
        <f>IFERROR(AVERAGEIF('Pemetaan Variant'!$A$5:$A$32,$B15,'Pemetaan Variant'!$AK$5:$AK$32),"n/a")</f>
        <v>16500</v>
      </c>
      <c r="CB15" s="10">
        <f>IFERROR(IF(ISNUMBER(CA15),(CA15-AVERAGEIF('Pemetaan Variant'!$A$5:$A$32,$B15,'Pemetaan Variant'!$I$5:$I$32))/AVERAGEIF('Pemetaan Variant'!$A$5:$A$32,$B15,'Pemetaan Variant'!$I$5:$I$32)*100,"n/a"),"n/a")</f>
        <v>0</v>
      </c>
      <c r="CC15" s="10">
        <f t="shared" si="25"/>
        <v>0</v>
      </c>
      <c r="CD15" s="18">
        <f>IFERROR(AVERAGEIF('Pemetaan Variant'!$A$5:$A$32,$B15,'Pemetaan Variant'!$AL$5:$AL$32),"n/a")</f>
        <v>16500</v>
      </c>
      <c r="CE15" s="10">
        <f>IFERROR(IF(ISNUMBER(CD15),(CD15-AVERAGEIF('Pemetaan Variant'!$A$5:$A$32,$B15,'Pemetaan Variant'!$I$5:$I$32))/AVERAGEIF('Pemetaan Variant'!$A$5:$A$32,$B15,'Pemetaan Variant'!$I$5:$I$32)*100,"n/a"),"n/a")</f>
        <v>0</v>
      </c>
      <c r="CF15" s="10">
        <f t="shared" si="26"/>
        <v>0</v>
      </c>
      <c r="CG15" s="18">
        <f>IFERROR(AVERAGEIF('Pemetaan Variant'!$A$5:$A$32,$B15,'Pemetaan Variant'!$AM$5:$AM$32),"n/a")</f>
        <v>16500</v>
      </c>
      <c r="CH15" s="10">
        <f>IFERROR(IF(ISNUMBER(CG15),(CG15-AVERAGEIF('Pemetaan Variant'!$A$5:$A$32,$B15,'Pemetaan Variant'!$I$5:$I$32))/AVERAGEIF('Pemetaan Variant'!$A$5:$A$32,$B15,'Pemetaan Variant'!$I$5:$I$32)*100,"n/a"),"n/a")</f>
        <v>0</v>
      </c>
      <c r="CI15" s="10">
        <f t="shared" si="27"/>
        <v>0</v>
      </c>
      <c r="CJ15" s="18">
        <f>IFERROR(AVERAGEIF('Pemetaan Variant'!$A$5:$A$32,$B15,'Pemetaan Variant'!$AN$5:$AN$32),"n/a")</f>
        <v>16500</v>
      </c>
      <c r="CK15" s="10">
        <f>IFERROR(IF(ISNUMBER(CJ15),(CJ15-AVERAGEIF('Pemetaan Variant'!$A$5:$A$32,$B15,'Pemetaan Variant'!$I$5:$I$32))/AVERAGEIF('Pemetaan Variant'!$A$5:$A$32,$B15,'Pemetaan Variant'!$I$5:$I$32)*100,"n/a"),"n/a")</f>
        <v>0</v>
      </c>
      <c r="CL15" s="10">
        <f t="shared" si="28"/>
        <v>0</v>
      </c>
      <c r="CM15" s="18">
        <f>IFERROR(AVERAGEIF('Pemetaan Variant'!$A$5:$A$32,$B15,'Pemetaan Variant'!$AO$5:$AO$32),"n/a")</f>
        <v>16500</v>
      </c>
      <c r="CN15" s="10">
        <f>IFERROR(IF(ISNUMBER(CM15),(CM15-AVERAGEIF('Pemetaan Variant'!$A$5:$A$32,$B15,'Pemetaan Variant'!$J$5:$J$32))/AVERAGEIF('Pemetaan Variant'!$A$5:$A$32,$B15,'Pemetaan Variant'!$J$5:$J$32)*100,"n/a"),"n/a")</f>
        <v>0</v>
      </c>
      <c r="CO15" s="10">
        <f t="shared" si="29"/>
        <v>0</v>
      </c>
      <c r="CP15" s="18">
        <f>IFERROR(AVERAGEIF('Pemetaan Variant'!$A$5:$A$32,$B15,'Pemetaan Variant'!$AP$5:$AP$32),"n/a")</f>
        <v>16500</v>
      </c>
      <c r="CQ15" s="10">
        <f>IFERROR(IF(ISNUMBER(CP15),(CP15-AVERAGEIF('Pemetaan Variant'!$A$5:$A$32,$B15,'Pemetaan Variant'!$J$5:$J$32))/AVERAGEIF('Pemetaan Variant'!$A$5:$A$32,$B15,'Pemetaan Variant'!$J$5:$J$32)*100,"n/a"),"n/a")</f>
        <v>0</v>
      </c>
      <c r="CR15" s="10">
        <f t="shared" si="30"/>
        <v>0</v>
      </c>
      <c r="CS15" s="18">
        <f>IFERROR(AVERAGEIF('Pemetaan Variant'!$A$5:$A$32,$B15,'Pemetaan Variant'!$AQ$5:$AQ$32),"n/a")</f>
        <v>16500</v>
      </c>
      <c r="CT15" s="10">
        <f>IFERROR(IF(ISNUMBER(CS15),(CS15-AVERAGEIF('Pemetaan Variant'!$A$5:$A$32,$B15,'Pemetaan Variant'!$J$5:$J$32))/AVERAGEIF('Pemetaan Variant'!$A$5:$A$32,$B15,'Pemetaan Variant'!$J$5:$J$32)*100,"n/a"),"n/a")</f>
        <v>0</v>
      </c>
      <c r="CU15" s="10">
        <f t="shared" si="31"/>
        <v>0</v>
      </c>
      <c r="CV15" s="18">
        <f>IFERROR(AVERAGEIF('Pemetaan Variant'!$A$5:$A$32,$B15,'Pemetaan Variant'!$AR$5:$AR$32),"n/a")</f>
        <v>16500</v>
      </c>
      <c r="CW15" s="10">
        <f>IFERROR(IF(ISNUMBER(CV15),(CV15-AVERAGEIF('Pemetaan Variant'!$A$5:$A$32,$B15,'Pemetaan Variant'!$J$5:$J$32))/AVERAGEIF('Pemetaan Variant'!$A$5:$A$32,$B15,'Pemetaan Variant'!$J$5:$J$32)*100,"n/a"),"n/a")</f>
        <v>0</v>
      </c>
      <c r="CX15" s="10">
        <f t="shared" si="32"/>
        <v>0</v>
      </c>
      <c r="CY15" s="18">
        <f>IFERROR(AVERAGEIF('Pemetaan Variant'!$A$5:$A$32,$B15,'Pemetaan Variant'!$AS$5:$AS$32),"n/a")</f>
        <v>16500</v>
      </c>
      <c r="CZ15" s="10">
        <f>IFERROR(IF(ISNUMBER(CY15),(CY15-AVERAGEIF('Pemetaan Variant'!$A$5:$A$32,$B15,'Pemetaan Variant'!$J$5:$J$32))/AVERAGEIF('Pemetaan Variant'!$A$5:$A$32,$B15,'Pemetaan Variant'!$J$5:$J$32)*100,"n/a"),"n/a")</f>
        <v>0</v>
      </c>
      <c r="DA15" s="10">
        <f t="shared" si="33"/>
        <v>0</v>
      </c>
      <c r="DB15" s="18">
        <f>IFERROR(AVERAGEIF('Pemetaan Variant'!$A$5:$A$32,$B15,'Pemetaan Variant'!$AT$5:$AT$32),"n/a")</f>
        <v>16500</v>
      </c>
      <c r="DC15" s="10">
        <f>IFERROR(IF(ISNUMBER(DB15),(DB15-AVERAGEIF('Pemetaan Variant'!$A$5:$A$32,$B15,'Pemetaan Variant'!$K$5:$K$32))/AVERAGEIF('Pemetaan Variant'!$A$5:$A$32,$B15,'Pemetaan Variant'!$K$5:$K$32)*100,"n/a"),"n/a")</f>
        <v>0</v>
      </c>
      <c r="DD15" s="10">
        <f t="shared" si="34"/>
        <v>0</v>
      </c>
      <c r="DE15" s="18">
        <f>IFERROR(AVERAGEIF('Pemetaan Variant'!$A$5:$A$32,$B15,'Pemetaan Variant'!$AU$5:$AU$32),"n/a")</f>
        <v>16500</v>
      </c>
      <c r="DF15" s="10">
        <f>IFERROR(IF(ISNUMBER(DE15),(DE15-AVERAGEIF('Pemetaan Variant'!$A$5:$A$32,$B15,'Pemetaan Variant'!$K$5:$K$32))/AVERAGEIF('Pemetaan Variant'!$A$5:$A$32,$B15,'Pemetaan Variant'!$K$5:$K$32)*100,"n/a"),"n/a")</f>
        <v>0</v>
      </c>
      <c r="DG15" s="10">
        <f t="shared" si="35"/>
        <v>0</v>
      </c>
      <c r="DH15" s="18">
        <f>IFERROR(AVERAGEIF('Pemetaan Variant'!$A$5:$A$32,$B15,'Pemetaan Variant'!$AV$5:$AV$32),"n/a")</f>
        <v>16500</v>
      </c>
      <c r="DI15" s="10">
        <f>IFERROR(IF(ISNUMBER(DH15),(DH15-AVERAGEIF('Pemetaan Variant'!$A$5:$A$32,$B15,'Pemetaan Variant'!$K$5:$K$32))/AVERAGEIF('Pemetaan Variant'!$A$5:$A$32,$B15,'Pemetaan Variant'!$K$5:$K$32)*100,"n/a"),"n/a")</f>
        <v>0</v>
      </c>
      <c r="DJ15" s="10">
        <f t="shared" si="36"/>
        <v>0</v>
      </c>
      <c r="DK15" s="18">
        <f>IFERROR(AVERAGEIF('Pemetaan Variant'!$A$5:$A$32,$B15,'Pemetaan Variant'!$AW$5:$AW$32),"n/a")</f>
        <v>16500</v>
      </c>
      <c r="DL15" s="10">
        <f>IFERROR(IF(ISNUMBER(DK15),(DK15-AVERAGEIF('Pemetaan Variant'!$A$5:$A$32,$B15,'Pemetaan Variant'!$K$5:$K$32))/AVERAGEIF('Pemetaan Variant'!$A$5:$A$32,$B15,'Pemetaan Variant'!$K$5:$K$32)*100,"n/a"),"n/a")</f>
        <v>0</v>
      </c>
      <c r="DM15" s="10">
        <f t="shared" si="37"/>
        <v>0</v>
      </c>
      <c r="DN15" s="19">
        <f>IFERROR(AVERAGEIF('Pemetaan Variant'!$A$5:$A$32,$B15,'Pemetaan Variant'!$AZ$5:$AZ$32),"n/a")</f>
        <v>16500</v>
      </c>
      <c r="DO15" s="14">
        <f>IFERROR(IF(ISNUMBER(DN15),(DN15-AVERAGEIF('Pemetaan Variant'!$A$5:$A$32,$B15,'Pemetaan Variant'!$AY$5:$AY$32))/AVERAGEIF('Pemetaan Variant'!$A$5:$A$32,$B15,'Pemetaan Variant'!$AY$5:$AY$32)*100,"n/a"),"n/a")</f>
        <v>0</v>
      </c>
      <c r="DP15" s="14">
        <f t="shared" si="38"/>
        <v>0</v>
      </c>
      <c r="DQ15" s="19" t="str">
        <f>IFERROR(AVERAGEIF('Pemetaan Variant'!$A$5:$A$32,$B15,'Pemetaan Variant'!$BA$5:$BA$32),"n/a")</f>
        <v>n/a</v>
      </c>
      <c r="DR15" s="14" t="str">
        <f>IFERROR(IF(ISNUMBER(DQ15),(DQ15-AVERAGEIF('Pemetaan Variant'!$A$5:$A$32,$B15,'Pemetaan Variant'!$AY$5:$AY$32))/AVERAGEIF('Pemetaan Variant'!$A$5:$A$32,$B15,'Pemetaan Variant'!$AY$5:$AY$32)*100,"n/a"),"n/a")</f>
        <v>n/a</v>
      </c>
      <c r="DS15" s="14" t="str">
        <f t="shared" si="39"/>
        <v>n/a</v>
      </c>
      <c r="DT15" s="19" t="str">
        <f>IFERROR(AVERAGEIF('Pemetaan Variant'!$A$5:$A$32,$B15,'Pemetaan Variant'!$BB$5:$BB$32),"n/a")</f>
        <v>n/a</v>
      </c>
      <c r="DU15" s="14" t="str">
        <f>IFERROR(IF(ISNUMBER(DT15),(DT15-AVERAGEIF('Pemetaan Variant'!$A$5:$A$32,$B15,'Pemetaan Variant'!$AY$5:$AY$32))/AVERAGEIF('Pemetaan Variant'!$A$5:$A$32,$B15,'Pemetaan Variant'!$AY$5:$AY$32)*100,"n/a"),"n/a")</f>
        <v>n/a</v>
      </c>
      <c r="DV15" s="14" t="str">
        <f t="shared" si="40"/>
        <v>n/a</v>
      </c>
      <c r="DW15" s="19" t="str">
        <f>IFERROR(AVERAGEIF('Pemetaan Variant'!$A$5:$A$32,$B15,'Pemetaan Variant'!$BC$5:$BC$32),"n/a")</f>
        <v>n/a</v>
      </c>
      <c r="DX15" s="14" t="str">
        <f>IFERROR(IF(ISNUMBER(DW15),(DW15-AVERAGEIF('Pemetaan Variant'!$A$5:$A$32,$B15,'Pemetaan Variant'!$AY$5:$AY$32))/AVERAGEIF('Pemetaan Variant'!$A$5:$A$32,$B15,'Pemetaan Variant'!$AY$5:$AY$32)*100,"n/a"),"n/a")</f>
        <v>n/a</v>
      </c>
      <c r="DY15" s="14" t="str">
        <f t="shared" si="41"/>
        <v>n/a</v>
      </c>
      <c r="DZ15" s="19" t="str">
        <f>IFERROR(AVERAGEIF('Pemetaan Variant'!$A$5:$A$32,$B15,'Pemetaan Variant'!$BD$5:$BD$32),"n/a")</f>
        <v>n/a</v>
      </c>
      <c r="EA15" s="14" t="str">
        <f>IFERROR(IF(ISNUMBER(DZ15),(DZ15-AVERAGEIF('Pemetaan Variant'!$A$5:$A$32,$B15,'Pemetaan Variant'!$AY$5:$AY$32))/AVERAGEIF('Pemetaan Variant'!$A$5:$A$32,$B15,'Pemetaan Variant'!$AY$5:$AY$32)*100,"n/a"),"n/a")</f>
        <v>n/a</v>
      </c>
      <c r="EB15" s="14" t="str">
        <f t="shared" si="42"/>
        <v>n/a</v>
      </c>
      <c r="ED15" s="14">
        <f>IFERROR(ABS(F15),0)</f>
        <v>0</v>
      </c>
      <c r="EE15" s="14">
        <f>IFERROR(ABS(I15),0)</f>
        <v>0</v>
      </c>
      <c r="EF15" s="14">
        <f>IFERROR(ABS(L15),0)</f>
        <v>0</v>
      </c>
      <c r="EG15" s="14">
        <f>IFERROR(ABS(O15),0)</f>
        <v>0</v>
      </c>
      <c r="EH15" s="14">
        <f>IFERROR(ABS(R15),0)</f>
        <v>0</v>
      </c>
      <c r="EI15" s="14">
        <f>IFERROR(ABS(U15),0)</f>
        <v>3.87304413573758E-2</v>
      </c>
      <c r="EJ15" s="14">
        <f>IFERROR(ABS(X15),0)</f>
        <v>0</v>
      </c>
      <c r="EK15" s="14">
        <f>IFERROR(ABS(AA15),0)</f>
        <v>0.12910147119125268</v>
      </c>
      <c r="EL15" s="14">
        <f>IFERROR(ABS(AD15),0)</f>
        <v>0.1161913240721274</v>
      </c>
      <c r="EM15" s="14">
        <f>IFERROR(ABS(AG15),0)</f>
        <v>0.12493690760443805</v>
      </c>
      <c r="EN15" s="14">
        <f>IFERROR(ABS(AJ15),0)</f>
        <v>0.1624179798857695</v>
      </c>
      <c r="EO15" s="14">
        <f>IFERROR(ABS(AM15),0)</f>
        <v>0.24987381520887611</v>
      </c>
      <c r="EP15" s="14">
        <f>IFERROR(ABS(AP15),0)</f>
        <v>0.24154468803524679</v>
      </c>
      <c r="EQ15" s="14">
        <f>IFERROR(ABS(AS15),0)</f>
        <v>0.22488643368798852</v>
      </c>
      <c r="ER15" s="14">
        <f>IFERROR(ABS(AV15),0)</f>
        <v>2.8971142699122411E-2</v>
      </c>
      <c r="ES15" s="14">
        <f>IFERROR(ABS(AY15),0)</f>
        <v>2.8971142699122411E-2</v>
      </c>
      <c r="ET15" s="14">
        <f>IFERROR(ABS(BB15),0)</f>
        <v>2.8971142699122411E-2</v>
      </c>
      <c r="EU15" s="14">
        <f>IFERROR(ABS(BE15),0)</f>
        <v>2.8971142699122411E-2</v>
      </c>
      <c r="EV15" s="14">
        <f>IFERROR(ABS(BH15),0)</f>
        <v>6.2486778370656167E-3</v>
      </c>
      <c r="EW15" s="14">
        <f>IFERROR(ABS(BK15),0)</f>
        <v>0</v>
      </c>
      <c r="EX15" s="14">
        <f>IFERROR(ABS(BN15),0)</f>
        <v>8.5474077478346747E-2</v>
      </c>
      <c r="EY15" s="14">
        <f>IFERROR(ABS(BQ15),0)</f>
        <v>8.5474077478346747E-2</v>
      </c>
      <c r="EZ15" s="14">
        <f>IFERROR(ABS(BT15),0)</f>
        <v>8.5474077478346747E-2</v>
      </c>
      <c r="FA15" s="14">
        <f>IFERROR(ABS(BW15),0)</f>
        <v>8.5474077478346747E-2</v>
      </c>
      <c r="FB15" s="14">
        <f>IFERROR(ABS(BZ15),0)</f>
        <v>0</v>
      </c>
      <c r="FC15" s="14">
        <f>IFERROR(ABS(CC15),0)</f>
        <v>0</v>
      </c>
      <c r="FD15" s="14">
        <f>IFERROR(ABS(CF15),0)</f>
        <v>0</v>
      </c>
      <c r="FE15" s="14">
        <f>IFERROR(ABS(CI15),0)</f>
        <v>0</v>
      </c>
      <c r="FF15" s="14">
        <f>IFERROR(ABS(CL15),0)</f>
        <v>0</v>
      </c>
      <c r="FG15" s="14">
        <f>IFERROR(ABS(CO15),0)</f>
        <v>0</v>
      </c>
      <c r="FH15" s="14">
        <f>IFERROR(ABS(CR15),0)</f>
        <v>0</v>
      </c>
      <c r="FI15" s="14">
        <f>IFERROR(ABS(CU15),0)</f>
        <v>0</v>
      </c>
      <c r="FJ15" s="14">
        <f>IFERROR(ABS(CX15),0)</f>
        <v>0</v>
      </c>
      <c r="FK15" s="14">
        <f>IFERROR(ABS(DA15),0)</f>
        <v>0</v>
      </c>
      <c r="FL15" s="14">
        <f>IFERROR(ABS(DD15),0)</f>
        <v>0</v>
      </c>
      <c r="FM15" s="14">
        <f>IFERROR(ABS(DG15),0)</f>
        <v>0</v>
      </c>
      <c r="FN15" s="14">
        <f>IFERROR(ABS(DJ15),0)</f>
        <v>0</v>
      </c>
      <c r="FO15" s="14">
        <f>IFERROR(ABS(DM15),0)</f>
        <v>0</v>
      </c>
      <c r="FP15" s="14">
        <f>IFERROR(ABS(#REF!),0)</f>
        <v>0</v>
      </c>
      <c r="FQ15" s="14">
        <f t="shared" si="43"/>
        <v>0</v>
      </c>
      <c r="FR15" s="14">
        <f t="shared" si="44"/>
        <v>0</v>
      </c>
      <c r="FS15" s="14">
        <f t="shared" si="45"/>
        <v>0</v>
      </c>
      <c r="FT15" s="14">
        <f t="shared" si="46"/>
        <v>0</v>
      </c>
      <c r="FU15" s="14">
        <f t="shared" si="47"/>
        <v>0</v>
      </c>
    </row>
    <row r="16" spans="1:177" ht="12.75" customHeight="1" x14ac:dyDescent="0.35">
      <c r="A16" s="8">
        <v>11</v>
      </c>
      <c r="B16" s="9" t="s">
        <v>197</v>
      </c>
      <c r="C16" s="10">
        <f>'P0Q0 Dasar 2022'!F15</f>
        <v>2.0771540916134899E-2</v>
      </c>
      <c r="D16" s="18">
        <f>IFERROR(AVERAGEIF('Pemetaan Variant'!$A$5:$A$32,$B16,'Pemetaan Variant'!$L$5:$L$32),"n/a")</f>
        <v>28000</v>
      </c>
      <c r="E16" s="10">
        <f>IFERROR(IF(ISNUMBER(D16),(D16-AVERAGEIF('Pemetaan Variant'!$A$5:$A$32,$B16,'Pemetaan Variant'!$D$5:$D$32))/AVERAGEIF('Pemetaan Variant'!$A$5:$A$32,$B16,'Pemetaan Variant'!$D$5:$D$32)*100,"n/a"),"n/a")</f>
        <v>0</v>
      </c>
      <c r="F16" s="10">
        <f t="shared" si="0"/>
        <v>0</v>
      </c>
      <c r="G16" s="18">
        <f>IFERROR(AVERAGEIF('Pemetaan Variant'!$A$5:$A$32,$B16,'Pemetaan Variant'!$M$5:$M$32),"n/a")</f>
        <v>28000</v>
      </c>
      <c r="H16" s="10">
        <f>IFERROR(IF(ISNUMBER(G16),(G16-AVERAGEIF('Pemetaan Variant'!$A$5:$A$32,$B16,'Pemetaan Variant'!$D$5:$D$32))/AVERAGEIF('Pemetaan Variant'!$A$5:$A$32,$B16,'Pemetaan Variant'!$D$5:$D$32)*100,"n/a"),"n/a")</f>
        <v>0</v>
      </c>
      <c r="I16" s="10">
        <f t="shared" si="1"/>
        <v>0</v>
      </c>
      <c r="J16" s="18">
        <f>IFERROR(AVERAGEIF('Pemetaan Variant'!$A$5:$A$32,$B16,'Pemetaan Variant'!$N$5:$N$32),"n/a")</f>
        <v>28000</v>
      </c>
      <c r="K16" s="10">
        <f>IFERROR(IF(ISNUMBER(J16),(J16-AVERAGEIF('Pemetaan Variant'!$A$5:$A$32,$B16,'Pemetaan Variant'!$D$5:$D$32))/AVERAGEIF('Pemetaan Variant'!$A$5:$A$32,$B16,'Pemetaan Variant'!$D$5:$D$32)*100,"n/a"),"n/a")</f>
        <v>0</v>
      </c>
      <c r="L16" s="10">
        <f t="shared" si="2"/>
        <v>0</v>
      </c>
      <c r="M16" s="18">
        <f>IFERROR(AVERAGEIF('Pemetaan Variant'!$A$5:$A$32,$B16,'Pemetaan Variant'!$O$5:$O$32),"n/a")</f>
        <v>28000</v>
      </c>
      <c r="N16" s="10">
        <f>IFERROR(IF(ISNUMBER(M16),(M16-AVERAGEIF('Pemetaan Variant'!$A$5:$A$32,$B16,'Pemetaan Variant'!$D$5:$D$32))/AVERAGEIF('Pemetaan Variant'!$A$5:$A$32,$B16,'Pemetaan Variant'!$D$5:$D$32)*100,"n/a"),"n/a")</f>
        <v>0</v>
      </c>
      <c r="O16" s="10">
        <f t="shared" si="3"/>
        <v>0</v>
      </c>
      <c r="P16" s="18">
        <f>IFERROR(AVERAGEIF('Pemetaan Variant'!$A$5:$A$32,$B16,'Pemetaan Variant'!$P$5:$P$32),"n/a")</f>
        <v>28000</v>
      </c>
      <c r="Q16" s="10">
        <f>IFERROR(IF(ISNUMBER(P16),(P16-AVERAGEIF('Pemetaan Variant'!$A$5:$A$32,$B16,'Pemetaan Variant'!$D$5:$D$32))/AVERAGEIF('Pemetaan Variant'!$A$5:$A$32,$B16,'Pemetaan Variant'!$D$5:$D$32)*100,"n/a"),"n/a")</f>
        <v>0</v>
      </c>
      <c r="R16" s="10">
        <f t="shared" si="4"/>
        <v>0</v>
      </c>
      <c r="S16" s="18">
        <f>IFERROR(AVERAGEIF('Pemetaan Variant'!$A$5:$A$32,$B16,'Pemetaan Variant'!$Q$5:$Q$32),"n/a")</f>
        <v>29400</v>
      </c>
      <c r="T16" s="10">
        <f>IFERROR(IF(ISNUMBER(S16),(S16-AVERAGEIF('Pemetaan Variant'!$A$5:$A$32,$B16,'Pemetaan Variant'!$E$5:$E$32))/AVERAGEIF('Pemetaan Variant'!$A$5:$A$32,$B16,'Pemetaan Variant'!$E$5:$E$32)*100,"n/a"),"n/a")</f>
        <v>5</v>
      </c>
      <c r="U16" s="10">
        <f t="shared" si="5"/>
        <v>0.10385770458067449</v>
      </c>
      <c r="V16" s="18">
        <f>IFERROR(AVERAGEIF('Pemetaan Variant'!$A$5:$A$32,$B16,'Pemetaan Variant'!$R$5:$R$32),"n/a")</f>
        <v>28000</v>
      </c>
      <c r="W16" s="10">
        <f>IFERROR(IF(ISNUMBER(V16),(V16-AVERAGEIF('Pemetaan Variant'!$A$5:$A$32,$B16,'Pemetaan Variant'!$E$5:$E$32))/AVERAGEIF('Pemetaan Variant'!$A$5:$A$32,$B16,'Pemetaan Variant'!$E$5:$E$32)*100,"n/a"),"n/a")</f>
        <v>0</v>
      </c>
      <c r="X16" s="10">
        <f t="shared" si="6"/>
        <v>0</v>
      </c>
      <c r="Y16" s="18">
        <f>IFERROR(AVERAGEIF('Pemetaan Variant'!$A$5:$A$32,$B16,'Pemetaan Variant'!$S$5:$S$32),"n/a")</f>
        <v>32666.666666666668</v>
      </c>
      <c r="Z16" s="10">
        <f>IFERROR(IF(ISNUMBER(Y16),(Y16-AVERAGEIF('Pemetaan Variant'!$A$5:$A$32,$B16,'Pemetaan Variant'!$E$5:$E$32))/AVERAGEIF('Pemetaan Variant'!$A$5:$A$32,$B16,'Pemetaan Variant'!$E$5:$E$32)*100,"n/a"),"n/a")</f>
        <v>16.666666666666671</v>
      </c>
      <c r="AA16" s="10">
        <f t="shared" si="7"/>
        <v>0.3461923486022484</v>
      </c>
      <c r="AB16" s="18">
        <f>IFERROR(AVERAGEIF('Pemetaan Variant'!$A$5:$A$32,$B16,'Pemetaan Variant'!$T$5:$T$32),"n/a")</f>
        <v>32200</v>
      </c>
      <c r="AC16" s="10">
        <f>IFERROR(IF(ISNUMBER(AB16),(AB16-AVERAGEIF('Pemetaan Variant'!$A$5:$A$32,$B16,'Pemetaan Variant'!$E$5:$E$32))/AVERAGEIF('Pemetaan Variant'!$A$5:$A$32,$B16,'Pemetaan Variant'!$E$5:$E$32)*100,"n/a"),"n/a")</f>
        <v>15</v>
      </c>
      <c r="AD16" s="10">
        <f t="shared" si="8"/>
        <v>0.31157311374202346</v>
      </c>
      <c r="AE16" s="18">
        <f>IFERROR(AVERAGEIF('Pemetaan Variant'!$A$5:$A$32,$B16,'Pemetaan Variant'!$U$5:$U$32),"n/a")</f>
        <v>35000</v>
      </c>
      <c r="AF16" s="10">
        <f>IFERROR(IF(ISNUMBER(AE16),(AE16-AVERAGEIF('Pemetaan Variant'!$A$5:$A$32,$B16,'Pemetaan Variant'!$F$5:$F$32))/AVERAGEIF('Pemetaan Variant'!$A$5:$A$32,$B16,'Pemetaan Variant'!$F$5:$F$32)*100,"n/a"),"n/a")</f>
        <v>15.384615384615389</v>
      </c>
      <c r="AG16" s="10">
        <f t="shared" si="9"/>
        <v>0.31956216794053699</v>
      </c>
      <c r="AH16" s="18">
        <f>IFERROR(AVERAGEIF('Pemetaan Variant'!$A$5:$A$32,$B16,'Pemetaan Variant'!$V$5:$V$32),"n/a")</f>
        <v>35000</v>
      </c>
      <c r="AI16" s="10">
        <f>IFERROR(IF(ISNUMBER(AH16),(AH16-AVERAGEIF('Pemetaan Variant'!$A$5:$A$32,$B16,'Pemetaan Variant'!$F$5:$F$32))/AVERAGEIF('Pemetaan Variant'!$A$5:$A$32,$B16,'Pemetaan Variant'!$F$5:$F$32)*100,"n/a"),"n/a")</f>
        <v>15.384615384615389</v>
      </c>
      <c r="AJ16" s="10">
        <f t="shared" si="10"/>
        <v>0.31956216794053699</v>
      </c>
      <c r="AK16" s="18">
        <f>IFERROR(AVERAGEIF('Pemetaan Variant'!$A$5:$A$32,$B16,'Pemetaan Variant'!$W$5:$W$32),"n/a")</f>
        <v>42000</v>
      </c>
      <c r="AL16" s="10">
        <f>IFERROR(IF(ISNUMBER(AK16),(AK16-AVERAGEIF('Pemetaan Variant'!$A$5:$A$32,$B16,'Pemetaan Variant'!$F$5:$F$32))/AVERAGEIF('Pemetaan Variant'!$A$5:$A$32,$B16,'Pemetaan Variant'!$F$5:$F$32)*100,"n/a"),"n/a")</f>
        <v>38.461538461538467</v>
      </c>
      <c r="AM16" s="10">
        <f t="shared" si="11"/>
        <v>0.79890541985134234</v>
      </c>
      <c r="AN16" s="18">
        <f>IFERROR(AVERAGEIF('Pemetaan Variant'!$A$5:$A$32,$B16,'Pemetaan Variant'!$X$5:$X$32),"n/a")</f>
        <v>45000</v>
      </c>
      <c r="AO16" s="10">
        <f>IFERROR(IF(ISNUMBER(AN16),(AN16-AVERAGEIF('Pemetaan Variant'!$A$5:$A$32,$B16,'Pemetaan Variant'!$F$5:$F$32))/AVERAGEIF('Pemetaan Variant'!$A$5:$A$32,$B16,'Pemetaan Variant'!$F$5:$F$32)*100,"n/a"),"n/a")</f>
        <v>48.351648351648358</v>
      </c>
      <c r="AP16" s="10">
        <f t="shared" si="12"/>
        <v>1.0043382420988305</v>
      </c>
      <c r="AQ16" s="18">
        <f>IFERROR(AVERAGEIF('Pemetaan Variant'!$A$5:$A$32,$B16,'Pemetaan Variant'!$Y$5:$Y$32),"n/a")</f>
        <v>45000</v>
      </c>
      <c r="AR16" s="10">
        <f>IFERROR(IF(ISNUMBER(AQ16),(AQ16-AVERAGEIF('Pemetaan Variant'!$A$5:$A$32,$B16,'Pemetaan Variant'!$F$5:$F$32))/AVERAGEIF('Pemetaan Variant'!$A$5:$A$32,$B16,'Pemetaan Variant'!$F$5:$F$32)*100,"n/a"),"n/a")</f>
        <v>48.351648351648358</v>
      </c>
      <c r="AS16" s="10">
        <f t="shared" si="13"/>
        <v>1.0043382420988305</v>
      </c>
      <c r="AT16" s="18">
        <f>IFERROR(AVERAGEIF('Pemetaan Variant'!$A$5:$A$32,$B16,'Pemetaan Variant'!$Z$5:$Z$32),"n/a")</f>
        <v>45000</v>
      </c>
      <c r="AU16" s="10">
        <f>IFERROR(IF(ISNUMBER(AT16),(AT16-AVERAGEIF('Pemetaan Variant'!$A$5:$A$32,$B16,'Pemetaan Variant'!$G$5:$G$32))/AVERAGEIF('Pemetaan Variant'!$A$5:$A$32,$B16,'Pemetaan Variant'!$G$5:$G$32)*100,"n/a"),"n/a")</f>
        <v>14.64968152866242</v>
      </c>
      <c r="AV16" s="10">
        <f t="shared" si="14"/>
        <v>0.30429645928095711</v>
      </c>
      <c r="AW16" s="18">
        <f>IFERROR(AVERAGEIF('Pemetaan Variant'!$A$5:$A$32,$B16,'Pemetaan Variant'!$AA$5:$AA$32),"n/a")</f>
        <v>45000</v>
      </c>
      <c r="AX16" s="10">
        <f>IFERROR(IF(ISNUMBER(AW16),(AW16-AVERAGEIF('Pemetaan Variant'!$A$5:$A$32,$B16,'Pemetaan Variant'!$G$5:$G$32))/AVERAGEIF('Pemetaan Variant'!$A$5:$A$32,$B16,'Pemetaan Variant'!$G$5:$G$32)*100,"n/a"),"n/a")</f>
        <v>14.64968152866242</v>
      </c>
      <c r="AY16" s="10">
        <f t="shared" si="15"/>
        <v>0.30429645928095711</v>
      </c>
      <c r="AZ16" s="18">
        <f>IFERROR(AVERAGEIF('Pemetaan Variant'!$A$5:$A$32,$B16,'Pemetaan Variant'!$AB$5:$AB$32),"n/a")</f>
        <v>45000</v>
      </c>
      <c r="BA16" s="10">
        <f>IFERROR(IF(ISNUMBER(AZ16),(AZ16-AVERAGEIF('Pemetaan Variant'!$A$5:$A$32,$B16,'Pemetaan Variant'!$G$5:$G$32))/AVERAGEIF('Pemetaan Variant'!$A$5:$A$32,$B16,'Pemetaan Variant'!$G$5:$G$32)*100,"n/a"),"n/a")</f>
        <v>14.64968152866242</v>
      </c>
      <c r="BB16" s="10">
        <f t="shared" si="16"/>
        <v>0.30429645928095711</v>
      </c>
      <c r="BC16" s="18">
        <f>IFERROR(AVERAGEIF('Pemetaan Variant'!$A$5:$A$32,$B16,'Pemetaan Variant'!$AC$5:$AC$32),"n/a")</f>
        <v>45000</v>
      </c>
      <c r="BD16" s="10">
        <f>IFERROR(IF(ISNUMBER(BC16),(BC16-AVERAGEIF('Pemetaan Variant'!$A$5:$A$32,$B16,'Pemetaan Variant'!$G$5:$G$32))/AVERAGEIF('Pemetaan Variant'!$A$5:$A$32,$B16,'Pemetaan Variant'!$G$5:$G$32)*100,"n/a"),"n/a")</f>
        <v>14.64968152866242</v>
      </c>
      <c r="BE16" s="10">
        <f t="shared" si="17"/>
        <v>0.30429645928095711</v>
      </c>
      <c r="BF16" s="18">
        <f>IFERROR(AVERAGEIF('Pemetaan Variant'!$A$5:$A$32,$B16,'Pemetaan Variant'!$AD$5:$AD$32),"n/a")</f>
        <v>45000</v>
      </c>
      <c r="BG16" s="10">
        <f>IFERROR(IF(ISNUMBER(BF16),(BF16-AVERAGEIF('Pemetaan Variant'!$A$5:$A$32,$B16,'Pemetaan Variant'!$G$5:$G$32))/AVERAGEIF('Pemetaan Variant'!$A$5:$A$32,$B16,'Pemetaan Variant'!$G$5:$G$32)*100,"n/a"),"n/a")</f>
        <v>14.64968152866242</v>
      </c>
      <c r="BH16" s="10">
        <f t="shared" si="18"/>
        <v>0.30429645928095711</v>
      </c>
      <c r="BI16" s="18" t="str">
        <f>IFERROR(AVERAGEIF('Pemetaan Variant'!$A$5:$A$32,$B16,'Pemetaan Variant'!$AE$5:$AE$32),"n/a")</f>
        <v>n/a</v>
      </c>
      <c r="BJ16" s="10" t="str">
        <f>IFERROR(IF(ISNUMBER(BI16),(BI16-AVERAGEIF('Pemetaan Variant'!$A$5:$A$32,$B16,'Pemetaan Variant'!$H$5:$H$32))/AVERAGEIF('Pemetaan Variant'!$A$5:$A$32,$B16,'Pemetaan Variant'!$H$5:$H$32)*100,"n/a"),"n/a")</f>
        <v>n/a</v>
      </c>
      <c r="BK16" s="10" t="str">
        <f t="shared" si="19"/>
        <v>n/a</v>
      </c>
      <c r="BL16" s="18">
        <f>IFERROR(AVERAGEIF('Pemetaan Variant'!$A$5:$A$32,$B16,'Pemetaan Variant'!$AF$5:$AF$32),"n/a")</f>
        <v>45000</v>
      </c>
      <c r="BM16" s="10">
        <f>IFERROR(IF(ISNUMBER(BL16),(BL16-AVERAGEIF('Pemetaan Variant'!$A$5:$A$32,$B16,'Pemetaan Variant'!$H$5:$H$32))/AVERAGEIF('Pemetaan Variant'!$A$5:$A$32,$B16,'Pemetaan Variant'!$H$5:$H$32)*100,"n/a"),"n/a")</f>
        <v>0</v>
      </c>
      <c r="BN16" s="10">
        <f t="shared" si="20"/>
        <v>0</v>
      </c>
      <c r="BO16" s="18">
        <f>IFERROR(AVERAGEIF('Pemetaan Variant'!$A$5:$A$32,$B16,'Pemetaan Variant'!$AG$5:$AG$32),"n/a")</f>
        <v>45000</v>
      </c>
      <c r="BP16" s="10">
        <f>IFERROR(IF(ISNUMBER(BO16),(BO16-AVERAGEIF('Pemetaan Variant'!$A$5:$A$32,$B16,'Pemetaan Variant'!$H$5:$H$32))/AVERAGEIF('Pemetaan Variant'!$A$5:$A$32,$B16,'Pemetaan Variant'!$H$5:$H$32)*100,"n/a"),"n/a")</f>
        <v>0</v>
      </c>
      <c r="BQ16" s="10">
        <f t="shared" si="21"/>
        <v>0</v>
      </c>
      <c r="BR16" s="18">
        <f>IFERROR(AVERAGEIF('Pemetaan Variant'!$A$5:$A$32,$B16,'Pemetaan Variant'!$AH$5:$AH$32),"n/a")</f>
        <v>45000</v>
      </c>
      <c r="BS16" s="10">
        <f>IFERROR(IF(ISNUMBER(BR16),(BR16-AVERAGEIF('Pemetaan Variant'!$A$5:$A$32,$B16,'Pemetaan Variant'!$H$5:$H$32))/AVERAGEIF('Pemetaan Variant'!$A$5:$A$32,$B16,'Pemetaan Variant'!$H$5:$H$32)*100,"n/a"),"n/a")</f>
        <v>0</v>
      </c>
      <c r="BT16" s="10">
        <f t="shared" si="22"/>
        <v>0</v>
      </c>
      <c r="BU16" s="18">
        <f>IFERROR(AVERAGEIF('Pemetaan Variant'!$A$5:$A$32,$B16,'Pemetaan Variant'!$AI$5:$AI$32),"n/a")</f>
        <v>45000</v>
      </c>
      <c r="BV16" s="10">
        <f>IFERROR(IF(ISNUMBER(BU16),(BU16-AVERAGEIF('Pemetaan Variant'!$A$5:$A$32,$B16,'Pemetaan Variant'!$H$5:$H$32))/AVERAGEIF('Pemetaan Variant'!$A$5:$A$32,$B16,'Pemetaan Variant'!$H$5:$H$32)*100,"n/a"),"n/a")</f>
        <v>0</v>
      </c>
      <c r="BW16" s="10">
        <f t="shared" si="23"/>
        <v>0</v>
      </c>
      <c r="BX16" s="18">
        <f>IFERROR(AVERAGEIF('Pemetaan Variant'!$A$5:$A$32,$B16,'Pemetaan Variant'!$AJ$5:$AJ$32),"n/a")</f>
        <v>45000</v>
      </c>
      <c r="BY16" s="10">
        <f>IFERROR(IF(ISNUMBER(BX16),(BX16-AVERAGEIF('Pemetaan Variant'!$A$5:$A$32,$B16,'Pemetaan Variant'!$I$5:$I$32))/AVERAGEIF('Pemetaan Variant'!$A$5:$A$32,$B16,'Pemetaan Variant'!$I$5:$I$32)*100,"n/a"),"n/a")</f>
        <v>0</v>
      </c>
      <c r="BZ16" s="10">
        <f t="shared" si="24"/>
        <v>0</v>
      </c>
      <c r="CA16" s="18">
        <f>IFERROR(AVERAGEIF('Pemetaan Variant'!$A$5:$A$32,$B16,'Pemetaan Variant'!$AK$5:$AK$32),"n/a")</f>
        <v>45000</v>
      </c>
      <c r="CB16" s="10">
        <f>IFERROR(IF(ISNUMBER(CA16),(CA16-AVERAGEIF('Pemetaan Variant'!$A$5:$A$32,$B16,'Pemetaan Variant'!$I$5:$I$32))/AVERAGEIF('Pemetaan Variant'!$A$5:$A$32,$B16,'Pemetaan Variant'!$I$5:$I$32)*100,"n/a"),"n/a")</f>
        <v>0</v>
      </c>
      <c r="CC16" s="10">
        <f t="shared" si="25"/>
        <v>0</v>
      </c>
      <c r="CD16" s="18">
        <f>IFERROR(AVERAGEIF('Pemetaan Variant'!$A$5:$A$32,$B16,'Pemetaan Variant'!$AL$5:$AL$32),"n/a")</f>
        <v>45000</v>
      </c>
      <c r="CE16" s="10">
        <f>IFERROR(IF(ISNUMBER(CD16),(CD16-AVERAGEIF('Pemetaan Variant'!$A$5:$A$32,$B16,'Pemetaan Variant'!$I$5:$I$32))/AVERAGEIF('Pemetaan Variant'!$A$5:$A$32,$B16,'Pemetaan Variant'!$I$5:$I$32)*100,"n/a"),"n/a")</f>
        <v>0</v>
      </c>
      <c r="CF16" s="10">
        <f t="shared" si="26"/>
        <v>0</v>
      </c>
      <c r="CG16" s="18">
        <f>IFERROR(AVERAGEIF('Pemetaan Variant'!$A$5:$A$32,$B16,'Pemetaan Variant'!$AM$5:$AM$32),"n/a")</f>
        <v>45000</v>
      </c>
      <c r="CH16" s="10">
        <f>IFERROR(IF(ISNUMBER(CG16),(CG16-AVERAGEIF('Pemetaan Variant'!$A$5:$A$32,$B16,'Pemetaan Variant'!$I$5:$I$32))/AVERAGEIF('Pemetaan Variant'!$A$5:$A$32,$B16,'Pemetaan Variant'!$I$5:$I$32)*100,"n/a"),"n/a")</f>
        <v>0</v>
      </c>
      <c r="CI16" s="10">
        <f t="shared" si="27"/>
        <v>0</v>
      </c>
      <c r="CJ16" s="18">
        <f>IFERROR(AVERAGEIF('Pemetaan Variant'!$A$5:$A$32,$B16,'Pemetaan Variant'!$AN$5:$AN$32),"n/a")</f>
        <v>45000</v>
      </c>
      <c r="CK16" s="10">
        <f>IFERROR(IF(ISNUMBER(CJ16),(CJ16-AVERAGEIF('Pemetaan Variant'!$A$5:$A$32,$B16,'Pemetaan Variant'!$I$5:$I$32))/AVERAGEIF('Pemetaan Variant'!$A$5:$A$32,$B16,'Pemetaan Variant'!$I$5:$I$32)*100,"n/a"),"n/a")</f>
        <v>0</v>
      </c>
      <c r="CL16" s="10">
        <f t="shared" si="28"/>
        <v>0</v>
      </c>
      <c r="CM16" s="18">
        <f>IFERROR(AVERAGEIF('Pemetaan Variant'!$A$5:$A$32,$B16,'Pemetaan Variant'!$AO$5:$AO$32),"n/a")</f>
        <v>45000</v>
      </c>
      <c r="CN16" s="10">
        <f>IFERROR(IF(ISNUMBER(CM16),(CM16-AVERAGEIF('Pemetaan Variant'!$A$5:$A$32,$B16,'Pemetaan Variant'!$J$5:$J$32))/AVERAGEIF('Pemetaan Variant'!$A$5:$A$32,$B16,'Pemetaan Variant'!$J$5:$J$32)*100,"n/a"),"n/a")</f>
        <v>0</v>
      </c>
      <c r="CO16" s="10">
        <f t="shared" si="29"/>
        <v>0</v>
      </c>
      <c r="CP16" s="18">
        <f>IFERROR(AVERAGEIF('Pemetaan Variant'!$A$5:$A$32,$B16,'Pemetaan Variant'!$AP$5:$AP$32),"n/a")</f>
        <v>45000</v>
      </c>
      <c r="CQ16" s="10">
        <f>IFERROR(IF(ISNUMBER(CP16),(CP16-AVERAGEIF('Pemetaan Variant'!$A$5:$A$32,$B16,'Pemetaan Variant'!$J$5:$J$32))/AVERAGEIF('Pemetaan Variant'!$A$5:$A$32,$B16,'Pemetaan Variant'!$J$5:$J$32)*100,"n/a"),"n/a")</f>
        <v>0</v>
      </c>
      <c r="CR16" s="10">
        <f t="shared" si="30"/>
        <v>0</v>
      </c>
      <c r="CS16" s="18">
        <f>IFERROR(AVERAGEIF('Pemetaan Variant'!$A$5:$A$32,$B16,'Pemetaan Variant'!$AQ$5:$AQ$32),"n/a")</f>
        <v>45000</v>
      </c>
      <c r="CT16" s="10">
        <f>IFERROR(IF(ISNUMBER(CS16),(CS16-AVERAGEIF('Pemetaan Variant'!$A$5:$A$32,$B16,'Pemetaan Variant'!$J$5:$J$32))/AVERAGEIF('Pemetaan Variant'!$A$5:$A$32,$B16,'Pemetaan Variant'!$J$5:$J$32)*100,"n/a"),"n/a")</f>
        <v>0</v>
      </c>
      <c r="CU16" s="10">
        <f t="shared" si="31"/>
        <v>0</v>
      </c>
      <c r="CV16" s="18">
        <f>IFERROR(AVERAGEIF('Pemetaan Variant'!$A$5:$A$32,$B16,'Pemetaan Variant'!$AR$5:$AR$32),"n/a")</f>
        <v>45000</v>
      </c>
      <c r="CW16" s="10">
        <f>IFERROR(IF(ISNUMBER(CV16),(CV16-AVERAGEIF('Pemetaan Variant'!$A$5:$A$32,$B16,'Pemetaan Variant'!$J$5:$J$32))/AVERAGEIF('Pemetaan Variant'!$A$5:$A$32,$B16,'Pemetaan Variant'!$J$5:$J$32)*100,"n/a"),"n/a")</f>
        <v>0</v>
      </c>
      <c r="CX16" s="10">
        <f t="shared" si="32"/>
        <v>0</v>
      </c>
      <c r="CY16" s="18">
        <f>IFERROR(AVERAGEIF('Pemetaan Variant'!$A$5:$A$32,$B16,'Pemetaan Variant'!$AS$5:$AS$32),"n/a")</f>
        <v>45000</v>
      </c>
      <c r="CZ16" s="10">
        <f>IFERROR(IF(ISNUMBER(CY16),(CY16-AVERAGEIF('Pemetaan Variant'!$A$5:$A$32,$B16,'Pemetaan Variant'!$J$5:$J$32))/AVERAGEIF('Pemetaan Variant'!$A$5:$A$32,$B16,'Pemetaan Variant'!$J$5:$J$32)*100,"n/a"),"n/a")</f>
        <v>0</v>
      </c>
      <c r="DA16" s="10">
        <f t="shared" si="33"/>
        <v>0</v>
      </c>
      <c r="DB16" s="18">
        <f>IFERROR(AVERAGEIF('Pemetaan Variant'!$A$5:$A$32,$B16,'Pemetaan Variant'!$AT$5:$AT$32),"n/a")</f>
        <v>45000</v>
      </c>
      <c r="DC16" s="10">
        <f>IFERROR(IF(ISNUMBER(DB16),(DB16-AVERAGEIF('Pemetaan Variant'!$A$5:$A$32,$B16,'Pemetaan Variant'!$K$5:$K$32))/AVERAGEIF('Pemetaan Variant'!$A$5:$A$32,$B16,'Pemetaan Variant'!$K$5:$K$32)*100,"n/a"),"n/a")</f>
        <v>0</v>
      </c>
      <c r="DD16" s="10">
        <f t="shared" si="34"/>
        <v>0</v>
      </c>
      <c r="DE16" s="18">
        <f>IFERROR(AVERAGEIF('Pemetaan Variant'!$A$5:$A$32,$B16,'Pemetaan Variant'!$AU$5:$AU$32),"n/a")</f>
        <v>45000</v>
      </c>
      <c r="DF16" s="10">
        <f>IFERROR(IF(ISNUMBER(DE16),(DE16-AVERAGEIF('Pemetaan Variant'!$A$5:$A$32,$B16,'Pemetaan Variant'!$K$5:$K$32))/AVERAGEIF('Pemetaan Variant'!$A$5:$A$32,$B16,'Pemetaan Variant'!$K$5:$K$32)*100,"n/a"),"n/a")</f>
        <v>0</v>
      </c>
      <c r="DG16" s="10">
        <f t="shared" si="35"/>
        <v>0</v>
      </c>
      <c r="DH16" s="18">
        <f>IFERROR(AVERAGEIF('Pemetaan Variant'!$A$5:$A$32,$B16,'Pemetaan Variant'!$AV$5:$AV$32),"n/a")</f>
        <v>45000</v>
      </c>
      <c r="DI16" s="10">
        <f>IFERROR(IF(ISNUMBER(DH16),(DH16-AVERAGEIF('Pemetaan Variant'!$A$5:$A$32,$B16,'Pemetaan Variant'!$K$5:$K$32))/AVERAGEIF('Pemetaan Variant'!$A$5:$A$32,$B16,'Pemetaan Variant'!$K$5:$K$32)*100,"n/a"),"n/a")</f>
        <v>0</v>
      </c>
      <c r="DJ16" s="10">
        <f t="shared" si="36"/>
        <v>0</v>
      </c>
      <c r="DK16" s="18">
        <f>IFERROR(AVERAGEIF('Pemetaan Variant'!$A$5:$A$32,$B16,'Pemetaan Variant'!$AW$5:$AW$32),"n/a")</f>
        <v>45000</v>
      </c>
      <c r="DL16" s="10">
        <f>IFERROR(IF(ISNUMBER(DK16),(DK16-AVERAGEIF('Pemetaan Variant'!$A$5:$A$32,$B16,'Pemetaan Variant'!$K$5:$K$32))/AVERAGEIF('Pemetaan Variant'!$A$5:$A$32,$B16,'Pemetaan Variant'!$K$5:$K$32)*100,"n/a"),"n/a")</f>
        <v>0</v>
      </c>
      <c r="DM16" s="10">
        <f t="shared" si="37"/>
        <v>0</v>
      </c>
      <c r="DN16" s="19">
        <f>IFERROR(AVERAGEIF('Pemetaan Variant'!$A$5:$A$32,$B16,'Pemetaan Variant'!$AZ$5:$AZ$32),"n/a")</f>
        <v>45000</v>
      </c>
      <c r="DO16" s="14">
        <f>IFERROR(IF(ISNUMBER(DN16),(DN16-AVERAGEIF('Pemetaan Variant'!$A$5:$A$32,$B16,'Pemetaan Variant'!$AY$5:$AY$32))/AVERAGEIF('Pemetaan Variant'!$A$5:$A$32,$B16,'Pemetaan Variant'!$AY$5:$AY$32)*100,"n/a"),"n/a")</f>
        <v>0</v>
      </c>
      <c r="DP16" s="14">
        <f t="shared" si="38"/>
        <v>0</v>
      </c>
      <c r="DQ16" s="19" t="str">
        <f>IFERROR(AVERAGEIF('Pemetaan Variant'!$A$5:$A$32,$B16,'Pemetaan Variant'!$BA$5:$BA$32),"n/a")</f>
        <v>n/a</v>
      </c>
      <c r="DR16" s="14" t="str">
        <f>IFERROR(IF(ISNUMBER(DQ16),(DQ16-AVERAGEIF('Pemetaan Variant'!$A$5:$A$32,$B16,'Pemetaan Variant'!$AY$5:$AY$32))/AVERAGEIF('Pemetaan Variant'!$A$5:$A$32,$B16,'Pemetaan Variant'!$AY$5:$AY$32)*100,"n/a"),"n/a")</f>
        <v>n/a</v>
      </c>
      <c r="DS16" s="14" t="str">
        <f t="shared" si="39"/>
        <v>n/a</v>
      </c>
      <c r="DT16" s="19" t="str">
        <f>IFERROR(AVERAGEIF('Pemetaan Variant'!$A$5:$A$32,$B16,'Pemetaan Variant'!$BB$5:$BB$32),"n/a")</f>
        <v>n/a</v>
      </c>
      <c r="DU16" s="14" t="str">
        <f>IFERROR(IF(ISNUMBER(DT16),(DT16-AVERAGEIF('Pemetaan Variant'!$A$5:$A$32,$B16,'Pemetaan Variant'!$AY$5:$AY$32))/AVERAGEIF('Pemetaan Variant'!$A$5:$A$32,$B16,'Pemetaan Variant'!$AY$5:$AY$32)*100,"n/a"),"n/a")</f>
        <v>n/a</v>
      </c>
      <c r="DV16" s="14" t="str">
        <f t="shared" si="40"/>
        <v>n/a</v>
      </c>
      <c r="DW16" s="19" t="str">
        <f>IFERROR(AVERAGEIF('Pemetaan Variant'!$A$5:$A$32,$B16,'Pemetaan Variant'!$BC$5:$BC$32),"n/a")</f>
        <v>n/a</v>
      </c>
      <c r="DX16" s="14" t="str">
        <f>IFERROR(IF(ISNUMBER(DW16),(DW16-AVERAGEIF('Pemetaan Variant'!$A$5:$A$32,$B16,'Pemetaan Variant'!$AY$5:$AY$32))/AVERAGEIF('Pemetaan Variant'!$A$5:$A$32,$B16,'Pemetaan Variant'!$AY$5:$AY$32)*100,"n/a"),"n/a")</f>
        <v>n/a</v>
      </c>
      <c r="DY16" s="14" t="str">
        <f t="shared" si="41"/>
        <v>n/a</v>
      </c>
      <c r="DZ16" s="19" t="str">
        <f>IFERROR(AVERAGEIF('Pemetaan Variant'!$A$5:$A$32,$B16,'Pemetaan Variant'!$BD$5:$BD$32),"n/a")</f>
        <v>n/a</v>
      </c>
      <c r="EA16" s="14" t="str">
        <f>IFERROR(IF(ISNUMBER(DZ16),(DZ16-AVERAGEIF('Pemetaan Variant'!$A$5:$A$32,$B16,'Pemetaan Variant'!$AY$5:$AY$32))/AVERAGEIF('Pemetaan Variant'!$A$5:$A$32,$B16,'Pemetaan Variant'!$AY$5:$AY$32)*100,"n/a"),"n/a")</f>
        <v>n/a</v>
      </c>
      <c r="EB16" s="14" t="str">
        <f t="shared" si="42"/>
        <v>n/a</v>
      </c>
      <c r="ED16" s="14">
        <f>IFERROR(ABS(F16),0)</f>
        <v>0</v>
      </c>
      <c r="EE16" s="14">
        <f>IFERROR(ABS(I16),0)</f>
        <v>0</v>
      </c>
      <c r="EF16" s="14">
        <f>IFERROR(ABS(L16),0)</f>
        <v>0</v>
      </c>
      <c r="EG16" s="14">
        <f>IFERROR(ABS(O16),0)</f>
        <v>0</v>
      </c>
      <c r="EH16" s="14">
        <f>IFERROR(ABS(R16),0)</f>
        <v>0</v>
      </c>
      <c r="EI16" s="14">
        <f>IFERROR(ABS(U16),0)</f>
        <v>0.10385770458067449</v>
      </c>
      <c r="EJ16" s="14">
        <f>IFERROR(ABS(X16),0)</f>
        <v>0</v>
      </c>
      <c r="EK16" s="14">
        <f>IFERROR(ABS(AA16),0)</f>
        <v>0.3461923486022484</v>
      </c>
      <c r="EL16" s="14">
        <f>IFERROR(ABS(AD16),0)</f>
        <v>0.31157311374202346</v>
      </c>
      <c r="EM16" s="14">
        <f>IFERROR(ABS(AG16),0)</f>
        <v>0.31956216794053699</v>
      </c>
      <c r="EN16" s="14">
        <f>IFERROR(ABS(AJ16),0)</f>
        <v>0.31956216794053699</v>
      </c>
      <c r="EO16" s="14">
        <f>IFERROR(ABS(AM16),0)</f>
        <v>0.79890541985134234</v>
      </c>
      <c r="EP16" s="14">
        <f>IFERROR(ABS(AP16),0)</f>
        <v>1.0043382420988305</v>
      </c>
      <c r="EQ16" s="14">
        <f>IFERROR(ABS(AS16),0)</f>
        <v>1.0043382420988305</v>
      </c>
      <c r="ER16" s="14">
        <f>IFERROR(ABS(AV16),0)</f>
        <v>0.30429645928095711</v>
      </c>
      <c r="ES16" s="14">
        <f>IFERROR(ABS(AY16),0)</f>
        <v>0.30429645928095711</v>
      </c>
      <c r="ET16" s="14">
        <f>IFERROR(ABS(BB16),0)</f>
        <v>0.30429645928095711</v>
      </c>
      <c r="EU16" s="14">
        <f>IFERROR(ABS(BE16),0)</f>
        <v>0.30429645928095711</v>
      </c>
      <c r="EV16" s="14">
        <f>IFERROR(ABS(BH16),0)</f>
        <v>0.30429645928095711</v>
      </c>
      <c r="EW16" s="14">
        <f>IFERROR(ABS(BK16),0)</f>
        <v>0</v>
      </c>
      <c r="EX16" s="14">
        <f>IFERROR(ABS(BN16),0)</f>
        <v>0</v>
      </c>
      <c r="EY16" s="14">
        <f>IFERROR(ABS(BQ16),0)</f>
        <v>0</v>
      </c>
      <c r="EZ16" s="14">
        <f>IFERROR(ABS(BT16),0)</f>
        <v>0</v>
      </c>
      <c r="FA16" s="14">
        <f>IFERROR(ABS(BW16),0)</f>
        <v>0</v>
      </c>
      <c r="FB16" s="14">
        <f>IFERROR(ABS(BZ16),0)</f>
        <v>0</v>
      </c>
      <c r="FC16" s="14">
        <f>IFERROR(ABS(CC16),0)</f>
        <v>0</v>
      </c>
      <c r="FD16" s="14">
        <f>IFERROR(ABS(CF16),0)</f>
        <v>0</v>
      </c>
      <c r="FE16" s="14">
        <f>IFERROR(ABS(CI16),0)</f>
        <v>0</v>
      </c>
      <c r="FF16" s="14">
        <f>IFERROR(ABS(CL16),0)</f>
        <v>0</v>
      </c>
      <c r="FG16" s="14">
        <f>IFERROR(ABS(CO16),0)</f>
        <v>0</v>
      </c>
      <c r="FH16" s="14">
        <f>IFERROR(ABS(CR16),0)</f>
        <v>0</v>
      </c>
      <c r="FI16" s="14">
        <f>IFERROR(ABS(CU16),0)</f>
        <v>0</v>
      </c>
      <c r="FJ16" s="14">
        <f>IFERROR(ABS(CX16),0)</f>
        <v>0</v>
      </c>
      <c r="FK16" s="14">
        <f>IFERROR(ABS(DA16),0)</f>
        <v>0</v>
      </c>
      <c r="FL16" s="14">
        <f>IFERROR(ABS(DD16),0)</f>
        <v>0</v>
      </c>
      <c r="FM16" s="14">
        <f>IFERROR(ABS(DG16),0)</f>
        <v>0</v>
      </c>
      <c r="FN16" s="14">
        <f>IFERROR(ABS(DJ16),0)</f>
        <v>0</v>
      </c>
      <c r="FO16" s="14">
        <f>IFERROR(ABS(DM16),0)</f>
        <v>0</v>
      </c>
      <c r="FP16" s="14">
        <f>IFERROR(ABS(#REF!),0)</f>
        <v>0</v>
      </c>
      <c r="FQ16" s="14">
        <f t="shared" si="43"/>
        <v>0</v>
      </c>
      <c r="FR16" s="14">
        <f t="shared" si="44"/>
        <v>0</v>
      </c>
      <c r="FS16" s="14">
        <f t="shared" si="45"/>
        <v>0</v>
      </c>
      <c r="FT16" s="14">
        <f t="shared" si="46"/>
        <v>0</v>
      </c>
      <c r="FU16" s="14">
        <f t="shared" si="47"/>
        <v>0</v>
      </c>
    </row>
    <row r="17" spans="1:177" ht="12.75" customHeight="1" x14ac:dyDescent="0.35">
      <c r="A17" s="8">
        <v>12</v>
      </c>
      <c r="B17" s="9" t="s">
        <v>198</v>
      </c>
      <c r="C17" s="10">
        <f>'P0Q0 Dasar 2022'!F16</f>
        <v>0.21946420178649401</v>
      </c>
      <c r="D17" s="18">
        <f>IFERROR(AVERAGEIF('Pemetaan Variant'!$A$5:$A$32,$B17,'Pemetaan Variant'!$L$5:$L$32),"n/a")</f>
        <v>42000</v>
      </c>
      <c r="E17" s="10">
        <f>IFERROR(IF(ISNUMBER(D17),(D17-AVERAGEIF('Pemetaan Variant'!$A$5:$A$32,$B17,'Pemetaan Variant'!$D$5:$D$32))/AVERAGEIF('Pemetaan Variant'!$A$5:$A$32,$B17,'Pemetaan Variant'!$D$5:$D$32)*100,"n/a"),"n/a")</f>
        <v>0</v>
      </c>
      <c r="F17" s="10">
        <f t="shared" si="0"/>
        <v>0</v>
      </c>
      <c r="G17" s="18">
        <f>IFERROR(AVERAGEIF('Pemetaan Variant'!$A$5:$A$32,$B17,'Pemetaan Variant'!$M$5:$M$32),"n/a")</f>
        <v>42000</v>
      </c>
      <c r="H17" s="10">
        <f>IFERROR(IF(ISNUMBER(G17),(G17-AVERAGEIF('Pemetaan Variant'!$A$5:$A$32,$B17,'Pemetaan Variant'!$D$5:$D$32))/AVERAGEIF('Pemetaan Variant'!$A$5:$A$32,$B17,'Pemetaan Variant'!$D$5:$D$32)*100,"n/a"),"n/a")</f>
        <v>0</v>
      </c>
      <c r="I17" s="10">
        <f t="shared" si="1"/>
        <v>0</v>
      </c>
      <c r="J17" s="18">
        <f>IFERROR(AVERAGEIF('Pemetaan Variant'!$A$5:$A$32,$B17,'Pemetaan Variant'!$N$5:$N$32),"n/a")</f>
        <v>42000</v>
      </c>
      <c r="K17" s="10">
        <f>IFERROR(IF(ISNUMBER(J17),(J17-AVERAGEIF('Pemetaan Variant'!$A$5:$A$32,$B17,'Pemetaan Variant'!$D$5:$D$32))/AVERAGEIF('Pemetaan Variant'!$A$5:$A$32,$B17,'Pemetaan Variant'!$D$5:$D$32)*100,"n/a"),"n/a")</f>
        <v>0</v>
      </c>
      <c r="L17" s="10">
        <f t="shared" si="2"/>
        <v>0</v>
      </c>
      <c r="M17" s="18">
        <f>IFERROR(AVERAGEIF('Pemetaan Variant'!$A$5:$A$32,$B17,'Pemetaan Variant'!$O$5:$O$32),"n/a")</f>
        <v>42000</v>
      </c>
      <c r="N17" s="10">
        <f>IFERROR(IF(ISNUMBER(M17),(M17-AVERAGEIF('Pemetaan Variant'!$A$5:$A$32,$B17,'Pemetaan Variant'!$D$5:$D$32))/AVERAGEIF('Pemetaan Variant'!$A$5:$A$32,$B17,'Pemetaan Variant'!$D$5:$D$32)*100,"n/a"),"n/a")</f>
        <v>0</v>
      </c>
      <c r="O17" s="10">
        <f t="shared" si="3"/>
        <v>0</v>
      </c>
      <c r="P17" s="18">
        <f>IFERROR(AVERAGEIF('Pemetaan Variant'!$A$5:$A$32,$B17,'Pemetaan Variant'!$P$5:$P$32),"n/a")</f>
        <v>42000</v>
      </c>
      <c r="Q17" s="10">
        <f>IFERROR(IF(ISNUMBER(P17),(P17-AVERAGEIF('Pemetaan Variant'!$A$5:$A$32,$B17,'Pemetaan Variant'!$D$5:$D$32))/AVERAGEIF('Pemetaan Variant'!$A$5:$A$32,$B17,'Pemetaan Variant'!$D$5:$D$32)*100,"n/a"),"n/a")</f>
        <v>0</v>
      </c>
      <c r="R17" s="10">
        <f t="shared" si="4"/>
        <v>0</v>
      </c>
      <c r="S17" s="18">
        <f>IFERROR(AVERAGEIF('Pemetaan Variant'!$A$5:$A$32,$B17,'Pemetaan Variant'!$Q$5:$Q$32),"n/a")</f>
        <v>42000</v>
      </c>
      <c r="T17" s="10">
        <f>IFERROR(IF(ISNUMBER(S17),(S17-AVERAGEIF('Pemetaan Variant'!$A$5:$A$32,$B17,'Pemetaan Variant'!$E$5:$E$32))/AVERAGEIF('Pemetaan Variant'!$A$5:$A$32,$B17,'Pemetaan Variant'!$E$5:$E$32)*100,"n/a"),"n/a")</f>
        <v>0</v>
      </c>
      <c r="U17" s="10">
        <f t="shared" si="5"/>
        <v>0</v>
      </c>
      <c r="V17" s="18">
        <f>IFERROR(AVERAGEIF('Pemetaan Variant'!$A$5:$A$32,$B17,'Pemetaan Variant'!$R$5:$R$32),"n/a")</f>
        <v>42000</v>
      </c>
      <c r="W17" s="10">
        <f>IFERROR(IF(ISNUMBER(V17),(V17-AVERAGEIF('Pemetaan Variant'!$A$5:$A$32,$B17,'Pemetaan Variant'!$E$5:$E$32))/AVERAGEIF('Pemetaan Variant'!$A$5:$A$32,$B17,'Pemetaan Variant'!$E$5:$E$32)*100,"n/a"),"n/a")</f>
        <v>0</v>
      </c>
      <c r="X17" s="10">
        <f t="shared" si="6"/>
        <v>0</v>
      </c>
      <c r="Y17" s="18">
        <f>IFERROR(AVERAGEIF('Pemetaan Variant'!$A$5:$A$32,$B17,'Pemetaan Variant'!$S$5:$S$32),"n/a")</f>
        <v>42000</v>
      </c>
      <c r="Z17" s="10">
        <f>IFERROR(IF(ISNUMBER(Y17),(Y17-AVERAGEIF('Pemetaan Variant'!$A$5:$A$32,$B17,'Pemetaan Variant'!$E$5:$E$32))/AVERAGEIF('Pemetaan Variant'!$A$5:$A$32,$B17,'Pemetaan Variant'!$E$5:$E$32)*100,"n/a"),"n/a")</f>
        <v>0</v>
      </c>
      <c r="AA17" s="10">
        <f t="shared" si="7"/>
        <v>0</v>
      </c>
      <c r="AB17" s="18">
        <f>IFERROR(AVERAGEIF('Pemetaan Variant'!$A$5:$A$32,$B17,'Pemetaan Variant'!$T$5:$T$32),"n/a")</f>
        <v>42000</v>
      </c>
      <c r="AC17" s="10">
        <f>IFERROR(IF(ISNUMBER(AB17),(AB17-AVERAGEIF('Pemetaan Variant'!$A$5:$A$32,$B17,'Pemetaan Variant'!$E$5:$E$32))/AVERAGEIF('Pemetaan Variant'!$A$5:$A$32,$B17,'Pemetaan Variant'!$E$5:$E$32)*100,"n/a"),"n/a")</f>
        <v>0</v>
      </c>
      <c r="AD17" s="10">
        <f t="shared" si="8"/>
        <v>0</v>
      </c>
      <c r="AE17" s="18">
        <f>IFERROR(AVERAGEIF('Pemetaan Variant'!$A$5:$A$32,$B17,'Pemetaan Variant'!$U$5:$U$32),"n/a")</f>
        <v>42000</v>
      </c>
      <c r="AF17" s="10">
        <f>IFERROR(IF(ISNUMBER(AE17),(AE17-AVERAGEIF('Pemetaan Variant'!$A$5:$A$32,$B17,'Pemetaan Variant'!$F$5:$F$32))/AVERAGEIF('Pemetaan Variant'!$A$5:$A$32,$B17,'Pemetaan Variant'!$F$5:$F$32)*100,"n/a"),"n/a")</f>
        <v>0</v>
      </c>
      <c r="AG17" s="10">
        <f t="shared" si="9"/>
        <v>0</v>
      </c>
      <c r="AH17" s="18">
        <f>IFERROR(AVERAGEIF('Pemetaan Variant'!$A$5:$A$32,$B17,'Pemetaan Variant'!$V$5:$V$32),"n/a")</f>
        <v>42000</v>
      </c>
      <c r="AI17" s="10">
        <f>IFERROR(IF(ISNUMBER(AH17),(AH17-AVERAGEIF('Pemetaan Variant'!$A$5:$A$32,$B17,'Pemetaan Variant'!$F$5:$F$32))/AVERAGEIF('Pemetaan Variant'!$A$5:$A$32,$B17,'Pemetaan Variant'!$F$5:$F$32)*100,"n/a"),"n/a")</f>
        <v>0</v>
      </c>
      <c r="AJ17" s="10">
        <f t="shared" si="10"/>
        <v>0</v>
      </c>
      <c r="AK17" s="18">
        <f>IFERROR(AVERAGEIF('Pemetaan Variant'!$A$5:$A$32,$B17,'Pemetaan Variant'!$W$5:$W$32),"n/a")</f>
        <v>42000</v>
      </c>
      <c r="AL17" s="10">
        <f>IFERROR(IF(ISNUMBER(AK17),(AK17-AVERAGEIF('Pemetaan Variant'!$A$5:$A$32,$B17,'Pemetaan Variant'!$F$5:$F$32))/AVERAGEIF('Pemetaan Variant'!$A$5:$A$32,$B17,'Pemetaan Variant'!$F$5:$F$32)*100,"n/a"),"n/a")</f>
        <v>0</v>
      </c>
      <c r="AM17" s="10">
        <f t="shared" si="11"/>
        <v>0</v>
      </c>
      <c r="AN17" s="18">
        <f>IFERROR(AVERAGEIF('Pemetaan Variant'!$A$5:$A$32,$B17,'Pemetaan Variant'!$X$5:$X$32),"n/a")</f>
        <v>42000</v>
      </c>
      <c r="AO17" s="10">
        <f>IFERROR(IF(ISNUMBER(AN17),(AN17-AVERAGEIF('Pemetaan Variant'!$A$5:$A$32,$B17,'Pemetaan Variant'!$F$5:$F$32))/AVERAGEIF('Pemetaan Variant'!$A$5:$A$32,$B17,'Pemetaan Variant'!$F$5:$F$32)*100,"n/a"),"n/a")</f>
        <v>0</v>
      </c>
      <c r="AP17" s="10">
        <f t="shared" si="12"/>
        <v>0</v>
      </c>
      <c r="AQ17" s="18">
        <f>IFERROR(AVERAGEIF('Pemetaan Variant'!$A$5:$A$32,$B17,'Pemetaan Variant'!$Y$5:$Y$32),"n/a")</f>
        <v>42000</v>
      </c>
      <c r="AR17" s="10">
        <f>IFERROR(IF(ISNUMBER(AQ17),(AQ17-AVERAGEIF('Pemetaan Variant'!$A$5:$A$32,$B17,'Pemetaan Variant'!$F$5:$F$32))/AVERAGEIF('Pemetaan Variant'!$A$5:$A$32,$B17,'Pemetaan Variant'!$F$5:$F$32)*100,"n/a"),"n/a")</f>
        <v>0</v>
      </c>
      <c r="AS17" s="10">
        <f t="shared" si="13"/>
        <v>0</v>
      </c>
      <c r="AT17" s="18">
        <f>IFERROR(AVERAGEIF('Pemetaan Variant'!$A$5:$A$32,$B17,'Pemetaan Variant'!$Z$5:$Z$32),"n/a")</f>
        <v>42000</v>
      </c>
      <c r="AU17" s="10">
        <f>IFERROR(IF(ISNUMBER(AT17),(AT17-AVERAGEIF('Pemetaan Variant'!$A$5:$A$32,$B17,'Pemetaan Variant'!$G$5:$G$32))/AVERAGEIF('Pemetaan Variant'!$A$5:$A$32,$B17,'Pemetaan Variant'!$G$5:$G$32)*100,"n/a"),"n/a")</f>
        <v>0</v>
      </c>
      <c r="AV17" s="10">
        <f t="shared" si="14"/>
        <v>0</v>
      </c>
      <c r="AW17" s="18">
        <f>IFERROR(AVERAGEIF('Pemetaan Variant'!$A$5:$A$32,$B17,'Pemetaan Variant'!$AA$5:$AA$32),"n/a")</f>
        <v>42000</v>
      </c>
      <c r="AX17" s="10">
        <f>IFERROR(IF(ISNUMBER(AW17),(AW17-AVERAGEIF('Pemetaan Variant'!$A$5:$A$32,$B17,'Pemetaan Variant'!$G$5:$G$32))/AVERAGEIF('Pemetaan Variant'!$A$5:$A$32,$B17,'Pemetaan Variant'!$G$5:$G$32)*100,"n/a"),"n/a")</f>
        <v>0</v>
      </c>
      <c r="AY17" s="10">
        <f t="shared" si="15"/>
        <v>0</v>
      </c>
      <c r="AZ17" s="18">
        <f>IFERROR(AVERAGEIF('Pemetaan Variant'!$A$5:$A$32,$B17,'Pemetaan Variant'!$AB$5:$AB$32),"n/a")</f>
        <v>42000</v>
      </c>
      <c r="BA17" s="10">
        <f>IFERROR(IF(ISNUMBER(AZ17),(AZ17-AVERAGEIF('Pemetaan Variant'!$A$5:$A$32,$B17,'Pemetaan Variant'!$G$5:$G$32))/AVERAGEIF('Pemetaan Variant'!$A$5:$A$32,$B17,'Pemetaan Variant'!$G$5:$G$32)*100,"n/a"),"n/a")</f>
        <v>0</v>
      </c>
      <c r="BB17" s="10">
        <f t="shared" si="16"/>
        <v>0</v>
      </c>
      <c r="BC17" s="18">
        <f>IFERROR(AVERAGEIF('Pemetaan Variant'!$A$5:$A$32,$B17,'Pemetaan Variant'!$AC$5:$AC$32),"n/a")</f>
        <v>42000</v>
      </c>
      <c r="BD17" s="10">
        <f>IFERROR(IF(ISNUMBER(BC17),(BC17-AVERAGEIF('Pemetaan Variant'!$A$5:$A$32,$B17,'Pemetaan Variant'!$G$5:$G$32))/AVERAGEIF('Pemetaan Variant'!$A$5:$A$32,$B17,'Pemetaan Variant'!$G$5:$G$32)*100,"n/a"),"n/a")</f>
        <v>0</v>
      </c>
      <c r="BE17" s="10">
        <f t="shared" si="17"/>
        <v>0</v>
      </c>
      <c r="BF17" s="18">
        <f>IFERROR(AVERAGEIF('Pemetaan Variant'!$A$5:$A$32,$B17,'Pemetaan Variant'!$AD$5:$AD$32),"n/a")</f>
        <v>42000</v>
      </c>
      <c r="BG17" s="10">
        <f>IFERROR(IF(ISNUMBER(BF17),(BF17-AVERAGEIF('Pemetaan Variant'!$A$5:$A$32,$B17,'Pemetaan Variant'!$G$5:$G$32))/AVERAGEIF('Pemetaan Variant'!$A$5:$A$32,$B17,'Pemetaan Variant'!$G$5:$G$32)*100,"n/a"),"n/a")</f>
        <v>0</v>
      </c>
      <c r="BH17" s="10">
        <f t="shared" si="18"/>
        <v>0</v>
      </c>
      <c r="BI17" s="18" t="str">
        <f>IFERROR(AVERAGEIF('Pemetaan Variant'!$A$5:$A$32,$B17,'Pemetaan Variant'!$AE$5:$AE$32),"n/a")</f>
        <v>n/a</v>
      </c>
      <c r="BJ17" s="10" t="str">
        <f>IFERROR(IF(ISNUMBER(BI17),(BI17-AVERAGEIF('Pemetaan Variant'!$A$5:$A$32,$B17,'Pemetaan Variant'!$H$5:$H$32))/AVERAGEIF('Pemetaan Variant'!$A$5:$A$32,$B17,'Pemetaan Variant'!$H$5:$H$32)*100,"n/a"),"n/a")</f>
        <v>n/a</v>
      </c>
      <c r="BK17" s="10" t="str">
        <f t="shared" si="19"/>
        <v>n/a</v>
      </c>
      <c r="BL17" s="18">
        <f>IFERROR(AVERAGEIF('Pemetaan Variant'!$A$5:$A$32,$B17,'Pemetaan Variant'!$AF$5:$AF$32),"n/a")</f>
        <v>42000</v>
      </c>
      <c r="BM17" s="10">
        <f>IFERROR(IF(ISNUMBER(BL17),(BL17-AVERAGEIF('Pemetaan Variant'!$A$5:$A$32,$B17,'Pemetaan Variant'!$H$5:$H$32))/AVERAGEIF('Pemetaan Variant'!$A$5:$A$32,$B17,'Pemetaan Variant'!$H$5:$H$32)*100,"n/a"),"n/a")</f>
        <v>0</v>
      </c>
      <c r="BN17" s="10">
        <f t="shared" si="20"/>
        <v>0</v>
      </c>
      <c r="BO17" s="18">
        <f>IFERROR(AVERAGEIF('Pemetaan Variant'!$A$5:$A$32,$B17,'Pemetaan Variant'!$AG$5:$AG$32),"n/a")</f>
        <v>42000</v>
      </c>
      <c r="BP17" s="10">
        <f>IFERROR(IF(ISNUMBER(BO17),(BO17-AVERAGEIF('Pemetaan Variant'!$A$5:$A$32,$B17,'Pemetaan Variant'!$H$5:$H$32))/AVERAGEIF('Pemetaan Variant'!$A$5:$A$32,$B17,'Pemetaan Variant'!$H$5:$H$32)*100,"n/a"),"n/a")</f>
        <v>0</v>
      </c>
      <c r="BQ17" s="10">
        <f t="shared" si="21"/>
        <v>0</v>
      </c>
      <c r="BR17" s="18">
        <f>IFERROR(AVERAGEIF('Pemetaan Variant'!$A$5:$A$32,$B17,'Pemetaan Variant'!$AH$5:$AH$32),"n/a")</f>
        <v>42000</v>
      </c>
      <c r="BS17" s="10">
        <f>IFERROR(IF(ISNUMBER(BR17),(BR17-AVERAGEIF('Pemetaan Variant'!$A$5:$A$32,$B17,'Pemetaan Variant'!$H$5:$H$32))/AVERAGEIF('Pemetaan Variant'!$A$5:$A$32,$B17,'Pemetaan Variant'!$H$5:$H$32)*100,"n/a"),"n/a")</f>
        <v>0</v>
      </c>
      <c r="BT17" s="10">
        <f t="shared" si="22"/>
        <v>0</v>
      </c>
      <c r="BU17" s="18">
        <f>IFERROR(AVERAGEIF('Pemetaan Variant'!$A$5:$A$32,$B17,'Pemetaan Variant'!$AI$5:$AI$32),"n/a")</f>
        <v>42000</v>
      </c>
      <c r="BV17" s="10">
        <f>IFERROR(IF(ISNUMBER(BU17),(BU17-AVERAGEIF('Pemetaan Variant'!$A$5:$A$32,$B17,'Pemetaan Variant'!$H$5:$H$32))/AVERAGEIF('Pemetaan Variant'!$A$5:$A$32,$B17,'Pemetaan Variant'!$H$5:$H$32)*100,"n/a"),"n/a")</f>
        <v>0</v>
      </c>
      <c r="BW17" s="10">
        <f t="shared" si="23"/>
        <v>0</v>
      </c>
      <c r="BX17" s="18">
        <f>IFERROR(AVERAGEIF('Pemetaan Variant'!$A$5:$A$32,$B17,'Pemetaan Variant'!$AJ$5:$AJ$32),"n/a")</f>
        <v>42000</v>
      </c>
      <c r="BY17" s="10">
        <f>IFERROR(IF(ISNUMBER(BX17),(BX17-AVERAGEIF('Pemetaan Variant'!$A$5:$A$32,$B17,'Pemetaan Variant'!$I$5:$I$32))/AVERAGEIF('Pemetaan Variant'!$A$5:$A$32,$B17,'Pemetaan Variant'!$I$5:$I$32)*100,"n/a"),"n/a")</f>
        <v>0</v>
      </c>
      <c r="BZ17" s="10">
        <f t="shared" si="24"/>
        <v>0</v>
      </c>
      <c r="CA17" s="18">
        <f>IFERROR(AVERAGEIF('Pemetaan Variant'!$A$5:$A$32,$B17,'Pemetaan Variant'!$AK$5:$AK$32),"n/a")</f>
        <v>42000</v>
      </c>
      <c r="CB17" s="10">
        <f>IFERROR(IF(ISNUMBER(CA17),(CA17-AVERAGEIF('Pemetaan Variant'!$A$5:$A$32,$B17,'Pemetaan Variant'!$I$5:$I$32))/AVERAGEIF('Pemetaan Variant'!$A$5:$A$32,$B17,'Pemetaan Variant'!$I$5:$I$32)*100,"n/a"),"n/a")</f>
        <v>0</v>
      </c>
      <c r="CC17" s="10">
        <f t="shared" si="25"/>
        <v>0</v>
      </c>
      <c r="CD17" s="18">
        <f>IFERROR(AVERAGEIF('Pemetaan Variant'!$A$5:$A$32,$B17,'Pemetaan Variant'!$AL$5:$AL$32),"n/a")</f>
        <v>42000</v>
      </c>
      <c r="CE17" s="10">
        <f>IFERROR(IF(ISNUMBER(CD17),(CD17-AVERAGEIF('Pemetaan Variant'!$A$5:$A$32,$B17,'Pemetaan Variant'!$I$5:$I$32))/AVERAGEIF('Pemetaan Variant'!$A$5:$A$32,$B17,'Pemetaan Variant'!$I$5:$I$32)*100,"n/a"),"n/a")</f>
        <v>0</v>
      </c>
      <c r="CF17" s="10">
        <f t="shared" si="26"/>
        <v>0</v>
      </c>
      <c r="CG17" s="18">
        <f>IFERROR(AVERAGEIF('Pemetaan Variant'!$A$5:$A$32,$B17,'Pemetaan Variant'!$AM$5:$AM$32),"n/a")</f>
        <v>42000</v>
      </c>
      <c r="CH17" s="10">
        <f>IFERROR(IF(ISNUMBER(CG17),(CG17-AVERAGEIF('Pemetaan Variant'!$A$5:$A$32,$B17,'Pemetaan Variant'!$I$5:$I$32))/AVERAGEIF('Pemetaan Variant'!$A$5:$A$32,$B17,'Pemetaan Variant'!$I$5:$I$32)*100,"n/a"),"n/a")</f>
        <v>0</v>
      </c>
      <c r="CI17" s="10">
        <f t="shared" si="27"/>
        <v>0</v>
      </c>
      <c r="CJ17" s="18">
        <f>IFERROR(AVERAGEIF('Pemetaan Variant'!$A$5:$A$32,$B17,'Pemetaan Variant'!$AN$5:$AN$32),"n/a")</f>
        <v>42000</v>
      </c>
      <c r="CK17" s="10">
        <f>IFERROR(IF(ISNUMBER(CJ17),(CJ17-AVERAGEIF('Pemetaan Variant'!$A$5:$A$32,$B17,'Pemetaan Variant'!$I$5:$I$32))/AVERAGEIF('Pemetaan Variant'!$A$5:$A$32,$B17,'Pemetaan Variant'!$I$5:$I$32)*100,"n/a"),"n/a")</f>
        <v>0</v>
      </c>
      <c r="CL17" s="10">
        <f t="shared" si="28"/>
        <v>0</v>
      </c>
      <c r="CM17" s="18">
        <f>IFERROR(AVERAGEIF('Pemetaan Variant'!$A$5:$A$32,$B17,'Pemetaan Variant'!$AO$5:$AO$32),"n/a")</f>
        <v>42000</v>
      </c>
      <c r="CN17" s="10">
        <f>IFERROR(IF(ISNUMBER(CM17),(CM17-AVERAGEIF('Pemetaan Variant'!$A$5:$A$32,$B17,'Pemetaan Variant'!$J$5:$J$32))/AVERAGEIF('Pemetaan Variant'!$A$5:$A$32,$B17,'Pemetaan Variant'!$J$5:$J$32)*100,"n/a"),"n/a")</f>
        <v>0</v>
      </c>
      <c r="CO17" s="10">
        <f t="shared" si="29"/>
        <v>0</v>
      </c>
      <c r="CP17" s="18">
        <f>IFERROR(AVERAGEIF('Pemetaan Variant'!$A$5:$A$32,$B17,'Pemetaan Variant'!$AP$5:$AP$32),"n/a")</f>
        <v>42000</v>
      </c>
      <c r="CQ17" s="10">
        <f>IFERROR(IF(ISNUMBER(CP17),(CP17-AVERAGEIF('Pemetaan Variant'!$A$5:$A$32,$B17,'Pemetaan Variant'!$J$5:$J$32))/AVERAGEIF('Pemetaan Variant'!$A$5:$A$32,$B17,'Pemetaan Variant'!$J$5:$J$32)*100,"n/a"),"n/a")</f>
        <v>0</v>
      </c>
      <c r="CR17" s="10">
        <f t="shared" si="30"/>
        <v>0</v>
      </c>
      <c r="CS17" s="18">
        <f>IFERROR(AVERAGEIF('Pemetaan Variant'!$A$5:$A$32,$B17,'Pemetaan Variant'!$AQ$5:$AQ$32),"n/a")</f>
        <v>42000</v>
      </c>
      <c r="CT17" s="10">
        <f>IFERROR(IF(ISNUMBER(CS17),(CS17-AVERAGEIF('Pemetaan Variant'!$A$5:$A$32,$B17,'Pemetaan Variant'!$J$5:$J$32))/AVERAGEIF('Pemetaan Variant'!$A$5:$A$32,$B17,'Pemetaan Variant'!$J$5:$J$32)*100,"n/a"),"n/a")</f>
        <v>0</v>
      </c>
      <c r="CU17" s="10">
        <f t="shared" si="31"/>
        <v>0</v>
      </c>
      <c r="CV17" s="18">
        <f>IFERROR(AVERAGEIF('Pemetaan Variant'!$A$5:$A$32,$B17,'Pemetaan Variant'!$AR$5:$AR$32),"n/a")</f>
        <v>42000</v>
      </c>
      <c r="CW17" s="10">
        <f>IFERROR(IF(ISNUMBER(CV17),(CV17-AVERAGEIF('Pemetaan Variant'!$A$5:$A$32,$B17,'Pemetaan Variant'!$J$5:$J$32))/AVERAGEIF('Pemetaan Variant'!$A$5:$A$32,$B17,'Pemetaan Variant'!$J$5:$J$32)*100,"n/a"),"n/a")</f>
        <v>0</v>
      </c>
      <c r="CX17" s="10">
        <f t="shared" si="32"/>
        <v>0</v>
      </c>
      <c r="CY17" s="18">
        <f>IFERROR(AVERAGEIF('Pemetaan Variant'!$A$5:$A$32,$B17,'Pemetaan Variant'!$AS$5:$AS$32),"n/a")</f>
        <v>42000</v>
      </c>
      <c r="CZ17" s="10">
        <f>IFERROR(IF(ISNUMBER(CY17),(CY17-AVERAGEIF('Pemetaan Variant'!$A$5:$A$32,$B17,'Pemetaan Variant'!$J$5:$J$32))/AVERAGEIF('Pemetaan Variant'!$A$5:$A$32,$B17,'Pemetaan Variant'!$J$5:$J$32)*100,"n/a"),"n/a")</f>
        <v>0</v>
      </c>
      <c r="DA17" s="10">
        <f t="shared" si="33"/>
        <v>0</v>
      </c>
      <c r="DB17" s="18">
        <f>IFERROR(AVERAGEIF('Pemetaan Variant'!$A$5:$A$32,$B17,'Pemetaan Variant'!$AT$5:$AT$32),"n/a")</f>
        <v>42000</v>
      </c>
      <c r="DC17" s="10">
        <f>IFERROR(IF(ISNUMBER(DB17),(DB17-AVERAGEIF('Pemetaan Variant'!$A$5:$A$32,$B17,'Pemetaan Variant'!$K$5:$K$32))/AVERAGEIF('Pemetaan Variant'!$A$5:$A$32,$B17,'Pemetaan Variant'!$K$5:$K$32)*100,"n/a"),"n/a")</f>
        <v>0</v>
      </c>
      <c r="DD17" s="10">
        <f t="shared" si="34"/>
        <v>0</v>
      </c>
      <c r="DE17" s="18">
        <f>IFERROR(AVERAGEIF('Pemetaan Variant'!$A$5:$A$32,$B17,'Pemetaan Variant'!$AU$5:$AU$32),"n/a")</f>
        <v>42000</v>
      </c>
      <c r="DF17" s="10">
        <f>IFERROR(IF(ISNUMBER(DE17),(DE17-AVERAGEIF('Pemetaan Variant'!$A$5:$A$32,$B17,'Pemetaan Variant'!$K$5:$K$32))/AVERAGEIF('Pemetaan Variant'!$A$5:$A$32,$B17,'Pemetaan Variant'!$K$5:$K$32)*100,"n/a"),"n/a")</f>
        <v>0</v>
      </c>
      <c r="DG17" s="10">
        <f t="shared" si="35"/>
        <v>0</v>
      </c>
      <c r="DH17" s="18">
        <f>IFERROR(AVERAGEIF('Pemetaan Variant'!$A$5:$A$32,$B17,'Pemetaan Variant'!$AV$5:$AV$32),"n/a")</f>
        <v>42000</v>
      </c>
      <c r="DI17" s="10">
        <f>IFERROR(IF(ISNUMBER(DH17),(DH17-AVERAGEIF('Pemetaan Variant'!$A$5:$A$32,$B17,'Pemetaan Variant'!$K$5:$K$32))/AVERAGEIF('Pemetaan Variant'!$A$5:$A$32,$B17,'Pemetaan Variant'!$K$5:$K$32)*100,"n/a"),"n/a")</f>
        <v>0</v>
      </c>
      <c r="DJ17" s="10">
        <f t="shared" si="36"/>
        <v>0</v>
      </c>
      <c r="DK17" s="18">
        <f>IFERROR(AVERAGEIF('Pemetaan Variant'!$A$5:$A$32,$B17,'Pemetaan Variant'!$AW$5:$AW$32),"n/a")</f>
        <v>42000</v>
      </c>
      <c r="DL17" s="10">
        <f>IFERROR(IF(ISNUMBER(DK17),(DK17-AVERAGEIF('Pemetaan Variant'!$A$5:$A$32,$B17,'Pemetaan Variant'!$K$5:$K$32))/AVERAGEIF('Pemetaan Variant'!$A$5:$A$32,$B17,'Pemetaan Variant'!$K$5:$K$32)*100,"n/a"),"n/a")</f>
        <v>0</v>
      </c>
      <c r="DM17" s="10">
        <f t="shared" si="37"/>
        <v>0</v>
      </c>
      <c r="DN17" s="19">
        <f>IFERROR(AVERAGEIF('Pemetaan Variant'!$A$5:$A$32,$B17,'Pemetaan Variant'!$AZ$5:$AZ$32),"n/a")</f>
        <v>42000</v>
      </c>
      <c r="DO17" s="14">
        <f>IFERROR(IF(ISNUMBER(DN17),(DN17-AVERAGEIF('Pemetaan Variant'!$A$5:$A$32,$B17,'Pemetaan Variant'!$AY$5:$AY$32))/AVERAGEIF('Pemetaan Variant'!$A$5:$A$32,$B17,'Pemetaan Variant'!$AY$5:$AY$32)*100,"n/a"),"n/a")</f>
        <v>0</v>
      </c>
      <c r="DP17" s="14">
        <f t="shared" si="38"/>
        <v>0</v>
      </c>
      <c r="DQ17" s="19" t="str">
        <f>IFERROR(AVERAGEIF('Pemetaan Variant'!$A$5:$A$32,$B17,'Pemetaan Variant'!$BA$5:$BA$32),"n/a")</f>
        <v>n/a</v>
      </c>
      <c r="DR17" s="14" t="str">
        <f>IFERROR(IF(ISNUMBER(DQ17),(DQ17-AVERAGEIF('Pemetaan Variant'!$A$5:$A$32,$B17,'Pemetaan Variant'!$AY$5:$AY$32))/AVERAGEIF('Pemetaan Variant'!$A$5:$A$32,$B17,'Pemetaan Variant'!$AY$5:$AY$32)*100,"n/a"),"n/a")</f>
        <v>n/a</v>
      </c>
      <c r="DS17" s="14" t="str">
        <f t="shared" si="39"/>
        <v>n/a</v>
      </c>
      <c r="DT17" s="19" t="str">
        <f>IFERROR(AVERAGEIF('Pemetaan Variant'!$A$5:$A$32,$B17,'Pemetaan Variant'!$BB$5:$BB$32),"n/a")</f>
        <v>n/a</v>
      </c>
      <c r="DU17" s="14" t="str">
        <f>IFERROR(IF(ISNUMBER(DT17),(DT17-AVERAGEIF('Pemetaan Variant'!$A$5:$A$32,$B17,'Pemetaan Variant'!$AY$5:$AY$32))/AVERAGEIF('Pemetaan Variant'!$A$5:$A$32,$B17,'Pemetaan Variant'!$AY$5:$AY$32)*100,"n/a"),"n/a")</f>
        <v>n/a</v>
      </c>
      <c r="DV17" s="14" t="str">
        <f t="shared" si="40"/>
        <v>n/a</v>
      </c>
      <c r="DW17" s="19" t="str">
        <f>IFERROR(AVERAGEIF('Pemetaan Variant'!$A$5:$A$32,$B17,'Pemetaan Variant'!$BC$5:$BC$32),"n/a")</f>
        <v>n/a</v>
      </c>
      <c r="DX17" s="14" t="str">
        <f>IFERROR(IF(ISNUMBER(DW17),(DW17-AVERAGEIF('Pemetaan Variant'!$A$5:$A$32,$B17,'Pemetaan Variant'!$AY$5:$AY$32))/AVERAGEIF('Pemetaan Variant'!$A$5:$A$32,$B17,'Pemetaan Variant'!$AY$5:$AY$32)*100,"n/a"),"n/a")</f>
        <v>n/a</v>
      </c>
      <c r="DY17" s="14" t="str">
        <f t="shared" si="41"/>
        <v>n/a</v>
      </c>
      <c r="DZ17" s="19" t="str">
        <f>IFERROR(AVERAGEIF('Pemetaan Variant'!$A$5:$A$32,$B17,'Pemetaan Variant'!$BD$5:$BD$32),"n/a")</f>
        <v>n/a</v>
      </c>
      <c r="EA17" s="14" t="str">
        <f>IFERROR(IF(ISNUMBER(DZ17),(DZ17-AVERAGEIF('Pemetaan Variant'!$A$5:$A$32,$B17,'Pemetaan Variant'!$AY$5:$AY$32))/AVERAGEIF('Pemetaan Variant'!$A$5:$A$32,$B17,'Pemetaan Variant'!$AY$5:$AY$32)*100,"n/a"),"n/a")</f>
        <v>n/a</v>
      </c>
      <c r="EB17" s="14" t="str">
        <f t="shared" si="42"/>
        <v>n/a</v>
      </c>
      <c r="ED17" s="14">
        <f>IFERROR(ABS(F17),0)</f>
        <v>0</v>
      </c>
      <c r="EE17" s="14">
        <f>IFERROR(ABS(I17),0)</f>
        <v>0</v>
      </c>
      <c r="EF17" s="14">
        <f>IFERROR(ABS(L17),0)</f>
        <v>0</v>
      </c>
      <c r="EG17" s="14">
        <f>IFERROR(ABS(O17),0)</f>
        <v>0</v>
      </c>
      <c r="EH17" s="14">
        <f>IFERROR(ABS(R17),0)</f>
        <v>0</v>
      </c>
      <c r="EI17" s="14">
        <f>IFERROR(ABS(U17),0)</f>
        <v>0</v>
      </c>
      <c r="EJ17" s="14">
        <f>IFERROR(ABS(X17),0)</f>
        <v>0</v>
      </c>
      <c r="EK17" s="14">
        <f>IFERROR(ABS(AA17),0)</f>
        <v>0</v>
      </c>
      <c r="EL17" s="14">
        <f>IFERROR(ABS(AD17),0)</f>
        <v>0</v>
      </c>
      <c r="EM17" s="14">
        <f>IFERROR(ABS(AG17),0)</f>
        <v>0</v>
      </c>
      <c r="EN17" s="14">
        <f>IFERROR(ABS(AJ17),0)</f>
        <v>0</v>
      </c>
      <c r="EO17" s="14">
        <f>IFERROR(ABS(AM17),0)</f>
        <v>0</v>
      </c>
      <c r="EP17" s="14">
        <f>IFERROR(ABS(AP17),0)</f>
        <v>0</v>
      </c>
      <c r="EQ17" s="14">
        <f>IFERROR(ABS(AS17),0)</f>
        <v>0</v>
      </c>
      <c r="ER17" s="14">
        <f>IFERROR(ABS(AV17),0)</f>
        <v>0</v>
      </c>
      <c r="ES17" s="14">
        <f>IFERROR(ABS(AY17),0)</f>
        <v>0</v>
      </c>
      <c r="ET17" s="14">
        <f>IFERROR(ABS(BB17),0)</f>
        <v>0</v>
      </c>
      <c r="EU17" s="14">
        <f>IFERROR(ABS(BE17),0)</f>
        <v>0</v>
      </c>
      <c r="EV17" s="14">
        <f>IFERROR(ABS(BH17),0)</f>
        <v>0</v>
      </c>
      <c r="EW17" s="14">
        <f>IFERROR(ABS(BK17),0)</f>
        <v>0</v>
      </c>
      <c r="EX17" s="14">
        <f>IFERROR(ABS(BN17),0)</f>
        <v>0</v>
      </c>
      <c r="EY17" s="14">
        <f>IFERROR(ABS(BQ17),0)</f>
        <v>0</v>
      </c>
      <c r="EZ17" s="14">
        <f>IFERROR(ABS(BT17),0)</f>
        <v>0</v>
      </c>
      <c r="FA17" s="14">
        <f>IFERROR(ABS(BW17),0)</f>
        <v>0</v>
      </c>
      <c r="FB17" s="14">
        <f>IFERROR(ABS(BZ17),0)</f>
        <v>0</v>
      </c>
      <c r="FC17" s="14">
        <f>IFERROR(ABS(CC17),0)</f>
        <v>0</v>
      </c>
      <c r="FD17" s="14">
        <f>IFERROR(ABS(CF17),0)</f>
        <v>0</v>
      </c>
      <c r="FE17" s="14">
        <f>IFERROR(ABS(CI17),0)</f>
        <v>0</v>
      </c>
      <c r="FF17" s="14">
        <f>IFERROR(ABS(CL17),0)</f>
        <v>0</v>
      </c>
      <c r="FG17" s="14">
        <f>IFERROR(ABS(CO17),0)</f>
        <v>0</v>
      </c>
      <c r="FH17" s="14">
        <f>IFERROR(ABS(CR17),0)</f>
        <v>0</v>
      </c>
      <c r="FI17" s="14">
        <f>IFERROR(ABS(CU17),0)</f>
        <v>0</v>
      </c>
      <c r="FJ17" s="14">
        <f>IFERROR(ABS(CX17),0)</f>
        <v>0</v>
      </c>
      <c r="FK17" s="14">
        <f>IFERROR(ABS(DA17),0)</f>
        <v>0</v>
      </c>
      <c r="FL17" s="14">
        <f>IFERROR(ABS(DD17),0)</f>
        <v>0</v>
      </c>
      <c r="FM17" s="14">
        <f>IFERROR(ABS(DG17),0)</f>
        <v>0</v>
      </c>
      <c r="FN17" s="14">
        <f>IFERROR(ABS(DJ17),0)</f>
        <v>0</v>
      </c>
      <c r="FO17" s="14">
        <f>IFERROR(ABS(DM17),0)</f>
        <v>0</v>
      </c>
      <c r="FP17" s="14">
        <f>IFERROR(ABS(#REF!),0)</f>
        <v>0</v>
      </c>
      <c r="FQ17" s="14">
        <f t="shared" si="43"/>
        <v>0</v>
      </c>
      <c r="FR17" s="14">
        <f t="shared" si="44"/>
        <v>0</v>
      </c>
      <c r="FS17" s="14">
        <f t="shared" si="45"/>
        <v>0</v>
      </c>
      <c r="FT17" s="14">
        <f t="shared" si="46"/>
        <v>0</v>
      </c>
      <c r="FU17" s="14">
        <f t="shared" si="47"/>
        <v>0</v>
      </c>
    </row>
    <row r="18" spans="1:177" ht="12.75" customHeight="1" x14ac:dyDescent="0.35">
      <c r="A18" s="8">
        <v>13</v>
      </c>
      <c r="B18" s="9" t="s">
        <v>199</v>
      </c>
      <c r="C18" s="10">
        <f>'P0Q0 Dasar 2022'!F17</f>
        <v>1.94434650422287E-2</v>
      </c>
      <c r="D18" s="18">
        <f>IFERROR(AVERAGEIF('Pemetaan Variant'!$A$5:$A$32,$B18,'Pemetaan Variant'!$L$5:$L$32),"n/a")</f>
        <v>28000</v>
      </c>
      <c r="E18" s="10">
        <f>IFERROR(IF(ISNUMBER(D18),(D18-AVERAGEIF('Pemetaan Variant'!$A$5:$A$32,$B18,'Pemetaan Variant'!$D$5:$D$32))/AVERAGEIF('Pemetaan Variant'!$A$5:$A$32,$B18,'Pemetaan Variant'!$D$5:$D$32)*100,"n/a"),"n/a")</f>
        <v>4.812834224598932</v>
      </c>
      <c r="F18" s="10">
        <f t="shared" si="0"/>
        <v>9.3578174000031197E-2</v>
      </c>
      <c r="G18" s="18">
        <f>IFERROR(AVERAGEIF('Pemetaan Variant'!$A$5:$A$32,$B18,'Pemetaan Variant'!$M$5:$M$32),"n/a")</f>
        <v>28000</v>
      </c>
      <c r="H18" s="10">
        <f>IFERROR(IF(ISNUMBER(G18),(G18-AVERAGEIF('Pemetaan Variant'!$A$5:$A$32,$B18,'Pemetaan Variant'!$D$5:$D$32))/AVERAGEIF('Pemetaan Variant'!$A$5:$A$32,$B18,'Pemetaan Variant'!$D$5:$D$32)*100,"n/a"),"n/a")</f>
        <v>4.812834224598932</v>
      </c>
      <c r="I18" s="10">
        <f t="shared" si="1"/>
        <v>9.3578174000031197E-2</v>
      </c>
      <c r="J18" s="18">
        <f>IFERROR(AVERAGEIF('Pemetaan Variant'!$A$5:$A$32,$B18,'Pemetaan Variant'!$N$5:$N$32),"n/a")</f>
        <v>28000</v>
      </c>
      <c r="K18" s="10">
        <f>IFERROR(IF(ISNUMBER(J18),(J18-AVERAGEIF('Pemetaan Variant'!$A$5:$A$32,$B18,'Pemetaan Variant'!$D$5:$D$32))/AVERAGEIF('Pemetaan Variant'!$A$5:$A$32,$B18,'Pemetaan Variant'!$D$5:$D$32)*100,"n/a"),"n/a")</f>
        <v>4.812834224598932</v>
      </c>
      <c r="L18" s="10">
        <f t="shared" si="2"/>
        <v>9.3578174000031197E-2</v>
      </c>
      <c r="M18" s="18">
        <f>IFERROR(AVERAGEIF('Pemetaan Variant'!$A$5:$A$32,$B18,'Pemetaan Variant'!$O$5:$O$32),"n/a")</f>
        <v>28000</v>
      </c>
      <c r="N18" s="10">
        <f>IFERROR(IF(ISNUMBER(M18),(M18-AVERAGEIF('Pemetaan Variant'!$A$5:$A$32,$B18,'Pemetaan Variant'!$D$5:$D$32))/AVERAGEIF('Pemetaan Variant'!$A$5:$A$32,$B18,'Pemetaan Variant'!$D$5:$D$32)*100,"n/a"),"n/a")</f>
        <v>4.812834224598932</v>
      </c>
      <c r="O18" s="10">
        <f t="shared" si="3"/>
        <v>9.3578174000031197E-2</v>
      </c>
      <c r="P18" s="18">
        <f>IFERROR(AVERAGEIF('Pemetaan Variant'!$A$5:$A$32,$B18,'Pemetaan Variant'!$P$5:$P$32),"n/a")</f>
        <v>28000</v>
      </c>
      <c r="Q18" s="10">
        <f>IFERROR(IF(ISNUMBER(P18),(P18-AVERAGEIF('Pemetaan Variant'!$A$5:$A$32,$B18,'Pemetaan Variant'!$D$5:$D$32))/AVERAGEIF('Pemetaan Variant'!$A$5:$A$32,$B18,'Pemetaan Variant'!$D$5:$D$32)*100,"n/a"),"n/a")</f>
        <v>4.812834224598932</v>
      </c>
      <c r="R18" s="10">
        <f t="shared" si="4"/>
        <v>9.3578174000031197E-2</v>
      </c>
      <c r="S18" s="18">
        <f>IFERROR(AVERAGEIF('Pemetaan Variant'!$A$5:$A$32,$B18,'Pemetaan Variant'!$Q$5:$Q$32),"n/a")</f>
        <v>28400</v>
      </c>
      <c r="T18" s="10">
        <f>IFERROR(IF(ISNUMBER(S18),(S18-AVERAGEIF('Pemetaan Variant'!$A$5:$A$32,$B18,'Pemetaan Variant'!$E$5:$E$32))/AVERAGEIF('Pemetaan Variant'!$A$5:$A$32,$B18,'Pemetaan Variant'!$E$5:$E$32)*100,"n/a"),"n/a")</f>
        <v>1.4285714285714286</v>
      </c>
      <c r="U18" s="10">
        <f t="shared" si="5"/>
        <v>2.7776378631755284E-2</v>
      </c>
      <c r="V18" s="18">
        <f>IFERROR(AVERAGEIF('Pemetaan Variant'!$A$5:$A$32,$B18,'Pemetaan Variant'!$R$5:$R$32),"n/a")</f>
        <v>29200</v>
      </c>
      <c r="W18" s="10">
        <f>IFERROR(IF(ISNUMBER(V18),(V18-AVERAGEIF('Pemetaan Variant'!$A$5:$A$32,$B18,'Pemetaan Variant'!$E$5:$E$32))/AVERAGEIF('Pemetaan Variant'!$A$5:$A$32,$B18,'Pemetaan Variant'!$E$5:$E$32)*100,"n/a"),"n/a")</f>
        <v>4.2857142857142856</v>
      </c>
      <c r="X18" s="10">
        <f t="shared" si="6"/>
        <v>8.332913589526586E-2</v>
      </c>
      <c r="Y18" s="18">
        <f>IFERROR(AVERAGEIF('Pemetaan Variant'!$A$5:$A$32,$B18,'Pemetaan Variant'!$S$5:$S$32),"n/a")</f>
        <v>30000</v>
      </c>
      <c r="Z18" s="10">
        <f>IFERROR(IF(ISNUMBER(Y18),(Y18-AVERAGEIF('Pemetaan Variant'!$A$5:$A$32,$B18,'Pemetaan Variant'!$E$5:$E$32))/AVERAGEIF('Pemetaan Variant'!$A$5:$A$32,$B18,'Pemetaan Variant'!$E$5:$E$32)*100,"n/a"),"n/a")</f>
        <v>7.1428571428571423</v>
      </c>
      <c r="AA18" s="10">
        <f t="shared" si="7"/>
        <v>0.13888189315877641</v>
      </c>
      <c r="AB18" s="18">
        <f>IFERROR(AVERAGEIF('Pemetaan Variant'!$A$5:$A$32,$B18,'Pemetaan Variant'!$T$5:$T$32),"n/a")</f>
        <v>30000</v>
      </c>
      <c r="AC18" s="10">
        <f>IFERROR(IF(ISNUMBER(AB18),(AB18-AVERAGEIF('Pemetaan Variant'!$A$5:$A$32,$B18,'Pemetaan Variant'!$E$5:$E$32))/AVERAGEIF('Pemetaan Variant'!$A$5:$A$32,$B18,'Pemetaan Variant'!$E$5:$E$32)*100,"n/a"),"n/a")</f>
        <v>7.1428571428571423</v>
      </c>
      <c r="AD18" s="10">
        <f t="shared" si="8"/>
        <v>0.13888189315877641</v>
      </c>
      <c r="AE18" s="18">
        <f>IFERROR(AVERAGEIF('Pemetaan Variant'!$A$5:$A$32,$B18,'Pemetaan Variant'!$U$5:$U$32),"n/a")</f>
        <v>30000</v>
      </c>
      <c r="AF18" s="10">
        <f>IFERROR(IF(ISNUMBER(AE18),(AE18-AVERAGEIF('Pemetaan Variant'!$A$5:$A$32,$B18,'Pemetaan Variant'!$F$5:$F$32))/AVERAGEIF('Pemetaan Variant'!$A$5:$A$32,$B18,'Pemetaan Variant'!$F$5:$F$32)*100,"n/a"),"n/a")</f>
        <v>2.2727272727272769</v>
      </c>
      <c r="AG18" s="10">
        <f t="shared" si="9"/>
        <v>4.4189693277792583E-2</v>
      </c>
      <c r="AH18" s="18">
        <f>IFERROR(AVERAGEIF('Pemetaan Variant'!$A$5:$A$32,$B18,'Pemetaan Variant'!$V$5:$V$32),"n/a")</f>
        <v>31200</v>
      </c>
      <c r="AI18" s="10">
        <f>IFERROR(IF(ISNUMBER(AH18),(AH18-AVERAGEIF('Pemetaan Variant'!$A$5:$A$32,$B18,'Pemetaan Variant'!$F$5:$F$32))/AVERAGEIF('Pemetaan Variant'!$A$5:$A$32,$B18,'Pemetaan Variant'!$F$5:$F$32)*100,"n/a"),"n/a")</f>
        <v>6.3636363636363686</v>
      </c>
      <c r="AJ18" s="10">
        <f t="shared" si="10"/>
        <v>0.1237311411778191</v>
      </c>
      <c r="AK18" s="18">
        <f>IFERROR(AVERAGEIF('Pemetaan Variant'!$A$5:$A$32,$B18,'Pemetaan Variant'!$W$5:$W$32),"n/a")</f>
        <v>30000</v>
      </c>
      <c r="AL18" s="10">
        <f>IFERROR(IF(ISNUMBER(AK18),(AK18-AVERAGEIF('Pemetaan Variant'!$A$5:$A$32,$B18,'Pemetaan Variant'!$F$5:$F$32))/AVERAGEIF('Pemetaan Variant'!$A$5:$A$32,$B18,'Pemetaan Variant'!$F$5:$F$32)*100,"n/a"),"n/a")</f>
        <v>2.2727272727272769</v>
      </c>
      <c r="AM18" s="10">
        <f t="shared" si="11"/>
        <v>4.4189693277792583E-2</v>
      </c>
      <c r="AN18" s="18">
        <f>IFERROR(AVERAGEIF('Pemetaan Variant'!$A$5:$A$32,$B18,'Pemetaan Variant'!$X$5:$X$32),"n/a")</f>
        <v>30000</v>
      </c>
      <c r="AO18" s="10">
        <f>IFERROR(IF(ISNUMBER(AN18),(AN18-AVERAGEIF('Pemetaan Variant'!$A$5:$A$32,$B18,'Pemetaan Variant'!$F$5:$F$32))/AVERAGEIF('Pemetaan Variant'!$A$5:$A$32,$B18,'Pemetaan Variant'!$F$5:$F$32)*100,"n/a"),"n/a")</f>
        <v>2.2727272727272769</v>
      </c>
      <c r="AP18" s="10">
        <f t="shared" si="12"/>
        <v>4.4189693277792583E-2</v>
      </c>
      <c r="AQ18" s="18">
        <f>IFERROR(AVERAGEIF('Pemetaan Variant'!$A$5:$A$32,$B18,'Pemetaan Variant'!$Y$5:$Y$32),"n/a")</f>
        <v>30000</v>
      </c>
      <c r="AR18" s="10">
        <f>IFERROR(IF(ISNUMBER(AQ18),(AQ18-AVERAGEIF('Pemetaan Variant'!$A$5:$A$32,$B18,'Pemetaan Variant'!$F$5:$F$32))/AVERAGEIF('Pemetaan Variant'!$A$5:$A$32,$B18,'Pemetaan Variant'!$F$5:$F$32)*100,"n/a"),"n/a")</f>
        <v>2.2727272727272769</v>
      </c>
      <c r="AS18" s="10">
        <f t="shared" si="13"/>
        <v>4.4189693277792583E-2</v>
      </c>
      <c r="AT18" s="18">
        <f>IFERROR(AVERAGEIF('Pemetaan Variant'!$A$5:$A$32,$B18,'Pemetaan Variant'!$Z$5:$Z$32),"n/a")</f>
        <v>28000</v>
      </c>
      <c r="AU18" s="10">
        <f>IFERROR(IF(ISNUMBER(AT18),(AT18-AVERAGEIF('Pemetaan Variant'!$A$5:$A$32,$B18,'Pemetaan Variant'!$G$5:$G$32))/AVERAGEIF('Pemetaan Variant'!$A$5:$A$32,$B18,'Pemetaan Variant'!$G$5:$G$32)*100,"n/a"),"n/a")</f>
        <v>-7.5907590759075907</v>
      </c>
      <c r="AV18" s="10">
        <f t="shared" si="14"/>
        <v>-0.14759065873638946</v>
      </c>
      <c r="AW18" s="18">
        <f>IFERROR(AVERAGEIF('Pemetaan Variant'!$A$5:$A$32,$B18,'Pemetaan Variant'!$AA$5:$AA$32),"n/a")</f>
        <v>30000</v>
      </c>
      <c r="AX18" s="10">
        <f>IFERROR(IF(ISNUMBER(AW18),(AW18-AVERAGEIF('Pemetaan Variant'!$A$5:$A$32,$B18,'Pemetaan Variant'!$G$5:$G$32))/AVERAGEIF('Pemetaan Variant'!$A$5:$A$32,$B18,'Pemetaan Variant'!$G$5:$G$32)*100,"n/a"),"n/a")</f>
        <v>-0.99009900990099009</v>
      </c>
      <c r="AY18" s="10">
        <f t="shared" si="15"/>
        <v>-1.9250955487355149E-2</v>
      </c>
      <c r="AZ18" s="18">
        <f>IFERROR(AVERAGEIF('Pemetaan Variant'!$A$5:$A$32,$B18,'Pemetaan Variant'!$AB$5:$AB$32),"n/a")</f>
        <v>28000</v>
      </c>
      <c r="BA18" s="10">
        <f>IFERROR(IF(ISNUMBER(AZ18),(AZ18-AVERAGEIF('Pemetaan Variant'!$A$5:$A$32,$B18,'Pemetaan Variant'!$G$5:$G$32))/AVERAGEIF('Pemetaan Variant'!$A$5:$A$32,$B18,'Pemetaan Variant'!$G$5:$G$32)*100,"n/a"),"n/a")</f>
        <v>-7.5907590759075907</v>
      </c>
      <c r="BB18" s="10">
        <f t="shared" si="16"/>
        <v>-0.14759065873638946</v>
      </c>
      <c r="BC18" s="18">
        <f>IFERROR(AVERAGEIF('Pemetaan Variant'!$A$5:$A$32,$B18,'Pemetaan Variant'!$AC$5:$AC$32),"n/a")</f>
        <v>29600</v>
      </c>
      <c r="BD18" s="10">
        <f>IFERROR(IF(ISNUMBER(BC18),(BC18-AVERAGEIF('Pemetaan Variant'!$A$5:$A$32,$B18,'Pemetaan Variant'!$G$5:$G$32))/AVERAGEIF('Pemetaan Variant'!$A$5:$A$32,$B18,'Pemetaan Variant'!$G$5:$G$32)*100,"n/a"),"n/a")</f>
        <v>-2.3102310231023102</v>
      </c>
      <c r="BE18" s="10">
        <f t="shared" si="17"/>
        <v>-4.4918896137162011E-2</v>
      </c>
      <c r="BF18" s="18">
        <f>IFERROR(AVERAGEIF('Pemetaan Variant'!$A$5:$A$32,$B18,'Pemetaan Variant'!$AD$5:$AD$32),"n/a")</f>
        <v>33000</v>
      </c>
      <c r="BG18" s="10">
        <f>IFERROR(IF(ISNUMBER(BF18),(BF18-AVERAGEIF('Pemetaan Variant'!$A$5:$A$32,$B18,'Pemetaan Variant'!$G$5:$G$32))/AVERAGEIF('Pemetaan Variant'!$A$5:$A$32,$B18,'Pemetaan Variant'!$G$5:$G$32)*100,"n/a"),"n/a")</f>
        <v>8.9108910891089099</v>
      </c>
      <c r="BH18" s="10">
        <f t="shared" si="18"/>
        <v>0.17325859938619631</v>
      </c>
      <c r="BI18" s="18" t="str">
        <f>IFERROR(AVERAGEIF('Pemetaan Variant'!$A$5:$A$32,$B18,'Pemetaan Variant'!$AE$5:$AE$32),"n/a")</f>
        <v>n/a</v>
      </c>
      <c r="BJ18" s="10" t="str">
        <f>IFERROR(IF(ISNUMBER(BI18),(BI18-AVERAGEIF('Pemetaan Variant'!$A$5:$A$32,$B18,'Pemetaan Variant'!$H$5:$H$32))/AVERAGEIF('Pemetaan Variant'!$A$5:$A$32,$B18,'Pemetaan Variant'!$H$5:$H$32)*100,"n/a"),"n/a")</f>
        <v>n/a</v>
      </c>
      <c r="BK18" s="10" t="str">
        <f t="shared" si="19"/>
        <v>n/a</v>
      </c>
      <c r="BL18" s="18">
        <f>IFERROR(AVERAGEIF('Pemetaan Variant'!$A$5:$A$32,$B18,'Pemetaan Variant'!$AF$5:$AF$32),"n/a")</f>
        <v>37000</v>
      </c>
      <c r="BM18" s="10">
        <f>IFERROR(IF(ISNUMBER(BL18),(BL18-AVERAGEIF('Pemetaan Variant'!$A$5:$A$32,$B18,'Pemetaan Variant'!$H$5:$H$32))/AVERAGEIF('Pemetaan Variant'!$A$5:$A$32,$B18,'Pemetaan Variant'!$H$5:$H$32)*100,"n/a"),"n/a")</f>
        <v>24.121405750798726</v>
      </c>
      <c r="BN18" s="10">
        <f t="shared" si="20"/>
        <v>0.46900370948506936</v>
      </c>
      <c r="BO18" s="18">
        <f>IFERROR(AVERAGEIF('Pemetaan Variant'!$A$5:$A$32,$B18,'Pemetaan Variant'!$AG$5:$AG$32),"n/a")</f>
        <v>36000</v>
      </c>
      <c r="BP18" s="10">
        <f>IFERROR(IF(ISNUMBER(BO18),(BO18-AVERAGEIF('Pemetaan Variant'!$A$5:$A$32,$B18,'Pemetaan Variant'!$H$5:$H$32))/AVERAGEIF('Pemetaan Variant'!$A$5:$A$32,$B18,'Pemetaan Variant'!$H$5:$H$32)*100,"n/a"),"n/a")</f>
        <v>20.766773162939298</v>
      </c>
      <c r="BQ18" s="10">
        <f t="shared" si="21"/>
        <v>0.40377802803350338</v>
      </c>
      <c r="BR18" s="18">
        <f>IFERROR(AVERAGEIF('Pemetaan Variant'!$A$5:$A$32,$B18,'Pemetaan Variant'!$AH$5:$AH$32),"n/a")</f>
        <v>37600</v>
      </c>
      <c r="BS18" s="10">
        <f>IFERROR(IF(ISNUMBER(BR18),(BR18-AVERAGEIF('Pemetaan Variant'!$A$5:$A$32,$B18,'Pemetaan Variant'!$H$5:$H$32))/AVERAGEIF('Pemetaan Variant'!$A$5:$A$32,$B18,'Pemetaan Variant'!$H$5:$H$32)*100,"n/a"),"n/a")</f>
        <v>26.134185303514379</v>
      </c>
      <c r="BT18" s="10">
        <f t="shared" si="22"/>
        <v>0.50813911835600889</v>
      </c>
      <c r="BU18" s="18">
        <f>IFERROR(AVERAGEIF('Pemetaan Variant'!$A$5:$A$32,$B18,'Pemetaan Variant'!$AI$5:$AI$32),"n/a")</f>
        <v>37333.333333333336</v>
      </c>
      <c r="BV18" s="10">
        <f>IFERROR(IF(ISNUMBER(BU18),(BU18-AVERAGEIF('Pemetaan Variant'!$A$5:$A$32,$B18,'Pemetaan Variant'!$H$5:$H$32))/AVERAGEIF('Pemetaan Variant'!$A$5:$A$32,$B18,'Pemetaan Variant'!$H$5:$H$32)*100,"n/a"),"n/a")</f>
        <v>25.239616613418541</v>
      </c>
      <c r="BW18" s="10">
        <f t="shared" si="23"/>
        <v>0.49074560330225814</v>
      </c>
      <c r="BX18" s="18">
        <f>IFERROR(AVERAGEIF('Pemetaan Variant'!$A$5:$A$32,$B18,'Pemetaan Variant'!$AJ$5:$AJ$32),"n/a")</f>
        <v>35000</v>
      </c>
      <c r="BY18" s="10">
        <f>IFERROR(IF(ISNUMBER(BX18),(BX18-AVERAGEIF('Pemetaan Variant'!$A$5:$A$32,$B18,'Pemetaan Variant'!$I$5:$I$32))/AVERAGEIF('Pemetaan Variant'!$A$5:$A$32,$B18,'Pemetaan Variant'!$I$5:$I$32)*100,"n/a"),"n/a")</f>
        <v>-5.5649241146711637</v>
      </c>
      <c r="BZ18" s="10">
        <f t="shared" si="24"/>
        <v>-0.10820140748626426</v>
      </c>
      <c r="CA18" s="18">
        <f>IFERROR(AVERAGEIF('Pemetaan Variant'!$A$5:$A$32,$B18,'Pemetaan Variant'!$AK$5:$AK$32),"n/a")</f>
        <v>36400</v>
      </c>
      <c r="CB18" s="10">
        <f>IFERROR(IF(ISNUMBER(CA18),(CA18-AVERAGEIF('Pemetaan Variant'!$A$5:$A$32,$B18,'Pemetaan Variant'!$I$5:$I$32))/AVERAGEIF('Pemetaan Variant'!$A$5:$A$32,$B18,'Pemetaan Variant'!$I$5:$I$32)*100,"n/a"),"n/a")</f>
        <v>-1.7875210792580101</v>
      </c>
      <c r="CC18" s="10">
        <f t="shared" si="25"/>
        <v>-3.4755603616800038E-2</v>
      </c>
      <c r="CD18" s="18">
        <f>IFERROR(AVERAGEIF('Pemetaan Variant'!$A$5:$A$32,$B18,'Pemetaan Variant'!$AL$5:$AL$32),"n/a")</f>
        <v>39500</v>
      </c>
      <c r="CE18" s="10">
        <f>IFERROR(IF(ISNUMBER(CD18),(CD18-AVERAGEIF('Pemetaan Variant'!$A$5:$A$32,$B18,'Pemetaan Variant'!$I$5:$I$32))/AVERAGEIF('Pemetaan Variant'!$A$5:$A$32,$B18,'Pemetaan Variant'!$I$5:$I$32)*100,"n/a"),"n/a")</f>
        <v>6.5767284991568298</v>
      </c>
      <c r="CF18" s="10">
        <f t="shared" si="26"/>
        <v>0.12787439066558504</v>
      </c>
      <c r="CG18" s="18">
        <f>IFERROR(AVERAGEIF('Pemetaan Variant'!$A$5:$A$32,$B18,'Pemetaan Variant'!$AM$5:$AM$32),"n/a")</f>
        <v>36000</v>
      </c>
      <c r="CH18" s="10">
        <f>IFERROR(IF(ISNUMBER(CG18),(CG18-AVERAGEIF('Pemetaan Variant'!$A$5:$A$32,$B18,'Pemetaan Variant'!$I$5:$I$32))/AVERAGEIF('Pemetaan Variant'!$A$5:$A$32,$B18,'Pemetaan Variant'!$I$5:$I$32)*100,"n/a"),"n/a")</f>
        <v>-2.8667790893760539</v>
      </c>
      <c r="CI18" s="10">
        <f t="shared" si="27"/>
        <v>-5.5740119008075531E-2</v>
      </c>
      <c r="CJ18" s="18">
        <f>IFERROR(AVERAGEIF('Pemetaan Variant'!$A$5:$A$32,$B18,'Pemetaan Variant'!$AN$5:$AN$32),"n/a")</f>
        <v>35500</v>
      </c>
      <c r="CK18" s="10">
        <f>IFERROR(IF(ISNUMBER(CJ18),(CJ18-AVERAGEIF('Pemetaan Variant'!$A$5:$A$32,$B18,'Pemetaan Variant'!$I$5:$I$32))/AVERAGEIF('Pemetaan Variant'!$A$5:$A$32,$B18,'Pemetaan Variant'!$I$5:$I$32)*100,"n/a"),"n/a")</f>
        <v>-4.2158516020236094</v>
      </c>
      <c r="CL18" s="10">
        <f t="shared" si="28"/>
        <v>-8.1970763247169912E-2</v>
      </c>
      <c r="CM18" s="18">
        <f>IFERROR(AVERAGEIF('Pemetaan Variant'!$A$5:$A$32,$B18,'Pemetaan Variant'!$AO$5:$AO$32),"n/a")</f>
        <v>35000</v>
      </c>
      <c r="CN18" s="10">
        <f>IFERROR(IF(ISNUMBER(CM18),(CM18-AVERAGEIF('Pemetaan Variant'!$A$5:$A$32,$B18,'Pemetaan Variant'!$J$5:$J$32))/AVERAGEIF('Pemetaan Variant'!$A$5:$A$32,$B18,'Pemetaan Variant'!$J$5:$J$32)*100,"n/a"),"n/a")</f>
        <v>-4.2407660738714092</v>
      </c>
      <c r="CO18" s="10">
        <f t="shared" si="29"/>
        <v>-8.2455186909588196E-2</v>
      </c>
      <c r="CP18" s="18">
        <f>IFERROR(AVERAGEIF('Pemetaan Variant'!$A$5:$A$32,$B18,'Pemetaan Variant'!$AP$5:$AP$32),"n/a")</f>
        <v>35000</v>
      </c>
      <c r="CQ18" s="10">
        <f>IFERROR(IF(ISNUMBER(CP18),(CP18-AVERAGEIF('Pemetaan Variant'!$A$5:$A$32,$B18,'Pemetaan Variant'!$J$5:$J$32))/AVERAGEIF('Pemetaan Variant'!$A$5:$A$32,$B18,'Pemetaan Variant'!$J$5:$J$32)*100,"n/a"),"n/a")</f>
        <v>-4.2407660738714092</v>
      </c>
      <c r="CR18" s="10">
        <f t="shared" si="30"/>
        <v>-8.2455186909588196E-2</v>
      </c>
      <c r="CS18" s="18">
        <f>IFERROR(AVERAGEIF('Pemetaan Variant'!$A$5:$A$32,$B18,'Pemetaan Variant'!$AQ$5:$AQ$32),"n/a")</f>
        <v>35000</v>
      </c>
      <c r="CT18" s="10">
        <f>IFERROR(IF(ISNUMBER(CS18),(CS18-AVERAGEIF('Pemetaan Variant'!$A$5:$A$32,$B18,'Pemetaan Variant'!$J$5:$J$32))/AVERAGEIF('Pemetaan Variant'!$A$5:$A$32,$B18,'Pemetaan Variant'!$J$5:$J$32)*100,"n/a"),"n/a")</f>
        <v>-4.2407660738714092</v>
      </c>
      <c r="CU18" s="10">
        <f t="shared" si="31"/>
        <v>-8.2455186909588196E-2</v>
      </c>
      <c r="CV18" s="18">
        <f>IFERROR(AVERAGEIF('Pemetaan Variant'!$A$5:$A$32,$B18,'Pemetaan Variant'!$AR$5:$AR$32),"n/a")</f>
        <v>35000</v>
      </c>
      <c r="CW18" s="10">
        <f>IFERROR(IF(ISNUMBER(CV18),(CV18-AVERAGEIF('Pemetaan Variant'!$A$5:$A$32,$B18,'Pemetaan Variant'!$J$5:$J$32))/AVERAGEIF('Pemetaan Variant'!$A$5:$A$32,$B18,'Pemetaan Variant'!$J$5:$J$32)*100,"n/a"),"n/a")</f>
        <v>-4.2407660738714092</v>
      </c>
      <c r="CX18" s="10">
        <f t="shared" si="32"/>
        <v>-8.2455186909588196E-2</v>
      </c>
      <c r="CY18" s="18">
        <f>IFERROR(AVERAGEIF('Pemetaan Variant'!$A$5:$A$32,$B18,'Pemetaan Variant'!$AS$5:$AS$32),"n/a")</f>
        <v>33200</v>
      </c>
      <c r="CZ18" s="10">
        <f>IFERROR(IF(ISNUMBER(CY18),(CY18-AVERAGEIF('Pemetaan Variant'!$A$5:$A$32,$B18,'Pemetaan Variant'!$J$5:$J$32))/AVERAGEIF('Pemetaan Variant'!$A$5:$A$32,$B18,'Pemetaan Variant'!$J$5:$J$32)*100,"n/a"),"n/a")</f>
        <v>-9.1655266757865927</v>
      </c>
      <c r="DA18" s="10">
        <f t="shared" si="33"/>
        <v>-0.17820959751427123</v>
      </c>
      <c r="DB18" s="18">
        <f>IFERROR(AVERAGEIF('Pemetaan Variant'!$A$5:$A$32,$B18,'Pemetaan Variant'!$AT$5:$AT$32),"n/a")</f>
        <v>30800</v>
      </c>
      <c r="DC18" s="10">
        <f>IFERROR(IF(ISNUMBER(DB18),(DB18-AVERAGEIF('Pemetaan Variant'!$A$5:$A$32,$B18,'Pemetaan Variant'!$K$5:$K$32))/AVERAGEIF('Pemetaan Variant'!$A$5:$A$32,$B18,'Pemetaan Variant'!$K$5:$K$32)*100,"n/a"),"n/a")</f>
        <v>-11.005025125628139</v>
      </c>
      <c r="DD18" s="10">
        <f t="shared" si="34"/>
        <v>-0.21397582131899923</v>
      </c>
      <c r="DE18" s="18">
        <f>IFERROR(AVERAGEIF('Pemetaan Variant'!$A$5:$A$32,$B18,'Pemetaan Variant'!$AU$5:$AU$32),"n/a")</f>
        <v>30000</v>
      </c>
      <c r="DF18" s="10">
        <f>IFERROR(IF(ISNUMBER(DE18),(DE18-AVERAGEIF('Pemetaan Variant'!$A$5:$A$32,$B18,'Pemetaan Variant'!$K$5:$K$32))/AVERAGEIF('Pemetaan Variant'!$A$5:$A$32,$B18,'Pemetaan Variant'!$K$5:$K$32)*100,"n/a"),"n/a")</f>
        <v>-13.31658291457286</v>
      </c>
      <c r="DG18" s="10">
        <f t="shared" si="35"/>
        <v>-0.25892051438143737</v>
      </c>
      <c r="DH18" s="18">
        <f>IFERROR(AVERAGEIF('Pemetaan Variant'!$A$5:$A$32,$B18,'Pemetaan Variant'!$AV$5:$AV$32),"n/a")</f>
        <v>30000</v>
      </c>
      <c r="DI18" s="10">
        <f>IFERROR(IF(ISNUMBER(DH18),(DH18-AVERAGEIF('Pemetaan Variant'!$A$5:$A$32,$B18,'Pemetaan Variant'!$K$5:$K$32))/AVERAGEIF('Pemetaan Variant'!$A$5:$A$32,$B18,'Pemetaan Variant'!$K$5:$K$32)*100,"n/a"),"n/a")</f>
        <v>-13.31658291457286</v>
      </c>
      <c r="DJ18" s="10">
        <f t="shared" si="36"/>
        <v>-0.25892051438143737</v>
      </c>
      <c r="DK18" s="18">
        <f>IFERROR(AVERAGEIF('Pemetaan Variant'!$A$5:$A$32,$B18,'Pemetaan Variant'!$AW$5:$AW$32),"n/a")</f>
        <v>30000</v>
      </c>
      <c r="DL18" s="10">
        <f>IFERROR(IF(ISNUMBER(DK18),(DK18-AVERAGEIF('Pemetaan Variant'!$A$5:$A$32,$B18,'Pemetaan Variant'!$K$5:$K$32))/AVERAGEIF('Pemetaan Variant'!$A$5:$A$32,$B18,'Pemetaan Variant'!$K$5:$K$32)*100,"n/a"),"n/a")</f>
        <v>-13.31658291457286</v>
      </c>
      <c r="DM18" s="10">
        <f t="shared" si="37"/>
        <v>-0.25892051438143737</v>
      </c>
      <c r="DN18" s="19">
        <f>IFERROR(AVERAGEIF('Pemetaan Variant'!$A$5:$A$32,$B18,'Pemetaan Variant'!$AZ$5:$AZ$32),"n/a")</f>
        <v>30000</v>
      </c>
      <c r="DO18" s="14">
        <f>IFERROR(IF(ISNUMBER(DN18),(DN18-AVERAGEIF('Pemetaan Variant'!$A$5:$A$32,$B18,'Pemetaan Variant'!$AY$5:$AY$32))/AVERAGEIF('Pemetaan Variant'!$A$5:$A$32,$B18,'Pemetaan Variant'!$AY$5:$AY$32)*100,"n/a"),"n/a")</f>
        <v>-0.7352941176470601</v>
      </c>
      <c r="DP18" s="14">
        <f t="shared" si="38"/>
        <v>-1.4296665472227009E-2</v>
      </c>
      <c r="DQ18" s="19" t="str">
        <f>IFERROR(AVERAGEIF('Pemetaan Variant'!$A$5:$A$32,$B18,'Pemetaan Variant'!$BA$5:$BA$32),"n/a")</f>
        <v>n/a</v>
      </c>
      <c r="DR18" s="14" t="str">
        <f>IFERROR(IF(ISNUMBER(DQ18),(DQ18-AVERAGEIF('Pemetaan Variant'!$A$5:$A$32,$B18,'Pemetaan Variant'!$AY$5:$AY$32))/AVERAGEIF('Pemetaan Variant'!$A$5:$A$32,$B18,'Pemetaan Variant'!$AY$5:$AY$32)*100,"n/a"),"n/a")</f>
        <v>n/a</v>
      </c>
      <c r="DS18" s="14" t="str">
        <f t="shared" si="39"/>
        <v>n/a</v>
      </c>
      <c r="DT18" s="19" t="str">
        <f>IFERROR(AVERAGEIF('Pemetaan Variant'!$A$5:$A$32,$B18,'Pemetaan Variant'!$BB$5:$BB$32),"n/a")</f>
        <v>n/a</v>
      </c>
      <c r="DU18" s="14" t="str">
        <f>IFERROR(IF(ISNUMBER(DT18),(DT18-AVERAGEIF('Pemetaan Variant'!$A$5:$A$32,$B18,'Pemetaan Variant'!$AY$5:$AY$32))/AVERAGEIF('Pemetaan Variant'!$A$5:$A$32,$B18,'Pemetaan Variant'!$AY$5:$AY$32)*100,"n/a"),"n/a")</f>
        <v>n/a</v>
      </c>
      <c r="DV18" s="14" t="str">
        <f t="shared" si="40"/>
        <v>n/a</v>
      </c>
      <c r="DW18" s="19" t="str">
        <f>IFERROR(AVERAGEIF('Pemetaan Variant'!$A$5:$A$32,$B18,'Pemetaan Variant'!$BC$5:$BC$32),"n/a")</f>
        <v>n/a</v>
      </c>
      <c r="DX18" s="14" t="str">
        <f>IFERROR(IF(ISNUMBER(DW18),(DW18-AVERAGEIF('Pemetaan Variant'!$A$5:$A$32,$B18,'Pemetaan Variant'!$AY$5:$AY$32))/AVERAGEIF('Pemetaan Variant'!$A$5:$A$32,$B18,'Pemetaan Variant'!$AY$5:$AY$32)*100,"n/a"),"n/a")</f>
        <v>n/a</v>
      </c>
      <c r="DY18" s="14" t="str">
        <f t="shared" si="41"/>
        <v>n/a</v>
      </c>
      <c r="DZ18" s="19" t="str">
        <f>IFERROR(AVERAGEIF('Pemetaan Variant'!$A$5:$A$32,$B18,'Pemetaan Variant'!$BD$5:$BD$32),"n/a")</f>
        <v>n/a</v>
      </c>
      <c r="EA18" s="14" t="str">
        <f>IFERROR(IF(ISNUMBER(DZ18),(DZ18-AVERAGEIF('Pemetaan Variant'!$A$5:$A$32,$B18,'Pemetaan Variant'!$AY$5:$AY$32))/AVERAGEIF('Pemetaan Variant'!$A$5:$A$32,$B18,'Pemetaan Variant'!$AY$5:$AY$32)*100,"n/a"),"n/a")</f>
        <v>n/a</v>
      </c>
      <c r="EB18" s="14" t="str">
        <f t="shared" si="42"/>
        <v>n/a</v>
      </c>
      <c r="ED18" s="14">
        <f>IFERROR(ABS(F18),0)</f>
        <v>9.3578174000031197E-2</v>
      </c>
      <c r="EE18" s="14">
        <f>IFERROR(ABS(I18),0)</f>
        <v>9.3578174000031197E-2</v>
      </c>
      <c r="EF18" s="14">
        <f>IFERROR(ABS(L18),0)</f>
        <v>9.3578174000031197E-2</v>
      </c>
      <c r="EG18" s="14">
        <f>IFERROR(ABS(O18),0)</f>
        <v>9.3578174000031197E-2</v>
      </c>
      <c r="EH18" s="14">
        <f>IFERROR(ABS(R18),0)</f>
        <v>9.3578174000031197E-2</v>
      </c>
      <c r="EI18" s="14">
        <f>IFERROR(ABS(U18),0)</f>
        <v>2.7776378631755284E-2</v>
      </c>
      <c r="EJ18" s="14">
        <f>IFERROR(ABS(X18),0)</f>
        <v>8.332913589526586E-2</v>
      </c>
      <c r="EK18" s="14">
        <f>IFERROR(ABS(AA18),0)</f>
        <v>0.13888189315877641</v>
      </c>
      <c r="EL18" s="14">
        <f>IFERROR(ABS(AD18),0)</f>
        <v>0.13888189315877641</v>
      </c>
      <c r="EM18" s="14">
        <f>IFERROR(ABS(AG18),0)</f>
        <v>4.4189693277792583E-2</v>
      </c>
      <c r="EN18" s="14">
        <f>IFERROR(ABS(AJ18),0)</f>
        <v>0.1237311411778191</v>
      </c>
      <c r="EO18" s="14">
        <f>IFERROR(ABS(AM18),0)</f>
        <v>4.4189693277792583E-2</v>
      </c>
      <c r="EP18" s="14">
        <f>IFERROR(ABS(AP18),0)</f>
        <v>4.4189693277792583E-2</v>
      </c>
      <c r="EQ18" s="14">
        <f>IFERROR(ABS(AS18),0)</f>
        <v>4.4189693277792583E-2</v>
      </c>
      <c r="ER18" s="14">
        <f>IFERROR(ABS(AV18),0)</f>
        <v>0.14759065873638946</v>
      </c>
      <c r="ES18" s="14">
        <f>IFERROR(ABS(AY18),0)</f>
        <v>1.9250955487355149E-2</v>
      </c>
      <c r="ET18" s="14">
        <f>IFERROR(ABS(BB18),0)</f>
        <v>0.14759065873638946</v>
      </c>
      <c r="EU18" s="14">
        <f>IFERROR(ABS(BE18),0)</f>
        <v>4.4918896137162011E-2</v>
      </c>
      <c r="EV18" s="14">
        <f>IFERROR(ABS(BH18),0)</f>
        <v>0.17325859938619631</v>
      </c>
      <c r="EW18" s="14">
        <f>IFERROR(ABS(BK18),0)</f>
        <v>0</v>
      </c>
      <c r="EX18" s="14">
        <f>IFERROR(ABS(BN18),0)</f>
        <v>0.46900370948506936</v>
      </c>
      <c r="EY18" s="14">
        <f>IFERROR(ABS(BQ18),0)</f>
        <v>0.40377802803350338</v>
      </c>
      <c r="EZ18" s="14">
        <f>IFERROR(ABS(BT18),0)</f>
        <v>0.50813911835600889</v>
      </c>
      <c r="FA18" s="14">
        <f>IFERROR(ABS(BW18),0)</f>
        <v>0.49074560330225814</v>
      </c>
      <c r="FB18" s="14">
        <f>IFERROR(ABS(BZ18),0)</f>
        <v>0.10820140748626426</v>
      </c>
      <c r="FC18" s="14">
        <f>IFERROR(ABS(CC18),0)</f>
        <v>3.4755603616800038E-2</v>
      </c>
      <c r="FD18" s="14">
        <f>IFERROR(ABS(CF18),0)</f>
        <v>0.12787439066558504</v>
      </c>
      <c r="FE18" s="14">
        <f>IFERROR(ABS(CI18),0)</f>
        <v>5.5740119008075531E-2</v>
      </c>
      <c r="FF18" s="14">
        <f>IFERROR(ABS(CL18),0)</f>
        <v>8.1970763247169912E-2</v>
      </c>
      <c r="FG18" s="14">
        <f>IFERROR(ABS(CO18),0)</f>
        <v>8.2455186909588196E-2</v>
      </c>
      <c r="FH18" s="14">
        <f>IFERROR(ABS(CR18),0)</f>
        <v>8.2455186909588196E-2</v>
      </c>
      <c r="FI18" s="14">
        <f>IFERROR(ABS(CU18),0)</f>
        <v>8.2455186909588196E-2</v>
      </c>
      <c r="FJ18" s="14">
        <f>IFERROR(ABS(CX18),0)</f>
        <v>8.2455186909588196E-2</v>
      </c>
      <c r="FK18" s="14">
        <f>IFERROR(ABS(DA18),0)</f>
        <v>0.17820959751427123</v>
      </c>
      <c r="FL18" s="14">
        <f>IFERROR(ABS(DD18),0)</f>
        <v>0.21397582131899923</v>
      </c>
      <c r="FM18" s="14">
        <f>IFERROR(ABS(DG18),0)</f>
        <v>0.25892051438143737</v>
      </c>
      <c r="FN18" s="14">
        <f>IFERROR(ABS(DJ18),0)</f>
        <v>0.25892051438143737</v>
      </c>
      <c r="FO18" s="14">
        <f>IFERROR(ABS(DM18),0)</f>
        <v>0.25892051438143737</v>
      </c>
      <c r="FP18" s="14">
        <f>IFERROR(ABS(#REF!),0)</f>
        <v>0</v>
      </c>
      <c r="FQ18" s="14">
        <f t="shared" si="43"/>
        <v>1.4296665472227009E-2</v>
      </c>
      <c r="FR18" s="14">
        <f t="shared" si="44"/>
        <v>0</v>
      </c>
      <c r="FS18" s="14">
        <f t="shared" si="45"/>
        <v>0</v>
      </c>
      <c r="FT18" s="14">
        <f t="shared" si="46"/>
        <v>0</v>
      </c>
      <c r="FU18" s="14">
        <f t="shared" si="47"/>
        <v>0</v>
      </c>
    </row>
    <row r="19" spans="1:177" ht="12.75" customHeight="1" x14ac:dyDescent="0.35">
      <c r="A19" s="8">
        <v>14</v>
      </c>
      <c r="B19" s="9" t="s">
        <v>200</v>
      </c>
      <c r="C19" s="10">
        <f>'P0Q0 Dasar 2022'!F18</f>
        <v>1.28006139283175E-2</v>
      </c>
      <c r="D19" s="18">
        <f>IFERROR(AVERAGEIF('Pemetaan Variant'!$A$5:$A$32,$B19,'Pemetaan Variant'!$L$5:$L$32),"n/a")</f>
        <v>27000</v>
      </c>
      <c r="E19" s="10">
        <f>IFERROR(IF(ISNUMBER(D19),(D19-AVERAGEIF('Pemetaan Variant'!$A$5:$A$32,$B19,'Pemetaan Variant'!$D$5:$D$32))/AVERAGEIF('Pemetaan Variant'!$A$5:$A$32,$B19,'Pemetaan Variant'!$D$5:$D$32)*100,"n/a"),"n/a")</f>
        <v>1.1596788581623538</v>
      </c>
      <c r="F19" s="10">
        <f t="shared" si="0"/>
        <v>1.4844601344168361E-2</v>
      </c>
      <c r="G19" s="18">
        <f>IFERROR(AVERAGEIF('Pemetaan Variant'!$A$5:$A$32,$B19,'Pemetaan Variant'!$M$5:$M$32),"n/a")</f>
        <v>27000</v>
      </c>
      <c r="H19" s="10">
        <f>IFERROR(IF(ISNUMBER(G19),(G19-AVERAGEIF('Pemetaan Variant'!$A$5:$A$32,$B19,'Pemetaan Variant'!$D$5:$D$32))/AVERAGEIF('Pemetaan Variant'!$A$5:$A$32,$B19,'Pemetaan Variant'!$D$5:$D$32)*100,"n/a"),"n/a")</f>
        <v>1.1596788581623538</v>
      </c>
      <c r="I19" s="10">
        <f t="shared" si="1"/>
        <v>1.4844601344168361E-2</v>
      </c>
      <c r="J19" s="18">
        <f>IFERROR(AVERAGEIF('Pemetaan Variant'!$A$5:$A$32,$B19,'Pemetaan Variant'!$N$5:$N$32),"n/a")</f>
        <v>27000</v>
      </c>
      <c r="K19" s="10">
        <f>IFERROR(IF(ISNUMBER(J19),(J19-AVERAGEIF('Pemetaan Variant'!$A$5:$A$32,$B19,'Pemetaan Variant'!$D$5:$D$32))/AVERAGEIF('Pemetaan Variant'!$A$5:$A$32,$B19,'Pemetaan Variant'!$D$5:$D$32)*100,"n/a"),"n/a")</f>
        <v>1.1596788581623538</v>
      </c>
      <c r="L19" s="10">
        <f t="shared" si="2"/>
        <v>1.4844601344168361E-2</v>
      </c>
      <c r="M19" s="18">
        <f>IFERROR(AVERAGEIF('Pemetaan Variant'!$A$5:$A$32,$B19,'Pemetaan Variant'!$O$5:$O$32),"n/a")</f>
        <v>27000</v>
      </c>
      <c r="N19" s="10">
        <f>IFERROR(IF(ISNUMBER(M19),(M19-AVERAGEIF('Pemetaan Variant'!$A$5:$A$32,$B19,'Pemetaan Variant'!$D$5:$D$32))/AVERAGEIF('Pemetaan Variant'!$A$5:$A$32,$B19,'Pemetaan Variant'!$D$5:$D$32)*100,"n/a"),"n/a")</f>
        <v>1.1596788581623538</v>
      </c>
      <c r="O19" s="10">
        <f t="shared" si="3"/>
        <v>1.4844601344168361E-2</v>
      </c>
      <c r="P19" s="18">
        <f>IFERROR(AVERAGEIF('Pemetaan Variant'!$A$5:$A$32,$B19,'Pemetaan Variant'!$P$5:$P$32),"n/a")</f>
        <v>27000</v>
      </c>
      <c r="Q19" s="10">
        <f>IFERROR(IF(ISNUMBER(P19),(P19-AVERAGEIF('Pemetaan Variant'!$A$5:$A$32,$B19,'Pemetaan Variant'!$D$5:$D$32))/AVERAGEIF('Pemetaan Variant'!$A$5:$A$32,$B19,'Pemetaan Variant'!$D$5:$D$32)*100,"n/a"),"n/a")</f>
        <v>1.1596788581623538</v>
      </c>
      <c r="R19" s="10">
        <f t="shared" si="4"/>
        <v>1.4844601344168361E-2</v>
      </c>
      <c r="S19" s="18">
        <f>IFERROR(AVERAGEIF('Pemetaan Variant'!$A$5:$A$32,$B19,'Pemetaan Variant'!$Q$5:$Q$32),"n/a")</f>
        <v>28100</v>
      </c>
      <c r="T19" s="10">
        <f>IFERROR(IF(ISNUMBER(S19),(S19-AVERAGEIF('Pemetaan Variant'!$A$5:$A$32,$B19,'Pemetaan Variant'!$E$5:$E$32))/AVERAGEIF('Pemetaan Variant'!$A$5:$A$32,$B19,'Pemetaan Variant'!$E$5:$E$32)*100,"n/a"),"n/a")</f>
        <v>4.0740740740740744</v>
      </c>
      <c r="U19" s="10">
        <f t="shared" si="5"/>
        <v>5.2150649337589818E-2</v>
      </c>
      <c r="V19" s="18">
        <f>IFERROR(AVERAGEIF('Pemetaan Variant'!$A$5:$A$32,$B19,'Pemetaan Variant'!$R$5:$R$32),"n/a")</f>
        <v>27300</v>
      </c>
      <c r="W19" s="10">
        <f>IFERROR(IF(ISNUMBER(V19),(V19-AVERAGEIF('Pemetaan Variant'!$A$5:$A$32,$B19,'Pemetaan Variant'!$E$5:$E$32))/AVERAGEIF('Pemetaan Variant'!$A$5:$A$32,$B19,'Pemetaan Variant'!$E$5:$E$32)*100,"n/a"),"n/a")</f>
        <v>1.1111111111111112</v>
      </c>
      <c r="X19" s="10">
        <f t="shared" si="6"/>
        <v>1.4222904364797223E-2</v>
      </c>
      <c r="Y19" s="18">
        <f>IFERROR(AVERAGEIF('Pemetaan Variant'!$A$5:$A$32,$B19,'Pemetaan Variant'!$S$5:$S$32),"n/a")</f>
        <v>30833.333333333336</v>
      </c>
      <c r="Z19" s="10">
        <f>IFERROR(IF(ISNUMBER(Y19),(Y19-AVERAGEIF('Pemetaan Variant'!$A$5:$A$32,$B19,'Pemetaan Variant'!$E$5:$E$32))/AVERAGEIF('Pemetaan Variant'!$A$5:$A$32,$B19,'Pemetaan Variant'!$E$5:$E$32)*100,"n/a"),"n/a")</f>
        <v>14.197530864197541</v>
      </c>
      <c r="AA19" s="10">
        <f t="shared" si="7"/>
        <v>0.18173711132796463</v>
      </c>
      <c r="AB19" s="18">
        <f>IFERROR(AVERAGEIF('Pemetaan Variant'!$A$5:$A$32,$B19,'Pemetaan Variant'!$T$5:$T$32),"n/a")</f>
        <v>30500</v>
      </c>
      <c r="AC19" s="10">
        <f>IFERROR(IF(ISNUMBER(AB19),(AB19-AVERAGEIF('Pemetaan Variant'!$A$5:$A$32,$B19,'Pemetaan Variant'!$E$5:$E$32))/AVERAGEIF('Pemetaan Variant'!$A$5:$A$32,$B19,'Pemetaan Variant'!$E$5:$E$32)*100,"n/a"),"n/a")</f>
        <v>12.962962962962962</v>
      </c>
      <c r="AD19" s="10">
        <f t="shared" si="8"/>
        <v>0.16593388425596758</v>
      </c>
      <c r="AE19" s="18">
        <f>IFERROR(AVERAGEIF('Pemetaan Variant'!$A$5:$A$32,$B19,'Pemetaan Variant'!$U$5:$U$32),"n/a")</f>
        <v>32400</v>
      </c>
      <c r="AF19" s="10">
        <f>IFERROR(IF(ISNUMBER(AE19),(AE19-AVERAGEIF('Pemetaan Variant'!$A$5:$A$32,$B19,'Pemetaan Variant'!$F$5:$F$32))/AVERAGEIF('Pemetaan Variant'!$A$5:$A$32,$B19,'Pemetaan Variant'!$F$5:$F$32)*100,"n/a"),"n/a")</f>
        <v>11.724137931034482</v>
      </c>
      <c r="AG19" s="10">
        <f t="shared" si="9"/>
        <v>0.1500761632975155</v>
      </c>
      <c r="AH19" s="18">
        <f>IFERROR(AVERAGEIF('Pemetaan Variant'!$A$5:$A$32,$B19,'Pemetaan Variant'!$V$5:$V$32),"n/a")</f>
        <v>32200</v>
      </c>
      <c r="AI19" s="10">
        <f>IFERROR(IF(ISNUMBER(AH19),(AH19-AVERAGEIF('Pemetaan Variant'!$A$5:$A$32,$B19,'Pemetaan Variant'!$F$5:$F$32))/AVERAGEIF('Pemetaan Variant'!$A$5:$A$32,$B19,'Pemetaan Variant'!$F$5:$F$32)*100,"n/a"),"n/a")</f>
        <v>11.03448275862069</v>
      </c>
      <c r="AJ19" s="10">
        <f t="shared" si="10"/>
        <v>0.14124815369177932</v>
      </c>
      <c r="AK19" s="18">
        <f>IFERROR(AVERAGEIF('Pemetaan Variant'!$A$5:$A$32,$B19,'Pemetaan Variant'!$W$5:$W$32),"n/a")</f>
        <v>32800</v>
      </c>
      <c r="AL19" s="10">
        <f>IFERROR(IF(ISNUMBER(AK19),(AK19-AVERAGEIF('Pemetaan Variant'!$A$5:$A$32,$B19,'Pemetaan Variant'!$F$5:$F$32))/AVERAGEIF('Pemetaan Variant'!$A$5:$A$32,$B19,'Pemetaan Variant'!$F$5:$F$32)*100,"n/a"),"n/a")</f>
        <v>13.103448275862069</v>
      </c>
      <c r="AM19" s="10">
        <f t="shared" si="11"/>
        <v>0.16773218250898794</v>
      </c>
      <c r="AN19" s="18">
        <f>IFERROR(AVERAGEIF('Pemetaan Variant'!$A$5:$A$32,$B19,'Pemetaan Variant'!$X$5:$X$32),"n/a")</f>
        <v>34000</v>
      </c>
      <c r="AO19" s="10">
        <f>IFERROR(IF(ISNUMBER(AN19),(AN19-AVERAGEIF('Pemetaan Variant'!$A$5:$A$32,$B19,'Pemetaan Variant'!$F$5:$F$32))/AVERAGEIF('Pemetaan Variant'!$A$5:$A$32,$B19,'Pemetaan Variant'!$F$5:$F$32)*100,"n/a"),"n/a")</f>
        <v>17.241379310344829</v>
      </c>
      <c r="AP19" s="10">
        <f t="shared" si="12"/>
        <v>0.2207002401434052</v>
      </c>
      <c r="AQ19" s="18">
        <f>IFERROR(AVERAGEIF('Pemetaan Variant'!$A$5:$A$32,$B19,'Pemetaan Variant'!$Y$5:$Y$32),"n/a")</f>
        <v>34000</v>
      </c>
      <c r="AR19" s="10">
        <f>IFERROR(IF(ISNUMBER(AQ19),(AQ19-AVERAGEIF('Pemetaan Variant'!$A$5:$A$32,$B19,'Pemetaan Variant'!$F$5:$F$32))/AVERAGEIF('Pemetaan Variant'!$A$5:$A$32,$B19,'Pemetaan Variant'!$F$5:$F$32)*100,"n/a"),"n/a")</f>
        <v>17.241379310344829</v>
      </c>
      <c r="AS19" s="10">
        <f t="shared" si="13"/>
        <v>0.2207002401434052</v>
      </c>
      <c r="AT19" s="18">
        <f>IFERROR(AVERAGEIF('Pemetaan Variant'!$A$5:$A$32,$B19,'Pemetaan Variant'!$Z$5:$Z$32),"n/a")</f>
        <v>33000</v>
      </c>
      <c r="AU19" s="10">
        <f>IFERROR(IF(ISNUMBER(AT19),(AT19-AVERAGEIF('Pemetaan Variant'!$A$5:$A$32,$B19,'Pemetaan Variant'!$G$5:$G$32))/AVERAGEIF('Pemetaan Variant'!$A$5:$A$32,$B19,'Pemetaan Variant'!$G$5:$G$32)*100,"n/a"),"n/a")</f>
        <v>0.45662100456621002</v>
      </c>
      <c r="AV19" s="10">
        <f t="shared" si="14"/>
        <v>5.8450291910125563E-3</v>
      </c>
      <c r="AW19" s="18">
        <f>IFERROR(AVERAGEIF('Pemetaan Variant'!$A$5:$A$32,$B19,'Pemetaan Variant'!$AA$5:$AA$32),"n/a")</f>
        <v>33600</v>
      </c>
      <c r="AX19" s="10">
        <f>IFERROR(IF(ISNUMBER(AW19),(AW19-AVERAGEIF('Pemetaan Variant'!$A$5:$A$32,$B19,'Pemetaan Variant'!$G$5:$G$32))/AVERAGEIF('Pemetaan Variant'!$A$5:$A$32,$B19,'Pemetaan Variant'!$G$5:$G$32)*100,"n/a"),"n/a")</f>
        <v>2.2831050228310499</v>
      </c>
      <c r="AY19" s="10">
        <f t="shared" si="15"/>
        <v>2.922514595506278E-2</v>
      </c>
      <c r="AZ19" s="18">
        <f>IFERROR(AVERAGEIF('Pemetaan Variant'!$A$5:$A$32,$B19,'Pemetaan Variant'!$AB$5:$AB$32),"n/a")</f>
        <v>33000</v>
      </c>
      <c r="BA19" s="10">
        <f>IFERROR(IF(ISNUMBER(AZ19),(AZ19-AVERAGEIF('Pemetaan Variant'!$A$5:$A$32,$B19,'Pemetaan Variant'!$G$5:$G$32))/AVERAGEIF('Pemetaan Variant'!$A$5:$A$32,$B19,'Pemetaan Variant'!$G$5:$G$32)*100,"n/a"),"n/a")</f>
        <v>0.45662100456621002</v>
      </c>
      <c r="BB19" s="10">
        <f t="shared" si="16"/>
        <v>5.8450291910125563E-3</v>
      </c>
      <c r="BC19" s="18">
        <f>IFERROR(AVERAGEIF('Pemetaan Variant'!$A$5:$A$32,$B19,'Pemetaan Variant'!$AC$5:$AC$32),"n/a")</f>
        <v>32800</v>
      </c>
      <c r="BD19" s="10">
        <f>IFERROR(IF(ISNUMBER(BC19),(BC19-AVERAGEIF('Pemetaan Variant'!$A$5:$A$32,$B19,'Pemetaan Variant'!$G$5:$G$32))/AVERAGEIF('Pemetaan Variant'!$A$5:$A$32,$B19,'Pemetaan Variant'!$G$5:$G$32)*100,"n/a"),"n/a")</f>
        <v>-0.15220700152207001</v>
      </c>
      <c r="BE19" s="10">
        <f t="shared" si="17"/>
        <v>-1.9483430636708522E-3</v>
      </c>
      <c r="BF19" s="18">
        <f>IFERROR(AVERAGEIF('Pemetaan Variant'!$A$5:$A$32,$B19,'Pemetaan Variant'!$AD$5:$AD$32),"n/a")</f>
        <v>32500</v>
      </c>
      <c r="BG19" s="10">
        <f>IFERROR(IF(ISNUMBER(BF19),(BF19-AVERAGEIF('Pemetaan Variant'!$A$5:$A$32,$B19,'Pemetaan Variant'!$G$5:$G$32))/AVERAGEIF('Pemetaan Variant'!$A$5:$A$32,$B19,'Pemetaan Variant'!$G$5:$G$32)*100,"n/a"),"n/a")</f>
        <v>-1.06544901065449</v>
      </c>
      <c r="BH19" s="10">
        <f t="shared" si="18"/>
        <v>-1.3638401445695966E-2</v>
      </c>
      <c r="BI19" s="18" t="str">
        <f>IFERROR(AVERAGEIF('Pemetaan Variant'!$A$5:$A$32,$B19,'Pemetaan Variant'!$AE$5:$AE$32),"n/a")</f>
        <v>n/a</v>
      </c>
      <c r="BJ19" s="10" t="str">
        <f>IFERROR(IF(ISNUMBER(BI19),(BI19-AVERAGEIF('Pemetaan Variant'!$A$5:$A$32,$B19,'Pemetaan Variant'!$H$5:$H$32))/AVERAGEIF('Pemetaan Variant'!$A$5:$A$32,$B19,'Pemetaan Variant'!$H$5:$H$32)*100,"n/a"),"n/a")</f>
        <v>n/a</v>
      </c>
      <c r="BK19" s="10" t="str">
        <f t="shared" si="19"/>
        <v>n/a</v>
      </c>
      <c r="BL19" s="18">
        <f>IFERROR(AVERAGEIF('Pemetaan Variant'!$A$5:$A$32,$B19,'Pemetaan Variant'!$AF$5:$AF$32),"n/a")</f>
        <v>33500</v>
      </c>
      <c r="BM19" s="10">
        <f>IFERROR(IF(ISNUMBER(BL19),(BL19-AVERAGEIF('Pemetaan Variant'!$A$5:$A$32,$B19,'Pemetaan Variant'!$H$5:$H$32))/AVERAGEIF('Pemetaan Variant'!$A$5:$A$32,$B19,'Pemetaan Variant'!$H$5:$H$32)*100,"n/a"),"n/a")</f>
        <v>1.5151515151515151</v>
      </c>
      <c r="BN19" s="10">
        <f t="shared" si="20"/>
        <v>1.9394869588359849E-2</v>
      </c>
      <c r="BO19" s="18">
        <f>IFERROR(AVERAGEIF('Pemetaan Variant'!$A$5:$A$32,$B19,'Pemetaan Variant'!$AG$5:$AG$32),"n/a")</f>
        <v>33333.333333333336</v>
      </c>
      <c r="BP19" s="10">
        <f>IFERROR(IF(ISNUMBER(BO19),(BO19-AVERAGEIF('Pemetaan Variant'!$A$5:$A$32,$B19,'Pemetaan Variant'!$H$5:$H$32))/AVERAGEIF('Pemetaan Variant'!$A$5:$A$32,$B19,'Pemetaan Variant'!$H$5:$H$32)*100,"n/a"),"n/a")</f>
        <v>1.0101010101010175</v>
      </c>
      <c r="BQ19" s="10">
        <f t="shared" si="21"/>
        <v>1.292991305890666E-2</v>
      </c>
      <c r="BR19" s="18">
        <f>IFERROR(AVERAGEIF('Pemetaan Variant'!$A$5:$A$32,$B19,'Pemetaan Variant'!$AH$5:$AH$32),"n/a")</f>
        <v>32800</v>
      </c>
      <c r="BS19" s="10">
        <f>IFERROR(IF(ISNUMBER(BR19),(BR19-AVERAGEIF('Pemetaan Variant'!$A$5:$A$32,$B19,'Pemetaan Variant'!$H$5:$H$32))/AVERAGEIF('Pemetaan Variant'!$A$5:$A$32,$B19,'Pemetaan Variant'!$H$5:$H$32)*100,"n/a"),"n/a")</f>
        <v>-0.60606060606060608</v>
      </c>
      <c r="BT19" s="10">
        <f t="shared" si="22"/>
        <v>-7.7579478353439393E-3</v>
      </c>
      <c r="BU19" s="18">
        <f>IFERROR(AVERAGEIF('Pemetaan Variant'!$A$5:$A$32,$B19,'Pemetaan Variant'!$AI$5:$AI$32),"n/a")</f>
        <v>32500</v>
      </c>
      <c r="BV19" s="10">
        <f>IFERROR(IF(ISNUMBER(BU19),(BU19-AVERAGEIF('Pemetaan Variant'!$A$5:$A$32,$B19,'Pemetaan Variant'!$H$5:$H$32))/AVERAGEIF('Pemetaan Variant'!$A$5:$A$32,$B19,'Pemetaan Variant'!$H$5:$H$32)*100,"n/a"),"n/a")</f>
        <v>-1.5151515151515151</v>
      </c>
      <c r="BW19" s="10">
        <f t="shared" si="23"/>
        <v>-1.9394869588359849E-2</v>
      </c>
      <c r="BX19" s="18">
        <f>IFERROR(AVERAGEIF('Pemetaan Variant'!$A$5:$A$32,$B19,'Pemetaan Variant'!$AJ$5:$AJ$32),"n/a")</f>
        <v>32125</v>
      </c>
      <c r="BY19" s="10">
        <f>IFERROR(IF(ISNUMBER(BX19),(BX19-AVERAGEIF('Pemetaan Variant'!$A$5:$A$32,$B19,'Pemetaan Variant'!$I$5:$I$32))/AVERAGEIF('Pemetaan Variant'!$A$5:$A$32,$B19,'Pemetaan Variant'!$I$5:$I$32)*100,"n/a"),"n/a")</f>
        <v>-2.8355387523629489</v>
      </c>
      <c r="BZ19" s="10">
        <f t="shared" si="24"/>
        <v>-3.6296636847781193E-2</v>
      </c>
      <c r="CA19" s="18">
        <f>IFERROR(AVERAGEIF('Pemetaan Variant'!$A$5:$A$32,$B19,'Pemetaan Variant'!$AK$5:$AK$32),"n/a")</f>
        <v>32100</v>
      </c>
      <c r="CB19" s="10">
        <f>IFERROR(IF(ISNUMBER(CA19),(CA19-AVERAGEIF('Pemetaan Variant'!$A$5:$A$32,$B19,'Pemetaan Variant'!$I$5:$I$32))/AVERAGEIF('Pemetaan Variant'!$A$5:$A$32,$B19,'Pemetaan Variant'!$I$5:$I$32)*100,"n/a"),"n/a")</f>
        <v>-2.9111531190926274</v>
      </c>
      <c r="CC19" s="10">
        <f t="shared" si="25"/>
        <v>-3.7264547163722017E-2</v>
      </c>
      <c r="CD19" s="18">
        <f>IFERROR(AVERAGEIF('Pemetaan Variant'!$A$5:$A$32,$B19,'Pemetaan Variant'!$AL$5:$AL$32),"n/a")</f>
        <v>35500</v>
      </c>
      <c r="CE19" s="10">
        <f>IFERROR(IF(ISNUMBER(CD19),(CD19-AVERAGEIF('Pemetaan Variant'!$A$5:$A$32,$B19,'Pemetaan Variant'!$I$5:$I$32))/AVERAGEIF('Pemetaan Variant'!$A$5:$A$32,$B19,'Pemetaan Variant'!$I$5:$I$32)*100,"n/a"),"n/a")</f>
        <v>7.3724007561436666</v>
      </c>
      <c r="CF19" s="10">
        <f t="shared" si="26"/>
        <v>9.4371255804231086E-2</v>
      </c>
      <c r="CG19" s="18">
        <f>IFERROR(AVERAGEIF('Pemetaan Variant'!$A$5:$A$32,$B19,'Pemetaan Variant'!$AM$5:$AM$32),"n/a")</f>
        <v>35500</v>
      </c>
      <c r="CH19" s="10">
        <f>IFERROR(IF(ISNUMBER(CG19),(CG19-AVERAGEIF('Pemetaan Variant'!$A$5:$A$32,$B19,'Pemetaan Variant'!$I$5:$I$32))/AVERAGEIF('Pemetaan Variant'!$A$5:$A$32,$B19,'Pemetaan Variant'!$I$5:$I$32)*100,"n/a"),"n/a")</f>
        <v>7.3724007561436666</v>
      </c>
      <c r="CI19" s="10">
        <f t="shared" si="27"/>
        <v>9.4371255804231086E-2</v>
      </c>
      <c r="CJ19" s="18">
        <f>IFERROR(AVERAGEIF('Pemetaan Variant'!$A$5:$A$32,$B19,'Pemetaan Variant'!$AN$5:$AN$32),"n/a")</f>
        <v>36000</v>
      </c>
      <c r="CK19" s="10">
        <f>IFERROR(IF(ISNUMBER(CJ19),(CJ19-AVERAGEIF('Pemetaan Variant'!$A$5:$A$32,$B19,'Pemetaan Variant'!$I$5:$I$32))/AVERAGEIF('Pemetaan Variant'!$A$5:$A$32,$B19,'Pemetaan Variant'!$I$5:$I$32)*100,"n/a"),"n/a")</f>
        <v>8.8846880907372405</v>
      </c>
      <c r="CL19" s="10">
        <f t="shared" si="28"/>
        <v>0.11372946212304774</v>
      </c>
      <c r="CM19" s="18">
        <f>IFERROR(AVERAGEIF('Pemetaan Variant'!$A$5:$A$32,$B19,'Pemetaan Variant'!$AO$5:$AO$32),"n/a")</f>
        <v>36500</v>
      </c>
      <c r="CN19" s="10">
        <f>IFERROR(IF(ISNUMBER(CM19),(CM19-AVERAGEIF('Pemetaan Variant'!$A$5:$A$32,$B19,'Pemetaan Variant'!$J$5:$J$32))/AVERAGEIF('Pemetaan Variant'!$A$5:$A$32,$B19,'Pemetaan Variant'!$J$5:$J$32)*100,"n/a"),"n/a")</f>
        <v>7.2740631888317422</v>
      </c>
      <c r="CO19" s="10">
        <f t="shared" si="29"/>
        <v>9.3112474570421211E-2</v>
      </c>
      <c r="CP19" s="18">
        <f>IFERROR(AVERAGEIF('Pemetaan Variant'!$A$5:$A$32,$B19,'Pemetaan Variant'!$AP$5:$AP$32),"n/a")</f>
        <v>36500</v>
      </c>
      <c r="CQ19" s="10">
        <f>IFERROR(IF(ISNUMBER(CP19),(CP19-AVERAGEIF('Pemetaan Variant'!$A$5:$A$32,$B19,'Pemetaan Variant'!$J$5:$J$32))/AVERAGEIF('Pemetaan Variant'!$A$5:$A$32,$B19,'Pemetaan Variant'!$J$5:$J$32)*100,"n/a"),"n/a")</f>
        <v>7.2740631888317422</v>
      </c>
      <c r="CR19" s="10">
        <f t="shared" si="30"/>
        <v>9.3112474570421211E-2</v>
      </c>
      <c r="CS19" s="18">
        <f>IFERROR(AVERAGEIF('Pemetaan Variant'!$A$5:$A$32,$B19,'Pemetaan Variant'!$AQ$5:$AQ$32),"n/a")</f>
        <v>36500</v>
      </c>
      <c r="CT19" s="10">
        <f>IFERROR(IF(ISNUMBER(CS19),(CS19-AVERAGEIF('Pemetaan Variant'!$A$5:$A$32,$B19,'Pemetaan Variant'!$J$5:$J$32))/AVERAGEIF('Pemetaan Variant'!$A$5:$A$32,$B19,'Pemetaan Variant'!$J$5:$J$32)*100,"n/a"),"n/a")</f>
        <v>7.2740631888317422</v>
      </c>
      <c r="CU19" s="10">
        <f t="shared" si="31"/>
        <v>9.3112474570421211E-2</v>
      </c>
      <c r="CV19" s="18">
        <f>IFERROR(AVERAGEIF('Pemetaan Variant'!$A$5:$A$32,$B19,'Pemetaan Variant'!$AR$5:$AR$32),"n/a")</f>
        <v>36500</v>
      </c>
      <c r="CW19" s="10">
        <f>IFERROR(IF(ISNUMBER(CV19),(CV19-AVERAGEIF('Pemetaan Variant'!$A$5:$A$32,$B19,'Pemetaan Variant'!$J$5:$J$32))/AVERAGEIF('Pemetaan Variant'!$A$5:$A$32,$B19,'Pemetaan Variant'!$J$5:$J$32)*100,"n/a"),"n/a")</f>
        <v>7.2740631888317422</v>
      </c>
      <c r="CX19" s="10">
        <f t="shared" si="32"/>
        <v>9.3112474570421211E-2</v>
      </c>
      <c r="CY19" s="18">
        <f>IFERROR(AVERAGEIF('Pemetaan Variant'!$A$5:$A$32,$B19,'Pemetaan Variant'!$AS$5:$AS$32),"n/a")</f>
        <v>35600</v>
      </c>
      <c r="CZ19" s="10">
        <f>IFERROR(IF(ISNUMBER(CY19),(CY19-AVERAGEIF('Pemetaan Variant'!$A$5:$A$32,$B19,'Pemetaan Variant'!$J$5:$J$32))/AVERAGEIF('Pemetaan Variant'!$A$5:$A$32,$B19,'Pemetaan Variant'!$J$5:$J$32)*100,"n/a"),"n/a")</f>
        <v>4.6289493019838357</v>
      </c>
      <c r="DA19" s="10">
        <f t="shared" si="33"/>
        <v>5.9253392908449859E-2</v>
      </c>
      <c r="DB19" s="18">
        <f>IFERROR(AVERAGEIF('Pemetaan Variant'!$A$5:$A$32,$B19,'Pemetaan Variant'!$AT$5:$AT$32),"n/a")</f>
        <v>34400</v>
      </c>
      <c r="DC19" s="10">
        <f>IFERROR(IF(ISNUMBER(DB19),(DB19-AVERAGEIF('Pemetaan Variant'!$A$5:$A$32,$B19,'Pemetaan Variant'!$K$5:$K$32))/AVERAGEIF('Pemetaan Variant'!$A$5:$A$32,$B19,'Pemetaan Variant'!$K$5:$K$32)*100,"n/a"),"n/a")</f>
        <v>-5.2455089820359371</v>
      </c>
      <c r="DD19" s="10">
        <f t="shared" si="34"/>
        <v>-6.7145735336563761E-2</v>
      </c>
      <c r="DE19" s="18">
        <f>IFERROR(AVERAGEIF('Pemetaan Variant'!$A$5:$A$32,$B19,'Pemetaan Variant'!$AU$5:$AU$32),"n/a")</f>
        <v>34000</v>
      </c>
      <c r="DF19" s="10">
        <f>IFERROR(IF(ISNUMBER(DE19),(DE19-AVERAGEIF('Pemetaan Variant'!$A$5:$A$32,$B19,'Pemetaan Variant'!$K$5:$K$32))/AVERAGEIF('Pemetaan Variant'!$A$5:$A$32,$B19,'Pemetaan Variant'!$K$5:$K$32)*100,"n/a"),"n/a")</f>
        <v>-6.3473053892215647</v>
      </c>
      <c r="DG19" s="10">
        <f t="shared" si="35"/>
        <v>-8.1249405772554295E-2</v>
      </c>
      <c r="DH19" s="18">
        <f>IFERROR(AVERAGEIF('Pemetaan Variant'!$A$5:$A$32,$B19,'Pemetaan Variant'!$AV$5:$AV$32),"n/a")</f>
        <v>34000</v>
      </c>
      <c r="DI19" s="10">
        <f>IFERROR(IF(ISNUMBER(DH19),(DH19-AVERAGEIF('Pemetaan Variant'!$A$5:$A$32,$B19,'Pemetaan Variant'!$K$5:$K$32))/AVERAGEIF('Pemetaan Variant'!$A$5:$A$32,$B19,'Pemetaan Variant'!$K$5:$K$32)*100,"n/a"),"n/a")</f>
        <v>-6.3473053892215647</v>
      </c>
      <c r="DJ19" s="10">
        <f t="shared" si="36"/>
        <v>-8.1249405772554295E-2</v>
      </c>
      <c r="DK19" s="18">
        <f>IFERROR(AVERAGEIF('Pemetaan Variant'!$A$5:$A$32,$B19,'Pemetaan Variant'!$AW$5:$AW$32),"n/a")</f>
        <v>34000</v>
      </c>
      <c r="DL19" s="10">
        <f>IFERROR(IF(ISNUMBER(DK19),(DK19-AVERAGEIF('Pemetaan Variant'!$A$5:$A$32,$B19,'Pemetaan Variant'!$K$5:$K$32))/AVERAGEIF('Pemetaan Variant'!$A$5:$A$32,$B19,'Pemetaan Variant'!$K$5:$K$32)*100,"n/a"),"n/a")</f>
        <v>-6.3473053892215647</v>
      </c>
      <c r="DM19" s="10">
        <f t="shared" si="37"/>
        <v>-8.1249405772554295E-2</v>
      </c>
      <c r="DN19" s="19">
        <f>IFERROR(AVERAGEIF('Pemetaan Variant'!$A$5:$A$32,$B19,'Pemetaan Variant'!$AZ$5:$AZ$32),"n/a")</f>
        <v>34000</v>
      </c>
      <c r="DO19" s="14">
        <f>IFERROR(IF(ISNUMBER(DN19),(DN19-AVERAGEIF('Pemetaan Variant'!$A$5:$A$32,$B19,'Pemetaan Variant'!$AY$5:$AY$32))/AVERAGEIF('Pemetaan Variant'!$A$5:$A$32,$B19,'Pemetaan Variant'!$AY$5:$AY$32)*100,"n/a"),"n/a")</f>
        <v>-0.32573289902279656</v>
      </c>
      <c r="DP19" s="14">
        <f t="shared" si="38"/>
        <v>-4.1695810841424477E-3</v>
      </c>
      <c r="DQ19" s="19" t="str">
        <f>IFERROR(AVERAGEIF('Pemetaan Variant'!$A$5:$A$32,$B19,'Pemetaan Variant'!$BA$5:$BA$32),"n/a")</f>
        <v>n/a</v>
      </c>
      <c r="DR19" s="14" t="str">
        <f>IFERROR(IF(ISNUMBER(DQ19),(DQ19-AVERAGEIF('Pemetaan Variant'!$A$5:$A$32,$B19,'Pemetaan Variant'!$AY$5:$AY$32))/AVERAGEIF('Pemetaan Variant'!$A$5:$A$32,$B19,'Pemetaan Variant'!$AY$5:$AY$32)*100,"n/a"),"n/a")</f>
        <v>n/a</v>
      </c>
      <c r="DS19" s="14" t="str">
        <f t="shared" si="39"/>
        <v>n/a</v>
      </c>
      <c r="DT19" s="19" t="str">
        <f>IFERROR(AVERAGEIF('Pemetaan Variant'!$A$5:$A$32,$B19,'Pemetaan Variant'!$BB$5:$BB$32),"n/a")</f>
        <v>n/a</v>
      </c>
      <c r="DU19" s="14" t="str">
        <f>IFERROR(IF(ISNUMBER(DT19),(DT19-AVERAGEIF('Pemetaan Variant'!$A$5:$A$32,$B19,'Pemetaan Variant'!$AY$5:$AY$32))/AVERAGEIF('Pemetaan Variant'!$A$5:$A$32,$B19,'Pemetaan Variant'!$AY$5:$AY$32)*100,"n/a"),"n/a")</f>
        <v>n/a</v>
      </c>
      <c r="DV19" s="14" t="str">
        <f t="shared" si="40"/>
        <v>n/a</v>
      </c>
      <c r="DW19" s="19" t="str">
        <f>IFERROR(AVERAGEIF('Pemetaan Variant'!$A$5:$A$32,$B19,'Pemetaan Variant'!$BC$5:$BC$32),"n/a")</f>
        <v>n/a</v>
      </c>
      <c r="DX19" s="14" t="str">
        <f>IFERROR(IF(ISNUMBER(DW19),(DW19-AVERAGEIF('Pemetaan Variant'!$A$5:$A$32,$B19,'Pemetaan Variant'!$AY$5:$AY$32))/AVERAGEIF('Pemetaan Variant'!$A$5:$A$32,$B19,'Pemetaan Variant'!$AY$5:$AY$32)*100,"n/a"),"n/a")</f>
        <v>n/a</v>
      </c>
      <c r="DY19" s="14" t="str">
        <f t="shared" si="41"/>
        <v>n/a</v>
      </c>
      <c r="DZ19" s="19" t="str">
        <f>IFERROR(AVERAGEIF('Pemetaan Variant'!$A$5:$A$32,$B19,'Pemetaan Variant'!$BD$5:$BD$32),"n/a")</f>
        <v>n/a</v>
      </c>
      <c r="EA19" s="14" t="str">
        <f>IFERROR(IF(ISNUMBER(DZ19),(DZ19-AVERAGEIF('Pemetaan Variant'!$A$5:$A$32,$B19,'Pemetaan Variant'!$AY$5:$AY$32))/AVERAGEIF('Pemetaan Variant'!$A$5:$A$32,$B19,'Pemetaan Variant'!$AY$5:$AY$32)*100,"n/a"),"n/a")</f>
        <v>n/a</v>
      </c>
      <c r="EB19" s="14" t="str">
        <f t="shared" si="42"/>
        <v>n/a</v>
      </c>
      <c r="ED19" s="14">
        <f>IFERROR(ABS(F19),0)</f>
        <v>1.4844601344168361E-2</v>
      </c>
      <c r="EE19" s="14">
        <f>IFERROR(ABS(I19),0)</f>
        <v>1.4844601344168361E-2</v>
      </c>
      <c r="EF19" s="14">
        <f>IFERROR(ABS(L19),0)</f>
        <v>1.4844601344168361E-2</v>
      </c>
      <c r="EG19" s="14">
        <f>IFERROR(ABS(O19),0)</f>
        <v>1.4844601344168361E-2</v>
      </c>
      <c r="EH19" s="14">
        <f>IFERROR(ABS(R19),0)</f>
        <v>1.4844601344168361E-2</v>
      </c>
      <c r="EI19" s="14">
        <f>IFERROR(ABS(U19),0)</f>
        <v>5.2150649337589818E-2</v>
      </c>
      <c r="EJ19" s="14">
        <f>IFERROR(ABS(X19),0)</f>
        <v>1.4222904364797223E-2</v>
      </c>
      <c r="EK19" s="14">
        <f>IFERROR(ABS(AA19),0)</f>
        <v>0.18173711132796463</v>
      </c>
      <c r="EL19" s="14">
        <f>IFERROR(ABS(AD19),0)</f>
        <v>0.16593388425596758</v>
      </c>
      <c r="EM19" s="14">
        <f>IFERROR(ABS(AG19),0)</f>
        <v>0.1500761632975155</v>
      </c>
      <c r="EN19" s="14">
        <f>IFERROR(ABS(AJ19),0)</f>
        <v>0.14124815369177932</v>
      </c>
      <c r="EO19" s="14">
        <f>IFERROR(ABS(AM19),0)</f>
        <v>0.16773218250898794</v>
      </c>
      <c r="EP19" s="14">
        <f>IFERROR(ABS(AP19),0)</f>
        <v>0.2207002401434052</v>
      </c>
      <c r="EQ19" s="14">
        <f>IFERROR(ABS(AS19),0)</f>
        <v>0.2207002401434052</v>
      </c>
      <c r="ER19" s="14">
        <f>IFERROR(ABS(AV19),0)</f>
        <v>5.8450291910125563E-3</v>
      </c>
      <c r="ES19" s="14">
        <f>IFERROR(ABS(AY19),0)</f>
        <v>2.922514595506278E-2</v>
      </c>
      <c r="ET19" s="14">
        <f>IFERROR(ABS(BB19),0)</f>
        <v>5.8450291910125563E-3</v>
      </c>
      <c r="EU19" s="14">
        <f>IFERROR(ABS(BE19),0)</f>
        <v>1.9483430636708522E-3</v>
      </c>
      <c r="EV19" s="14">
        <f>IFERROR(ABS(BH19),0)</f>
        <v>1.3638401445695966E-2</v>
      </c>
      <c r="EW19" s="14">
        <f>IFERROR(ABS(BK19),0)</f>
        <v>0</v>
      </c>
      <c r="EX19" s="14">
        <f>IFERROR(ABS(BN19),0)</f>
        <v>1.9394869588359849E-2</v>
      </c>
      <c r="EY19" s="14">
        <f>IFERROR(ABS(BQ19),0)</f>
        <v>1.292991305890666E-2</v>
      </c>
      <c r="EZ19" s="14">
        <f>IFERROR(ABS(BT19),0)</f>
        <v>7.7579478353439393E-3</v>
      </c>
      <c r="FA19" s="14">
        <f>IFERROR(ABS(BW19),0)</f>
        <v>1.9394869588359849E-2</v>
      </c>
      <c r="FB19" s="14">
        <f>IFERROR(ABS(BZ19),0)</f>
        <v>3.6296636847781193E-2</v>
      </c>
      <c r="FC19" s="14">
        <f>IFERROR(ABS(CC19),0)</f>
        <v>3.7264547163722017E-2</v>
      </c>
      <c r="FD19" s="14">
        <f>IFERROR(ABS(CF19),0)</f>
        <v>9.4371255804231086E-2</v>
      </c>
      <c r="FE19" s="14">
        <f>IFERROR(ABS(CI19),0)</f>
        <v>9.4371255804231086E-2</v>
      </c>
      <c r="FF19" s="14">
        <f>IFERROR(ABS(CL19),0)</f>
        <v>0.11372946212304774</v>
      </c>
      <c r="FG19" s="14">
        <f>IFERROR(ABS(CO19),0)</f>
        <v>9.3112474570421211E-2</v>
      </c>
      <c r="FH19" s="14">
        <f>IFERROR(ABS(CR19),0)</f>
        <v>9.3112474570421211E-2</v>
      </c>
      <c r="FI19" s="14">
        <f>IFERROR(ABS(CU19),0)</f>
        <v>9.3112474570421211E-2</v>
      </c>
      <c r="FJ19" s="14">
        <f>IFERROR(ABS(CX19),0)</f>
        <v>9.3112474570421211E-2</v>
      </c>
      <c r="FK19" s="14">
        <f>IFERROR(ABS(DA19),0)</f>
        <v>5.9253392908449859E-2</v>
      </c>
      <c r="FL19" s="14">
        <f>IFERROR(ABS(DD19),0)</f>
        <v>6.7145735336563761E-2</v>
      </c>
      <c r="FM19" s="14">
        <f>IFERROR(ABS(DG19),0)</f>
        <v>8.1249405772554295E-2</v>
      </c>
      <c r="FN19" s="14">
        <f>IFERROR(ABS(DJ19),0)</f>
        <v>8.1249405772554295E-2</v>
      </c>
      <c r="FO19" s="14">
        <f>IFERROR(ABS(DM19),0)</f>
        <v>8.1249405772554295E-2</v>
      </c>
      <c r="FP19" s="14">
        <f>IFERROR(ABS(#REF!),0)</f>
        <v>0</v>
      </c>
      <c r="FQ19" s="14">
        <f t="shared" si="43"/>
        <v>4.1695810841424477E-3</v>
      </c>
      <c r="FR19" s="14">
        <f t="shared" si="44"/>
        <v>0</v>
      </c>
      <c r="FS19" s="14">
        <f t="shared" si="45"/>
        <v>0</v>
      </c>
      <c r="FT19" s="14">
        <f t="shared" si="46"/>
        <v>0</v>
      </c>
      <c r="FU19" s="14">
        <f t="shared" si="47"/>
        <v>0</v>
      </c>
    </row>
    <row r="20" spans="1:177" ht="12.75" customHeight="1" x14ac:dyDescent="0.35">
      <c r="A20" s="8">
        <v>15</v>
      </c>
      <c r="B20" s="9" t="s">
        <v>201</v>
      </c>
      <c r="C20" s="10">
        <f>'P0Q0 Dasar 2022'!F19</f>
        <v>2.5517868612932301E-2</v>
      </c>
      <c r="D20" s="18">
        <f>IFERROR(AVERAGEIF('Pemetaan Variant'!$A$5:$A$32,$B20,'Pemetaan Variant'!$L$5:$L$32),"n/a")</f>
        <v>2800</v>
      </c>
      <c r="E20" s="10">
        <f>IFERROR(IF(ISNUMBER(D20),(D20-AVERAGEIF('Pemetaan Variant'!$A$5:$A$32,$B20,'Pemetaan Variant'!$D$5:$D$32))/AVERAGEIF('Pemetaan Variant'!$A$5:$A$32,$B20,'Pemetaan Variant'!$D$5:$D$32)*100,"n/a"),"n/a")</f>
        <v>0</v>
      </c>
      <c r="F20" s="10">
        <f t="shared" si="0"/>
        <v>0</v>
      </c>
      <c r="G20" s="18">
        <f>IFERROR(AVERAGEIF('Pemetaan Variant'!$A$5:$A$32,$B20,'Pemetaan Variant'!$M$5:$M$32),"n/a")</f>
        <v>2800</v>
      </c>
      <c r="H20" s="10">
        <f>IFERROR(IF(ISNUMBER(G20),(G20-AVERAGEIF('Pemetaan Variant'!$A$5:$A$32,$B20,'Pemetaan Variant'!$D$5:$D$32))/AVERAGEIF('Pemetaan Variant'!$A$5:$A$32,$B20,'Pemetaan Variant'!$D$5:$D$32)*100,"n/a"),"n/a")</f>
        <v>0</v>
      </c>
      <c r="I20" s="10">
        <f t="shared" si="1"/>
        <v>0</v>
      </c>
      <c r="J20" s="18">
        <f>IFERROR(AVERAGEIF('Pemetaan Variant'!$A$5:$A$32,$B20,'Pemetaan Variant'!$N$5:$N$32),"n/a")</f>
        <v>2800</v>
      </c>
      <c r="K20" s="10">
        <f>IFERROR(IF(ISNUMBER(J20),(J20-AVERAGEIF('Pemetaan Variant'!$A$5:$A$32,$B20,'Pemetaan Variant'!$D$5:$D$32))/AVERAGEIF('Pemetaan Variant'!$A$5:$A$32,$B20,'Pemetaan Variant'!$D$5:$D$32)*100,"n/a"),"n/a")</f>
        <v>0</v>
      </c>
      <c r="L20" s="10">
        <f t="shared" si="2"/>
        <v>0</v>
      </c>
      <c r="M20" s="18">
        <f>IFERROR(AVERAGEIF('Pemetaan Variant'!$A$5:$A$32,$B20,'Pemetaan Variant'!$O$5:$O$32),"n/a")</f>
        <v>2800</v>
      </c>
      <c r="N20" s="10">
        <f>IFERROR(IF(ISNUMBER(M20),(M20-AVERAGEIF('Pemetaan Variant'!$A$5:$A$32,$B20,'Pemetaan Variant'!$D$5:$D$32))/AVERAGEIF('Pemetaan Variant'!$A$5:$A$32,$B20,'Pemetaan Variant'!$D$5:$D$32)*100,"n/a"),"n/a")</f>
        <v>0</v>
      </c>
      <c r="O20" s="10">
        <f t="shared" si="3"/>
        <v>0</v>
      </c>
      <c r="P20" s="18">
        <f>IFERROR(AVERAGEIF('Pemetaan Variant'!$A$5:$A$32,$B20,'Pemetaan Variant'!$P$5:$P$32),"n/a")</f>
        <v>2800</v>
      </c>
      <c r="Q20" s="10">
        <f>IFERROR(IF(ISNUMBER(P20),(P20-AVERAGEIF('Pemetaan Variant'!$A$5:$A$32,$B20,'Pemetaan Variant'!$D$5:$D$32))/AVERAGEIF('Pemetaan Variant'!$A$5:$A$32,$B20,'Pemetaan Variant'!$D$5:$D$32)*100,"n/a"),"n/a")</f>
        <v>0</v>
      </c>
      <c r="R20" s="10">
        <f t="shared" si="4"/>
        <v>0</v>
      </c>
      <c r="S20" s="18">
        <f>IFERROR(AVERAGEIF('Pemetaan Variant'!$A$5:$A$32,$B20,'Pemetaan Variant'!$Q$5:$Q$32),"n/a")</f>
        <v>2800</v>
      </c>
      <c r="T20" s="10">
        <f>IFERROR(IF(ISNUMBER(S20),(S20-AVERAGEIF('Pemetaan Variant'!$A$5:$A$32,$B20,'Pemetaan Variant'!$E$5:$E$32))/AVERAGEIF('Pemetaan Variant'!$A$5:$A$32,$B20,'Pemetaan Variant'!$E$5:$E$32)*100,"n/a"),"n/a")</f>
        <v>0</v>
      </c>
      <c r="U20" s="10">
        <f t="shared" si="5"/>
        <v>0</v>
      </c>
      <c r="V20" s="18">
        <f>IFERROR(AVERAGEIF('Pemetaan Variant'!$A$5:$A$32,$B20,'Pemetaan Variant'!$R$5:$R$32),"n/a")</f>
        <v>2800</v>
      </c>
      <c r="W20" s="10">
        <f>IFERROR(IF(ISNUMBER(V20),(V20-AVERAGEIF('Pemetaan Variant'!$A$5:$A$32,$B20,'Pemetaan Variant'!$E$5:$E$32))/AVERAGEIF('Pemetaan Variant'!$A$5:$A$32,$B20,'Pemetaan Variant'!$E$5:$E$32)*100,"n/a"),"n/a")</f>
        <v>0</v>
      </c>
      <c r="X20" s="10">
        <f t="shared" si="6"/>
        <v>0</v>
      </c>
      <c r="Y20" s="18">
        <f>IFERROR(AVERAGEIF('Pemetaan Variant'!$A$5:$A$32,$B20,'Pemetaan Variant'!$S$5:$S$32),"n/a")</f>
        <v>2800</v>
      </c>
      <c r="Z20" s="10">
        <f>IFERROR(IF(ISNUMBER(Y20),(Y20-AVERAGEIF('Pemetaan Variant'!$A$5:$A$32,$B20,'Pemetaan Variant'!$E$5:$E$32))/AVERAGEIF('Pemetaan Variant'!$A$5:$A$32,$B20,'Pemetaan Variant'!$E$5:$E$32)*100,"n/a"),"n/a")</f>
        <v>0</v>
      </c>
      <c r="AA20" s="10">
        <f t="shared" si="7"/>
        <v>0</v>
      </c>
      <c r="AB20" s="18">
        <f>IFERROR(AVERAGEIF('Pemetaan Variant'!$A$5:$A$32,$B20,'Pemetaan Variant'!$T$5:$T$32),"n/a")</f>
        <v>2800</v>
      </c>
      <c r="AC20" s="10">
        <f>IFERROR(IF(ISNUMBER(AB20),(AB20-AVERAGEIF('Pemetaan Variant'!$A$5:$A$32,$B20,'Pemetaan Variant'!$E$5:$E$32))/AVERAGEIF('Pemetaan Variant'!$A$5:$A$32,$B20,'Pemetaan Variant'!$E$5:$E$32)*100,"n/a"),"n/a")</f>
        <v>0</v>
      </c>
      <c r="AD20" s="10">
        <f t="shared" si="8"/>
        <v>0</v>
      </c>
      <c r="AE20" s="18">
        <f>IFERROR(AVERAGEIF('Pemetaan Variant'!$A$5:$A$32,$B20,'Pemetaan Variant'!$U$5:$U$32),"n/a")</f>
        <v>2800</v>
      </c>
      <c r="AF20" s="10">
        <f>IFERROR(IF(ISNUMBER(AE20),(AE20-AVERAGEIF('Pemetaan Variant'!$A$5:$A$32,$B20,'Pemetaan Variant'!$F$5:$F$32))/AVERAGEIF('Pemetaan Variant'!$A$5:$A$32,$B20,'Pemetaan Variant'!$F$5:$F$32)*100,"n/a"),"n/a")</f>
        <v>0</v>
      </c>
      <c r="AG20" s="10">
        <f t="shared" si="9"/>
        <v>0</v>
      </c>
      <c r="AH20" s="18">
        <f>IFERROR(AVERAGEIF('Pemetaan Variant'!$A$5:$A$32,$B20,'Pemetaan Variant'!$V$5:$V$32),"n/a")</f>
        <v>2800</v>
      </c>
      <c r="AI20" s="10">
        <f>IFERROR(IF(ISNUMBER(AH20),(AH20-AVERAGEIF('Pemetaan Variant'!$A$5:$A$32,$B20,'Pemetaan Variant'!$F$5:$F$32))/AVERAGEIF('Pemetaan Variant'!$A$5:$A$32,$B20,'Pemetaan Variant'!$F$5:$F$32)*100,"n/a"),"n/a")</f>
        <v>0</v>
      </c>
      <c r="AJ20" s="10">
        <f t="shared" si="10"/>
        <v>0</v>
      </c>
      <c r="AK20" s="18">
        <f>IFERROR(AVERAGEIF('Pemetaan Variant'!$A$5:$A$32,$B20,'Pemetaan Variant'!$W$5:$W$32),"n/a")</f>
        <v>2800</v>
      </c>
      <c r="AL20" s="10">
        <f>IFERROR(IF(ISNUMBER(AK20),(AK20-AVERAGEIF('Pemetaan Variant'!$A$5:$A$32,$B20,'Pemetaan Variant'!$F$5:$F$32))/AVERAGEIF('Pemetaan Variant'!$A$5:$A$32,$B20,'Pemetaan Variant'!$F$5:$F$32)*100,"n/a"),"n/a")</f>
        <v>0</v>
      </c>
      <c r="AM20" s="10">
        <f t="shared" si="11"/>
        <v>0</v>
      </c>
      <c r="AN20" s="18">
        <f>IFERROR(AVERAGEIF('Pemetaan Variant'!$A$5:$A$32,$B20,'Pemetaan Variant'!$X$5:$X$32),"n/a")</f>
        <v>2800</v>
      </c>
      <c r="AO20" s="10">
        <f>IFERROR(IF(ISNUMBER(AN20),(AN20-AVERAGEIF('Pemetaan Variant'!$A$5:$A$32,$B20,'Pemetaan Variant'!$F$5:$F$32))/AVERAGEIF('Pemetaan Variant'!$A$5:$A$32,$B20,'Pemetaan Variant'!$F$5:$F$32)*100,"n/a"),"n/a")</f>
        <v>0</v>
      </c>
      <c r="AP20" s="10">
        <f t="shared" si="12"/>
        <v>0</v>
      </c>
      <c r="AQ20" s="18">
        <f>IFERROR(AVERAGEIF('Pemetaan Variant'!$A$5:$A$32,$B20,'Pemetaan Variant'!$Y$5:$Y$32),"n/a")</f>
        <v>2800</v>
      </c>
      <c r="AR20" s="10">
        <f>IFERROR(IF(ISNUMBER(AQ20),(AQ20-AVERAGEIF('Pemetaan Variant'!$A$5:$A$32,$B20,'Pemetaan Variant'!$F$5:$F$32))/AVERAGEIF('Pemetaan Variant'!$A$5:$A$32,$B20,'Pemetaan Variant'!$F$5:$F$32)*100,"n/a"),"n/a")</f>
        <v>0</v>
      </c>
      <c r="AS20" s="10">
        <f t="shared" si="13"/>
        <v>0</v>
      </c>
      <c r="AT20" s="18">
        <f>IFERROR(AVERAGEIF('Pemetaan Variant'!$A$5:$A$32,$B20,'Pemetaan Variant'!$Z$5:$Z$32),"n/a")</f>
        <v>2800</v>
      </c>
      <c r="AU20" s="10">
        <f>IFERROR(IF(ISNUMBER(AT20),(AT20-AVERAGEIF('Pemetaan Variant'!$A$5:$A$32,$B20,'Pemetaan Variant'!$G$5:$G$32))/AVERAGEIF('Pemetaan Variant'!$A$5:$A$32,$B20,'Pemetaan Variant'!$G$5:$G$32)*100,"n/a"),"n/a")</f>
        <v>0</v>
      </c>
      <c r="AV20" s="10">
        <f t="shared" si="14"/>
        <v>0</v>
      </c>
      <c r="AW20" s="18">
        <f>IFERROR(AVERAGEIF('Pemetaan Variant'!$A$5:$A$32,$B20,'Pemetaan Variant'!$AA$5:$AA$32),"n/a")</f>
        <v>2800</v>
      </c>
      <c r="AX20" s="10">
        <f>IFERROR(IF(ISNUMBER(AW20),(AW20-AVERAGEIF('Pemetaan Variant'!$A$5:$A$32,$B20,'Pemetaan Variant'!$G$5:$G$32))/AVERAGEIF('Pemetaan Variant'!$A$5:$A$32,$B20,'Pemetaan Variant'!$G$5:$G$32)*100,"n/a"),"n/a")</f>
        <v>0</v>
      </c>
      <c r="AY20" s="10">
        <f t="shared" si="15"/>
        <v>0</v>
      </c>
      <c r="AZ20" s="18">
        <f>IFERROR(AVERAGEIF('Pemetaan Variant'!$A$5:$A$32,$B20,'Pemetaan Variant'!$AB$5:$AB$32),"n/a")</f>
        <v>2800</v>
      </c>
      <c r="BA20" s="10">
        <f>IFERROR(IF(ISNUMBER(AZ20),(AZ20-AVERAGEIF('Pemetaan Variant'!$A$5:$A$32,$B20,'Pemetaan Variant'!$G$5:$G$32))/AVERAGEIF('Pemetaan Variant'!$A$5:$A$32,$B20,'Pemetaan Variant'!$G$5:$G$32)*100,"n/a"),"n/a")</f>
        <v>0</v>
      </c>
      <c r="BB20" s="10">
        <f t="shared" si="16"/>
        <v>0</v>
      </c>
      <c r="BC20" s="18">
        <f>IFERROR(AVERAGEIF('Pemetaan Variant'!$A$5:$A$32,$B20,'Pemetaan Variant'!$AC$5:$AC$32),"n/a")</f>
        <v>2800</v>
      </c>
      <c r="BD20" s="10">
        <f>IFERROR(IF(ISNUMBER(BC20),(BC20-AVERAGEIF('Pemetaan Variant'!$A$5:$A$32,$B20,'Pemetaan Variant'!$G$5:$G$32))/AVERAGEIF('Pemetaan Variant'!$A$5:$A$32,$B20,'Pemetaan Variant'!$G$5:$G$32)*100,"n/a"),"n/a")</f>
        <v>0</v>
      </c>
      <c r="BE20" s="10">
        <f t="shared" si="17"/>
        <v>0</v>
      </c>
      <c r="BF20" s="18">
        <f>IFERROR(AVERAGEIF('Pemetaan Variant'!$A$5:$A$32,$B20,'Pemetaan Variant'!$AD$5:$AD$32),"n/a")</f>
        <v>2800</v>
      </c>
      <c r="BG20" s="10">
        <f>IFERROR(IF(ISNUMBER(BF20),(BF20-AVERAGEIF('Pemetaan Variant'!$A$5:$A$32,$B20,'Pemetaan Variant'!$G$5:$G$32))/AVERAGEIF('Pemetaan Variant'!$A$5:$A$32,$B20,'Pemetaan Variant'!$G$5:$G$32)*100,"n/a"),"n/a")</f>
        <v>0</v>
      </c>
      <c r="BH20" s="10">
        <f t="shared" si="18"/>
        <v>0</v>
      </c>
      <c r="BI20" s="18" t="str">
        <f>IFERROR(AVERAGEIF('Pemetaan Variant'!$A$5:$A$32,$B20,'Pemetaan Variant'!$AE$5:$AE$32),"n/a")</f>
        <v>n/a</v>
      </c>
      <c r="BJ20" s="10" t="str">
        <f>IFERROR(IF(ISNUMBER(BI20),(BI20-AVERAGEIF('Pemetaan Variant'!$A$5:$A$32,$B20,'Pemetaan Variant'!$H$5:$H$32))/AVERAGEIF('Pemetaan Variant'!$A$5:$A$32,$B20,'Pemetaan Variant'!$H$5:$H$32)*100,"n/a"),"n/a")</f>
        <v>n/a</v>
      </c>
      <c r="BK20" s="10" t="str">
        <f t="shared" si="19"/>
        <v>n/a</v>
      </c>
      <c r="BL20" s="18">
        <f>IFERROR(AVERAGEIF('Pemetaan Variant'!$A$5:$A$32,$B20,'Pemetaan Variant'!$AF$5:$AF$32),"n/a")</f>
        <v>2800</v>
      </c>
      <c r="BM20" s="10">
        <f>IFERROR(IF(ISNUMBER(BL20),(BL20-AVERAGEIF('Pemetaan Variant'!$A$5:$A$32,$B20,'Pemetaan Variant'!$H$5:$H$32))/AVERAGEIF('Pemetaan Variant'!$A$5:$A$32,$B20,'Pemetaan Variant'!$H$5:$H$32)*100,"n/a"),"n/a")</f>
        <v>0</v>
      </c>
      <c r="BN20" s="10">
        <f t="shared" si="20"/>
        <v>0</v>
      </c>
      <c r="BO20" s="18">
        <f>IFERROR(AVERAGEIF('Pemetaan Variant'!$A$5:$A$32,$B20,'Pemetaan Variant'!$AG$5:$AG$32),"n/a")</f>
        <v>2800</v>
      </c>
      <c r="BP20" s="10">
        <f>IFERROR(IF(ISNUMBER(BO20),(BO20-AVERAGEIF('Pemetaan Variant'!$A$5:$A$32,$B20,'Pemetaan Variant'!$H$5:$H$32))/AVERAGEIF('Pemetaan Variant'!$A$5:$A$32,$B20,'Pemetaan Variant'!$H$5:$H$32)*100,"n/a"),"n/a")</f>
        <v>0</v>
      </c>
      <c r="BQ20" s="10">
        <f t="shared" si="21"/>
        <v>0</v>
      </c>
      <c r="BR20" s="18">
        <f>IFERROR(AVERAGEIF('Pemetaan Variant'!$A$5:$A$32,$B20,'Pemetaan Variant'!$AH$5:$AH$32),"n/a")</f>
        <v>2800</v>
      </c>
      <c r="BS20" s="10">
        <f>IFERROR(IF(ISNUMBER(BR20),(BR20-AVERAGEIF('Pemetaan Variant'!$A$5:$A$32,$B20,'Pemetaan Variant'!$H$5:$H$32))/AVERAGEIF('Pemetaan Variant'!$A$5:$A$32,$B20,'Pemetaan Variant'!$H$5:$H$32)*100,"n/a"),"n/a")</f>
        <v>0</v>
      </c>
      <c r="BT20" s="10">
        <f t="shared" si="22"/>
        <v>0</v>
      </c>
      <c r="BU20" s="18">
        <f>IFERROR(AVERAGEIF('Pemetaan Variant'!$A$5:$A$32,$B20,'Pemetaan Variant'!$AI$5:$AI$32),"n/a")</f>
        <v>2800</v>
      </c>
      <c r="BV20" s="10">
        <f>IFERROR(IF(ISNUMBER(BU20),(BU20-AVERAGEIF('Pemetaan Variant'!$A$5:$A$32,$B20,'Pemetaan Variant'!$H$5:$H$32))/AVERAGEIF('Pemetaan Variant'!$A$5:$A$32,$B20,'Pemetaan Variant'!$H$5:$H$32)*100,"n/a"),"n/a")</f>
        <v>0</v>
      </c>
      <c r="BW20" s="10">
        <f t="shared" si="23"/>
        <v>0</v>
      </c>
      <c r="BX20" s="18">
        <f>IFERROR(AVERAGEIF('Pemetaan Variant'!$A$5:$A$32,$B20,'Pemetaan Variant'!$AJ$5:$AJ$32),"n/a")</f>
        <v>2800</v>
      </c>
      <c r="BY20" s="10">
        <f>IFERROR(IF(ISNUMBER(BX20),(BX20-AVERAGEIF('Pemetaan Variant'!$A$5:$A$32,$B20,'Pemetaan Variant'!$I$5:$I$32))/AVERAGEIF('Pemetaan Variant'!$A$5:$A$32,$B20,'Pemetaan Variant'!$I$5:$I$32)*100,"n/a"),"n/a")</f>
        <v>0</v>
      </c>
      <c r="BZ20" s="10">
        <f t="shared" si="24"/>
        <v>0</v>
      </c>
      <c r="CA20" s="18">
        <f>IFERROR(AVERAGEIF('Pemetaan Variant'!$A$5:$A$32,$B20,'Pemetaan Variant'!$AK$5:$AK$32),"n/a")</f>
        <v>2800</v>
      </c>
      <c r="CB20" s="10">
        <f>IFERROR(IF(ISNUMBER(CA20),(CA20-AVERAGEIF('Pemetaan Variant'!$A$5:$A$32,$B20,'Pemetaan Variant'!$I$5:$I$32))/AVERAGEIF('Pemetaan Variant'!$A$5:$A$32,$B20,'Pemetaan Variant'!$I$5:$I$32)*100,"n/a"),"n/a")</f>
        <v>0</v>
      </c>
      <c r="CC20" s="10">
        <f t="shared" si="25"/>
        <v>0</v>
      </c>
      <c r="CD20" s="18">
        <f>IFERROR(AVERAGEIF('Pemetaan Variant'!$A$5:$A$32,$B20,'Pemetaan Variant'!$AL$5:$AL$32),"n/a")</f>
        <v>2800</v>
      </c>
      <c r="CE20" s="10">
        <f>IFERROR(IF(ISNUMBER(CD20),(CD20-AVERAGEIF('Pemetaan Variant'!$A$5:$A$32,$B20,'Pemetaan Variant'!$I$5:$I$32))/AVERAGEIF('Pemetaan Variant'!$A$5:$A$32,$B20,'Pemetaan Variant'!$I$5:$I$32)*100,"n/a"),"n/a")</f>
        <v>0</v>
      </c>
      <c r="CF20" s="10">
        <f t="shared" si="26"/>
        <v>0</v>
      </c>
      <c r="CG20" s="18">
        <f>IFERROR(AVERAGEIF('Pemetaan Variant'!$A$5:$A$32,$B20,'Pemetaan Variant'!$AM$5:$AM$32),"n/a")</f>
        <v>2800</v>
      </c>
      <c r="CH20" s="10">
        <f>IFERROR(IF(ISNUMBER(CG20),(CG20-AVERAGEIF('Pemetaan Variant'!$A$5:$A$32,$B20,'Pemetaan Variant'!$I$5:$I$32))/AVERAGEIF('Pemetaan Variant'!$A$5:$A$32,$B20,'Pemetaan Variant'!$I$5:$I$32)*100,"n/a"),"n/a")</f>
        <v>0</v>
      </c>
      <c r="CI20" s="10">
        <f t="shared" si="27"/>
        <v>0</v>
      </c>
      <c r="CJ20" s="18">
        <f>IFERROR(AVERAGEIF('Pemetaan Variant'!$A$5:$A$32,$B20,'Pemetaan Variant'!$AN$5:$AN$32),"n/a")</f>
        <v>2800</v>
      </c>
      <c r="CK20" s="10">
        <f>IFERROR(IF(ISNUMBER(CJ20),(CJ20-AVERAGEIF('Pemetaan Variant'!$A$5:$A$32,$B20,'Pemetaan Variant'!$I$5:$I$32))/AVERAGEIF('Pemetaan Variant'!$A$5:$A$32,$B20,'Pemetaan Variant'!$I$5:$I$32)*100,"n/a"),"n/a")</f>
        <v>0</v>
      </c>
      <c r="CL20" s="10">
        <f t="shared" si="28"/>
        <v>0</v>
      </c>
      <c r="CM20" s="18">
        <f>IFERROR(AVERAGEIF('Pemetaan Variant'!$A$5:$A$32,$B20,'Pemetaan Variant'!$AO$5:$AO$32),"n/a")</f>
        <v>2800</v>
      </c>
      <c r="CN20" s="10">
        <f>IFERROR(IF(ISNUMBER(CM20),(CM20-AVERAGEIF('Pemetaan Variant'!$A$5:$A$32,$B20,'Pemetaan Variant'!$J$5:$J$32))/AVERAGEIF('Pemetaan Variant'!$A$5:$A$32,$B20,'Pemetaan Variant'!$J$5:$J$32)*100,"n/a"),"n/a")</f>
        <v>0</v>
      </c>
      <c r="CO20" s="10">
        <f t="shared" si="29"/>
        <v>0</v>
      </c>
      <c r="CP20" s="18">
        <f>IFERROR(AVERAGEIF('Pemetaan Variant'!$A$5:$A$32,$B20,'Pemetaan Variant'!$AP$5:$AP$32),"n/a")</f>
        <v>2800</v>
      </c>
      <c r="CQ20" s="10">
        <f>IFERROR(IF(ISNUMBER(CP20),(CP20-AVERAGEIF('Pemetaan Variant'!$A$5:$A$32,$B20,'Pemetaan Variant'!$J$5:$J$32))/AVERAGEIF('Pemetaan Variant'!$A$5:$A$32,$B20,'Pemetaan Variant'!$J$5:$J$32)*100,"n/a"),"n/a")</f>
        <v>0</v>
      </c>
      <c r="CR20" s="10">
        <f t="shared" si="30"/>
        <v>0</v>
      </c>
      <c r="CS20" s="18">
        <f>IFERROR(AVERAGEIF('Pemetaan Variant'!$A$5:$A$32,$B20,'Pemetaan Variant'!$AQ$5:$AQ$32),"n/a")</f>
        <v>2800</v>
      </c>
      <c r="CT20" s="10">
        <f>IFERROR(IF(ISNUMBER(CS20),(CS20-AVERAGEIF('Pemetaan Variant'!$A$5:$A$32,$B20,'Pemetaan Variant'!$J$5:$J$32))/AVERAGEIF('Pemetaan Variant'!$A$5:$A$32,$B20,'Pemetaan Variant'!$J$5:$J$32)*100,"n/a"),"n/a")</f>
        <v>0</v>
      </c>
      <c r="CU20" s="10">
        <f t="shared" si="31"/>
        <v>0</v>
      </c>
      <c r="CV20" s="18">
        <f>IFERROR(AVERAGEIF('Pemetaan Variant'!$A$5:$A$32,$B20,'Pemetaan Variant'!$AR$5:$AR$32),"n/a")</f>
        <v>2800</v>
      </c>
      <c r="CW20" s="10">
        <f>IFERROR(IF(ISNUMBER(CV20),(CV20-AVERAGEIF('Pemetaan Variant'!$A$5:$A$32,$B20,'Pemetaan Variant'!$J$5:$J$32))/AVERAGEIF('Pemetaan Variant'!$A$5:$A$32,$B20,'Pemetaan Variant'!$J$5:$J$32)*100,"n/a"),"n/a")</f>
        <v>0</v>
      </c>
      <c r="CX20" s="10">
        <f t="shared" si="32"/>
        <v>0</v>
      </c>
      <c r="CY20" s="18">
        <f>IFERROR(AVERAGEIF('Pemetaan Variant'!$A$5:$A$32,$B20,'Pemetaan Variant'!$AS$5:$AS$32),"n/a")</f>
        <v>2800</v>
      </c>
      <c r="CZ20" s="10">
        <f>IFERROR(IF(ISNUMBER(CY20),(CY20-AVERAGEIF('Pemetaan Variant'!$A$5:$A$32,$B20,'Pemetaan Variant'!$J$5:$J$32))/AVERAGEIF('Pemetaan Variant'!$A$5:$A$32,$B20,'Pemetaan Variant'!$J$5:$J$32)*100,"n/a"),"n/a")</f>
        <v>0</v>
      </c>
      <c r="DA20" s="10">
        <f t="shared" si="33"/>
        <v>0</v>
      </c>
      <c r="DB20" s="18">
        <f>IFERROR(AVERAGEIF('Pemetaan Variant'!$A$5:$A$32,$B20,'Pemetaan Variant'!$AT$5:$AT$32),"n/a")</f>
        <v>2800</v>
      </c>
      <c r="DC20" s="10">
        <f>IFERROR(IF(ISNUMBER(DB20),(DB20-AVERAGEIF('Pemetaan Variant'!$A$5:$A$32,$B20,'Pemetaan Variant'!$K$5:$K$32))/AVERAGEIF('Pemetaan Variant'!$A$5:$A$32,$B20,'Pemetaan Variant'!$K$5:$K$32)*100,"n/a"),"n/a")</f>
        <v>0</v>
      </c>
      <c r="DD20" s="10">
        <f t="shared" si="34"/>
        <v>0</v>
      </c>
      <c r="DE20" s="18">
        <f>IFERROR(AVERAGEIF('Pemetaan Variant'!$A$5:$A$32,$B20,'Pemetaan Variant'!$AU$5:$AU$32),"n/a")</f>
        <v>2800</v>
      </c>
      <c r="DF20" s="10">
        <f>IFERROR(IF(ISNUMBER(DE20),(DE20-AVERAGEIF('Pemetaan Variant'!$A$5:$A$32,$B20,'Pemetaan Variant'!$K$5:$K$32))/AVERAGEIF('Pemetaan Variant'!$A$5:$A$32,$B20,'Pemetaan Variant'!$K$5:$K$32)*100,"n/a"),"n/a")</f>
        <v>0</v>
      </c>
      <c r="DG20" s="10">
        <f t="shared" si="35"/>
        <v>0</v>
      </c>
      <c r="DH20" s="18">
        <f>IFERROR(AVERAGEIF('Pemetaan Variant'!$A$5:$A$32,$B20,'Pemetaan Variant'!$AV$5:$AV$32),"n/a")</f>
        <v>2800</v>
      </c>
      <c r="DI20" s="10">
        <f>IFERROR(IF(ISNUMBER(DH20),(DH20-AVERAGEIF('Pemetaan Variant'!$A$5:$A$32,$B20,'Pemetaan Variant'!$K$5:$K$32))/AVERAGEIF('Pemetaan Variant'!$A$5:$A$32,$B20,'Pemetaan Variant'!$K$5:$K$32)*100,"n/a"),"n/a")</f>
        <v>0</v>
      </c>
      <c r="DJ20" s="10">
        <f t="shared" si="36"/>
        <v>0</v>
      </c>
      <c r="DK20" s="18">
        <f>IFERROR(AVERAGEIF('Pemetaan Variant'!$A$5:$A$32,$B20,'Pemetaan Variant'!$AW$5:$AW$32),"n/a")</f>
        <v>2800</v>
      </c>
      <c r="DL20" s="10">
        <f>IFERROR(IF(ISNUMBER(DK20),(DK20-AVERAGEIF('Pemetaan Variant'!$A$5:$A$32,$B20,'Pemetaan Variant'!$K$5:$K$32))/AVERAGEIF('Pemetaan Variant'!$A$5:$A$32,$B20,'Pemetaan Variant'!$K$5:$K$32)*100,"n/a"),"n/a")</f>
        <v>0</v>
      </c>
      <c r="DM20" s="10">
        <f t="shared" si="37"/>
        <v>0</v>
      </c>
      <c r="DN20" s="19">
        <f>IFERROR(AVERAGEIF('Pemetaan Variant'!$A$5:$A$32,$B20,'Pemetaan Variant'!$AZ$5:$AZ$32),"n/a")</f>
        <v>2800</v>
      </c>
      <c r="DO20" s="14">
        <f>IFERROR(IF(ISNUMBER(DN20),(DN20-AVERAGEIF('Pemetaan Variant'!$A$5:$A$32,$B20,'Pemetaan Variant'!$AY$5:$AY$32))/AVERAGEIF('Pemetaan Variant'!$A$5:$A$32,$B20,'Pemetaan Variant'!$AY$5:$AY$32)*100,"n/a"),"n/a")</f>
        <v>0</v>
      </c>
      <c r="DP20" s="14">
        <f t="shared" si="38"/>
        <v>0</v>
      </c>
      <c r="DQ20" s="19" t="str">
        <f>IFERROR(AVERAGEIF('Pemetaan Variant'!$A$5:$A$32,$B20,'Pemetaan Variant'!$BA$5:$BA$32),"n/a")</f>
        <v>n/a</v>
      </c>
      <c r="DR20" s="14" t="str">
        <f>IFERROR(IF(ISNUMBER(DQ20),(DQ20-AVERAGEIF('Pemetaan Variant'!$A$5:$A$32,$B20,'Pemetaan Variant'!$AY$5:$AY$32))/AVERAGEIF('Pemetaan Variant'!$A$5:$A$32,$B20,'Pemetaan Variant'!$AY$5:$AY$32)*100,"n/a"),"n/a")</f>
        <v>n/a</v>
      </c>
      <c r="DS20" s="14" t="str">
        <f t="shared" si="39"/>
        <v>n/a</v>
      </c>
      <c r="DT20" s="19" t="str">
        <f>IFERROR(AVERAGEIF('Pemetaan Variant'!$A$5:$A$32,$B20,'Pemetaan Variant'!$BB$5:$BB$32),"n/a")</f>
        <v>n/a</v>
      </c>
      <c r="DU20" s="14" t="str">
        <f>IFERROR(IF(ISNUMBER(DT20),(DT20-AVERAGEIF('Pemetaan Variant'!$A$5:$A$32,$B20,'Pemetaan Variant'!$AY$5:$AY$32))/AVERAGEIF('Pemetaan Variant'!$A$5:$A$32,$B20,'Pemetaan Variant'!$AY$5:$AY$32)*100,"n/a"),"n/a")</f>
        <v>n/a</v>
      </c>
      <c r="DV20" s="14" t="str">
        <f t="shared" si="40"/>
        <v>n/a</v>
      </c>
      <c r="DW20" s="19" t="str">
        <f>IFERROR(AVERAGEIF('Pemetaan Variant'!$A$5:$A$32,$B20,'Pemetaan Variant'!$BC$5:$BC$32),"n/a")</f>
        <v>n/a</v>
      </c>
      <c r="DX20" s="14" t="str">
        <f>IFERROR(IF(ISNUMBER(DW20),(DW20-AVERAGEIF('Pemetaan Variant'!$A$5:$A$32,$B20,'Pemetaan Variant'!$AY$5:$AY$32))/AVERAGEIF('Pemetaan Variant'!$A$5:$A$32,$B20,'Pemetaan Variant'!$AY$5:$AY$32)*100,"n/a"),"n/a")</f>
        <v>n/a</v>
      </c>
      <c r="DY20" s="14" t="str">
        <f t="shared" si="41"/>
        <v>n/a</v>
      </c>
      <c r="DZ20" s="19" t="str">
        <f>IFERROR(AVERAGEIF('Pemetaan Variant'!$A$5:$A$32,$B20,'Pemetaan Variant'!$BD$5:$BD$32),"n/a")</f>
        <v>n/a</v>
      </c>
      <c r="EA20" s="14" t="str">
        <f>IFERROR(IF(ISNUMBER(DZ20),(DZ20-AVERAGEIF('Pemetaan Variant'!$A$5:$A$32,$B20,'Pemetaan Variant'!$AY$5:$AY$32))/AVERAGEIF('Pemetaan Variant'!$A$5:$A$32,$B20,'Pemetaan Variant'!$AY$5:$AY$32)*100,"n/a"),"n/a")</f>
        <v>n/a</v>
      </c>
      <c r="EB20" s="14" t="str">
        <f t="shared" si="42"/>
        <v>n/a</v>
      </c>
      <c r="ED20" s="14">
        <f>IFERROR(ABS(F20),0)</f>
        <v>0</v>
      </c>
      <c r="EE20" s="14">
        <f>IFERROR(ABS(I20),0)</f>
        <v>0</v>
      </c>
      <c r="EF20" s="14">
        <f>IFERROR(ABS(L20),0)</f>
        <v>0</v>
      </c>
      <c r="EG20" s="14">
        <f>IFERROR(ABS(O20),0)</f>
        <v>0</v>
      </c>
      <c r="EH20" s="14">
        <f>IFERROR(ABS(R20),0)</f>
        <v>0</v>
      </c>
      <c r="EI20" s="14">
        <f>IFERROR(ABS(U20),0)</f>
        <v>0</v>
      </c>
      <c r="EJ20" s="14">
        <f>IFERROR(ABS(X20),0)</f>
        <v>0</v>
      </c>
      <c r="EK20" s="14">
        <f>IFERROR(ABS(AA20),0)</f>
        <v>0</v>
      </c>
      <c r="EL20" s="14">
        <f>IFERROR(ABS(AD20),0)</f>
        <v>0</v>
      </c>
      <c r="EM20" s="14">
        <f>IFERROR(ABS(AG20),0)</f>
        <v>0</v>
      </c>
      <c r="EN20" s="14">
        <f>IFERROR(ABS(AJ20),0)</f>
        <v>0</v>
      </c>
      <c r="EO20" s="14">
        <f>IFERROR(ABS(AM20),0)</f>
        <v>0</v>
      </c>
      <c r="EP20" s="14">
        <f>IFERROR(ABS(AP20),0)</f>
        <v>0</v>
      </c>
      <c r="EQ20" s="14">
        <f>IFERROR(ABS(AS20),0)</f>
        <v>0</v>
      </c>
      <c r="ER20" s="14">
        <f>IFERROR(ABS(AV20),0)</f>
        <v>0</v>
      </c>
      <c r="ES20" s="14">
        <f>IFERROR(ABS(AY20),0)</f>
        <v>0</v>
      </c>
      <c r="ET20" s="14">
        <f>IFERROR(ABS(BB20),0)</f>
        <v>0</v>
      </c>
      <c r="EU20" s="14">
        <f>IFERROR(ABS(BE20),0)</f>
        <v>0</v>
      </c>
      <c r="EV20" s="14">
        <f>IFERROR(ABS(BH20),0)</f>
        <v>0</v>
      </c>
      <c r="EW20" s="14">
        <f>IFERROR(ABS(BK20),0)</f>
        <v>0</v>
      </c>
      <c r="EX20" s="14">
        <f>IFERROR(ABS(BN20),0)</f>
        <v>0</v>
      </c>
      <c r="EY20" s="14">
        <f>IFERROR(ABS(BQ20),0)</f>
        <v>0</v>
      </c>
      <c r="EZ20" s="14">
        <f>IFERROR(ABS(BT20),0)</f>
        <v>0</v>
      </c>
      <c r="FA20" s="14">
        <f>IFERROR(ABS(BW20),0)</f>
        <v>0</v>
      </c>
      <c r="FB20" s="14">
        <f>IFERROR(ABS(BZ20),0)</f>
        <v>0</v>
      </c>
      <c r="FC20" s="14">
        <f>IFERROR(ABS(CC20),0)</f>
        <v>0</v>
      </c>
      <c r="FD20" s="14">
        <f>IFERROR(ABS(CF20),0)</f>
        <v>0</v>
      </c>
      <c r="FE20" s="14">
        <f>IFERROR(ABS(CI20),0)</f>
        <v>0</v>
      </c>
      <c r="FF20" s="14">
        <f>IFERROR(ABS(CL20),0)</f>
        <v>0</v>
      </c>
      <c r="FG20" s="14">
        <f>IFERROR(ABS(CO20),0)</f>
        <v>0</v>
      </c>
      <c r="FH20" s="14">
        <f>IFERROR(ABS(CR20),0)</f>
        <v>0</v>
      </c>
      <c r="FI20" s="14">
        <f>IFERROR(ABS(CU20),0)</f>
        <v>0</v>
      </c>
      <c r="FJ20" s="14">
        <f>IFERROR(ABS(CX20),0)</f>
        <v>0</v>
      </c>
      <c r="FK20" s="14">
        <f>IFERROR(ABS(DA20),0)</f>
        <v>0</v>
      </c>
      <c r="FL20" s="14">
        <f>IFERROR(ABS(DD20),0)</f>
        <v>0</v>
      </c>
      <c r="FM20" s="14">
        <f>IFERROR(ABS(DG20),0)</f>
        <v>0</v>
      </c>
      <c r="FN20" s="14">
        <f>IFERROR(ABS(DJ20),0)</f>
        <v>0</v>
      </c>
      <c r="FO20" s="14">
        <f>IFERROR(ABS(DM20),0)</f>
        <v>0</v>
      </c>
      <c r="FP20" s="14">
        <f>IFERROR(ABS(#REF!),0)</f>
        <v>0</v>
      </c>
      <c r="FQ20" s="14">
        <f t="shared" si="43"/>
        <v>0</v>
      </c>
      <c r="FR20" s="14">
        <f t="shared" si="44"/>
        <v>0</v>
      </c>
      <c r="FS20" s="14">
        <f t="shared" si="45"/>
        <v>0</v>
      </c>
      <c r="FT20" s="14">
        <f t="shared" si="46"/>
        <v>0</v>
      </c>
      <c r="FU20" s="14">
        <f t="shared" si="47"/>
        <v>0</v>
      </c>
    </row>
    <row r="21" spans="1:177" ht="12.75" customHeight="1" x14ac:dyDescent="0.35">
      <c r="A21" s="8">
        <v>16</v>
      </c>
      <c r="B21" s="9" t="s">
        <v>202</v>
      </c>
      <c r="C21" s="10">
        <f>'P0Q0 Dasar 2022'!F20</f>
        <v>0.18461346650329299</v>
      </c>
      <c r="D21" s="18">
        <f>IFERROR(AVERAGEIF('Pemetaan Variant'!$A$5:$A$32,$B21,'Pemetaan Variant'!$L$5:$L$32),"n/a")</f>
        <v>10500</v>
      </c>
      <c r="E21" s="10">
        <f>IFERROR(IF(ISNUMBER(D21),(D21-AVERAGEIF('Pemetaan Variant'!$A$5:$A$32,$B21,'Pemetaan Variant'!$D$5:$D$32))/AVERAGEIF('Pemetaan Variant'!$A$5:$A$32,$B21,'Pemetaan Variant'!$D$5:$D$32)*100,"n/a"),"n/a")</f>
        <v>0</v>
      </c>
      <c r="F21" s="10">
        <f t="shared" si="0"/>
        <v>0</v>
      </c>
      <c r="G21" s="18">
        <f>IFERROR(AVERAGEIF('Pemetaan Variant'!$A$5:$A$32,$B21,'Pemetaan Variant'!$M$5:$M$32),"n/a")</f>
        <v>10500</v>
      </c>
      <c r="H21" s="10">
        <f>IFERROR(IF(ISNUMBER(G21),(G21-AVERAGEIF('Pemetaan Variant'!$A$5:$A$32,$B21,'Pemetaan Variant'!$D$5:$D$32))/AVERAGEIF('Pemetaan Variant'!$A$5:$A$32,$B21,'Pemetaan Variant'!$D$5:$D$32)*100,"n/a"),"n/a")</f>
        <v>0</v>
      </c>
      <c r="I21" s="10">
        <f t="shared" si="1"/>
        <v>0</v>
      </c>
      <c r="J21" s="18">
        <f>IFERROR(AVERAGEIF('Pemetaan Variant'!$A$5:$A$32,$B21,'Pemetaan Variant'!$N$5:$N$32),"n/a")</f>
        <v>10500</v>
      </c>
      <c r="K21" s="10">
        <f>IFERROR(IF(ISNUMBER(J21),(J21-AVERAGEIF('Pemetaan Variant'!$A$5:$A$32,$B21,'Pemetaan Variant'!$D$5:$D$32))/AVERAGEIF('Pemetaan Variant'!$A$5:$A$32,$B21,'Pemetaan Variant'!$D$5:$D$32)*100,"n/a"),"n/a")</f>
        <v>0</v>
      </c>
      <c r="L21" s="10">
        <f t="shared" si="2"/>
        <v>0</v>
      </c>
      <c r="M21" s="18">
        <f>IFERROR(AVERAGEIF('Pemetaan Variant'!$A$5:$A$32,$B21,'Pemetaan Variant'!$O$5:$O$32),"n/a")</f>
        <v>10500</v>
      </c>
      <c r="N21" s="10">
        <f>IFERROR(IF(ISNUMBER(M21),(M21-AVERAGEIF('Pemetaan Variant'!$A$5:$A$32,$B21,'Pemetaan Variant'!$D$5:$D$32))/AVERAGEIF('Pemetaan Variant'!$A$5:$A$32,$B21,'Pemetaan Variant'!$D$5:$D$32)*100,"n/a"),"n/a")</f>
        <v>0</v>
      </c>
      <c r="O21" s="10">
        <f t="shared" si="3"/>
        <v>0</v>
      </c>
      <c r="P21" s="18">
        <f>IFERROR(AVERAGEIF('Pemetaan Variant'!$A$5:$A$32,$B21,'Pemetaan Variant'!$P$5:$P$32),"n/a")</f>
        <v>10500</v>
      </c>
      <c r="Q21" s="10">
        <f>IFERROR(IF(ISNUMBER(P21),(P21-AVERAGEIF('Pemetaan Variant'!$A$5:$A$32,$B21,'Pemetaan Variant'!$D$5:$D$32))/AVERAGEIF('Pemetaan Variant'!$A$5:$A$32,$B21,'Pemetaan Variant'!$D$5:$D$32)*100,"n/a"),"n/a")</f>
        <v>0</v>
      </c>
      <c r="R21" s="10">
        <f t="shared" si="4"/>
        <v>0</v>
      </c>
      <c r="S21" s="18">
        <f>IFERROR(AVERAGEIF('Pemetaan Variant'!$A$5:$A$32,$B21,'Pemetaan Variant'!$Q$5:$Q$32),"n/a")</f>
        <v>10500</v>
      </c>
      <c r="T21" s="10">
        <f>IFERROR(IF(ISNUMBER(S21),(S21-AVERAGEIF('Pemetaan Variant'!$A$5:$A$32,$B21,'Pemetaan Variant'!$E$5:$E$32))/AVERAGEIF('Pemetaan Variant'!$A$5:$A$32,$B21,'Pemetaan Variant'!$E$5:$E$32)*100,"n/a"),"n/a")</f>
        <v>0</v>
      </c>
      <c r="U21" s="10">
        <f t="shared" si="5"/>
        <v>0</v>
      </c>
      <c r="V21" s="18">
        <f>IFERROR(AVERAGEIF('Pemetaan Variant'!$A$5:$A$32,$B21,'Pemetaan Variant'!$R$5:$R$32),"n/a")</f>
        <v>10500</v>
      </c>
      <c r="W21" s="10">
        <f>IFERROR(IF(ISNUMBER(V21),(V21-AVERAGEIF('Pemetaan Variant'!$A$5:$A$32,$B21,'Pemetaan Variant'!$E$5:$E$32))/AVERAGEIF('Pemetaan Variant'!$A$5:$A$32,$B21,'Pemetaan Variant'!$E$5:$E$32)*100,"n/a"),"n/a")</f>
        <v>0</v>
      </c>
      <c r="X21" s="10">
        <f t="shared" si="6"/>
        <v>0</v>
      </c>
      <c r="Y21" s="18">
        <f>IFERROR(AVERAGEIF('Pemetaan Variant'!$A$5:$A$32,$B21,'Pemetaan Variant'!$S$5:$S$32),"n/a")</f>
        <v>10500</v>
      </c>
      <c r="Z21" s="10">
        <f>IFERROR(IF(ISNUMBER(Y21),(Y21-AVERAGEIF('Pemetaan Variant'!$A$5:$A$32,$B21,'Pemetaan Variant'!$E$5:$E$32))/AVERAGEIF('Pemetaan Variant'!$A$5:$A$32,$B21,'Pemetaan Variant'!$E$5:$E$32)*100,"n/a"),"n/a")</f>
        <v>0</v>
      </c>
      <c r="AA21" s="10">
        <f t="shared" si="7"/>
        <v>0</v>
      </c>
      <c r="AB21" s="18">
        <f>IFERROR(AVERAGEIF('Pemetaan Variant'!$A$5:$A$32,$B21,'Pemetaan Variant'!$T$5:$T$32),"n/a")</f>
        <v>10500</v>
      </c>
      <c r="AC21" s="10">
        <f>IFERROR(IF(ISNUMBER(AB21),(AB21-AVERAGEIF('Pemetaan Variant'!$A$5:$A$32,$B21,'Pemetaan Variant'!$E$5:$E$32))/AVERAGEIF('Pemetaan Variant'!$A$5:$A$32,$B21,'Pemetaan Variant'!$E$5:$E$32)*100,"n/a"),"n/a")</f>
        <v>0</v>
      </c>
      <c r="AD21" s="10">
        <f t="shared" si="8"/>
        <v>0</v>
      </c>
      <c r="AE21" s="18">
        <f>IFERROR(AVERAGEIF('Pemetaan Variant'!$A$5:$A$32,$B21,'Pemetaan Variant'!$U$5:$U$32),"n/a")</f>
        <v>10500</v>
      </c>
      <c r="AF21" s="10">
        <f>IFERROR(IF(ISNUMBER(AE21),(AE21-AVERAGEIF('Pemetaan Variant'!$A$5:$A$32,$B21,'Pemetaan Variant'!$F$5:$F$32))/AVERAGEIF('Pemetaan Variant'!$A$5:$A$32,$B21,'Pemetaan Variant'!$F$5:$F$32)*100,"n/a"),"n/a")</f>
        <v>0</v>
      </c>
      <c r="AG21" s="10">
        <f t="shared" si="9"/>
        <v>0</v>
      </c>
      <c r="AH21" s="18">
        <f>IFERROR(AVERAGEIF('Pemetaan Variant'!$A$5:$A$32,$B21,'Pemetaan Variant'!$V$5:$V$32),"n/a")</f>
        <v>10500</v>
      </c>
      <c r="AI21" s="10">
        <f>IFERROR(IF(ISNUMBER(AH21),(AH21-AVERAGEIF('Pemetaan Variant'!$A$5:$A$32,$B21,'Pemetaan Variant'!$F$5:$F$32))/AVERAGEIF('Pemetaan Variant'!$A$5:$A$32,$B21,'Pemetaan Variant'!$F$5:$F$32)*100,"n/a"),"n/a")</f>
        <v>0</v>
      </c>
      <c r="AJ21" s="10">
        <f t="shared" si="10"/>
        <v>0</v>
      </c>
      <c r="AK21" s="18">
        <f>IFERROR(AVERAGEIF('Pemetaan Variant'!$A$5:$A$32,$B21,'Pemetaan Variant'!$W$5:$W$32),"n/a")</f>
        <v>10500</v>
      </c>
      <c r="AL21" s="10">
        <f>IFERROR(IF(ISNUMBER(AK21),(AK21-AVERAGEIF('Pemetaan Variant'!$A$5:$A$32,$B21,'Pemetaan Variant'!$F$5:$F$32))/AVERAGEIF('Pemetaan Variant'!$A$5:$A$32,$B21,'Pemetaan Variant'!$F$5:$F$32)*100,"n/a"),"n/a")</f>
        <v>0</v>
      </c>
      <c r="AM21" s="10">
        <f t="shared" si="11"/>
        <v>0</v>
      </c>
      <c r="AN21" s="18">
        <f>IFERROR(AVERAGEIF('Pemetaan Variant'!$A$5:$A$32,$B21,'Pemetaan Variant'!$X$5:$X$32),"n/a")</f>
        <v>10500</v>
      </c>
      <c r="AO21" s="10">
        <f>IFERROR(IF(ISNUMBER(AN21),(AN21-AVERAGEIF('Pemetaan Variant'!$A$5:$A$32,$B21,'Pemetaan Variant'!$F$5:$F$32))/AVERAGEIF('Pemetaan Variant'!$A$5:$A$32,$B21,'Pemetaan Variant'!$F$5:$F$32)*100,"n/a"),"n/a")</f>
        <v>0</v>
      </c>
      <c r="AP21" s="10">
        <f t="shared" si="12"/>
        <v>0</v>
      </c>
      <c r="AQ21" s="18">
        <f>IFERROR(AVERAGEIF('Pemetaan Variant'!$A$5:$A$32,$B21,'Pemetaan Variant'!$Y$5:$Y$32),"n/a")</f>
        <v>10500</v>
      </c>
      <c r="AR21" s="10">
        <f>IFERROR(IF(ISNUMBER(AQ21),(AQ21-AVERAGEIF('Pemetaan Variant'!$A$5:$A$32,$B21,'Pemetaan Variant'!$F$5:$F$32))/AVERAGEIF('Pemetaan Variant'!$A$5:$A$32,$B21,'Pemetaan Variant'!$F$5:$F$32)*100,"n/a"),"n/a")</f>
        <v>0</v>
      </c>
      <c r="AS21" s="10">
        <f t="shared" si="13"/>
        <v>0</v>
      </c>
      <c r="AT21" s="18">
        <f>IFERROR(AVERAGEIF('Pemetaan Variant'!$A$5:$A$32,$B21,'Pemetaan Variant'!$Z$5:$Z$32),"n/a")</f>
        <v>10500</v>
      </c>
      <c r="AU21" s="10">
        <f>IFERROR(IF(ISNUMBER(AT21),(AT21-AVERAGEIF('Pemetaan Variant'!$A$5:$A$32,$B21,'Pemetaan Variant'!$G$5:$G$32))/AVERAGEIF('Pemetaan Variant'!$A$5:$A$32,$B21,'Pemetaan Variant'!$G$5:$G$32)*100,"n/a"),"n/a")</f>
        <v>0</v>
      </c>
      <c r="AV21" s="10">
        <f t="shared" si="14"/>
        <v>0</v>
      </c>
      <c r="AW21" s="18">
        <f>IFERROR(AVERAGEIF('Pemetaan Variant'!$A$5:$A$32,$B21,'Pemetaan Variant'!$AA$5:$AA$32),"n/a")</f>
        <v>10500</v>
      </c>
      <c r="AX21" s="10">
        <f>IFERROR(IF(ISNUMBER(AW21),(AW21-AVERAGEIF('Pemetaan Variant'!$A$5:$A$32,$B21,'Pemetaan Variant'!$G$5:$G$32))/AVERAGEIF('Pemetaan Variant'!$A$5:$A$32,$B21,'Pemetaan Variant'!$G$5:$G$32)*100,"n/a"),"n/a")</f>
        <v>0</v>
      </c>
      <c r="AY21" s="10">
        <f t="shared" si="15"/>
        <v>0</v>
      </c>
      <c r="AZ21" s="18">
        <f>IFERROR(AVERAGEIF('Pemetaan Variant'!$A$5:$A$32,$B21,'Pemetaan Variant'!$AB$5:$AB$32),"n/a")</f>
        <v>10500</v>
      </c>
      <c r="BA21" s="10">
        <f>IFERROR(IF(ISNUMBER(AZ21),(AZ21-AVERAGEIF('Pemetaan Variant'!$A$5:$A$32,$B21,'Pemetaan Variant'!$G$5:$G$32))/AVERAGEIF('Pemetaan Variant'!$A$5:$A$32,$B21,'Pemetaan Variant'!$G$5:$G$32)*100,"n/a"),"n/a")</f>
        <v>0</v>
      </c>
      <c r="BB21" s="10">
        <f t="shared" si="16"/>
        <v>0</v>
      </c>
      <c r="BC21" s="18">
        <f>IFERROR(AVERAGEIF('Pemetaan Variant'!$A$5:$A$32,$B21,'Pemetaan Variant'!$AC$5:$AC$32),"n/a")</f>
        <v>10500</v>
      </c>
      <c r="BD21" s="10">
        <f>IFERROR(IF(ISNUMBER(BC21),(BC21-AVERAGEIF('Pemetaan Variant'!$A$5:$A$32,$B21,'Pemetaan Variant'!$G$5:$G$32))/AVERAGEIF('Pemetaan Variant'!$A$5:$A$32,$B21,'Pemetaan Variant'!$G$5:$G$32)*100,"n/a"),"n/a")</f>
        <v>0</v>
      </c>
      <c r="BE21" s="10">
        <f t="shared" si="17"/>
        <v>0</v>
      </c>
      <c r="BF21" s="18">
        <f>IFERROR(AVERAGEIF('Pemetaan Variant'!$A$5:$A$32,$B21,'Pemetaan Variant'!$AD$5:$AD$32),"n/a")</f>
        <v>10500</v>
      </c>
      <c r="BG21" s="10">
        <f>IFERROR(IF(ISNUMBER(BF21),(BF21-AVERAGEIF('Pemetaan Variant'!$A$5:$A$32,$B21,'Pemetaan Variant'!$G$5:$G$32))/AVERAGEIF('Pemetaan Variant'!$A$5:$A$32,$B21,'Pemetaan Variant'!$G$5:$G$32)*100,"n/a"),"n/a")</f>
        <v>0</v>
      </c>
      <c r="BH21" s="10">
        <f t="shared" si="18"/>
        <v>0</v>
      </c>
      <c r="BI21" s="18" t="str">
        <f>IFERROR(AVERAGEIF('Pemetaan Variant'!$A$5:$A$32,$B21,'Pemetaan Variant'!$AE$5:$AE$32),"n/a")</f>
        <v>n/a</v>
      </c>
      <c r="BJ21" s="10" t="str">
        <f>IFERROR(IF(ISNUMBER(BI21),(BI21-AVERAGEIF('Pemetaan Variant'!$A$5:$A$32,$B21,'Pemetaan Variant'!$H$5:$H$32))/AVERAGEIF('Pemetaan Variant'!$A$5:$A$32,$B21,'Pemetaan Variant'!$H$5:$H$32)*100,"n/a"),"n/a")</f>
        <v>n/a</v>
      </c>
      <c r="BK21" s="10" t="str">
        <f t="shared" si="19"/>
        <v>n/a</v>
      </c>
      <c r="BL21" s="18">
        <f>IFERROR(AVERAGEIF('Pemetaan Variant'!$A$5:$A$32,$B21,'Pemetaan Variant'!$AF$5:$AF$32),"n/a")</f>
        <v>10500</v>
      </c>
      <c r="BM21" s="10">
        <f>IFERROR(IF(ISNUMBER(BL21),(BL21-AVERAGEIF('Pemetaan Variant'!$A$5:$A$32,$B21,'Pemetaan Variant'!$H$5:$H$32))/AVERAGEIF('Pemetaan Variant'!$A$5:$A$32,$B21,'Pemetaan Variant'!$H$5:$H$32)*100,"n/a"),"n/a")</f>
        <v>0</v>
      </c>
      <c r="BN21" s="10">
        <f t="shared" si="20"/>
        <v>0</v>
      </c>
      <c r="BO21" s="18">
        <f>IFERROR(AVERAGEIF('Pemetaan Variant'!$A$5:$A$32,$B21,'Pemetaan Variant'!$AG$5:$AG$32),"n/a")</f>
        <v>10500</v>
      </c>
      <c r="BP21" s="10">
        <f>IFERROR(IF(ISNUMBER(BO21),(BO21-AVERAGEIF('Pemetaan Variant'!$A$5:$A$32,$B21,'Pemetaan Variant'!$H$5:$H$32))/AVERAGEIF('Pemetaan Variant'!$A$5:$A$32,$B21,'Pemetaan Variant'!$H$5:$H$32)*100,"n/a"),"n/a")</f>
        <v>0</v>
      </c>
      <c r="BQ21" s="10">
        <f t="shared" si="21"/>
        <v>0</v>
      </c>
      <c r="BR21" s="18">
        <f>IFERROR(AVERAGEIF('Pemetaan Variant'!$A$5:$A$32,$B21,'Pemetaan Variant'!$AH$5:$AH$32),"n/a")</f>
        <v>10500</v>
      </c>
      <c r="BS21" s="10">
        <f>IFERROR(IF(ISNUMBER(BR21),(BR21-AVERAGEIF('Pemetaan Variant'!$A$5:$A$32,$B21,'Pemetaan Variant'!$H$5:$H$32))/AVERAGEIF('Pemetaan Variant'!$A$5:$A$32,$B21,'Pemetaan Variant'!$H$5:$H$32)*100,"n/a"),"n/a")</f>
        <v>0</v>
      </c>
      <c r="BT21" s="10">
        <f t="shared" si="22"/>
        <v>0</v>
      </c>
      <c r="BU21" s="18">
        <f>IFERROR(AVERAGEIF('Pemetaan Variant'!$A$5:$A$32,$B21,'Pemetaan Variant'!$AI$5:$AI$32),"n/a")</f>
        <v>10500</v>
      </c>
      <c r="BV21" s="10">
        <f>IFERROR(IF(ISNUMBER(BU21),(BU21-AVERAGEIF('Pemetaan Variant'!$A$5:$A$32,$B21,'Pemetaan Variant'!$H$5:$H$32))/AVERAGEIF('Pemetaan Variant'!$A$5:$A$32,$B21,'Pemetaan Variant'!$H$5:$H$32)*100,"n/a"),"n/a")</f>
        <v>0</v>
      </c>
      <c r="BW21" s="10">
        <f t="shared" si="23"/>
        <v>0</v>
      </c>
      <c r="BX21" s="18">
        <f>IFERROR(AVERAGEIF('Pemetaan Variant'!$A$5:$A$32,$B21,'Pemetaan Variant'!$AJ$5:$AJ$32),"n/a")</f>
        <v>10500</v>
      </c>
      <c r="BY21" s="10">
        <f>IFERROR(IF(ISNUMBER(BX21),(BX21-AVERAGEIF('Pemetaan Variant'!$A$5:$A$32,$B21,'Pemetaan Variant'!$I$5:$I$32))/AVERAGEIF('Pemetaan Variant'!$A$5:$A$32,$B21,'Pemetaan Variant'!$I$5:$I$32)*100,"n/a"),"n/a")</f>
        <v>0</v>
      </c>
      <c r="BZ21" s="10">
        <f t="shared" si="24"/>
        <v>0</v>
      </c>
      <c r="CA21" s="18">
        <f>IFERROR(AVERAGEIF('Pemetaan Variant'!$A$5:$A$32,$B21,'Pemetaan Variant'!$AK$5:$AK$32),"n/a")</f>
        <v>10500</v>
      </c>
      <c r="CB21" s="10">
        <f>IFERROR(IF(ISNUMBER(CA21),(CA21-AVERAGEIF('Pemetaan Variant'!$A$5:$A$32,$B21,'Pemetaan Variant'!$I$5:$I$32))/AVERAGEIF('Pemetaan Variant'!$A$5:$A$32,$B21,'Pemetaan Variant'!$I$5:$I$32)*100,"n/a"),"n/a")</f>
        <v>0</v>
      </c>
      <c r="CC21" s="10">
        <f t="shared" si="25"/>
        <v>0</v>
      </c>
      <c r="CD21" s="18">
        <f>IFERROR(AVERAGEIF('Pemetaan Variant'!$A$5:$A$32,$B21,'Pemetaan Variant'!$AL$5:$AL$32),"n/a")</f>
        <v>10500</v>
      </c>
      <c r="CE21" s="10">
        <f>IFERROR(IF(ISNUMBER(CD21),(CD21-AVERAGEIF('Pemetaan Variant'!$A$5:$A$32,$B21,'Pemetaan Variant'!$I$5:$I$32))/AVERAGEIF('Pemetaan Variant'!$A$5:$A$32,$B21,'Pemetaan Variant'!$I$5:$I$32)*100,"n/a"),"n/a")</f>
        <v>0</v>
      </c>
      <c r="CF21" s="10">
        <f t="shared" si="26"/>
        <v>0</v>
      </c>
      <c r="CG21" s="18">
        <f>IFERROR(AVERAGEIF('Pemetaan Variant'!$A$5:$A$32,$B21,'Pemetaan Variant'!$AM$5:$AM$32),"n/a")</f>
        <v>10500</v>
      </c>
      <c r="CH21" s="10">
        <f>IFERROR(IF(ISNUMBER(CG21),(CG21-AVERAGEIF('Pemetaan Variant'!$A$5:$A$32,$B21,'Pemetaan Variant'!$I$5:$I$32))/AVERAGEIF('Pemetaan Variant'!$A$5:$A$32,$B21,'Pemetaan Variant'!$I$5:$I$32)*100,"n/a"),"n/a")</f>
        <v>0</v>
      </c>
      <c r="CI21" s="10">
        <f t="shared" si="27"/>
        <v>0</v>
      </c>
      <c r="CJ21" s="18">
        <f>IFERROR(AVERAGEIF('Pemetaan Variant'!$A$5:$A$32,$B21,'Pemetaan Variant'!$AN$5:$AN$32),"n/a")</f>
        <v>10500</v>
      </c>
      <c r="CK21" s="10">
        <f>IFERROR(IF(ISNUMBER(CJ21),(CJ21-AVERAGEIF('Pemetaan Variant'!$A$5:$A$32,$B21,'Pemetaan Variant'!$I$5:$I$32))/AVERAGEIF('Pemetaan Variant'!$A$5:$A$32,$B21,'Pemetaan Variant'!$I$5:$I$32)*100,"n/a"),"n/a")</f>
        <v>0</v>
      </c>
      <c r="CL21" s="10">
        <f t="shared" si="28"/>
        <v>0</v>
      </c>
      <c r="CM21" s="18">
        <f>IFERROR(AVERAGEIF('Pemetaan Variant'!$A$5:$A$32,$B21,'Pemetaan Variant'!$AO$5:$AO$32),"n/a")</f>
        <v>10500</v>
      </c>
      <c r="CN21" s="10">
        <f>IFERROR(IF(ISNUMBER(CM21),(CM21-AVERAGEIF('Pemetaan Variant'!$A$5:$A$32,$B21,'Pemetaan Variant'!$J$5:$J$32))/AVERAGEIF('Pemetaan Variant'!$A$5:$A$32,$B21,'Pemetaan Variant'!$J$5:$J$32)*100,"n/a"),"n/a")</f>
        <v>0</v>
      </c>
      <c r="CO21" s="10">
        <f t="shared" si="29"/>
        <v>0</v>
      </c>
      <c r="CP21" s="18">
        <f>IFERROR(AVERAGEIF('Pemetaan Variant'!$A$5:$A$32,$B21,'Pemetaan Variant'!$AP$5:$AP$32),"n/a")</f>
        <v>10500</v>
      </c>
      <c r="CQ21" s="10">
        <f>IFERROR(IF(ISNUMBER(CP21),(CP21-AVERAGEIF('Pemetaan Variant'!$A$5:$A$32,$B21,'Pemetaan Variant'!$J$5:$J$32))/AVERAGEIF('Pemetaan Variant'!$A$5:$A$32,$B21,'Pemetaan Variant'!$J$5:$J$32)*100,"n/a"),"n/a")</f>
        <v>0</v>
      </c>
      <c r="CR21" s="10">
        <f t="shared" si="30"/>
        <v>0</v>
      </c>
      <c r="CS21" s="18">
        <f>IFERROR(AVERAGEIF('Pemetaan Variant'!$A$5:$A$32,$B21,'Pemetaan Variant'!$AQ$5:$AQ$32),"n/a")</f>
        <v>10500</v>
      </c>
      <c r="CT21" s="10">
        <f>IFERROR(IF(ISNUMBER(CS21),(CS21-AVERAGEIF('Pemetaan Variant'!$A$5:$A$32,$B21,'Pemetaan Variant'!$J$5:$J$32))/AVERAGEIF('Pemetaan Variant'!$A$5:$A$32,$B21,'Pemetaan Variant'!$J$5:$J$32)*100,"n/a"),"n/a")</f>
        <v>0</v>
      </c>
      <c r="CU21" s="10">
        <f t="shared" si="31"/>
        <v>0</v>
      </c>
      <c r="CV21" s="18">
        <f>IFERROR(AVERAGEIF('Pemetaan Variant'!$A$5:$A$32,$B21,'Pemetaan Variant'!$AR$5:$AR$32),"n/a")</f>
        <v>10500</v>
      </c>
      <c r="CW21" s="10">
        <f>IFERROR(IF(ISNUMBER(CV21),(CV21-AVERAGEIF('Pemetaan Variant'!$A$5:$A$32,$B21,'Pemetaan Variant'!$J$5:$J$32))/AVERAGEIF('Pemetaan Variant'!$A$5:$A$32,$B21,'Pemetaan Variant'!$J$5:$J$32)*100,"n/a"),"n/a")</f>
        <v>0</v>
      </c>
      <c r="CX21" s="10">
        <f t="shared" si="32"/>
        <v>0</v>
      </c>
      <c r="CY21" s="18">
        <f>IFERROR(AVERAGEIF('Pemetaan Variant'!$A$5:$A$32,$B21,'Pemetaan Variant'!$AS$5:$AS$32),"n/a")</f>
        <v>10500</v>
      </c>
      <c r="CZ21" s="10">
        <f>IFERROR(IF(ISNUMBER(CY21),(CY21-AVERAGEIF('Pemetaan Variant'!$A$5:$A$32,$B21,'Pemetaan Variant'!$J$5:$J$32))/AVERAGEIF('Pemetaan Variant'!$A$5:$A$32,$B21,'Pemetaan Variant'!$J$5:$J$32)*100,"n/a"),"n/a")</f>
        <v>0</v>
      </c>
      <c r="DA21" s="10">
        <f t="shared" si="33"/>
        <v>0</v>
      </c>
      <c r="DB21" s="18">
        <f>IFERROR(AVERAGEIF('Pemetaan Variant'!$A$5:$A$32,$B21,'Pemetaan Variant'!$AT$5:$AT$32),"n/a")</f>
        <v>10500</v>
      </c>
      <c r="DC21" s="10">
        <f>IFERROR(IF(ISNUMBER(DB21),(DB21-AVERAGEIF('Pemetaan Variant'!$A$5:$A$32,$B21,'Pemetaan Variant'!$K$5:$K$32))/AVERAGEIF('Pemetaan Variant'!$A$5:$A$32,$B21,'Pemetaan Variant'!$K$5:$K$32)*100,"n/a"),"n/a")</f>
        <v>0</v>
      </c>
      <c r="DD21" s="10">
        <f t="shared" si="34"/>
        <v>0</v>
      </c>
      <c r="DE21" s="18">
        <f>IFERROR(AVERAGEIF('Pemetaan Variant'!$A$5:$A$32,$B21,'Pemetaan Variant'!$AU$5:$AU$32),"n/a")</f>
        <v>10500</v>
      </c>
      <c r="DF21" s="10">
        <f>IFERROR(IF(ISNUMBER(DE21),(DE21-AVERAGEIF('Pemetaan Variant'!$A$5:$A$32,$B21,'Pemetaan Variant'!$K$5:$K$32))/AVERAGEIF('Pemetaan Variant'!$A$5:$A$32,$B21,'Pemetaan Variant'!$K$5:$K$32)*100,"n/a"),"n/a")</f>
        <v>0</v>
      </c>
      <c r="DG21" s="10">
        <f t="shared" si="35"/>
        <v>0</v>
      </c>
      <c r="DH21" s="18">
        <f>IFERROR(AVERAGEIF('Pemetaan Variant'!$A$5:$A$32,$B21,'Pemetaan Variant'!$AV$5:$AV$32),"n/a")</f>
        <v>10500</v>
      </c>
      <c r="DI21" s="10">
        <f>IFERROR(IF(ISNUMBER(DH21),(DH21-AVERAGEIF('Pemetaan Variant'!$A$5:$A$32,$B21,'Pemetaan Variant'!$K$5:$K$32))/AVERAGEIF('Pemetaan Variant'!$A$5:$A$32,$B21,'Pemetaan Variant'!$K$5:$K$32)*100,"n/a"),"n/a")</f>
        <v>0</v>
      </c>
      <c r="DJ21" s="10">
        <f t="shared" si="36"/>
        <v>0</v>
      </c>
      <c r="DK21" s="18">
        <f>IFERROR(AVERAGEIF('Pemetaan Variant'!$A$5:$A$32,$B21,'Pemetaan Variant'!$AW$5:$AW$32),"n/a")</f>
        <v>10500</v>
      </c>
      <c r="DL21" s="10">
        <f>IFERROR(IF(ISNUMBER(DK21),(DK21-AVERAGEIF('Pemetaan Variant'!$A$5:$A$32,$B21,'Pemetaan Variant'!$K$5:$K$32))/AVERAGEIF('Pemetaan Variant'!$A$5:$A$32,$B21,'Pemetaan Variant'!$K$5:$K$32)*100,"n/a"),"n/a")</f>
        <v>0</v>
      </c>
      <c r="DM21" s="10">
        <f t="shared" si="37"/>
        <v>0</v>
      </c>
      <c r="DN21" s="19">
        <f>IFERROR(AVERAGEIF('Pemetaan Variant'!$A$5:$A$32,$B21,'Pemetaan Variant'!$AZ$5:$AZ$32),"n/a")</f>
        <v>10500</v>
      </c>
      <c r="DO21" s="14">
        <f>IFERROR(IF(ISNUMBER(DN21),(DN21-AVERAGEIF('Pemetaan Variant'!$A$5:$A$32,$B21,'Pemetaan Variant'!$AY$5:$AY$32))/AVERAGEIF('Pemetaan Variant'!$A$5:$A$32,$B21,'Pemetaan Variant'!$AY$5:$AY$32)*100,"n/a"),"n/a")</f>
        <v>0</v>
      </c>
      <c r="DP21" s="14">
        <f t="shared" si="38"/>
        <v>0</v>
      </c>
      <c r="DQ21" s="19" t="str">
        <f>IFERROR(AVERAGEIF('Pemetaan Variant'!$A$5:$A$32,$B21,'Pemetaan Variant'!$BA$5:$BA$32),"n/a")</f>
        <v>n/a</v>
      </c>
      <c r="DR21" s="14" t="str">
        <f>IFERROR(IF(ISNUMBER(DQ21),(DQ21-AVERAGEIF('Pemetaan Variant'!$A$5:$A$32,$B21,'Pemetaan Variant'!$AY$5:$AY$32))/AVERAGEIF('Pemetaan Variant'!$A$5:$A$32,$B21,'Pemetaan Variant'!$AY$5:$AY$32)*100,"n/a"),"n/a")</f>
        <v>n/a</v>
      </c>
      <c r="DS21" s="14" t="str">
        <f t="shared" si="39"/>
        <v>n/a</v>
      </c>
      <c r="DT21" s="19" t="str">
        <f>IFERROR(AVERAGEIF('Pemetaan Variant'!$A$5:$A$32,$B21,'Pemetaan Variant'!$BB$5:$BB$32),"n/a")</f>
        <v>n/a</v>
      </c>
      <c r="DU21" s="14" t="str">
        <f>IFERROR(IF(ISNUMBER(DT21),(DT21-AVERAGEIF('Pemetaan Variant'!$A$5:$A$32,$B21,'Pemetaan Variant'!$AY$5:$AY$32))/AVERAGEIF('Pemetaan Variant'!$A$5:$A$32,$B21,'Pemetaan Variant'!$AY$5:$AY$32)*100,"n/a"),"n/a")</f>
        <v>n/a</v>
      </c>
      <c r="DV21" s="14" t="str">
        <f t="shared" si="40"/>
        <v>n/a</v>
      </c>
      <c r="DW21" s="19" t="str">
        <f>IFERROR(AVERAGEIF('Pemetaan Variant'!$A$5:$A$32,$B21,'Pemetaan Variant'!$BC$5:$BC$32),"n/a")</f>
        <v>n/a</v>
      </c>
      <c r="DX21" s="14" t="str">
        <f>IFERROR(IF(ISNUMBER(DW21),(DW21-AVERAGEIF('Pemetaan Variant'!$A$5:$A$32,$B21,'Pemetaan Variant'!$AY$5:$AY$32))/AVERAGEIF('Pemetaan Variant'!$A$5:$A$32,$B21,'Pemetaan Variant'!$AY$5:$AY$32)*100,"n/a"),"n/a")</f>
        <v>n/a</v>
      </c>
      <c r="DY21" s="14" t="str">
        <f t="shared" si="41"/>
        <v>n/a</v>
      </c>
      <c r="DZ21" s="19" t="str">
        <f>IFERROR(AVERAGEIF('Pemetaan Variant'!$A$5:$A$32,$B21,'Pemetaan Variant'!$BD$5:$BD$32),"n/a")</f>
        <v>n/a</v>
      </c>
      <c r="EA21" s="14" t="str">
        <f>IFERROR(IF(ISNUMBER(DZ21),(DZ21-AVERAGEIF('Pemetaan Variant'!$A$5:$A$32,$B21,'Pemetaan Variant'!$AY$5:$AY$32))/AVERAGEIF('Pemetaan Variant'!$A$5:$A$32,$B21,'Pemetaan Variant'!$AY$5:$AY$32)*100,"n/a"),"n/a")</f>
        <v>n/a</v>
      </c>
      <c r="EB21" s="14" t="str">
        <f t="shared" si="42"/>
        <v>n/a</v>
      </c>
      <c r="ED21" s="14">
        <f>IFERROR(ABS(F21),0)</f>
        <v>0</v>
      </c>
      <c r="EE21" s="14">
        <f>IFERROR(ABS(I21),0)</f>
        <v>0</v>
      </c>
      <c r="EF21" s="14">
        <f>IFERROR(ABS(L21),0)</f>
        <v>0</v>
      </c>
      <c r="EG21" s="14">
        <f>IFERROR(ABS(O21),0)</f>
        <v>0</v>
      </c>
      <c r="EH21" s="14">
        <f>IFERROR(ABS(R21),0)</f>
        <v>0</v>
      </c>
      <c r="EI21" s="14">
        <f>IFERROR(ABS(U21),0)</f>
        <v>0</v>
      </c>
      <c r="EJ21" s="14">
        <f>IFERROR(ABS(X21),0)</f>
        <v>0</v>
      </c>
      <c r="EK21" s="14">
        <f>IFERROR(ABS(AA21),0)</f>
        <v>0</v>
      </c>
      <c r="EL21" s="14">
        <f>IFERROR(ABS(AD21),0)</f>
        <v>0</v>
      </c>
      <c r="EM21" s="14">
        <f>IFERROR(ABS(AG21),0)</f>
        <v>0</v>
      </c>
      <c r="EN21" s="14">
        <f>IFERROR(ABS(AJ21),0)</f>
        <v>0</v>
      </c>
      <c r="EO21" s="14">
        <f>IFERROR(ABS(AM21),0)</f>
        <v>0</v>
      </c>
      <c r="EP21" s="14">
        <f>IFERROR(ABS(AP21),0)</f>
        <v>0</v>
      </c>
      <c r="EQ21" s="14">
        <f>IFERROR(ABS(AS21),0)</f>
        <v>0</v>
      </c>
      <c r="ER21" s="14">
        <f>IFERROR(ABS(AV21),0)</f>
        <v>0</v>
      </c>
      <c r="ES21" s="14">
        <f>IFERROR(ABS(AY21),0)</f>
        <v>0</v>
      </c>
      <c r="ET21" s="14">
        <f>IFERROR(ABS(BB21),0)</f>
        <v>0</v>
      </c>
      <c r="EU21" s="14">
        <f>IFERROR(ABS(BE21),0)</f>
        <v>0</v>
      </c>
      <c r="EV21" s="14">
        <f>IFERROR(ABS(BH21),0)</f>
        <v>0</v>
      </c>
      <c r="EW21" s="14">
        <f>IFERROR(ABS(BK21),0)</f>
        <v>0</v>
      </c>
      <c r="EX21" s="14">
        <f>IFERROR(ABS(BN21),0)</f>
        <v>0</v>
      </c>
      <c r="EY21" s="14">
        <f>IFERROR(ABS(BQ21),0)</f>
        <v>0</v>
      </c>
      <c r="EZ21" s="14">
        <f>IFERROR(ABS(BT21),0)</f>
        <v>0</v>
      </c>
      <c r="FA21" s="14">
        <f>IFERROR(ABS(BW21),0)</f>
        <v>0</v>
      </c>
      <c r="FB21" s="14">
        <f>IFERROR(ABS(BZ21),0)</f>
        <v>0</v>
      </c>
      <c r="FC21" s="14">
        <f>IFERROR(ABS(CC21),0)</f>
        <v>0</v>
      </c>
      <c r="FD21" s="14">
        <f>IFERROR(ABS(CF21),0)</f>
        <v>0</v>
      </c>
      <c r="FE21" s="14">
        <f>IFERROR(ABS(CI21),0)</f>
        <v>0</v>
      </c>
      <c r="FF21" s="14">
        <f>IFERROR(ABS(CL21),0)</f>
        <v>0</v>
      </c>
      <c r="FG21" s="14">
        <f>IFERROR(ABS(CO21),0)</f>
        <v>0</v>
      </c>
      <c r="FH21" s="14">
        <f>IFERROR(ABS(CR21),0)</f>
        <v>0</v>
      </c>
      <c r="FI21" s="14">
        <f>IFERROR(ABS(CU21),0)</f>
        <v>0</v>
      </c>
      <c r="FJ21" s="14">
        <f>IFERROR(ABS(CX21),0)</f>
        <v>0</v>
      </c>
      <c r="FK21" s="14">
        <f>IFERROR(ABS(DA21),0)</f>
        <v>0</v>
      </c>
      <c r="FL21" s="14">
        <f>IFERROR(ABS(DD21),0)</f>
        <v>0</v>
      </c>
      <c r="FM21" s="14">
        <f>IFERROR(ABS(DG21),0)</f>
        <v>0</v>
      </c>
      <c r="FN21" s="14">
        <f>IFERROR(ABS(DJ21),0)</f>
        <v>0</v>
      </c>
      <c r="FO21" s="14">
        <f>IFERROR(ABS(DM21),0)</f>
        <v>0</v>
      </c>
      <c r="FP21" s="14">
        <f>IFERROR(ABS(#REF!),0)</f>
        <v>0</v>
      </c>
      <c r="FQ21" s="14">
        <f t="shared" si="43"/>
        <v>0</v>
      </c>
      <c r="FR21" s="14">
        <f t="shared" si="44"/>
        <v>0</v>
      </c>
      <c r="FS21" s="14">
        <f t="shared" si="45"/>
        <v>0</v>
      </c>
      <c r="FT21" s="14">
        <f t="shared" si="46"/>
        <v>0</v>
      </c>
      <c r="FU21" s="14">
        <f t="shared" si="47"/>
        <v>0</v>
      </c>
    </row>
    <row r="22" spans="1:177" ht="12.75" customHeight="1" x14ac:dyDescent="0.35">
      <c r="A22" s="8">
        <v>17</v>
      </c>
      <c r="B22" s="9" t="s">
        <v>203</v>
      </c>
      <c r="C22" s="10">
        <f>'P0Q0 Dasar 2022'!F21</f>
        <v>1.10208839376634E-2</v>
      </c>
      <c r="D22" s="18">
        <f>IFERROR(AVERAGEIF('Pemetaan Variant'!$A$5:$A$32,$B22,'Pemetaan Variant'!$L$5:$L$32),"n/a")</f>
        <v>25000</v>
      </c>
      <c r="E22" s="10">
        <f>IFERROR(IF(ISNUMBER(D22),(D22-AVERAGEIF('Pemetaan Variant'!$A$5:$A$32,$B22,'Pemetaan Variant'!$D$5:$D$32))/AVERAGEIF('Pemetaan Variant'!$A$5:$A$32,$B22,'Pemetaan Variant'!$D$5:$D$32)*100,"n/a"),"n/a")</f>
        <v>-1.3157894736842199</v>
      </c>
      <c r="F22" s="10">
        <f t="shared" si="0"/>
        <v>-1.4501163075873E-2</v>
      </c>
      <c r="G22" s="18">
        <f>IFERROR(AVERAGEIF('Pemetaan Variant'!$A$5:$A$32,$B22,'Pemetaan Variant'!$M$5:$M$32),"n/a")</f>
        <v>25000</v>
      </c>
      <c r="H22" s="10">
        <f>IFERROR(IF(ISNUMBER(G22),(G22-AVERAGEIF('Pemetaan Variant'!$A$5:$A$32,$B22,'Pemetaan Variant'!$D$5:$D$32))/AVERAGEIF('Pemetaan Variant'!$A$5:$A$32,$B22,'Pemetaan Variant'!$D$5:$D$32)*100,"n/a"),"n/a")</f>
        <v>-1.3157894736842199</v>
      </c>
      <c r="I22" s="10">
        <f t="shared" si="1"/>
        <v>-1.4501163075873E-2</v>
      </c>
      <c r="J22" s="18">
        <f>IFERROR(AVERAGEIF('Pemetaan Variant'!$A$5:$A$32,$B22,'Pemetaan Variant'!$N$5:$N$32),"n/a")</f>
        <v>24250</v>
      </c>
      <c r="K22" s="10">
        <f>IFERROR(IF(ISNUMBER(J22),(J22-AVERAGEIF('Pemetaan Variant'!$A$5:$A$32,$B22,'Pemetaan Variant'!$D$5:$D$32))/AVERAGEIF('Pemetaan Variant'!$A$5:$A$32,$B22,'Pemetaan Variant'!$D$5:$D$32)*100,"n/a"),"n/a")</f>
        <v>-4.276315789473693</v>
      </c>
      <c r="L22" s="10">
        <f t="shared" si="2"/>
        <v>-4.7128779996587003E-2</v>
      </c>
      <c r="M22" s="18">
        <f>IFERROR(AVERAGEIF('Pemetaan Variant'!$A$5:$A$32,$B22,'Pemetaan Variant'!$O$5:$O$32),"n/a")</f>
        <v>22000</v>
      </c>
      <c r="N22" s="10">
        <f>IFERROR(IF(ISNUMBER(M22),(M22-AVERAGEIF('Pemetaan Variant'!$A$5:$A$32,$B22,'Pemetaan Variant'!$D$5:$D$32))/AVERAGEIF('Pemetaan Variant'!$A$5:$A$32,$B22,'Pemetaan Variant'!$D$5:$D$32)*100,"n/a"),"n/a")</f>
        <v>-13.157894736842113</v>
      </c>
      <c r="O22" s="10">
        <f t="shared" si="3"/>
        <v>-0.14501163075872905</v>
      </c>
      <c r="P22" s="18">
        <f>IFERROR(AVERAGEIF('Pemetaan Variant'!$A$5:$A$32,$B22,'Pemetaan Variant'!$P$5:$P$32),"n/a")</f>
        <v>22000</v>
      </c>
      <c r="Q22" s="10">
        <f>IFERROR(IF(ISNUMBER(P22),(P22-AVERAGEIF('Pemetaan Variant'!$A$5:$A$32,$B22,'Pemetaan Variant'!$D$5:$D$32))/AVERAGEIF('Pemetaan Variant'!$A$5:$A$32,$B22,'Pemetaan Variant'!$D$5:$D$32)*100,"n/a"),"n/a")</f>
        <v>-13.157894736842113</v>
      </c>
      <c r="R22" s="10">
        <f t="shared" si="4"/>
        <v>-0.14501163075872905</v>
      </c>
      <c r="S22" s="18">
        <f>IFERROR(AVERAGEIF('Pemetaan Variant'!$A$5:$A$32,$B22,'Pemetaan Variant'!$Q$5:$Q$32),"n/a")</f>
        <v>22600</v>
      </c>
      <c r="T22" s="10">
        <f>IFERROR(IF(ISNUMBER(S22),(S22-AVERAGEIF('Pemetaan Variant'!$A$5:$A$32,$B22,'Pemetaan Variant'!$E$5:$E$32))/AVERAGEIF('Pemetaan Variant'!$A$5:$A$32,$B22,'Pemetaan Variant'!$E$5:$E$32)*100,"n/a"),"n/a")</f>
        <v>-3.2119914346895073</v>
      </c>
      <c r="U22" s="10">
        <f t="shared" si="5"/>
        <v>-3.5398984810482009E-2</v>
      </c>
      <c r="V22" s="18">
        <f>IFERROR(AVERAGEIF('Pemetaan Variant'!$A$5:$A$32,$B22,'Pemetaan Variant'!$R$5:$R$32),"n/a")</f>
        <v>22300</v>
      </c>
      <c r="W22" s="10">
        <f>IFERROR(IF(ISNUMBER(V22),(V22-AVERAGEIF('Pemetaan Variant'!$A$5:$A$32,$B22,'Pemetaan Variant'!$E$5:$E$32))/AVERAGEIF('Pemetaan Variant'!$A$5:$A$32,$B22,'Pemetaan Variant'!$E$5:$E$32)*100,"n/a"),"n/a")</f>
        <v>-4.4967880085653107</v>
      </c>
      <c r="X22" s="10">
        <f t="shared" si="6"/>
        <v>-4.955857873467482E-2</v>
      </c>
      <c r="Y22" s="18">
        <f>IFERROR(AVERAGEIF('Pemetaan Variant'!$A$5:$A$32,$B22,'Pemetaan Variant'!$S$5:$S$32),"n/a")</f>
        <v>24500</v>
      </c>
      <c r="Z22" s="10">
        <f>IFERROR(IF(ISNUMBER(Y22),(Y22-AVERAGEIF('Pemetaan Variant'!$A$5:$A$32,$B22,'Pemetaan Variant'!$E$5:$E$32))/AVERAGEIF('Pemetaan Variant'!$A$5:$A$32,$B22,'Pemetaan Variant'!$E$5:$E$32)*100,"n/a"),"n/a")</f>
        <v>4.925053533190578</v>
      </c>
      <c r="AA22" s="10">
        <f t="shared" si="7"/>
        <v>5.4278443376072419E-2</v>
      </c>
      <c r="AB22" s="18">
        <f>IFERROR(AVERAGEIF('Pemetaan Variant'!$A$5:$A$32,$B22,'Pemetaan Variant'!$T$5:$T$32),"n/a")</f>
        <v>25400</v>
      </c>
      <c r="AC22" s="10">
        <f>IFERROR(IF(ISNUMBER(AB22),(AB22-AVERAGEIF('Pemetaan Variant'!$A$5:$A$32,$B22,'Pemetaan Variant'!$E$5:$E$32))/AVERAGEIF('Pemetaan Variant'!$A$5:$A$32,$B22,'Pemetaan Variant'!$E$5:$E$32)*100,"n/a"),"n/a")</f>
        <v>8.7794432548179877</v>
      </c>
      <c r="AD22" s="10">
        <f t="shared" si="8"/>
        <v>9.6757225148650844E-2</v>
      </c>
      <c r="AE22" s="18">
        <f>IFERROR(AVERAGEIF('Pemetaan Variant'!$A$5:$A$32,$B22,'Pemetaan Variant'!$U$5:$U$32),"n/a")</f>
        <v>26200</v>
      </c>
      <c r="AF22" s="10">
        <f>IFERROR(IF(ISNUMBER(AE22),(AE22-AVERAGEIF('Pemetaan Variant'!$A$5:$A$32,$B22,'Pemetaan Variant'!$F$5:$F$32))/AVERAGEIF('Pemetaan Variant'!$A$5:$A$32,$B22,'Pemetaan Variant'!$F$5:$F$32)*100,"n/a"),"n/a")</f>
        <v>10.964705882352948</v>
      </c>
      <c r="AG22" s="10">
        <f t="shared" si="9"/>
        <v>0.12084075094002701</v>
      </c>
      <c r="AH22" s="18">
        <f>IFERROR(AVERAGEIF('Pemetaan Variant'!$A$5:$A$32,$B22,'Pemetaan Variant'!$V$5:$V$32),"n/a")</f>
        <v>29800</v>
      </c>
      <c r="AI22" s="10">
        <f>IFERROR(IF(ISNUMBER(AH22),(AH22-AVERAGEIF('Pemetaan Variant'!$A$5:$A$32,$B22,'Pemetaan Variant'!$F$5:$F$32))/AVERAGEIF('Pemetaan Variant'!$A$5:$A$32,$B22,'Pemetaan Variant'!$F$5:$F$32)*100,"n/a"),"n/a")</f>
        <v>26.211764705882363</v>
      </c>
      <c r="AJ22" s="10">
        <f t="shared" si="10"/>
        <v>0.28887681662487136</v>
      </c>
      <c r="AK22" s="18">
        <f>IFERROR(AVERAGEIF('Pemetaan Variant'!$A$5:$A$32,$B22,'Pemetaan Variant'!$W$5:$W$32),"n/a")</f>
        <v>41100</v>
      </c>
      <c r="AL22" s="10">
        <f>IFERROR(IF(ISNUMBER(AK22),(AK22-AVERAGEIF('Pemetaan Variant'!$A$5:$A$32,$B22,'Pemetaan Variant'!$F$5:$F$32))/AVERAGEIF('Pemetaan Variant'!$A$5:$A$32,$B22,'Pemetaan Variant'!$F$5:$F$32)*100,"n/a"),"n/a")</f>
        <v>74.070588235294139</v>
      </c>
      <c r="AM22" s="10">
        <f t="shared" si="11"/>
        <v>0.81632335613563278</v>
      </c>
      <c r="AN22" s="18">
        <f>IFERROR(AVERAGEIF('Pemetaan Variant'!$A$5:$A$32,$B22,'Pemetaan Variant'!$X$5:$X$32),"n/a")</f>
        <v>32166.666666666668</v>
      </c>
      <c r="AO22" s="10">
        <f>IFERROR(IF(ISNUMBER(AN22),(AN22-AVERAGEIF('Pemetaan Variant'!$A$5:$A$32,$B22,'Pemetaan Variant'!$F$5:$F$32))/AVERAGEIF('Pemetaan Variant'!$A$5:$A$32,$B22,'Pemetaan Variant'!$F$5:$F$32)*100,"n/a"),"n/a")</f>
        <v>36.235294117647072</v>
      </c>
      <c r="AP22" s="10">
        <f t="shared" si="12"/>
        <v>0.39934497091768573</v>
      </c>
      <c r="AQ22" s="18">
        <f>IFERROR(AVERAGEIF('Pemetaan Variant'!$A$5:$A$32,$B22,'Pemetaan Variant'!$Y$5:$Y$32),"n/a")</f>
        <v>33750</v>
      </c>
      <c r="AR22" s="10">
        <f>IFERROR(IF(ISNUMBER(AQ22),(AQ22-AVERAGEIF('Pemetaan Variant'!$A$5:$A$32,$B22,'Pemetaan Variant'!$F$5:$F$32))/AVERAGEIF('Pemetaan Variant'!$A$5:$A$32,$B22,'Pemetaan Variant'!$F$5:$F$32)*100,"n/a"),"n/a")</f>
        <v>42.941176470588246</v>
      </c>
      <c r="AS22" s="10">
        <f t="shared" si="13"/>
        <v>0.47324972202907556</v>
      </c>
      <c r="AT22" s="18">
        <f>IFERROR(AVERAGEIF('Pemetaan Variant'!$A$5:$A$32,$B22,'Pemetaan Variant'!$Z$5:$Z$32),"n/a")</f>
        <v>30250</v>
      </c>
      <c r="AU22" s="10">
        <f>IFERROR(IF(ISNUMBER(AT22),(AT22-AVERAGEIF('Pemetaan Variant'!$A$5:$A$32,$B22,'Pemetaan Variant'!$G$5:$G$32))/AVERAGEIF('Pemetaan Variant'!$A$5:$A$32,$B22,'Pemetaan Variant'!$G$5:$G$32)*100,"n/a"),"n/a")</f>
        <v>-6.8514241724403391</v>
      </c>
      <c r="AV22" s="10">
        <f t="shared" si="14"/>
        <v>-7.5508750612166484E-2</v>
      </c>
      <c r="AW22" s="18">
        <f>IFERROR(AVERAGEIF('Pemetaan Variant'!$A$5:$A$32,$B22,'Pemetaan Variant'!$AA$5:$AA$32),"n/a")</f>
        <v>30800</v>
      </c>
      <c r="AX22" s="10">
        <f>IFERROR(IF(ISNUMBER(AW22),(AW22-AVERAGEIF('Pemetaan Variant'!$A$5:$A$32,$B22,'Pemetaan Variant'!$G$5:$G$32))/AVERAGEIF('Pemetaan Variant'!$A$5:$A$32,$B22,'Pemetaan Variant'!$G$5:$G$32)*100,"n/a"),"n/a")</f>
        <v>-5.1578137028483448</v>
      </c>
      <c r="AY22" s="10">
        <f t="shared" si="15"/>
        <v>-5.6843666191181509E-2</v>
      </c>
      <c r="AZ22" s="18">
        <f>IFERROR(AVERAGEIF('Pemetaan Variant'!$A$5:$A$32,$B22,'Pemetaan Variant'!$AB$5:$AB$32),"n/a")</f>
        <v>32600</v>
      </c>
      <c r="BA22" s="10">
        <f>IFERROR(IF(ISNUMBER(AZ22),(AZ22-AVERAGEIF('Pemetaan Variant'!$A$5:$A$32,$B22,'Pemetaan Variant'!$G$5:$G$32))/AVERAGEIF('Pemetaan Variant'!$A$5:$A$32,$B22,'Pemetaan Variant'!$G$5:$G$32)*100,"n/a"),"n/a")</f>
        <v>0.38491147036181678</v>
      </c>
      <c r="BB22" s="10">
        <f t="shared" si="16"/>
        <v>4.2420646411329482E-3</v>
      </c>
      <c r="BC22" s="18">
        <f>IFERROR(AVERAGEIF('Pemetaan Variant'!$A$5:$A$32,$B22,'Pemetaan Variant'!$AC$5:$AC$32),"n/a")</f>
        <v>35000</v>
      </c>
      <c r="BD22" s="10">
        <f>IFERROR(IF(ISNUMBER(BC22),(BC22-AVERAGEIF('Pemetaan Variant'!$A$5:$A$32,$B22,'Pemetaan Variant'!$G$5:$G$32))/AVERAGEIF('Pemetaan Variant'!$A$5:$A$32,$B22,'Pemetaan Variant'!$G$5:$G$32)*100,"n/a"),"n/a")</f>
        <v>7.7752117013086988</v>
      </c>
      <c r="BE22" s="10">
        <f t="shared" si="17"/>
        <v>8.5689705750885553E-2</v>
      </c>
      <c r="BF22" s="18">
        <f>IFERROR(AVERAGEIF('Pemetaan Variant'!$A$5:$A$32,$B22,'Pemetaan Variant'!$AD$5:$AD$32),"n/a")</f>
        <v>38000</v>
      </c>
      <c r="BG22" s="10">
        <f>IFERROR(IF(ISNUMBER(BF22),(BF22-AVERAGEIF('Pemetaan Variant'!$A$5:$A$32,$B22,'Pemetaan Variant'!$G$5:$G$32))/AVERAGEIF('Pemetaan Variant'!$A$5:$A$32,$B22,'Pemetaan Variant'!$G$5:$G$32)*100,"n/a"),"n/a")</f>
        <v>17.013086989992303</v>
      </c>
      <c r="BH22" s="10">
        <f t="shared" si="18"/>
        <v>0.18749925713807633</v>
      </c>
      <c r="BI22" s="18" t="str">
        <f>IFERROR(AVERAGEIF('Pemetaan Variant'!$A$5:$A$32,$B22,'Pemetaan Variant'!$AE$5:$AE$32),"n/a")</f>
        <v>n/a</v>
      </c>
      <c r="BJ22" s="10" t="str">
        <f>IFERROR(IF(ISNUMBER(BI22),(BI22-AVERAGEIF('Pemetaan Variant'!$A$5:$A$32,$B22,'Pemetaan Variant'!$H$5:$H$32))/AVERAGEIF('Pemetaan Variant'!$A$5:$A$32,$B22,'Pemetaan Variant'!$H$5:$H$32)*100,"n/a"),"n/a")</f>
        <v>n/a</v>
      </c>
      <c r="BK22" s="10" t="str">
        <f t="shared" si="19"/>
        <v>n/a</v>
      </c>
      <c r="BL22" s="18">
        <f>IFERROR(AVERAGEIF('Pemetaan Variant'!$A$5:$A$32,$B22,'Pemetaan Variant'!$AF$5:$AF$32),"n/a")</f>
        <v>37500</v>
      </c>
      <c r="BM22" s="10">
        <f>IFERROR(IF(ISNUMBER(BL22),(BL22-AVERAGEIF('Pemetaan Variant'!$A$5:$A$32,$B22,'Pemetaan Variant'!$H$5:$H$32))/AVERAGEIF('Pemetaan Variant'!$A$5:$A$32,$B22,'Pemetaan Variant'!$H$5:$H$32)*100,"n/a"),"n/a")</f>
        <v>11.781405251951721</v>
      </c>
      <c r="BN22" s="10">
        <f t="shared" si="20"/>
        <v>0.12984149990433796</v>
      </c>
      <c r="BO22" s="18">
        <f>IFERROR(AVERAGEIF('Pemetaan Variant'!$A$5:$A$32,$B22,'Pemetaan Variant'!$AG$5:$AG$32),"n/a")</f>
        <v>43666.666666666664</v>
      </c>
      <c r="BP22" s="10">
        <f>IFERROR(IF(ISNUMBER(BO22),(BO22-AVERAGEIF('Pemetaan Variant'!$A$5:$A$32,$B22,'Pemetaan Variant'!$H$5:$H$32))/AVERAGEIF('Pemetaan Variant'!$A$5:$A$32,$B22,'Pemetaan Variant'!$H$5:$H$32)*100,"n/a"),"n/a")</f>
        <v>30.16323633782822</v>
      </c>
      <c r="BQ22" s="10">
        <f t="shared" si="21"/>
        <v>0.33242552686351606</v>
      </c>
      <c r="BR22" s="18">
        <f>IFERROR(AVERAGEIF('Pemetaan Variant'!$A$5:$A$32,$B22,'Pemetaan Variant'!$AH$5:$AH$32),"n/a")</f>
        <v>44700</v>
      </c>
      <c r="BS22" s="10">
        <f>IFERROR(IF(ISNUMBER(BR22),(BR22-AVERAGEIF('Pemetaan Variant'!$A$5:$A$32,$B22,'Pemetaan Variant'!$H$5:$H$32))/AVERAGEIF('Pemetaan Variant'!$A$5:$A$32,$B22,'Pemetaan Variant'!$H$5:$H$32)*100,"n/a"),"n/a")</f>
        <v>33.243435060326448</v>
      </c>
      <c r="BT22" s="10">
        <f t="shared" si="22"/>
        <v>0.36637203948910807</v>
      </c>
      <c r="BU22" s="18">
        <f>IFERROR(AVERAGEIF('Pemetaan Variant'!$A$5:$A$32,$B22,'Pemetaan Variant'!$AI$5:$AI$32),"n/a")</f>
        <v>48333.333333333328</v>
      </c>
      <c r="BV22" s="10">
        <f>IFERROR(IF(ISNUMBER(BU22),(BU22-AVERAGEIF('Pemetaan Variant'!$A$5:$A$32,$B22,'Pemetaan Variant'!$H$5:$H$32))/AVERAGEIF('Pemetaan Variant'!$A$5:$A$32,$B22,'Pemetaan Variant'!$H$5:$H$32)*100,"n/a"),"n/a")</f>
        <v>44.073811213626648</v>
      </c>
      <c r="BW22" s="10">
        <f t="shared" si="23"/>
        <v>0.48573235807586701</v>
      </c>
      <c r="BX22" s="18">
        <f>IFERROR(AVERAGEIF('Pemetaan Variant'!$A$5:$A$32,$B22,'Pemetaan Variant'!$AJ$5:$AJ$32),"n/a")</f>
        <v>46000</v>
      </c>
      <c r="BY22" s="10">
        <f>IFERROR(IF(ISNUMBER(BX22),(BX22-AVERAGEIF('Pemetaan Variant'!$A$5:$A$32,$B22,'Pemetaan Variant'!$I$5:$I$32))/AVERAGEIF('Pemetaan Variant'!$A$5:$A$32,$B22,'Pemetaan Variant'!$I$5:$I$32)*100,"n/a"),"n/a")</f>
        <v>7.1324599708879184</v>
      </c>
      <c r="BZ22" s="10">
        <f t="shared" si="24"/>
        <v>7.8606013529185823E-2</v>
      </c>
      <c r="CA22" s="18">
        <f>IFERROR(AVERAGEIF('Pemetaan Variant'!$A$5:$A$32,$B22,'Pemetaan Variant'!$AK$5:$AK$32),"n/a")</f>
        <v>43500</v>
      </c>
      <c r="CB22" s="10">
        <f>IFERROR(IF(ISNUMBER(CA22),(CA22-AVERAGEIF('Pemetaan Variant'!$A$5:$A$32,$B22,'Pemetaan Variant'!$I$5:$I$32))/AVERAGEIF('Pemetaan Variant'!$A$5:$A$32,$B22,'Pemetaan Variant'!$I$5:$I$32)*100,"n/a"),"n/a")</f>
        <v>1.3100436681222707</v>
      </c>
      <c r="CC22" s="10">
        <f t="shared" si="25"/>
        <v>1.4437839219646375E-2</v>
      </c>
      <c r="CD22" s="18">
        <f>IFERROR(AVERAGEIF('Pemetaan Variant'!$A$5:$A$32,$B22,'Pemetaan Variant'!$AL$5:$AL$32),"n/a")</f>
        <v>32375</v>
      </c>
      <c r="CE22" s="10">
        <f>IFERROR(IF(ISNUMBER(CD22),(CD22-AVERAGEIF('Pemetaan Variant'!$A$5:$A$32,$B22,'Pemetaan Variant'!$I$5:$I$32))/AVERAGEIF('Pemetaan Variant'!$A$5:$A$32,$B22,'Pemetaan Variant'!$I$5:$I$32)*100,"n/a"),"n/a")</f>
        <v>-24.599708879184863</v>
      </c>
      <c r="CF22" s="10">
        <f t="shared" si="26"/>
        <v>-0.2711105364578042</v>
      </c>
      <c r="CG22" s="18">
        <f>IFERROR(AVERAGEIF('Pemetaan Variant'!$A$5:$A$32,$B22,'Pemetaan Variant'!$AM$5:$AM$32),"n/a")</f>
        <v>30000</v>
      </c>
      <c r="CH22" s="10">
        <f>IFERROR(IF(ISNUMBER(CG22),(CG22-AVERAGEIF('Pemetaan Variant'!$A$5:$A$32,$B22,'Pemetaan Variant'!$I$5:$I$32))/AVERAGEIF('Pemetaan Variant'!$A$5:$A$32,$B22,'Pemetaan Variant'!$I$5:$I$32)*100,"n/a"),"n/a")</f>
        <v>-30.131004366812224</v>
      </c>
      <c r="CI22" s="10">
        <f t="shared" si="27"/>
        <v>-0.33207030205186661</v>
      </c>
      <c r="CJ22" s="18">
        <f>IFERROR(AVERAGEIF('Pemetaan Variant'!$A$5:$A$32,$B22,'Pemetaan Variant'!$AN$5:$AN$32),"n/a")</f>
        <v>29500</v>
      </c>
      <c r="CK22" s="10">
        <f>IFERROR(IF(ISNUMBER(CJ22),(CJ22-AVERAGEIF('Pemetaan Variant'!$A$5:$A$32,$B22,'Pemetaan Variant'!$I$5:$I$32))/AVERAGEIF('Pemetaan Variant'!$A$5:$A$32,$B22,'Pemetaan Variant'!$I$5:$I$32)*100,"n/a"),"n/a")</f>
        <v>-31.295487627365361</v>
      </c>
      <c r="CL22" s="10">
        <f t="shared" si="28"/>
        <v>-0.34490393691377458</v>
      </c>
      <c r="CM22" s="18">
        <f>IFERROR(AVERAGEIF('Pemetaan Variant'!$A$5:$A$32,$B22,'Pemetaan Variant'!$AO$5:$AO$32),"n/a")</f>
        <v>29000</v>
      </c>
      <c r="CN22" s="10">
        <f>IFERROR(IF(ISNUMBER(CM22),(CM22-AVERAGEIF('Pemetaan Variant'!$A$5:$A$32,$B22,'Pemetaan Variant'!$J$5:$J$32))/AVERAGEIF('Pemetaan Variant'!$A$5:$A$32,$B22,'Pemetaan Variant'!$J$5:$J$32)*100,"n/a"),"n/a")</f>
        <v>-21.621621621621621</v>
      </c>
      <c r="CO22" s="10">
        <f t="shared" si="29"/>
        <v>-0.2382893824359654</v>
      </c>
      <c r="CP22" s="18">
        <f>IFERROR(AVERAGEIF('Pemetaan Variant'!$A$5:$A$32,$B22,'Pemetaan Variant'!$AP$5:$AP$32),"n/a")</f>
        <v>29000</v>
      </c>
      <c r="CQ22" s="10">
        <f>IFERROR(IF(ISNUMBER(CP22),(CP22-AVERAGEIF('Pemetaan Variant'!$A$5:$A$32,$B22,'Pemetaan Variant'!$J$5:$J$32))/AVERAGEIF('Pemetaan Variant'!$A$5:$A$32,$B22,'Pemetaan Variant'!$J$5:$J$32)*100,"n/a"),"n/a")</f>
        <v>-21.621621621621621</v>
      </c>
      <c r="CR22" s="10">
        <f t="shared" si="30"/>
        <v>-0.2382893824359654</v>
      </c>
      <c r="CS22" s="18">
        <f>IFERROR(AVERAGEIF('Pemetaan Variant'!$A$5:$A$32,$B22,'Pemetaan Variant'!$AQ$5:$AQ$32),"n/a")</f>
        <v>29000</v>
      </c>
      <c r="CT22" s="10">
        <f>IFERROR(IF(ISNUMBER(CS22),(CS22-AVERAGEIF('Pemetaan Variant'!$A$5:$A$32,$B22,'Pemetaan Variant'!$J$5:$J$32))/AVERAGEIF('Pemetaan Variant'!$A$5:$A$32,$B22,'Pemetaan Variant'!$J$5:$J$32)*100,"n/a"),"n/a")</f>
        <v>-21.621621621621621</v>
      </c>
      <c r="CU22" s="10">
        <f t="shared" si="31"/>
        <v>-0.2382893824359654</v>
      </c>
      <c r="CV22" s="18">
        <f>IFERROR(AVERAGEIF('Pemetaan Variant'!$A$5:$A$32,$B22,'Pemetaan Variant'!$AR$5:$AR$32),"n/a")</f>
        <v>29000</v>
      </c>
      <c r="CW22" s="10">
        <f>IFERROR(IF(ISNUMBER(CV22),(CV22-AVERAGEIF('Pemetaan Variant'!$A$5:$A$32,$B22,'Pemetaan Variant'!$J$5:$J$32))/AVERAGEIF('Pemetaan Variant'!$A$5:$A$32,$B22,'Pemetaan Variant'!$J$5:$J$32)*100,"n/a"),"n/a")</f>
        <v>-21.621621621621621</v>
      </c>
      <c r="CX22" s="10">
        <f t="shared" si="32"/>
        <v>-0.2382893824359654</v>
      </c>
      <c r="CY22" s="18">
        <f>IFERROR(AVERAGEIF('Pemetaan Variant'!$A$5:$A$32,$B22,'Pemetaan Variant'!$AS$5:$AS$32),"n/a")</f>
        <v>29000</v>
      </c>
      <c r="CZ22" s="10">
        <f>IFERROR(IF(ISNUMBER(CY22),(CY22-AVERAGEIF('Pemetaan Variant'!$A$5:$A$32,$B22,'Pemetaan Variant'!$J$5:$J$32))/AVERAGEIF('Pemetaan Variant'!$A$5:$A$32,$B22,'Pemetaan Variant'!$J$5:$J$32)*100,"n/a"),"n/a")</f>
        <v>-21.621621621621621</v>
      </c>
      <c r="DA22" s="10">
        <f t="shared" si="33"/>
        <v>-0.2382893824359654</v>
      </c>
      <c r="DB22" s="18">
        <f>IFERROR(AVERAGEIF('Pemetaan Variant'!$A$5:$A$32,$B22,'Pemetaan Variant'!$AT$5:$AT$32),"n/a")</f>
        <v>29000</v>
      </c>
      <c r="DC22" s="10">
        <f>IFERROR(IF(ISNUMBER(DB22),(DB22-AVERAGEIF('Pemetaan Variant'!$A$5:$A$32,$B22,'Pemetaan Variant'!$K$5:$K$32))/AVERAGEIF('Pemetaan Variant'!$A$5:$A$32,$B22,'Pemetaan Variant'!$K$5:$K$32)*100,"n/a"),"n/a")</f>
        <v>0</v>
      </c>
      <c r="DD22" s="10">
        <f t="shared" si="34"/>
        <v>0</v>
      </c>
      <c r="DE22" s="18">
        <f>IFERROR(AVERAGEIF('Pemetaan Variant'!$A$5:$A$32,$B22,'Pemetaan Variant'!$AU$5:$AU$32),"n/a")</f>
        <v>29000</v>
      </c>
      <c r="DF22" s="10">
        <f>IFERROR(IF(ISNUMBER(DE22),(DE22-AVERAGEIF('Pemetaan Variant'!$A$5:$A$32,$B22,'Pemetaan Variant'!$K$5:$K$32))/AVERAGEIF('Pemetaan Variant'!$A$5:$A$32,$B22,'Pemetaan Variant'!$K$5:$K$32)*100,"n/a"),"n/a")</f>
        <v>0</v>
      </c>
      <c r="DG22" s="10">
        <f t="shared" si="35"/>
        <v>0</v>
      </c>
      <c r="DH22" s="18">
        <f>IFERROR(AVERAGEIF('Pemetaan Variant'!$A$5:$A$32,$B22,'Pemetaan Variant'!$AV$5:$AV$32),"n/a")</f>
        <v>27500</v>
      </c>
      <c r="DI22" s="10">
        <f>IFERROR(IF(ISNUMBER(DH22),(DH22-AVERAGEIF('Pemetaan Variant'!$A$5:$A$32,$B22,'Pemetaan Variant'!$K$5:$K$32))/AVERAGEIF('Pemetaan Variant'!$A$5:$A$32,$B22,'Pemetaan Variant'!$K$5:$K$32)*100,"n/a"),"n/a")</f>
        <v>-5.1724137931034484</v>
      </c>
      <c r="DJ22" s="10">
        <f t="shared" si="36"/>
        <v>-5.7004572091362421E-2</v>
      </c>
      <c r="DK22" s="18">
        <f>IFERROR(AVERAGEIF('Pemetaan Variant'!$A$5:$A$32,$B22,'Pemetaan Variant'!$AW$5:$AW$32),"n/a")</f>
        <v>27000</v>
      </c>
      <c r="DL22" s="10">
        <f>IFERROR(IF(ISNUMBER(DK22),(DK22-AVERAGEIF('Pemetaan Variant'!$A$5:$A$32,$B22,'Pemetaan Variant'!$K$5:$K$32))/AVERAGEIF('Pemetaan Variant'!$A$5:$A$32,$B22,'Pemetaan Variant'!$K$5:$K$32)*100,"n/a"),"n/a")</f>
        <v>-6.8965517241379306</v>
      </c>
      <c r="DM22" s="10">
        <f t="shared" si="37"/>
        <v>-7.6006096121816552E-2</v>
      </c>
      <c r="DN22" s="19">
        <f>IFERROR(AVERAGEIF('Pemetaan Variant'!$A$5:$A$32,$B22,'Pemetaan Variant'!$AZ$5:$AZ$32),"n/a")</f>
        <v>27000</v>
      </c>
      <c r="DO22" s="14">
        <f>IFERROR(IF(ISNUMBER(DN22),(DN22-AVERAGEIF('Pemetaan Variant'!$A$5:$A$32,$B22,'Pemetaan Variant'!$AY$5:$AY$32))/AVERAGEIF('Pemetaan Variant'!$A$5:$A$32,$B22,'Pemetaan Variant'!$AY$5:$AY$32)*100,"n/a"),"n/a")</f>
        <v>-4.330708661417324</v>
      </c>
      <c r="DP22" s="14">
        <f t="shared" si="38"/>
        <v>-4.7728237525313952E-2</v>
      </c>
      <c r="DQ22" s="19" t="str">
        <f>IFERROR(AVERAGEIF('Pemetaan Variant'!$A$5:$A$32,$B22,'Pemetaan Variant'!$BA$5:$BA$32),"n/a")</f>
        <v>n/a</v>
      </c>
      <c r="DR22" s="14" t="str">
        <f>IFERROR(IF(ISNUMBER(DQ22),(DQ22-AVERAGEIF('Pemetaan Variant'!$A$5:$A$32,$B22,'Pemetaan Variant'!$AY$5:$AY$32))/AVERAGEIF('Pemetaan Variant'!$A$5:$A$32,$B22,'Pemetaan Variant'!$AY$5:$AY$32)*100,"n/a"),"n/a")</f>
        <v>n/a</v>
      </c>
      <c r="DS22" s="14" t="str">
        <f t="shared" si="39"/>
        <v>n/a</v>
      </c>
      <c r="DT22" s="19" t="str">
        <f>IFERROR(AVERAGEIF('Pemetaan Variant'!$A$5:$A$32,$B22,'Pemetaan Variant'!$BB$5:$BB$32),"n/a")</f>
        <v>n/a</v>
      </c>
      <c r="DU22" s="14" t="str">
        <f>IFERROR(IF(ISNUMBER(DT22),(DT22-AVERAGEIF('Pemetaan Variant'!$A$5:$A$32,$B22,'Pemetaan Variant'!$AY$5:$AY$32))/AVERAGEIF('Pemetaan Variant'!$A$5:$A$32,$B22,'Pemetaan Variant'!$AY$5:$AY$32)*100,"n/a"),"n/a")</f>
        <v>n/a</v>
      </c>
      <c r="DV22" s="14" t="str">
        <f t="shared" si="40"/>
        <v>n/a</v>
      </c>
      <c r="DW22" s="19" t="str">
        <f>IFERROR(AVERAGEIF('Pemetaan Variant'!$A$5:$A$32,$B22,'Pemetaan Variant'!$BC$5:$BC$32),"n/a")</f>
        <v>n/a</v>
      </c>
      <c r="DX22" s="14" t="str">
        <f>IFERROR(IF(ISNUMBER(DW22),(DW22-AVERAGEIF('Pemetaan Variant'!$A$5:$A$32,$B22,'Pemetaan Variant'!$AY$5:$AY$32))/AVERAGEIF('Pemetaan Variant'!$A$5:$A$32,$B22,'Pemetaan Variant'!$AY$5:$AY$32)*100,"n/a"),"n/a")</f>
        <v>n/a</v>
      </c>
      <c r="DY22" s="14" t="str">
        <f t="shared" si="41"/>
        <v>n/a</v>
      </c>
      <c r="DZ22" s="19" t="str">
        <f>IFERROR(AVERAGEIF('Pemetaan Variant'!$A$5:$A$32,$B22,'Pemetaan Variant'!$BD$5:$BD$32),"n/a")</f>
        <v>n/a</v>
      </c>
      <c r="EA22" s="14" t="str">
        <f>IFERROR(IF(ISNUMBER(DZ22),(DZ22-AVERAGEIF('Pemetaan Variant'!$A$5:$A$32,$B22,'Pemetaan Variant'!$AY$5:$AY$32))/AVERAGEIF('Pemetaan Variant'!$A$5:$A$32,$B22,'Pemetaan Variant'!$AY$5:$AY$32)*100,"n/a"),"n/a")</f>
        <v>n/a</v>
      </c>
      <c r="EB22" s="14" t="str">
        <f t="shared" si="42"/>
        <v>n/a</v>
      </c>
      <c r="ED22" s="14">
        <f>IFERROR(ABS(F22),0)</f>
        <v>1.4501163075873E-2</v>
      </c>
      <c r="EE22" s="14">
        <f>IFERROR(ABS(I22),0)</f>
        <v>1.4501163075873E-2</v>
      </c>
      <c r="EF22" s="14">
        <f>IFERROR(ABS(L22),0)</f>
        <v>4.7128779996587003E-2</v>
      </c>
      <c r="EG22" s="14">
        <f>IFERROR(ABS(O22),0)</f>
        <v>0.14501163075872905</v>
      </c>
      <c r="EH22" s="14">
        <f>IFERROR(ABS(R22),0)</f>
        <v>0.14501163075872905</v>
      </c>
      <c r="EI22" s="14">
        <f>IFERROR(ABS(U22),0)</f>
        <v>3.5398984810482009E-2</v>
      </c>
      <c r="EJ22" s="14">
        <f>IFERROR(ABS(X22),0)</f>
        <v>4.955857873467482E-2</v>
      </c>
      <c r="EK22" s="14">
        <f>IFERROR(ABS(AA22),0)</f>
        <v>5.4278443376072419E-2</v>
      </c>
      <c r="EL22" s="14">
        <f>IFERROR(ABS(AD22),0)</f>
        <v>9.6757225148650844E-2</v>
      </c>
      <c r="EM22" s="14">
        <f>IFERROR(ABS(AG22),0)</f>
        <v>0.12084075094002701</v>
      </c>
      <c r="EN22" s="14">
        <f>IFERROR(ABS(AJ22),0)</f>
        <v>0.28887681662487136</v>
      </c>
      <c r="EO22" s="14">
        <f>IFERROR(ABS(AM22),0)</f>
        <v>0.81632335613563278</v>
      </c>
      <c r="EP22" s="14">
        <f>IFERROR(ABS(AP22),0)</f>
        <v>0.39934497091768573</v>
      </c>
      <c r="EQ22" s="14">
        <f>IFERROR(ABS(AS22),0)</f>
        <v>0.47324972202907556</v>
      </c>
      <c r="ER22" s="14">
        <f>IFERROR(ABS(AV22),0)</f>
        <v>7.5508750612166484E-2</v>
      </c>
      <c r="ES22" s="14">
        <f>IFERROR(ABS(AY22),0)</f>
        <v>5.6843666191181509E-2</v>
      </c>
      <c r="ET22" s="14">
        <f>IFERROR(ABS(BB22),0)</f>
        <v>4.2420646411329482E-3</v>
      </c>
      <c r="EU22" s="14">
        <f>IFERROR(ABS(BE22),0)</f>
        <v>8.5689705750885553E-2</v>
      </c>
      <c r="EV22" s="14">
        <f>IFERROR(ABS(BH22),0)</f>
        <v>0.18749925713807633</v>
      </c>
      <c r="EW22" s="14">
        <f>IFERROR(ABS(BK22),0)</f>
        <v>0</v>
      </c>
      <c r="EX22" s="14">
        <f>IFERROR(ABS(BN22),0)</f>
        <v>0.12984149990433796</v>
      </c>
      <c r="EY22" s="14">
        <f>IFERROR(ABS(BQ22),0)</f>
        <v>0.33242552686351606</v>
      </c>
      <c r="EZ22" s="14">
        <f>IFERROR(ABS(BT22),0)</f>
        <v>0.36637203948910807</v>
      </c>
      <c r="FA22" s="14">
        <f>IFERROR(ABS(BW22),0)</f>
        <v>0.48573235807586701</v>
      </c>
      <c r="FB22" s="14">
        <f>IFERROR(ABS(BZ22),0)</f>
        <v>7.8606013529185823E-2</v>
      </c>
      <c r="FC22" s="14">
        <f>IFERROR(ABS(CC22),0)</f>
        <v>1.4437839219646375E-2</v>
      </c>
      <c r="FD22" s="14">
        <f>IFERROR(ABS(CF22),0)</f>
        <v>0.2711105364578042</v>
      </c>
      <c r="FE22" s="14">
        <f>IFERROR(ABS(CI22),0)</f>
        <v>0.33207030205186661</v>
      </c>
      <c r="FF22" s="14">
        <f>IFERROR(ABS(CL22),0)</f>
        <v>0.34490393691377458</v>
      </c>
      <c r="FG22" s="14">
        <f>IFERROR(ABS(CO22),0)</f>
        <v>0.2382893824359654</v>
      </c>
      <c r="FH22" s="14">
        <f>IFERROR(ABS(CR22),0)</f>
        <v>0.2382893824359654</v>
      </c>
      <c r="FI22" s="14">
        <f>IFERROR(ABS(CU22),0)</f>
        <v>0.2382893824359654</v>
      </c>
      <c r="FJ22" s="14">
        <f>IFERROR(ABS(CX22),0)</f>
        <v>0.2382893824359654</v>
      </c>
      <c r="FK22" s="14">
        <f>IFERROR(ABS(DA22),0)</f>
        <v>0.2382893824359654</v>
      </c>
      <c r="FL22" s="14">
        <f>IFERROR(ABS(DD22),0)</f>
        <v>0</v>
      </c>
      <c r="FM22" s="14">
        <f>IFERROR(ABS(DG22),0)</f>
        <v>0</v>
      </c>
      <c r="FN22" s="14">
        <f>IFERROR(ABS(DJ22),0)</f>
        <v>5.7004572091362421E-2</v>
      </c>
      <c r="FO22" s="14">
        <f>IFERROR(ABS(DM22),0)</f>
        <v>7.6006096121816552E-2</v>
      </c>
      <c r="FP22" s="14">
        <f>IFERROR(ABS(#REF!),0)</f>
        <v>0</v>
      </c>
      <c r="FQ22" s="14">
        <f t="shared" si="43"/>
        <v>4.7728237525313952E-2</v>
      </c>
      <c r="FR22" s="14">
        <f t="shared" si="44"/>
        <v>0</v>
      </c>
      <c r="FS22" s="14">
        <f t="shared" si="45"/>
        <v>0</v>
      </c>
      <c r="FT22" s="14">
        <f t="shared" si="46"/>
        <v>0</v>
      </c>
      <c r="FU22" s="14">
        <f t="shared" si="47"/>
        <v>0</v>
      </c>
    </row>
    <row r="23" spans="1:177" ht="12.75" customHeight="1" x14ac:dyDescent="0.35">
      <c r="A23" s="8">
        <v>18</v>
      </c>
      <c r="B23" s="9" t="s">
        <v>204</v>
      </c>
      <c r="C23" s="10">
        <f>'P0Q0 Dasar 2022'!F22</f>
        <v>5.98704213474298E-2</v>
      </c>
      <c r="D23" s="18">
        <f>IFERROR(AVERAGEIF('Pemetaan Variant'!$A$5:$A$32,$B23,'Pemetaan Variant'!$L$5:$L$32),"n/a")</f>
        <v>75000</v>
      </c>
      <c r="E23" s="10">
        <f>IFERROR(IF(ISNUMBER(D23),(D23-AVERAGEIF('Pemetaan Variant'!$A$5:$A$32,$B23,'Pemetaan Variant'!$D$5:$D$32))/AVERAGEIF('Pemetaan Variant'!$A$5:$A$32,$B23,'Pemetaan Variant'!$D$5:$D$32)*100,"n/a"),"n/a")</f>
        <v>0</v>
      </c>
      <c r="F23" s="10">
        <f t="shared" si="0"/>
        <v>0</v>
      </c>
      <c r="G23" s="18">
        <f>IFERROR(AVERAGEIF('Pemetaan Variant'!$A$5:$A$32,$B23,'Pemetaan Variant'!$M$5:$M$32),"n/a")</f>
        <v>75000</v>
      </c>
      <c r="H23" s="10">
        <f>IFERROR(IF(ISNUMBER(G23),(G23-AVERAGEIF('Pemetaan Variant'!$A$5:$A$32,$B23,'Pemetaan Variant'!$D$5:$D$32))/AVERAGEIF('Pemetaan Variant'!$A$5:$A$32,$B23,'Pemetaan Variant'!$D$5:$D$32)*100,"n/a"),"n/a")</f>
        <v>0</v>
      </c>
      <c r="I23" s="10">
        <f t="shared" si="1"/>
        <v>0</v>
      </c>
      <c r="J23" s="18">
        <f>IFERROR(AVERAGEIF('Pemetaan Variant'!$A$5:$A$32,$B23,'Pemetaan Variant'!$N$5:$N$32),"n/a")</f>
        <v>75000</v>
      </c>
      <c r="K23" s="10">
        <f>IFERROR(IF(ISNUMBER(J23),(J23-AVERAGEIF('Pemetaan Variant'!$A$5:$A$32,$B23,'Pemetaan Variant'!$D$5:$D$32))/AVERAGEIF('Pemetaan Variant'!$A$5:$A$32,$B23,'Pemetaan Variant'!$D$5:$D$32)*100,"n/a"),"n/a")</f>
        <v>0</v>
      </c>
      <c r="L23" s="10">
        <f t="shared" si="2"/>
        <v>0</v>
      </c>
      <c r="M23" s="18">
        <f>IFERROR(AVERAGEIF('Pemetaan Variant'!$A$5:$A$32,$B23,'Pemetaan Variant'!$O$5:$O$32),"n/a")</f>
        <v>75000</v>
      </c>
      <c r="N23" s="10">
        <f>IFERROR(IF(ISNUMBER(M23),(M23-AVERAGEIF('Pemetaan Variant'!$A$5:$A$32,$B23,'Pemetaan Variant'!$D$5:$D$32))/AVERAGEIF('Pemetaan Variant'!$A$5:$A$32,$B23,'Pemetaan Variant'!$D$5:$D$32)*100,"n/a"),"n/a")</f>
        <v>0</v>
      </c>
      <c r="O23" s="10">
        <f t="shared" si="3"/>
        <v>0</v>
      </c>
      <c r="P23" s="18">
        <f>IFERROR(AVERAGEIF('Pemetaan Variant'!$A$5:$A$32,$B23,'Pemetaan Variant'!$P$5:$P$32),"n/a")</f>
        <v>75000</v>
      </c>
      <c r="Q23" s="10">
        <f>IFERROR(IF(ISNUMBER(P23),(P23-AVERAGEIF('Pemetaan Variant'!$A$5:$A$32,$B23,'Pemetaan Variant'!$D$5:$D$32))/AVERAGEIF('Pemetaan Variant'!$A$5:$A$32,$B23,'Pemetaan Variant'!$D$5:$D$32)*100,"n/a"),"n/a")</f>
        <v>0</v>
      </c>
      <c r="R23" s="10">
        <f t="shared" si="4"/>
        <v>0</v>
      </c>
      <c r="S23" s="18">
        <f>IFERROR(AVERAGEIF('Pemetaan Variant'!$A$5:$A$32,$B23,'Pemetaan Variant'!$Q$5:$Q$32),"n/a")</f>
        <v>76666.666666666672</v>
      </c>
      <c r="T23" s="10">
        <f>IFERROR(IF(ISNUMBER(S23),(S23-AVERAGEIF('Pemetaan Variant'!$A$5:$A$32,$B23,'Pemetaan Variant'!$E$5:$E$32))/AVERAGEIF('Pemetaan Variant'!$A$5:$A$32,$B23,'Pemetaan Variant'!$E$5:$E$32)*100,"n/a"),"n/a")</f>
        <v>2.2222222222222285</v>
      </c>
      <c r="U23" s="10">
        <f t="shared" si="5"/>
        <v>0.1330453807720666</v>
      </c>
      <c r="V23" s="18">
        <f>IFERROR(AVERAGEIF('Pemetaan Variant'!$A$5:$A$32,$B23,'Pemetaan Variant'!$R$5:$R$32),"n/a")</f>
        <v>75000</v>
      </c>
      <c r="W23" s="10">
        <f>IFERROR(IF(ISNUMBER(V23),(V23-AVERAGEIF('Pemetaan Variant'!$A$5:$A$32,$B23,'Pemetaan Variant'!$E$5:$E$32))/AVERAGEIF('Pemetaan Variant'!$A$5:$A$32,$B23,'Pemetaan Variant'!$E$5:$E$32)*100,"n/a"),"n/a")</f>
        <v>0</v>
      </c>
      <c r="X23" s="10">
        <f t="shared" si="6"/>
        <v>0</v>
      </c>
      <c r="Y23" s="18">
        <f>IFERROR(AVERAGEIF('Pemetaan Variant'!$A$5:$A$32,$B23,'Pemetaan Variant'!$S$5:$S$32),"n/a")</f>
        <v>80555.555555555562</v>
      </c>
      <c r="Z23" s="10">
        <f>IFERROR(IF(ISNUMBER(Y23),(Y23-AVERAGEIF('Pemetaan Variant'!$A$5:$A$32,$B23,'Pemetaan Variant'!$E$5:$E$32))/AVERAGEIF('Pemetaan Variant'!$A$5:$A$32,$B23,'Pemetaan Variant'!$E$5:$E$32)*100,"n/a"),"n/a")</f>
        <v>7.4074074074074163</v>
      </c>
      <c r="AA23" s="10">
        <f t="shared" si="7"/>
        <v>0.4434846025735546</v>
      </c>
      <c r="AB23" s="18">
        <f>IFERROR(AVERAGEIF('Pemetaan Variant'!$A$5:$A$32,$B23,'Pemetaan Variant'!$T$5:$T$32),"n/a")</f>
        <v>80000</v>
      </c>
      <c r="AC23" s="10">
        <f>IFERROR(IF(ISNUMBER(AB23),(AB23-AVERAGEIF('Pemetaan Variant'!$A$5:$A$32,$B23,'Pemetaan Variant'!$E$5:$E$32))/AVERAGEIF('Pemetaan Variant'!$A$5:$A$32,$B23,'Pemetaan Variant'!$E$5:$E$32)*100,"n/a"),"n/a")</f>
        <v>6.666666666666667</v>
      </c>
      <c r="AD23" s="10">
        <f t="shared" si="8"/>
        <v>0.39913614231619871</v>
      </c>
      <c r="AE23" s="18">
        <f>IFERROR(AVERAGEIF('Pemetaan Variant'!$A$5:$A$32,$B23,'Pemetaan Variant'!$U$5:$U$32),"n/a")</f>
        <v>83333.333333333328</v>
      </c>
      <c r="AF23" s="10">
        <f>IFERROR(IF(ISNUMBER(AE23),(AE23-AVERAGEIF('Pemetaan Variant'!$A$5:$A$32,$B23,'Pemetaan Variant'!$F$5:$F$32))/AVERAGEIF('Pemetaan Variant'!$A$5:$A$32,$B23,'Pemetaan Variant'!$F$5:$F$32)*100,"n/a"),"n/a")</f>
        <v>7.1428571428571326</v>
      </c>
      <c r="AG23" s="10">
        <f t="shared" si="9"/>
        <v>0.42764586676735511</v>
      </c>
      <c r="AH23" s="18">
        <f>IFERROR(AVERAGEIF('Pemetaan Variant'!$A$5:$A$32,$B23,'Pemetaan Variant'!$V$5:$V$32),"n/a")</f>
        <v>84400</v>
      </c>
      <c r="AI23" s="10">
        <f>IFERROR(IF(ISNUMBER(AH23),(AH23-AVERAGEIF('Pemetaan Variant'!$A$5:$A$32,$B23,'Pemetaan Variant'!$F$5:$F$32))/AVERAGEIF('Pemetaan Variant'!$A$5:$A$32,$B23,'Pemetaan Variant'!$F$5:$F$32)*100,"n/a"),"n/a")</f>
        <v>8.5142857142857107</v>
      </c>
      <c r="AJ23" s="10">
        <f t="shared" si="10"/>
        <v>0.50975387318668774</v>
      </c>
      <c r="AK23" s="18">
        <f>IFERROR(AVERAGEIF('Pemetaan Variant'!$A$5:$A$32,$B23,'Pemetaan Variant'!$W$5:$W$32),"n/a")</f>
        <v>89000</v>
      </c>
      <c r="AL23" s="10">
        <f>IFERROR(IF(ISNUMBER(AK23),(AK23-AVERAGEIF('Pemetaan Variant'!$A$5:$A$32,$B23,'Pemetaan Variant'!$F$5:$F$32))/AVERAGEIF('Pemetaan Variant'!$A$5:$A$32,$B23,'Pemetaan Variant'!$F$5:$F$32)*100,"n/a"),"n/a")</f>
        <v>14.428571428571423</v>
      </c>
      <c r="AM23" s="10">
        <f t="shared" si="11"/>
        <v>0.86384465087005824</v>
      </c>
      <c r="AN23" s="18">
        <f>IFERROR(AVERAGEIF('Pemetaan Variant'!$A$5:$A$32,$B23,'Pemetaan Variant'!$X$5:$X$32),"n/a")</f>
        <v>88333.333333333328</v>
      </c>
      <c r="AO23" s="10">
        <f>IFERROR(IF(ISNUMBER(AN23),(AN23-AVERAGEIF('Pemetaan Variant'!$A$5:$A$32,$B23,'Pemetaan Variant'!$F$5:$F$32))/AVERAGEIF('Pemetaan Variant'!$A$5:$A$32,$B23,'Pemetaan Variant'!$F$5:$F$32)*100,"n/a"),"n/a")</f>
        <v>13.571428571428559</v>
      </c>
      <c r="AP23" s="10">
        <f t="shared" si="12"/>
        <v>0.81252714685797511</v>
      </c>
      <c r="AQ23" s="18">
        <f>IFERROR(AVERAGEIF('Pemetaan Variant'!$A$5:$A$32,$B23,'Pemetaan Variant'!$Y$5:$Y$32),"n/a")</f>
        <v>88333.333333333328</v>
      </c>
      <c r="AR23" s="10">
        <f>IFERROR(IF(ISNUMBER(AQ23),(AQ23-AVERAGEIF('Pemetaan Variant'!$A$5:$A$32,$B23,'Pemetaan Variant'!$F$5:$F$32))/AVERAGEIF('Pemetaan Variant'!$A$5:$A$32,$B23,'Pemetaan Variant'!$F$5:$F$32)*100,"n/a"),"n/a")</f>
        <v>13.571428571428559</v>
      </c>
      <c r="AS23" s="10">
        <f t="shared" si="13"/>
        <v>0.81252714685797511</v>
      </c>
      <c r="AT23" s="18">
        <f>IFERROR(AVERAGEIF('Pemetaan Variant'!$A$5:$A$32,$B23,'Pemetaan Variant'!$Z$5:$Z$32),"n/a")</f>
        <v>88000</v>
      </c>
      <c r="AU23" s="10">
        <f>IFERROR(IF(ISNUMBER(AT23),(AT23-AVERAGEIF('Pemetaan Variant'!$A$5:$A$32,$B23,'Pemetaan Variant'!$G$5:$G$32))/AVERAGEIF('Pemetaan Variant'!$A$5:$A$32,$B23,'Pemetaan Variant'!$G$5:$G$32)*100,"n/a"),"n/a")</f>
        <v>2.0092735703245692</v>
      </c>
      <c r="AV23" s="10">
        <f t="shared" si="14"/>
        <v>0.12029605525758658</v>
      </c>
      <c r="AW23" s="18">
        <f>IFERROR(AVERAGEIF('Pemetaan Variant'!$A$5:$A$32,$B23,'Pemetaan Variant'!$AA$5:$AA$32),"n/a")</f>
        <v>88000</v>
      </c>
      <c r="AX23" s="10">
        <f>IFERROR(IF(ISNUMBER(AW23),(AW23-AVERAGEIF('Pemetaan Variant'!$A$5:$A$32,$B23,'Pemetaan Variant'!$G$5:$G$32))/AVERAGEIF('Pemetaan Variant'!$A$5:$A$32,$B23,'Pemetaan Variant'!$G$5:$G$32)*100,"n/a"),"n/a")</f>
        <v>2.0092735703245692</v>
      </c>
      <c r="AY23" s="10">
        <f t="shared" si="15"/>
        <v>0.12029605525758658</v>
      </c>
      <c r="AZ23" s="18">
        <f>IFERROR(AVERAGEIF('Pemetaan Variant'!$A$5:$A$32,$B23,'Pemetaan Variant'!$AB$5:$AB$32),"n/a")</f>
        <v>88000</v>
      </c>
      <c r="BA23" s="10">
        <f>IFERROR(IF(ISNUMBER(AZ23),(AZ23-AVERAGEIF('Pemetaan Variant'!$A$5:$A$32,$B23,'Pemetaan Variant'!$G$5:$G$32))/AVERAGEIF('Pemetaan Variant'!$A$5:$A$32,$B23,'Pemetaan Variant'!$G$5:$G$32)*100,"n/a"),"n/a")</f>
        <v>2.0092735703245692</v>
      </c>
      <c r="BB23" s="10">
        <f t="shared" si="16"/>
        <v>0.12029605525758658</v>
      </c>
      <c r="BC23" s="18">
        <f>IFERROR(AVERAGEIF('Pemetaan Variant'!$A$5:$A$32,$B23,'Pemetaan Variant'!$AC$5:$AC$32),"n/a")</f>
        <v>88000</v>
      </c>
      <c r="BD23" s="10">
        <f>IFERROR(IF(ISNUMBER(BC23),(BC23-AVERAGEIF('Pemetaan Variant'!$A$5:$A$32,$B23,'Pemetaan Variant'!$G$5:$G$32))/AVERAGEIF('Pemetaan Variant'!$A$5:$A$32,$B23,'Pemetaan Variant'!$G$5:$G$32)*100,"n/a"),"n/a")</f>
        <v>2.0092735703245692</v>
      </c>
      <c r="BE23" s="10">
        <f t="shared" si="17"/>
        <v>0.12029605525758658</v>
      </c>
      <c r="BF23" s="18">
        <f>IFERROR(AVERAGEIF('Pemetaan Variant'!$A$5:$A$32,$B23,'Pemetaan Variant'!$AD$5:$AD$32),"n/a")</f>
        <v>88083.333333333328</v>
      </c>
      <c r="BG23" s="10">
        <f>IFERROR(IF(ISNUMBER(BF23),(BF23-AVERAGEIF('Pemetaan Variant'!$A$5:$A$32,$B23,'Pemetaan Variant'!$G$5:$G$32))/AVERAGEIF('Pemetaan Variant'!$A$5:$A$32,$B23,'Pemetaan Variant'!$G$5:$G$32)*100,"n/a"),"n/a")</f>
        <v>2.1058732612055526</v>
      </c>
      <c r="BH23" s="10">
        <f t="shared" si="18"/>
        <v>0.12607951945266252</v>
      </c>
      <c r="BI23" s="18" t="str">
        <f>IFERROR(AVERAGEIF('Pemetaan Variant'!$A$5:$A$32,$B23,'Pemetaan Variant'!$AE$5:$AE$32),"n/a")</f>
        <v>n/a</v>
      </c>
      <c r="BJ23" s="10" t="str">
        <f>IFERROR(IF(ISNUMBER(BI23),(BI23-AVERAGEIF('Pemetaan Variant'!$A$5:$A$32,$B23,'Pemetaan Variant'!$H$5:$H$32))/AVERAGEIF('Pemetaan Variant'!$A$5:$A$32,$B23,'Pemetaan Variant'!$H$5:$H$32)*100,"n/a"),"n/a")</f>
        <v>n/a</v>
      </c>
      <c r="BK23" s="10" t="str">
        <f t="shared" si="19"/>
        <v>n/a</v>
      </c>
      <c r="BL23" s="18">
        <f>IFERROR(AVERAGEIF('Pemetaan Variant'!$A$5:$A$32,$B23,'Pemetaan Variant'!$AF$5:$AF$32),"n/a")</f>
        <v>88333.333333333328</v>
      </c>
      <c r="BM23" s="10">
        <f>IFERROR(IF(ISNUMBER(BL23),(BL23-AVERAGEIF('Pemetaan Variant'!$A$5:$A$32,$B23,'Pemetaan Variant'!$H$5:$H$32))/AVERAGEIF('Pemetaan Variant'!$A$5:$A$32,$B23,'Pemetaan Variant'!$H$5:$H$32)*100,"n/a"),"n/a")</f>
        <v>0.3606853020739329</v>
      </c>
      <c r="BN23" s="10">
        <f t="shared" si="20"/>
        <v>2.1594381008991359E-2</v>
      </c>
      <c r="BO23" s="18">
        <f>IFERROR(AVERAGEIF('Pemetaan Variant'!$A$5:$A$32,$B23,'Pemetaan Variant'!$AG$5:$AG$32),"n/a")</f>
        <v>88333.333333333328</v>
      </c>
      <c r="BP23" s="10">
        <f>IFERROR(IF(ISNUMBER(BO23),(BO23-AVERAGEIF('Pemetaan Variant'!$A$5:$A$32,$B23,'Pemetaan Variant'!$H$5:$H$32))/AVERAGEIF('Pemetaan Variant'!$A$5:$A$32,$B23,'Pemetaan Variant'!$H$5:$H$32)*100,"n/a"),"n/a")</f>
        <v>0.3606853020739329</v>
      </c>
      <c r="BQ23" s="10">
        <f t="shared" si="21"/>
        <v>2.1594381008991359E-2</v>
      </c>
      <c r="BR23" s="18">
        <f>IFERROR(AVERAGEIF('Pemetaan Variant'!$A$5:$A$32,$B23,'Pemetaan Variant'!$AH$5:$AH$32),"n/a")</f>
        <v>88333.333333333328</v>
      </c>
      <c r="BS23" s="10">
        <f>IFERROR(IF(ISNUMBER(BR23),(BR23-AVERAGEIF('Pemetaan Variant'!$A$5:$A$32,$B23,'Pemetaan Variant'!$H$5:$H$32))/AVERAGEIF('Pemetaan Variant'!$A$5:$A$32,$B23,'Pemetaan Variant'!$H$5:$H$32)*100,"n/a"),"n/a")</f>
        <v>0.3606853020739329</v>
      </c>
      <c r="BT23" s="10">
        <f t="shared" si="22"/>
        <v>2.1594381008991359E-2</v>
      </c>
      <c r="BU23" s="18">
        <f>IFERROR(AVERAGEIF('Pemetaan Variant'!$A$5:$A$32,$B23,'Pemetaan Variant'!$AI$5:$AI$32),"n/a")</f>
        <v>88333.333333333328</v>
      </c>
      <c r="BV23" s="10">
        <f>IFERROR(IF(ISNUMBER(BU23),(BU23-AVERAGEIF('Pemetaan Variant'!$A$5:$A$32,$B23,'Pemetaan Variant'!$H$5:$H$32))/AVERAGEIF('Pemetaan Variant'!$A$5:$A$32,$B23,'Pemetaan Variant'!$H$5:$H$32)*100,"n/a"),"n/a")</f>
        <v>0.3606853020739329</v>
      </c>
      <c r="BW23" s="10">
        <f t="shared" si="23"/>
        <v>2.1594381008991359E-2</v>
      </c>
      <c r="BX23" s="18">
        <f>IFERROR(AVERAGEIF('Pemetaan Variant'!$A$5:$A$32,$B23,'Pemetaan Variant'!$AJ$5:$AJ$32),"n/a")</f>
        <v>88333.333333333328</v>
      </c>
      <c r="BY23" s="10">
        <f>IFERROR(IF(ISNUMBER(BX23),(BX23-AVERAGEIF('Pemetaan Variant'!$A$5:$A$32,$B23,'Pemetaan Variant'!$I$5:$I$32))/AVERAGEIF('Pemetaan Variant'!$A$5:$A$32,$B23,'Pemetaan Variant'!$I$5:$I$32)*100,"n/a"),"n/a")</f>
        <v>0</v>
      </c>
      <c r="BZ23" s="10">
        <f t="shared" si="24"/>
        <v>0</v>
      </c>
      <c r="CA23" s="18">
        <f>IFERROR(AVERAGEIF('Pemetaan Variant'!$A$5:$A$32,$B23,'Pemetaan Variant'!$AK$5:$AK$32),"n/a")</f>
        <v>88600</v>
      </c>
      <c r="CB23" s="10">
        <f>IFERROR(IF(ISNUMBER(CA23),(CA23-AVERAGEIF('Pemetaan Variant'!$A$5:$A$32,$B23,'Pemetaan Variant'!$I$5:$I$32))/AVERAGEIF('Pemetaan Variant'!$A$5:$A$32,$B23,'Pemetaan Variant'!$I$5:$I$32)*100,"n/a"),"n/a")</f>
        <v>0.30188679245283567</v>
      </c>
      <c r="CC23" s="10">
        <f t="shared" si="25"/>
        <v>1.8074089463375364E-2</v>
      </c>
      <c r="CD23" s="18">
        <f>IFERROR(AVERAGEIF('Pemetaan Variant'!$A$5:$A$32,$B23,'Pemetaan Variant'!$AL$5:$AL$32),"n/a")</f>
        <v>89333.333333333328</v>
      </c>
      <c r="CE23" s="10">
        <f>IFERROR(IF(ISNUMBER(CD23),(CD23-AVERAGEIF('Pemetaan Variant'!$A$5:$A$32,$B23,'Pemetaan Variant'!$I$5:$I$32))/AVERAGEIF('Pemetaan Variant'!$A$5:$A$32,$B23,'Pemetaan Variant'!$I$5:$I$32)*100,"n/a"),"n/a")</f>
        <v>1.1320754716981134</v>
      </c>
      <c r="CF23" s="10">
        <f t="shared" si="26"/>
        <v>6.7777835487656396E-2</v>
      </c>
      <c r="CG23" s="18">
        <f>IFERROR(AVERAGEIF('Pemetaan Variant'!$A$5:$A$32,$B23,'Pemetaan Variant'!$AM$5:$AM$32),"n/a")</f>
        <v>90000</v>
      </c>
      <c r="CH23" s="10">
        <f>IFERROR(IF(ISNUMBER(CG23),(CG23-AVERAGEIF('Pemetaan Variant'!$A$5:$A$32,$B23,'Pemetaan Variant'!$I$5:$I$32))/AVERAGEIF('Pemetaan Variant'!$A$5:$A$32,$B23,'Pemetaan Variant'!$I$5:$I$32)*100,"n/a"),"n/a")</f>
        <v>1.8867924528301943</v>
      </c>
      <c r="CI23" s="10">
        <f t="shared" si="27"/>
        <v>0.11296305914609429</v>
      </c>
      <c r="CJ23" s="18">
        <f>IFERROR(AVERAGEIF('Pemetaan Variant'!$A$5:$A$32,$B23,'Pemetaan Variant'!$AN$5:$AN$32),"n/a")</f>
        <v>90000</v>
      </c>
      <c r="CK23" s="10">
        <f>IFERROR(IF(ISNUMBER(CJ23),(CJ23-AVERAGEIF('Pemetaan Variant'!$A$5:$A$32,$B23,'Pemetaan Variant'!$I$5:$I$32))/AVERAGEIF('Pemetaan Variant'!$A$5:$A$32,$B23,'Pemetaan Variant'!$I$5:$I$32)*100,"n/a"),"n/a")</f>
        <v>1.8867924528301943</v>
      </c>
      <c r="CL23" s="10">
        <f t="shared" si="28"/>
        <v>0.11296305914609429</v>
      </c>
      <c r="CM23" s="18">
        <f>IFERROR(AVERAGEIF('Pemetaan Variant'!$A$5:$A$32,$B23,'Pemetaan Variant'!$AO$5:$AO$32),"n/a")</f>
        <v>90000</v>
      </c>
      <c r="CN23" s="10">
        <f>IFERROR(IF(ISNUMBER(CM23),(CM23-AVERAGEIF('Pemetaan Variant'!$A$5:$A$32,$B23,'Pemetaan Variant'!$J$5:$J$32))/AVERAGEIF('Pemetaan Variant'!$A$5:$A$32,$B23,'Pemetaan Variant'!$J$5:$J$32)*100,"n/a"),"n/a")</f>
        <v>0.91571668846945042</v>
      </c>
      <c r="CO23" s="10">
        <f t="shared" si="29"/>
        <v>5.4824343973539108E-2</v>
      </c>
      <c r="CP23" s="18">
        <f>IFERROR(AVERAGEIF('Pemetaan Variant'!$A$5:$A$32,$B23,'Pemetaan Variant'!$AP$5:$AP$32),"n/a")</f>
        <v>90000</v>
      </c>
      <c r="CQ23" s="10">
        <f>IFERROR(IF(ISNUMBER(CP23),(CP23-AVERAGEIF('Pemetaan Variant'!$A$5:$A$32,$B23,'Pemetaan Variant'!$J$5:$J$32))/AVERAGEIF('Pemetaan Variant'!$A$5:$A$32,$B23,'Pemetaan Variant'!$J$5:$J$32)*100,"n/a"),"n/a")</f>
        <v>0.91571668846945042</v>
      </c>
      <c r="CR23" s="10">
        <f t="shared" si="30"/>
        <v>5.4824343973539108E-2</v>
      </c>
      <c r="CS23" s="18">
        <f>IFERROR(AVERAGEIF('Pemetaan Variant'!$A$5:$A$32,$B23,'Pemetaan Variant'!$AQ$5:$AQ$32),"n/a")</f>
        <v>90000</v>
      </c>
      <c r="CT23" s="10">
        <f>IFERROR(IF(ISNUMBER(CS23),(CS23-AVERAGEIF('Pemetaan Variant'!$A$5:$A$32,$B23,'Pemetaan Variant'!$J$5:$J$32))/AVERAGEIF('Pemetaan Variant'!$A$5:$A$32,$B23,'Pemetaan Variant'!$J$5:$J$32)*100,"n/a"),"n/a")</f>
        <v>0.91571668846945042</v>
      </c>
      <c r="CU23" s="10">
        <f t="shared" si="31"/>
        <v>5.4824343973539108E-2</v>
      </c>
      <c r="CV23" s="18">
        <f>IFERROR(AVERAGEIF('Pemetaan Variant'!$A$5:$A$32,$B23,'Pemetaan Variant'!$AR$5:$AR$32),"n/a")</f>
        <v>90000</v>
      </c>
      <c r="CW23" s="10">
        <f>IFERROR(IF(ISNUMBER(CV23),(CV23-AVERAGEIF('Pemetaan Variant'!$A$5:$A$32,$B23,'Pemetaan Variant'!$J$5:$J$32))/AVERAGEIF('Pemetaan Variant'!$A$5:$A$32,$B23,'Pemetaan Variant'!$J$5:$J$32)*100,"n/a"),"n/a")</f>
        <v>0.91571668846945042</v>
      </c>
      <c r="CX23" s="10">
        <f t="shared" si="32"/>
        <v>5.4824343973539108E-2</v>
      </c>
      <c r="CY23" s="18">
        <f>IFERROR(AVERAGEIF('Pemetaan Variant'!$A$5:$A$32,$B23,'Pemetaan Variant'!$AS$5:$AS$32),"n/a")</f>
        <v>90000</v>
      </c>
      <c r="CZ23" s="10">
        <f>IFERROR(IF(ISNUMBER(CY23),(CY23-AVERAGEIF('Pemetaan Variant'!$A$5:$A$32,$B23,'Pemetaan Variant'!$J$5:$J$32))/AVERAGEIF('Pemetaan Variant'!$A$5:$A$32,$B23,'Pemetaan Variant'!$J$5:$J$32)*100,"n/a"),"n/a")</f>
        <v>0.91571668846945042</v>
      </c>
      <c r="DA23" s="10">
        <f t="shared" si="33"/>
        <v>5.4824343973539108E-2</v>
      </c>
      <c r="DB23" s="18">
        <f>IFERROR(AVERAGEIF('Pemetaan Variant'!$A$5:$A$32,$B23,'Pemetaan Variant'!$AT$5:$AT$32),"n/a")</f>
        <v>90000</v>
      </c>
      <c r="DC23" s="10">
        <f>IFERROR(IF(ISNUMBER(DB23),(DB23-AVERAGEIF('Pemetaan Variant'!$A$5:$A$32,$B23,'Pemetaan Variant'!$K$5:$K$32))/AVERAGEIF('Pemetaan Variant'!$A$5:$A$32,$B23,'Pemetaan Variant'!$K$5:$K$32)*100,"n/a"),"n/a")</f>
        <v>0</v>
      </c>
      <c r="DD23" s="10">
        <f t="shared" si="34"/>
        <v>0</v>
      </c>
      <c r="DE23" s="18">
        <f>IFERROR(AVERAGEIF('Pemetaan Variant'!$A$5:$A$32,$B23,'Pemetaan Variant'!$AU$5:$AU$32),"n/a")</f>
        <v>90000</v>
      </c>
      <c r="DF23" s="10">
        <f>IFERROR(IF(ISNUMBER(DE23),(DE23-AVERAGEIF('Pemetaan Variant'!$A$5:$A$32,$B23,'Pemetaan Variant'!$K$5:$K$32))/AVERAGEIF('Pemetaan Variant'!$A$5:$A$32,$B23,'Pemetaan Variant'!$K$5:$K$32)*100,"n/a"),"n/a")</f>
        <v>0</v>
      </c>
      <c r="DG23" s="10">
        <f t="shared" si="35"/>
        <v>0</v>
      </c>
      <c r="DH23" s="18">
        <f>IFERROR(AVERAGEIF('Pemetaan Variant'!$A$5:$A$32,$B23,'Pemetaan Variant'!$AV$5:$AV$32),"n/a")</f>
        <v>90000</v>
      </c>
      <c r="DI23" s="10">
        <f>IFERROR(IF(ISNUMBER(DH23),(DH23-AVERAGEIF('Pemetaan Variant'!$A$5:$A$32,$B23,'Pemetaan Variant'!$K$5:$K$32))/AVERAGEIF('Pemetaan Variant'!$A$5:$A$32,$B23,'Pemetaan Variant'!$K$5:$K$32)*100,"n/a"),"n/a")</f>
        <v>0</v>
      </c>
      <c r="DJ23" s="10">
        <f t="shared" si="36"/>
        <v>0</v>
      </c>
      <c r="DK23" s="18">
        <f>IFERROR(AVERAGEIF('Pemetaan Variant'!$A$5:$A$32,$B23,'Pemetaan Variant'!$AW$5:$AW$32),"n/a")</f>
        <v>90000</v>
      </c>
      <c r="DL23" s="10">
        <f>IFERROR(IF(ISNUMBER(DK23),(DK23-AVERAGEIF('Pemetaan Variant'!$A$5:$A$32,$B23,'Pemetaan Variant'!$K$5:$K$32))/AVERAGEIF('Pemetaan Variant'!$A$5:$A$32,$B23,'Pemetaan Variant'!$K$5:$K$32)*100,"n/a"),"n/a")</f>
        <v>0</v>
      </c>
      <c r="DM23" s="10">
        <f t="shared" si="37"/>
        <v>0</v>
      </c>
      <c r="DN23" s="19">
        <f>IFERROR(AVERAGEIF('Pemetaan Variant'!$A$5:$A$32,$B23,'Pemetaan Variant'!$AZ$5:$AZ$32),"n/a")</f>
        <v>90000</v>
      </c>
      <c r="DO23" s="14">
        <f>IFERROR(IF(ISNUMBER(DN23),(DN23-AVERAGEIF('Pemetaan Variant'!$A$5:$A$32,$B23,'Pemetaan Variant'!$AY$5:$AY$32))/AVERAGEIF('Pemetaan Variant'!$A$5:$A$32,$B23,'Pemetaan Variant'!$AY$5:$AY$32)*100,"n/a"),"n/a")</f>
        <v>0</v>
      </c>
      <c r="DP23" s="14">
        <f t="shared" si="38"/>
        <v>0</v>
      </c>
      <c r="DQ23" s="19" t="str">
        <f>IFERROR(AVERAGEIF('Pemetaan Variant'!$A$5:$A$32,$B23,'Pemetaan Variant'!$BA$5:$BA$32),"n/a")</f>
        <v>n/a</v>
      </c>
      <c r="DR23" s="14" t="str">
        <f>IFERROR(IF(ISNUMBER(DQ23),(DQ23-AVERAGEIF('Pemetaan Variant'!$A$5:$A$32,$B23,'Pemetaan Variant'!$AY$5:$AY$32))/AVERAGEIF('Pemetaan Variant'!$A$5:$A$32,$B23,'Pemetaan Variant'!$AY$5:$AY$32)*100,"n/a"),"n/a")</f>
        <v>n/a</v>
      </c>
      <c r="DS23" s="14" t="str">
        <f t="shared" si="39"/>
        <v>n/a</v>
      </c>
      <c r="DT23" s="19" t="str">
        <f>IFERROR(AVERAGEIF('Pemetaan Variant'!$A$5:$A$32,$B23,'Pemetaan Variant'!$BB$5:$BB$32),"n/a")</f>
        <v>n/a</v>
      </c>
      <c r="DU23" s="14" t="str">
        <f>IFERROR(IF(ISNUMBER(DT23),(DT23-AVERAGEIF('Pemetaan Variant'!$A$5:$A$32,$B23,'Pemetaan Variant'!$AY$5:$AY$32))/AVERAGEIF('Pemetaan Variant'!$A$5:$A$32,$B23,'Pemetaan Variant'!$AY$5:$AY$32)*100,"n/a"),"n/a")</f>
        <v>n/a</v>
      </c>
      <c r="DV23" s="14" t="str">
        <f t="shared" si="40"/>
        <v>n/a</v>
      </c>
      <c r="DW23" s="19" t="str">
        <f>IFERROR(AVERAGEIF('Pemetaan Variant'!$A$5:$A$32,$B23,'Pemetaan Variant'!$BC$5:$BC$32),"n/a")</f>
        <v>n/a</v>
      </c>
      <c r="DX23" s="14" t="str">
        <f>IFERROR(IF(ISNUMBER(DW23),(DW23-AVERAGEIF('Pemetaan Variant'!$A$5:$A$32,$B23,'Pemetaan Variant'!$AY$5:$AY$32))/AVERAGEIF('Pemetaan Variant'!$A$5:$A$32,$B23,'Pemetaan Variant'!$AY$5:$AY$32)*100,"n/a"),"n/a")</f>
        <v>n/a</v>
      </c>
      <c r="DY23" s="14" t="str">
        <f t="shared" si="41"/>
        <v>n/a</v>
      </c>
      <c r="DZ23" s="19" t="str">
        <f>IFERROR(AVERAGEIF('Pemetaan Variant'!$A$5:$A$32,$B23,'Pemetaan Variant'!$BD$5:$BD$32),"n/a")</f>
        <v>n/a</v>
      </c>
      <c r="EA23" s="14" t="str">
        <f>IFERROR(IF(ISNUMBER(DZ23),(DZ23-AVERAGEIF('Pemetaan Variant'!$A$5:$A$32,$B23,'Pemetaan Variant'!$AY$5:$AY$32))/AVERAGEIF('Pemetaan Variant'!$A$5:$A$32,$B23,'Pemetaan Variant'!$AY$5:$AY$32)*100,"n/a"),"n/a")</f>
        <v>n/a</v>
      </c>
      <c r="EB23" s="14" t="str">
        <f t="shared" si="42"/>
        <v>n/a</v>
      </c>
      <c r="ED23" s="14">
        <f>IFERROR(ABS(F23),0)</f>
        <v>0</v>
      </c>
      <c r="EE23" s="14">
        <f>IFERROR(ABS(I23),0)</f>
        <v>0</v>
      </c>
      <c r="EF23" s="14">
        <f>IFERROR(ABS(L23),0)</f>
        <v>0</v>
      </c>
      <c r="EG23" s="14">
        <f>IFERROR(ABS(O23),0)</f>
        <v>0</v>
      </c>
      <c r="EH23" s="14">
        <f>IFERROR(ABS(R23),0)</f>
        <v>0</v>
      </c>
      <c r="EI23" s="14">
        <f>IFERROR(ABS(U23),0)</f>
        <v>0.1330453807720666</v>
      </c>
      <c r="EJ23" s="14">
        <f>IFERROR(ABS(X23),0)</f>
        <v>0</v>
      </c>
      <c r="EK23" s="14">
        <f>IFERROR(ABS(AA23),0)</f>
        <v>0.4434846025735546</v>
      </c>
      <c r="EL23" s="14">
        <f>IFERROR(ABS(AD23),0)</f>
        <v>0.39913614231619871</v>
      </c>
      <c r="EM23" s="14">
        <f>IFERROR(ABS(AG23),0)</f>
        <v>0.42764586676735511</v>
      </c>
      <c r="EN23" s="14">
        <f>IFERROR(ABS(AJ23),0)</f>
        <v>0.50975387318668774</v>
      </c>
      <c r="EO23" s="14">
        <f>IFERROR(ABS(AM23),0)</f>
        <v>0.86384465087005824</v>
      </c>
      <c r="EP23" s="14">
        <f>IFERROR(ABS(AP23),0)</f>
        <v>0.81252714685797511</v>
      </c>
      <c r="EQ23" s="14">
        <f>IFERROR(ABS(AS23),0)</f>
        <v>0.81252714685797511</v>
      </c>
      <c r="ER23" s="14">
        <f>IFERROR(ABS(AV23),0)</f>
        <v>0.12029605525758658</v>
      </c>
      <c r="ES23" s="14">
        <f>IFERROR(ABS(AY23),0)</f>
        <v>0.12029605525758658</v>
      </c>
      <c r="ET23" s="14">
        <f>IFERROR(ABS(BB23),0)</f>
        <v>0.12029605525758658</v>
      </c>
      <c r="EU23" s="14">
        <f>IFERROR(ABS(BE23),0)</f>
        <v>0.12029605525758658</v>
      </c>
      <c r="EV23" s="14">
        <f>IFERROR(ABS(BH23),0)</f>
        <v>0.12607951945266252</v>
      </c>
      <c r="EW23" s="14">
        <f>IFERROR(ABS(BK23),0)</f>
        <v>0</v>
      </c>
      <c r="EX23" s="14">
        <f>IFERROR(ABS(BN23),0)</f>
        <v>2.1594381008991359E-2</v>
      </c>
      <c r="EY23" s="14">
        <f>IFERROR(ABS(BQ23),0)</f>
        <v>2.1594381008991359E-2</v>
      </c>
      <c r="EZ23" s="14">
        <f>IFERROR(ABS(BT23),0)</f>
        <v>2.1594381008991359E-2</v>
      </c>
      <c r="FA23" s="14">
        <f>IFERROR(ABS(BW23),0)</f>
        <v>2.1594381008991359E-2</v>
      </c>
      <c r="FB23" s="14">
        <f>IFERROR(ABS(BZ23),0)</f>
        <v>0</v>
      </c>
      <c r="FC23" s="14">
        <f>IFERROR(ABS(CC23),0)</f>
        <v>1.8074089463375364E-2</v>
      </c>
      <c r="FD23" s="14">
        <f>IFERROR(ABS(CF23),0)</f>
        <v>6.7777835487656396E-2</v>
      </c>
      <c r="FE23" s="14">
        <f>IFERROR(ABS(CI23),0)</f>
        <v>0.11296305914609429</v>
      </c>
      <c r="FF23" s="14">
        <f>IFERROR(ABS(CL23),0)</f>
        <v>0.11296305914609429</v>
      </c>
      <c r="FG23" s="14">
        <f>IFERROR(ABS(CO23),0)</f>
        <v>5.4824343973539108E-2</v>
      </c>
      <c r="FH23" s="14">
        <f>IFERROR(ABS(CR23),0)</f>
        <v>5.4824343973539108E-2</v>
      </c>
      <c r="FI23" s="14">
        <f>IFERROR(ABS(CU23),0)</f>
        <v>5.4824343973539108E-2</v>
      </c>
      <c r="FJ23" s="14">
        <f>IFERROR(ABS(CX23),0)</f>
        <v>5.4824343973539108E-2</v>
      </c>
      <c r="FK23" s="14">
        <f>IFERROR(ABS(DA23),0)</f>
        <v>5.4824343973539108E-2</v>
      </c>
      <c r="FL23" s="14">
        <f>IFERROR(ABS(DD23),0)</f>
        <v>0</v>
      </c>
      <c r="FM23" s="14">
        <f>IFERROR(ABS(DG23),0)</f>
        <v>0</v>
      </c>
      <c r="FN23" s="14">
        <f>IFERROR(ABS(DJ23),0)</f>
        <v>0</v>
      </c>
      <c r="FO23" s="14">
        <f>IFERROR(ABS(DM23),0)</f>
        <v>0</v>
      </c>
      <c r="FP23" s="14">
        <f>IFERROR(ABS(#REF!),0)</f>
        <v>0</v>
      </c>
      <c r="FQ23" s="14">
        <f t="shared" si="43"/>
        <v>0</v>
      </c>
      <c r="FR23" s="14">
        <f t="shared" si="44"/>
        <v>0</v>
      </c>
      <c r="FS23" s="14">
        <f t="shared" si="45"/>
        <v>0</v>
      </c>
      <c r="FT23" s="14">
        <f t="shared" si="46"/>
        <v>0</v>
      </c>
      <c r="FU23" s="14">
        <f t="shared" si="47"/>
        <v>0</v>
      </c>
    </row>
    <row r="24" spans="1:177" ht="12.75" customHeight="1" x14ac:dyDescent="0.35">
      <c r="A24" s="8">
        <v>19</v>
      </c>
      <c r="B24" s="9" t="s">
        <v>205</v>
      </c>
      <c r="C24" s="10">
        <f>'P0Q0 Dasar 2022'!F23</f>
        <v>2.0282595222329398E-2</v>
      </c>
      <c r="D24" s="18">
        <f>IFERROR(AVERAGEIF('Pemetaan Variant'!$A$5:$A$32,$B24,'Pemetaan Variant'!$L$5:$L$32),"n/a")</f>
        <v>8000</v>
      </c>
      <c r="E24" s="10">
        <f>IFERROR(IF(ISNUMBER(D24),(D24-AVERAGEIF('Pemetaan Variant'!$A$5:$A$32,$B24,'Pemetaan Variant'!$D$5:$D$32))/AVERAGEIF('Pemetaan Variant'!$A$5:$A$32,$B24,'Pemetaan Variant'!$D$5:$D$32)*100,"n/a"),"n/a")</f>
        <v>0</v>
      </c>
      <c r="F24" s="10">
        <f t="shared" si="0"/>
        <v>0</v>
      </c>
      <c r="G24" s="18">
        <f>IFERROR(AVERAGEIF('Pemetaan Variant'!$A$5:$A$32,$B24,'Pemetaan Variant'!$M$5:$M$32),"n/a")</f>
        <v>8000</v>
      </c>
      <c r="H24" s="10">
        <f>IFERROR(IF(ISNUMBER(G24),(G24-AVERAGEIF('Pemetaan Variant'!$A$5:$A$32,$B24,'Pemetaan Variant'!$D$5:$D$32))/AVERAGEIF('Pemetaan Variant'!$A$5:$A$32,$B24,'Pemetaan Variant'!$D$5:$D$32)*100,"n/a"),"n/a")</f>
        <v>0</v>
      </c>
      <c r="I24" s="10">
        <f t="shared" si="1"/>
        <v>0</v>
      </c>
      <c r="J24" s="18">
        <f>IFERROR(AVERAGEIF('Pemetaan Variant'!$A$5:$A$32,$B24,'Pemetaan Variant'!$N$5:$N$32),"n/a")</f>
        <v>8000</v>
      </c>
      <c r="K24" s="10">
        <f>IFERROR(IF(ISNUMBER(J24),(J24-AVERAGEIF('Pemetaan Variant'!$A$5:$A$32,$B24,'Pemetaan Variant'!$D$5:$D$32))/AVERAGEIF('Pemetaan Variant'!$A$5:$A$32,$B24,'Pemetaan Variant'!$D$5:$D$32)*100,"n/a"),"n/a")</f>
        <v>0</v>
      </c>
      <c r="L24" s="10">
        <f t="shared" si="2"/>
        <v>0</v>
      </c>
      <c r="M24" s="18">
        <f>IFERROR(AVERAGEIF('Pemetaan Variant'!$A$5:$A$32,$B24,'Pemetaan Variant'!$O$5:$O$32),"n/a")</f>
        <v>8000</v>
      </c>
      <c r="N24" s="10">
        <f>IFERROR(IF(ISNUMBER(M24),(M24-AVERAGEIF('Pemetaan Variant'!$A$5:$A$32,$B24,'Pemetaan Variant'!$D$5:$D$32))/AVERAGEIF('Pemetaan Variant'!$A$5:$A$32,$B24,'Pemetaan Variant'!$D$5:$D$32)*100,"n/a"),"n/a")</f>
        <v>0</v>
      </c>
      <c r="O24" s="10">
        <f t="shared" si="3"/>
        <v>0</v>
      </c>
      <c r="P24" s="18">
        <f>IFERROR(AVERAGEIF('Pemetaan Variant'!$A$5:$A$32,$B24,'Pemetaan Variant'!$P$5:$P$32),"n/a")</f>
        <v>8000</v>
      </c>
      <c r="Q24" s="10">
        <f>IFERROR(IF(ISNUMBER(P24),(P24-AVERAGEIF('Pemetaan Variant'!$A$5:$A$32,$B24,'Pemetaan Variant'!$D$5:$D$32))/AVERAGEIF('Pemetaan Variant'!$A$5:$A$32,$B24,'Pemetaan Variant'!$D$5:$D$32)*100,"n/a"),"n/a")</f>
        <v>0</v>
      </c>
      <c r="R24" s="10">
        <f t="shared" si="4"/>
        <v>0</v>
      </c>
      <c r="S24" s="18">
        <f>IFERROR(AVERAGEIF('Pemetaan Variant'!$A$5:$A$32,$B24,'Pemetaan Variant'!$Q$5:$Q$32),"n/a")</f>
        <v>8400</v>
      </c>
      <c r="T24" s="10">
        <f>IFERROR(IF(ISNUMBER(S24),(S24-AVERAGEIF('Pemetaan Variant'!$A$5:$A$32,$B24,'Pemetaan Variant'!$E$5:$E$32))/AVERAGEIF('Pemetaan Variant'!$A$5:$A$32,$B24,'Pemetaan Variant'!$E$5:$E$32)*100,"n/a"),"n/a")</f>
        <v>5</v>
      </c>
      <c r="U24" s="10">
        <f t="shared" si="5"/>
        <v>0.10141297611164699</v>
      </c>
      <c r="V24" s="18">
        <f>IFERROR(AVERAGEIF('Pemetaan Variant'!$A$5:$A$32,$B24,'Pemetaan Variant'!$R$5:$R$32),"n/a")</f>
        <v>8000</v>
      </c>
      <c r="W24" s="10">
        <f>IFERROR(IF(ISNUMBER(V24),(V24-AVERAGEIF('Pemetaan Variant'!$A$5:$A$32,$B24,'Pemetaan Variant'!$E$5:$E$32))/AVERAGEIF('Pemetaan Variant'!$A$5:$A$32,$B24,'Pemetaan Variant'!$E$5:$E$32)*100,"n/a"),"n/a")</f>
        <v>0</v>
      </c>
      <c r="X24" s="10">
        <f t="shared" si="6"/>
        <v>0</v>
      </c>
      <c r="Y24" s="18">
        <f>IFERROR(AVERAGEIF('Pemetaan Variant'!$A$5:$A$32,$B24,'Pemetaan Variant'!$S$5:$S$32),"n/a")</f>
        <v>9333.3333333333339</v>
      </c>
      <c r="Z24" s="10">
        <f>IFERROR(IF(ISNUMBER(Y24),(Y24-AVERAGEIF('Pemetaan Variant'!$A$5:$A$32,$B24,'Pemetaan Variant'!$E$5:$E$32))/AVERAGEIF('Pemetaan Variant'!$A$5:$A$32,$B24,'Pemetaan Variant'!$E$5:$E$32)*100,"n/a"),"n/a")</f>
        <v>16.666666666666675</v>
      </c>
      <c r="AA24" s="10">
        <f t="shared" si="7"/>
        <v>0.33804325370549015</v>
      </c>
      <c r="AB24" s="18">
        <f>IFERROR(AVERAGEIF('Pemetaan Variant'!$A$5:$A$32,$B24,'Pemetaan Variant'!$T$5:$T$32),"n/a")</f>
        <v>9200</v>
      </c>
      <c r="AC24" s="10">
        <f>IFERROR(IF(ISNUMBER(AB24),(AB24-AVERAGEIF('Pemetaan Variant'!$A$5:$A$32,$B24,'Pemetaan Variant'!$E$5:$E$32))/AVERAGEIF('Pemetaan Variant'!$A$5:$A$32,$B24,'Pemetaan Variant'!$E$5:$E$32)*100,"n/a"),"n/a")</f>
        <v>15</v>
      </c>
      <c r="AD24" s="10">
        <f t="shared" si="8"/>
        <v>0.30423892833494098</v>
      </c>
      <c r="AE24" s="18">
        <f>IFERROR(AVERAGEIF('Pemetaan Variant'!$A$5:$A$32,$B24,'Pemetaan Variant'!$U$5:$U$32),"n/a")</f>
        <v>10000</v>
      </c>
      <c r="AF24" s="10">
        <f>IFERROR(IF(ISNUMBER(AE24),(AE24-AVERAGEIF('Pemetaan Variant'!$A$5:$A$32,$B24,'Pemetaan Variant'!$F$5:$F$32))/AVERAGEIF('Pemetaan Variant'!$A$5:$A$32,$B24,'Pemetaan Variant'!$F$5:$F$32)*100,"n/a"),"n/a")</f>
        <v>15.384615384615394</v>
      </c>
      <c r="AG24" s="10">
        <f t="shared" si="9"/>
        <v>0.31203992649737555</v>
      </c>
      <c r="AH24" s="18">
        <f>IFERROR(AVERAGEIF('Pemetaan Variant'!$A$5:$A$32,$B24,'Pemetaan Variant'!$V$5:$V$32),"n/a")</f>
        <v>11000</v>
      </c>
      <c r="AI24" s="10">
        <f>IFERROR(IF(ISNUMBER(AH24),(AH24-AVERAGEIF('Pemetaan Variant'!$A$5:$A$32,$B24,'Pemetaan Variant'!$F$5:$F$32))/AVERAGEIF('Pemetaan Variant'!$A$5:$A$32,$B24,'Pemetaan Variant'!$F$5:$F$32)*100,"n/a"),"n/a")</f>
        <v>26.923076923076934</v>
      </c>
      <c r="AJ24" s="10">
        <f t="shared" si="10"/>
        <v>0.54606987137040708</v>
      </c>
      <c r="AK24" s="18">
        <f>IFERROR(AVERAGEIF('Pemetaan Variant'!$A$5:$A$32,$B24,'Pemetaan Variant'!$W$5:$W$32),"n/a")</f>
        <v>11000</v>
      </c>
      <c r="AL24" s="10">
        <f>IFERROR(IF(ISNUMBER(AK24),(AK24-AVERAGEIF('Pemetaan Variant'!$A$5:$A$32,$B24,'Pemetaan Variant'!$F$5:$F$32))/AVERAGEIF('Pemetaan Variant'!$A$5:$A$32,$B24,'Pemetaan Variant'!$F$5:$F$32)*100,"n/a"),"n/a")</f>
        <v>26.923076923076934</v>
      </c>
      <c r="AM24" s="10">
        <f t="shared" si="11"/>
        <v>0.54606987137040708</v>
      </c>
      <c r="AN24" s="18">
        <f>IFERROR(AVERAGEIF('Pemetaan Variant'!$A$5:$A$32,$B24,'Pemetaan Variant'!$X$5:$X$32),"n/a")</f>
        <v>11000</v>
      </c>
      <c r="AO24" s="10">
        <f>IFERROR(IF(ISNUMBER(AN24),(AN24-AVERAGEIF('Pemetaan Variant'!$A$5:$A$32,$B24,'Pemetaan Variant'!$F$5:$F$32))/AVERAGEIF('Pemetaan Variant'!$A$5:$A$32,$B24,'Pemetaan Variant'!$F$5:$F$32)*100,"n/a"),"n/a")</f>
        <v>26.923076923076934</v>
      </c>
      <c r="AP24" s="10">
        <f t="shared" si="12"/>
        <v>0.54606987137040708</v>
      </c>
      <c r="AQ24" s="18">
        <f>IFERROR(AVERAGEIF('Pemetaan Variant'!$A$5:$A$32,$B24,'Pemetaan Variant'!$Y$5:$Y$32),"n/a")</f>
        <v>11000</v>
      </c>
      <c r="AR24" s="10">
        <f>IFERROR(IF(ISNUMBER(AQ24),(AQ24-AVERAGEIF('Pemetaan Variant'!$A$5:$A$32,$B24,'Pemetaan Variant'!$F$5:$F$32))/AVERAGEIF('Pemetaan Variant'!$A$5:$A$32,$B24,'Pemetaan Variant'!$F$5:$F$32)*100,"n/a"),"n/a")</f>
        <v>26.923076923076934</v>
      </c>
      <c r="AS24" s="10">
        <f t="shared" si="13"/>
        <v>0.54606987137040708</v>
      </c>
      <c r="AT24" s="18">
        <f>IFERROR(AVERAGEIF('Pemetaan Variant'!$A$5:$A$32,$B24,'Pemetaan Variant'!$Z$5:$Z$32),"n/a")</f>
        <v>11000</v>
      </c>
      <c r="AU24" s="10">
        <f>IFERROR(IF(ISNUMBER(AT24),(AT24-AVERAGEIF('Pemetaan Variant'!$A$5:$A$32,$B24,'Pemetaan Variant'!$G$5:$G$32))/AVERAGEIF('Pemetaan Variant'!$A$5:$A$32,$B24,'Pemetaan Variant'!$G$5:$G$32)*100,"n/a"),"n/a")</f>
        <v>2.3255813953488373</v>
      </c>
      <c r="AV24" s="10">
        <f t="shared" si="14"/>
        <v>4.7168826098440461E-2</v>
      </c>
      <c r="AW24" s="18">
        <f>IFERROR(AVERAGEIF('Pemetaan Variant'!$A$5:$A$32,$B24,'Pemetaan Variant'!$AA$5:$AA$32),"n/a")</f>
        <v>11000</v>
      </c>
      <c r="AX24" s="10">
        <f>IFERROR(IF(ISNUMBER(AW24),(AW24-AVERAGEIF('Pemetaan Variant'!$A$5:$A$32,$B24,'Pemetaan Variant'!$G$5:$G$32))/AVERAGEIF('Pemetaan Variant'!$A$5:$A$32,$B24,'Pemetaan Variant'!$G$5:$G$32)*100,"n/a"),"n/a")</f>
        <v>2.3255813953488373</v>
      </c>
      <c r="AY24" s="10">
        <f t="shared" si="15"/>
        <v>4.7168826098440461E-2</v>
      </c>
      <c r="AZ24" s="18">
        <f>IFERROR(AVERAGEIF('Pemetaan Variant'!$A$5:$A$32,$B24,'Pemetaan Variant'!$AB$5:$AB$32),"n/a")</f>
        <v>11000</v>
      </c>
      <c r="BA24" s="10">
        <f>IFERROR(IF(ISNUMBER(AZ24),(AZ24-AVERAGEIF('Pemetaan Variant'!$A$5:$A$32,$B24,'Pemetaan Variant'!$G$5:$G$32))/AVERAGEIF('Pemetaan Variant'!$A$5:$A$32,$B24,'Pemetaan Variant'!$G$5:$G$32)*100,"n/a"),"n/a")</f>
        <v>2.3255813953488373</v>
      </c>
      <c r="BB24" s="10">
        <f t="shared" si="16"/>
        <v>4.7168826098440461E-2</v>
      </c>
      <c r="BC24" s="18">
        <f>IFERROR(AVERAGEIF('Pemetaan Variant'!$A$5:$A$32,$B24,'Pemetaan Variant'!$AC$5:$AC$32),"n/a")</f>
        <v>11000</v>
      </c>
      <c r="BD24" s="10">
        <f>IFERROR(IF(ISNUMBER(BC24),(BC24-AVERAGEIF('Pemetaan Variant'!$A$5:$A$32,$B24,'Pemetaan Variant'!$G$5:$G$32))/AVERAGEIF('Pemetaan Variant'!$A$5:$A$32,$B24,'Pemetaan Variant'!$G$5:$G$32)*100,"n/a"),"n/a")</f>
        <v>2.3255813953488373</v>
      </c>
      <c r="BE24" s="10">
        <f t="shared" si="17"/>
        <v>4.7168826098440461E-2</v>
      </c>
      <c r="BF24" s="18">
        <f>IFERROR(AVERAGEIF('Pemetaan Variant'!$A$5:$A$32,$B24,'Pemetaan Variant'!$AD$5:$AD$32),"n/a")</f>
        <v>11000</v>
      </c>
      <c r="BG24" s="10">
        <f>IFERROR(IF(ISNUMBER(BF24),(BF24-AVERAGEIF('Pemetaan Variant'!$A$5:$A$32,$B24,'Pemetaan Variant'!$G$5:$G$32))/AVERAGEIF('Pemetaan Variant'!$A$5:$A$32,$B24,'Pemetaan Variant'!$G$5:$G$32)*100,"n/a"),"n/a")</f>
        <v>2.3255813953488373</v>
      </c>
      <c r="BH24" s="10">
        <f t="shared" si="18"/>
        <v>4.7168826098440461E-2</v>
      </c>
      <c r="BI24" s="18" t="str">
        <f>IFERROR(AVERAGEIF('Pemetaan Variant'!$A$5:$A$32,$B24,'Pemetaan Variant'!$AE$5:$AE$32),"n/a")</f>
        <v>n/a</v>
      </c>
      <c r="BJ24" s="10" t="str">
        <f>IFERROR(IF(ISNUMBER(BI24),(BI24-AVERAGEIF('Pemetaan Variant'!$A$5:$A$32,$B24,'Pemetaan Variant'!$H$5:$H$32))/AVERAGEIF('Pemetaan Variant'!$A$5:$A$32,$B24,'Pemetaan Variant'!$H$5:$H$32)*100,"n/a"),"n/a")</f>
        <v>n/a</v>
      </c>
      <c r="BK24" s="10" t="str">
        <f t="shared" si="19"/>
        <v>n/a</v>
      </c>
      <c r="BL24" s="18">
        <f>IFERROR(AVERAGEIF('Pemetaan Variant'!$A$5:$A$32,$B24,'Pemetaan Variant'!$AF$5:$AF$32),"n/a")</f>
        <v>11000</v>
      </c>
      <c r="BM24" s="10">
        <f>IFERROR(IF(ISNUMBER(BL24),(BL24-AVERAGEIF('Pemetaan Variant'!$A$5:$A$32,$B24,'Pemetaan Variant'!$H$5:$H$32))/AVERAGEIF('Pemetaan Variant'!$A$5:$A$32,$B24,'Pemetaan Variant'!$H$5:$H$32)*100,"n/a"),"n/a")</f>
        <v>0</v>
      </c>
      <c r="BN24" s="10">
        <f t="shared" si="20"/>
        <v>0</v>
      </c>
      <c r="BO24" s="18">
        <f>IFERROR(AVERAGEIF('Pemetaan Variant'!$A$5:$A$32,$B24,'Pemetaan Variant'!$AG$5:$AG$32),"n/a")</f>
        <v>11000</v>
      </c>
      <c r="BP24" s="10">
        <f>IFERROR(IF(ISNUMBER(BO24),(BO24-AVERAGEIF('Pemetaan Variant'!$A$5:$A$32,$B24,'Pemetaan Variant'!$H$5:$H$32))/AVERAGEIF('Pemetaan Variant'!$A$5:$A$32,$B24,'Pemetaan Variant'!$H$5:$H$32)*100,"n/a"),"n/a")</f>
        <v>0</v>
      </c>
      <c r="BQ24" s="10">
        <f t="shared" si="21"/>
        <v>0</v>
      </c>
      <c r="BR24" s="18">
        <f>IFERROR(AVERAGEIF('Pemetaan Variant'!$A$5:$A$32,$B24,'Pemetaan Variant'!$AH$5:$AH$32),"n/a")</f>
        <v>11000</v>
      </c>
      <c r="BS24" s="10">
        <f>IFERROR(IF(ISNUMBER(BR24),(BR24-AVERAGEIF('Pemetaan Variant'!$A$5:$A$32,$B24,'Pemetaan Variant'!$H$5:$H$32))/AVERAGEIF('Pemetaan Variant'!$A$5:$A$32,$B24,'Pemetaan Variant'!$H$5:$H$32)*100,"n/a"),"n/a")</f>
        <v>0</v>
      </c>
      <c r="BT24" s="10">
        <f t="shared" si="22"/>
        <v>0</v>
      </c>
      <c r="BU24" s="18">
        <f>IFERROR(AVERAGEIF('Pemetaan Variant'!$A$5:$A$32,$B24,'Pemetaan Variant'!$AI$5:$AI$32),"n/a")</f>
        <v>11000</v>
      </c>
      <c r="BV24" s="10">
        <f>IFERROR(IF(ISNUMBER(BU24),(BU24-AVERAGEIF('Pemetaan Variant'!$A$5:$A$32,$B24,'Pemetaan Variant'!$H$5:$H$32))/AVERAGEIF('Pemetaan Variant'!$A$5:$A$32,$B24,'Pemetaan Variant'!$H$5:$H$32)*100,"n/a"),"n/a")</f>
        <v>0</v>
      </c>
      <c r="BW24" s="10">
        <f t="shared" si="23"/>
        <v>0</v>
      </c>
      <c r="BX24" s="18">
        <f>IFERROR(AVERAGEIF('Pemetaan Variant'!$A$5:$A$32,$B24,'Pemetaan Variant'!$AJ$5:$AJ$32),"n/a")</f>
        <v>11000</v>
      </c>
      <c r="BY24" s="10">
        <f>IFERROR(IF(ISNUMBER(BX24),(BX24-AVERAGEIF('Pemetaan Variant'!$A$5:$A$32,$B24,'Pemetaan Variant'!$I$5:$I$32))/AVERAGEIF('Pemetaan Variant'!$A$5:$A$32,$B24,'Pemetaan Variant'!$I$5:$I$32)*100,"n/a"),"n/a")</f>
        <v>0</v>
      </c>
      <c r="BZ24" s="10">
        <f t="shared" si="24"/>
        <v>0</v>
      </c>
      <c r="CA24" s="18">
        <f>IFERROR(AVERAGEIF('Pemetaan Variant'!$A$5:$A$32,$B24,'Pemetaan Variant'!$AK$5:$AK$32),"n/a")</f>
        <v>11000</v>
      </c>
      <c r="CB24" s="10">
        <f>IFERROR(IF(ISNUMBER(CA24),(CA24-AVERAGEIF('Pemetaan Variant'!$A$5:$A$32,$B24,'Pemetaan Variant'!$I$5:$I$32))/AVERAGEIF('Pemetaan Variant'!$A$5:$A$32,$B24,'Pemetaan Variant'!$I$5:$I$32)*100,"n/a"),"n/a")</f>
        <v>0</v>
      </c>
      <c r="CC24" s="10">
        <f t="shared" si="25"/>
        <v>0</v>
      </c>
      <c r="CD24" s="18">
        <f>IFERROR(AVERAGEIF('Pemetaan Variant'!$A$5:$A$32,$B24,'Pemetaan Variant'!$AL$5:$AL$32),"n/a")</f>
        <v>11000</v>
      </c>
      <c r="CE24" s="10">
        <f>IFERROR(IF(ISNUMBER(CD24),(CD24-AVERAGEIF('Pemetaan Variant'!$A$5:$A$32,$B24,'Pemetaan Variant'!$I$5:$I$32))/AVERAGEIF('Pemetaan Variant'!$A$5:$A$32,$B24,'Pemetaan Variant'!$I$5:$I$32)*100,"n/a"),"n/a")</f>
        <v>0</v>
      </c>
      <c r="CF24" s="10">
        <f t="shared" si="26"/>
        <v>0</v>
      </c>
      <c r="CG24" s="18">
        <f>IFERROR(AVERAGEIF('Pemetaan Variant'!$A$5:$A$32,$B24,'Pemetaan Variant'!$AM$5:$AM$32),"n/a")</f>
        <v>11000</v>
      </c>
      <c r="CH24" s="10">
        <f>IFERROR(IF(ISNUMBER(CG24),(CG24-AVERAGEIF('Pemetaan Variant'!$A$5:$A$32,$B24,'Pemetaan Variant'!$I$5:$I$32))/AVERAGEIF('Pemetaan Variant'!$A$5:$A$32,$B24,'Pemetaan Variant'!$I$5:$I$32)*100,"n/a"),"n/a")</f>
        <v>0</v>
      </c>
      <c r="CI24" s="10">
        <f t="shared" si="27"/>
        <v>0</v>
      </c>
      <c r="CJ24" s="18">
        <f>IFERROR(AVERAGEIF('Pemetaan Variant'!$A$5:$A$32,$B24,'Pemetaan Variant'!$AN$5:$AN$32),"n/a")</f>
        <v>11000</v>
      </c>
      <c r="CK24" s="10">
        <f>IFERROR(IF(ISNUMBER(CJ24),(CJ24-AVERAGEIF('Pemetaan Variant'!$A$5:$A$32,$B24,'Pemetaan Variant'!$I$5:$I$32))/AVERAGEIF('Pemetaan Variant'!$A$5:$A$32,$B24,'Pemetaan Variant'!$I$5:$I$32)*100,"n/a"),"n/a")</f>
        <v>0</v>
      </c>
      <c r="CL24" s="10">
        <f t="shared" si="28"/>
        <v>0</v>
      </c>
      <c r="CM24" s="18">
        <f>IFERROR(AVERAGEIF('Pemetaan Variant'!$A$5:$A$32,$B24,'Pemetaan Variant'!$AO$5:$AO$32),"n/a")</f>
        <v>11000</v>
      </c>
      <c r="CN24" s="10">
        <f>IFERROR(IF(ISNUMBER(CM24),(CM24-AVERAGEIF('Pemetaan Variant'!$A$5:$A$32,$B24,'Pemetaan Variant'!$J$5:$J$32))/AVERAGEIF('Pemetaan Variant'!$A$5:$A$32,$B24,'Pemetaan Variant'!$J$5:$J$32)*100,"n/a"),"n/a")</f>
        <v>0</v>
      </c>
      <c r="CO24" s="10">
        <f t="shared" si="29"/>
        <v>0</v>
      </c>
      <c r="CP24" s="18">
        <f>IFERROR(AVERAGEIF('Pemetaan Variant'!$A$5:$A$32,$B24,'Pemetaan Variant'!$AP$5:$AP$32),"n/a")</f>
        <v>11000</v>
      </c>
      <c r="CQ24" s="10">
        <f>IFERROR(IF(ISNUMBER(CP24),(CP24-AVERAGEIF('Pemetaan Variant'!$A$5:$A$32,$B24,'Pemetaan Variant'!$J$5:$J$32))/AVERAGEIF('Pemetaan Variant'!$A$5:$A$32,$B24,'Pemetaan Variant'!$J$5:$J$32)*100,"n/a"),"n/a")</f>
        <v>0</v>
      </c>
      <c r="CR24" s="10">
        <f t="shared" si="30"/>
        <v>0</v>
      </c>
      <c r="CS24" s="18">
        <f>IFERROR(AVERAGEIF('Pemetaan Variant'!$A$5:$A$32,$B24,'Pemetaan Variant'!$AQ$5:$AQ$32),"n/a")</f>
        <v>11000</v>
      </c>
      <c r="CT24" s="10">
        <f>IFERROR(IF(ISNUMBER(CS24),(CS24-AVERAGEIF('Pemetaan Variant'!$A$5:$A$32,$B24,'Pemetaan Variant'!$J$5:$J$32))/AVERAGEIF('Pemetaan Variant'!$A$5:$A$32,$B24,'Pemetaan Variant'!$J$5:$J$32)*100,"n/a"),"n/a")</f>
        <v>0</v>
      </c>
      <c r="CU24" s="10">
        <f t="shared" si="31"/>
        <v>0</v>
      </c>
      <c r="CV24" s="18">
        <f>IFERROR(AVERAGEIF('Pemetaan Variant'!$A$5:$A$32,$B24,'Pemetaan Variant'!$AR$5:$AR$32),"n/a")</f>
        <v>11000</v>
      </c>
      <c r="CW24" s="10">
        <f>IFERROR(IF(ISNUMBER(CV24),(CV24-AVERAGEIF('Pemetaan Variant'!$A$5:$A$32,$B24,'Pemetaan Variant'!$J$5:$J$32))/AVERAGEIF('Pemetaan Variant'!$A$5:$A$32,$B24,'Pemetaan Variant'!$J$5:$J$32)*100,"n/a"),"n/a")</f>
        <v>0</v>
      </c>
      <c r="CX24" s="10">
        <f t="shared" si="32"/>
        <v>0</v>
      </c>
      <c r="CY24" s="18">
        <f>IFERROR(AVERAGEIF('Pemetaan Variant'!$A$5:$A$32,$B24,'Pemetaan Variant'!$AS$5:$AS$32),"n/a")</f>
        <v>11000</v>
      </c>
      <c r="CZ24" s="10">
        <f>IFERROR(IF(ISNUMBER(CY24),(CY24-AVERAGEIF('Pemetaan Variant'!$A$5:$A$32,$B24,'Pemetaan Variant'!$J$5:$J$32))/AVERAGEIF('Pemetaan Variant'!$A$5:$A$32,$B24,'Pemetaan Variant'!$J$5:$J$32)*100,"n/a"),"n/a")</f>
        <v>0</v>
      </c>
      <c r="DA24" s="10">
        <f t="shared" si="33"/>
        <v>0</v>
      </c>
      <c r="DB24" s="18">
        <f>IFERROR(AVERAGEIF('Pemetaan Variant'!$A$5:$A$32,$B24,'Pemetaan Variant'!$AT$5:$AT$32),"n/a")</f>
        <v>11000</v>
      </c>
      <c r="DC24" s="10">
        <f>IFERROR(IF(ISNUMBER(DB24),(DB24-AVERAGEIF('Pemetaan Variant'!$A$5:$A$32,$B24,'Pemetaan Variant'!$K$5:$K$32))/AVERAGEIF('Pemetaan Variant'!$A$5:$A$32,$B24,'Pemetaan Variant'!$K$5:$K$32)*100,"n/a"),"n/a")</f>
        <v>0</v>
      </c>
      <c r="DD24" s="10">
        <f t="shared" si="34"/>
        <v>0</v>
      </c>
      <c r="DE24" s="18">
        <f>IFERROR(AVERAGEIF('Pemetaan Variant'!$A$5:$A$32,$B24,'Pemetaan Variant'!$AU$5:$AU$32),"n/a")</f>
        <v>11000</v>
      </c>
      <c r="DF24" s="10">
        <f>IFERROR(IF(ISNUMBER(DE24),(DE24-AVERAGEIF('Pemetaan Variant'!$A$5:$A$32,$B24,'Pemetaan Variant'!$K$5:$K$32))/AVERAGEIF('Pemetaan Variant'!$A$5:$A$32,$B24,'Pemetaan Variant'!$K$5:$K$32)*100,"n/a"),"n/a")</f>
        <v>0</v>
      </c>
      <c r="DG24" s="10">
        <f t="shared" si="35"/>
        <v>0</v>
      </c>
      <c r="DH24" s="18">
        <f>IFERROR(AVERAGEIF('Pemetaan Variant'!$A$5:$A$32,$B24,'Pemetaan Variant'!$AV$5:$AV$32),"n/a")</f>
        <v>11000</v>
      </c>
      <c r="DI24" s="10">
        <f>IFERROR(IF(ISNUMBER(DH24),(DH24-AVERAGEIF('Pemetaan Variant'!$A$5:$A$32,$B24,'Pemetaan Variant'!$K$5:$K$32))/AVERAGEIF('Pemetaan Variant'!$A$5:$A$32,$B24,'Pemetaan Variant'!$K$5:$K$32)*100,"n/a"),"n/a")</f>
        <v>0</v>
      </c>
      <c r="DJ24" s="10">
        <f t="shared" si="36"/>
        <v>0</v>
      </c>
      <c r="DK24" s="18">
        <f>IFERROR(AVERAGEIF('Pemetaan Variant'!$A$5:$A$32,$B24,'Pemetaan Variant'!$AW$5:$AW$32),"n/a")</f>
        <v>11000</v>
      </c>
      <c r="DL24" s="10">
        <f>IFERROR(IF(ISNUMBER(DK24),(DK24-AVERAGEIF('Pemetaan Variant'!$A$5:$A$32,$B24,'Pemetaan Variant'!$K$5:$K$32))/AVERAGEIF('Pemetaan Variant'!$A$5:$A$32,$B24,'Pemetaan Variant'!$K$5:$K$32)*100,"n/a"),"n/a")</f>
        <v>0</v>
      </c>
      <c r="DM24" s="10">
        <f t="shared" si="37"/>
        <v>0</v>
      </c>
      <c r="DN24" s="19">
        <f>IFERROR(AVERAGEIF('Pemetaan Variant'!$A$5:$A$32,$B24,'Pemetaan Variant'!$AZ$5:$AZ$32),"n/a")</f>
        <v>11000</v>
      </c>
      <c r="DO24" s="14">
        <f>IFERROR(IF(ISNUMBER(DN24),(DN24-AVERAGEIF('Pemetaan Variant'!$A$5:$A$32,$B24,'Pemetaan Variant'!$AY$5:$AY$32))/AVERAGEIF('Pemetaan Variant'!$A$5:$A$32,$B24,'Pemetaan Variant'!$AY$5:$AY$32)*100,"n/a"),"n/a")</f>
        <v>0</v>
      </c>
      <c r="DP24" s="14">
        <f t="shared" si="38"/>
        <v>0</v>
      </c>
      <c r="DQ24" s="19" t="str">
        <f>IFERROR(AVERAGEIF('Pemetaan Variant'!$A$5:$A$32,$B24,'Pemetaan Variant'!$BA$5:$BA$32),"n/a")</f>
        <v>n/a</v>
      </c>
      <c r="DR24" s="14" t="str">
        <f>IFERROR(IF(ISNUMBER(DQ24),(DQ24-AVERAGEIF('Pemetaan Variant'!$A$5:$A$32,$B24,'Pemetaan Variant'!$AY$5:$AY$32))/AVERAGEIF('Pemetaan Variant'!$A$5:$A$32,$B24,'Pemetaan Variant'!$AY$5:$AY$32)*100,"n/a"),"n/a")</f>
        <v>n/a</v>
      </c>
      <c r="DS24" s="14" t="str">
        <f t="shared" si="39"/>
        <v>n/a</v>
      </c>
      <c r="DT24" s="19" t="str">
        <f>IFERROR(AVERAGEIF('Pemetaan Variant'!$A$5:$A$32,$B24,'Pemetaan Variant'!$BB$5:$BB$32),"n/a")</f>
        <v>n/a</v>
      </c>
      <c r="DU24" s="14" t="str">
        <f>IFERROR(IF(ISNUMBER(DT24),(DT24-AVERAGEIF('Pemetaan Variant'!$A$5:$A$32,$B24,'Pemetaan Variant'!$AY$5:$AY$32))/AVERAGEIF('Pemetaan Variant'!$A$5:$A$32,$B24,'Pemetaan Variant'!$AY$5:$AY$32)*100,"n/a"),"n/a")</f>
        <v>n/a</v>
      </c>
      <c r="DV24" s="14" t="str">
        <f t="shared" si="40"/>
        <v>n/a</v>
      </c>
      <c r="DW24" s="19" t="str">
        <f>IFERROR(AVERAGEIF('Pemetaan Variant'!$A$5:$A$32,$B24,'Pemetaan Variant'!$BC$5:$BC$32),"n/a")</f>
        <v>n/a</v>
      </c>
      <c r="DX24" s="14" t="str">
        <f>IFERROR(IF(ISNUMBER(DW24),(DW24-AVERAGEIF('Pemetaan Variant'!$A$5:$A$32,$B24,'Pemetaan Variant'!$AY$5:$AY$32))/AVERAGEIF('Pemetaan Variant'!$A$5:$A$32,$B24,'Pemetaan Variant'!$AY$5:$AY$32)*100,"n/a"),"n/a")</f>
        <v>n/a</v>
      </c>
      <c r="DY24" s="14" t="str">
        <f t="shared" si="41"/>
        <v>n/a</v>
      </c>
      <c r="DZ24" s="19" t="str">
        <f>IFERROR(AVERAGEIF('Pemetaan Variant'!$A$5:$A$32,$B24,'Pemetaan Variant'!$BD$5:$BD$32),"n/a")</f>
        <v>n/a</v>
      </c>
      <c r="EA24" s="14" t="str">
        <f>IFERROR(IF(ISNUMBER(DZ24),(DZ24-AVERAGEIF('Pemetaan Variant'!$A$5:$A$32,$B24,'Pemetaan Variant'!$AY$5:$AY$32))/AVERAGEIF('Pemetaan Variant'!$A$5:$A$32,$B24,'Pemetaan Variant'!$AY$5:$AY$32)*100,"n/a"),"n/a")</f>
        <v>n/a</v>
      </c>
      <c r="EB24" s="14" t="str">
        <f t="shared" si="42"/>
        <v>n/a</v>
      </c>
      <c r="ED24" s="14">
        <f>IFERROR(ABS(F24),0)</f>
        <v>0</v>
      </c>
      <c r="EE24" s="14">
        <f>IFERROR(ABS(I24),0)</f>
        <v>0</v>
      </c>
      <c r="EF24" s="14">
        <f>IFERROR(ABS(L24),0)</f>
        <v>0</v>
      </c>
      <c r="EG24" s="14">
        <f>IFERROR(ABS(O24),0)</f>
        <v>0</v>
      </c>
      <c r="EH24" s="14">
        <f>IFERROR(ABS(R24),0)</f>
        <v>0</v>
      </c>
      <c r="EI24" s="14">
        <f>IFERROR(ABS(U24),0)</f>
        <v>0.10141297611164699</v>
      </c>
      <c r="EJ24" s="14">
        <f>IFERROR(ABS(X24),0)</f>
        <v>0</v>
      </c>
      <c r="EK24" s="14">
        <f>IFERROR(ABS(AA24),0)</f>
        <v>0.33804325370549015</v>
      </c>
      <c r="EL24" s="14">
        <f>IFERROR(ABS(AD24),0)</f>
        <v>0.30423892833494098</v>
      </c>
      <c r="EM24" s="14">
        <f>IFERROR(ABS(AG24),0)</f>
        <v>0.31203992649737555</v>
      </c>
      <c r="EN24" s="14">
        <f>IFERROR(ABS(AJ24),0)</f>
        <v>0.54606987137040708</v>
      </c>
      <c r="EO24" s="14">
        <f>IFERROR(ABS(AM24),0)</f>
        <v>0.54606987137040708</v>
      </c>
      <c r="EP24" s="14">
        <f>IFERROR(ABS(AP24),0)</f>
        <v>0.54606987137040708</v>
      </c>
      <c r="EQ24" s="14">
        <f>IFERROR(ABS(AS24),0)</f>
        <v>0.54606987137040708</v>
      </c>
      <c r="ER24" s="14">
        <f>IFERROR(ABS(AV24),0)</f>
        <v>4.7168826098440461E-2</v>
      </c>
      <c r="ES24" s="14">
        <f>IFERROR(ABS(AY24),0)</f>
        <v>4.7168826098440461E-2</v>
      </c>
      <c r="ET24" s="14">
        <f>IFERROR(ABS(BB24),0)</f>
        <v>4.7168826098440461E-2</v>
      </c>
      <c r="EU24" s="14">
        <f>IFERROR(ABS(BE24),0)</f>
        <v>4.7168826098440461E-2</v>
      </c>
      <c r="EV24" s="14">
        <f>IFERROR(ABS(BH24),0)</f>
        <v>4.7168826098440461E-2</v>
      </c>
      <c r="EW24" s="14">
        <f>IFERROR(ABS(BK24),0)</f>
        <v>0</v>
      </c>
      <c r="EX24" s="14">
        <f>IFERROR(ABS(BN24),0)</f>
        <v>0</v>
      </c>
      <c r="EY24" s="14">
        <f>IFERROR(ABS(BQ24),0)</f>
        <v>0</v>
      </c>
      <c r="EZ24" s="14">
        <f>IFERROR(ABS(BT24),0)</f>
        <v>0</v>
      </c>
      <c r="FA24" s="14">
        <f>IFERROR(ABS(BW24),0)</f>
        <v>0</v>
      </c>
      <c r="FB24" s="14">
        <f>IFERROR(ABS(BZ24),0)</f>
        <v>0</v>
      </c>
      <c r="FC24" s="14">
        <f>IFERROR(ABS(CC24),0)</f>
        <v>0</v>
      </c>
      <c r="FD24" s="14">
        <f>IFERROR(ABS(CF24),0)</f>
        <v>0</v>
      </c>
      <c r="FE24" s="14">
        <f>IFERROR(ABS(CI24),0)</f>
        <v>0</v>
      </c>
      <c r="FF24" s="14">
        <f>IFERROR(ABS(CL24),0)</f>
        <v>0</v>
      </c>
      <c r="FG24" s="14">
        <f>IFERROR(ABS(CO24),0)</f>
        <v>0</v>
      </c>
      <c r="FH24" s="14">
        <f>IFERROR(ABS(CR24),0)</f>
        <v>0</v>
      </c>
      <c r="FI24" s="14">
        <f>IFERROR(ABS(CU24),0)</f>
        <v>0</v>
      </c>
      <c r="FJ24" s="14">
        <f>IFERROR(ABS(CX24),0)</f>
        <v>0</v>
      </c>
      <c r="FK24" s="14">
        <f>IFERROR(ABS(DA24),0)</f>
        <v>0</v>
      </c>
      <c r="FL24" s="14">
        <f>IFERROR(ABS(DD24),0)</f>
        <v>0</v>
      </c>
      <c r="FM24" s="14">
        <f>IFERROR(ABS(DG24),0)</f>
        <v>0</v>
      </c>
      <c r="FN24" s="14">
        <f>IFERROR(ABS(DJ24),0)</f>
        <v>0</v>
      </c>
      <c r="FO24" s="14">
        <f>IFERROR(ABS(DM24),0)</f>
        <v>0</v>
      </c>
      <c r="FP24" s="14">
        <f>IFERROR(ABS(#REF!),0)</f>
        <v>0</v>
      </c>
      <c r="FQ24" s="14">
        <f t="shared" si="43"/>
        <v>0</v>
      </c>
      <c r="FR24" s="14">
        <f t="shared" si="44"/>
        <v>0</v>
      </c>
      <c r="FS24" s="14">
        <f t="shared" si="45"/>
        <v>0</v>
      </c>
      <c r="FT24" s="14">
        <f t="shared" si="46"/>
        <v>0</v>
      </c>
      <c r="FU24" s="14">
        <f t="shared" si="47"/>
        <v>0</v>
      </c>
    </row>
    <row r="25" spans="1:177" ht="12.75" customHeight="1" x14ac:dyDescent="0.35">
      <c r="A25" s="8">
        <v>20</v>
      </c>
      <c r="B25" s="9" t="s">
        <v>206</v>
      </c>
      <c r="C25" s="10">
        <f>'P0Q0 Dasar 2022'!F24</f>
        <v>3.4177615717940098E-2</v>
      </c>
      <c r="D25" s="18">
        <f>IFERROR(AVERAGEIF('Pemetaan Variant'!$A$5:$A$32,$B25,'Pemetaan Variant'!$L$5:$L$32),"n/a")</f>
        <v>7000</v>
      </c>
      <c r="E25" s="10">
        <f>IFERROR(IF(ISNUMBER(D25),(D25-AVERAGEIF('Pemetaan Variant'!$A$5:$A$32,$B25,'Pemetaan Variant'!$D$5:$D$32))/AVERAGEIF('Pemetaan Variant'!$A$5:$A$32,$B25,'Pemetaan Variant'!$D$5:$D$32)*100,"n/a"),"n/a")</f>
        <v>-5.7692307692307674</v>
      </c>
      <c r="F25" s="10">
        <f t="shared" si="0"/>
        <v>-0.19717855221888511</v>
      </c>
      <c r="G25" s="18">
        <f>IFERROR(AVERAGEIF('Pemetaan Variant'!$A$5:$A$32,$B25,'Pemetaan Variant'!$M$5:$M$32),"n/a")</f>
        <v>7000</v>
      </c>
      <c r="H25" s="10">
        <f>IFERROR(IF(ISNUMBER(G25),(G25-AVERAGEIF('Pemetaan Variant'!$A$5:$A$32,$B25,'Pemetaan Variant'!$D$5:$D$32))/AVERAGEIF('Pemetaan Variant'!$A$5:$A$32,$B25,'Pemetaan Variant'!$D$5:$D$32)*100,"n/a"),"n/a")</f>
        <v>-5.7692307692307674</v>
      </c>
      <c r="I25" s="10">
        <f t="shared" si="1"/>
        <v>-0.19717855221888511</v>
      </c>
      <c r="J25" s="18">
        <f>IFERROR(AVERAGEIF('Pemetaan Variant'!$A$5:$A$32,$B25,'Pemetaan Variant'!$N$5:$N$32),"n/a")</f>
        <v>7000</v>
      </c>
      <c r="K25" s="10">
        <f>IFERROR(IF(ISNUMBER(J25),(J25-AVERAGEIF('Pemetaan Variant'!$A$5:$A$32,$B25,'Pemetaan Variant'!$D$5:$D$32))/AVERAGEIF('Pemetaan Variant'!$A$5:$A$32,$B25,'Pemetaan Variant'!$D$5:$D$32)*100,"n/a"),"n/a")</f>
        <v>-5.7692307692307674</v>
      </c>
      <c r="L25" s="10">
        <f t="shared" si="2"/>
        <v>-0.19717855221888511</v>
      </c>
      <c r="M25" s="18">
        <f>IFERROR(AVERAGEIF('Pemetaan Variant'!$A$5:$A$32,$B25,'Pemetaan Variant'!$O$5:$O$32),"n/a")</f>
        <v>7000</v>
      </c>
      <c r="N25" s="10">
        <f>IFERROR(IF(ISNUMBER(M25),(M25-AVERAGEIF('Pemetaan Variant'!$A$5:$A$32,$B25,'Pemetaan Variant'!$D$5:$D$32))/AVERAGEIF('Pemetaan Variant'!$A$5:$A$32,$B25,'Pemetaan Variant'!$D$5:$D$32)*100,"n/a"),"n/a")</f>
        <v>-5.7692307692307674</v>
      </c>
      <c r="O25" s="10">
        <f t="shared" si="3"/>
        <v>-0.19717855221888511</v>
      </c>
      <c r="P25" s="18">
        <f>IFERROR(AVERAGEIF('Pemetaan Variant'!$A$5:$A$32,$B25,'Pemetaan Variant'!$P$5:$P$32),"n/a")</f>
        <v>7000</v>
      </c>
      <c r="Q25" s="10">
        <f>IFERROR(IF(ISNUMBER(P25),(P25-AVERAGEIF('Pemetaan Variant'!$A$5:$A$32,$B25,'Pemetaan Variant'!$D$5:$D$32))/AVERAGEIF('Pemetaan Variant'!$A$5:$A$32,$B25,'Pemetaan Variant'!$D$5:$D$32)*100,"n/a"),"n/a")</f>
        <v>-5.7692307692307674</v>
      </c>
      <c r="R25" s="10">
        <f t="shared" si="4"/>
        <v>-0.19717855221888511</v>
      </c>
      <c r="S25" s="18">
        <f>IFERROR(AVERAGEIF('Pemetaan Variant'!$A$5:$A$32,$B25,'Pemetaan Variant'!$Q$5:$Q$32),"n/a")</f>
        <v>7200</v>
      </c>
      <c r="T25" s="10">
        <f>IFERROR(IF(ISNUMBER(S25),(S25-AVERAGEIF('Pemetaan Variant'!$A$5:$A$32,$B25,'Pemetaan Variant'!$E$5:$E$32))/AVERAGEIF('Pemetaan Variant'!$A$5:$A$32,$B25,'Pemetaan Variant'!$E$5:$E$32)*100,"n/a"),"n/a")</f>
        <v>2.8571428571428572</v>
      </c>
      <c r="U25" s="10">
        <f t="shared" si="5"/>
        <v>9.7650330622685994E-2</v>
      </c>
      <c r="V25" s="18">
        <f>IFERROR(AVERAGEIF('Pemetaan Variant'!$A$5:$A$32,$B25,'Pemetaan Variant'!$R$5:$R$32),"n/a")</f>
        <v>7000</v>
      </c>
      <c r="W25" s="10">
        <f>IFERROR(IF(ISNUMBER(V25),(V25-AVERAGEIF('Pemetaan Variant'!$A$5:$A$32,$B25,'Pemetaan Variant'!$E$5:$E$32))/AVERAGEIF('Pemetaan Variant'!$A$5:$A$32,$B25,'Pemetaan Variant'!$E$5:$E$32)*100,"n/a"),"n/a")</f>
        <v>0</v>
      </c>
      <c r="X25" s="10">
        <f t="shared" si="6"/>
        <v>0</v>
      </c>
      <c r="Y25" s="18">
        <f>IFERROR(AVERAGEIF('Pemetaan Variant'!$A$5:$A$32,$B25,'Pemetaan Variant'!$S$5:$S$32),"n/a")</f>
        <v>7666.666666666667</v>
      </c>
      <c r="Z25" s="10">
        <f>IFERROR(IF(ISNUMBER(Y25),(Y25-AVERAGEIF('Pemetaan Variant'!$A$5:$A$32,$B25,'Pemetaan Variant'!$E$5:$E$32))/AVERAGEIF('Pemetaan Variant'!$A$5:$A$32,$B25,'Pemetaan Variant'!$E$5:$E$32)*100,"n/a"),"n/a")</f>
        <v>9.5238095238095291</v>
      </c>
      <c r="AA25" s="10">
        <f t="shared" si="7"/>
        <v>0.32550110207562016</v>
      </c>
      <c r="AB25" s="18">
        <f>IFERROR(AVERAGEIF('Pemetaan Variant'!$A$5:$A$32,$B25,'Pemetaan Variant'!$T$5:$T$32),"n/a")</f>
        <v>7600</v>
      </c>
      <c r="AC25" s="10">
        <f>IFERROR(IF(ISNUMBER(AB25),(AB25-AVERAGEIF('Pemetaan Variant'!$A$5:$A$32,$B25,'Pemetaan Variant'!$E$5:$E$32))/AVERAGEIF('Pemetaan Variant'!$A$5:$A$32,$B25,'Pemetaan Variant'!$E$5:$E$32)*100,"n/a"),"n/a")</f>
        <v>8.5714285714285712</v>
      </c>
      <c r="AD25" s="10">
        <f t="shared" si="8"/>
        <v>0.29295099186805795</v>
      </c>
      <c r="AE25" s="18">
        <f>IFERROR(AVERAGEIF('Pemetaan Variant'!$A$5:$A$32,$B25,'Pemetaan Variant'!$U$5:$U$32),"n/a")</f>
        <v>8000</v>
      </c>
      <c r="AF25" s="10">
        <f>IFERROR(IF(ISNUMBER(AE25),(AE25-AVERAGEIF('Pemetaan Variant'!$A$5:$A$32,$B25,'Pemetaan Variant'!$F$5:$F$32))/AVERAGEIF('Pemetaan Variant'!$A$5:$A$32,$B25,'Pemetaan Variant'!$F$5:$F$32)*100,"n/a"),"n/a")</f>
        <v>9.0909090909090953</v>
      </c>
      <c r="AG25" s="10">
        <f t="shared" si="9"/>
        <v>0.31070559743581921</v>
      </c>
      <c r="AH25" s="18">
        <f>IFERROR(AVERAGEIF('Pemetaan Variant'!$A$5:$A$32,$B25,'Pemetaan Variant'!$V$5:$V$32),"n/a")</f>
        <v>8000</v>
      </c>
      <c r="AI25" s="10">
        <f>IFERROR(IF(ISNUMBER(AH25),(AH25-AVERAGEIF('Pemetaan Variant'!$A$5:$A$32,$B25,'Pemetaan Variant'!$F$5:$F$32))/AVERAGEIF('Pemetaan Variant'!$A$5:$A$32,$B25,'Pemetaan Variant'!$F$5:$F$32)*100,"n/a"),"n/a")</f>
        <v>9.0909090909090953</v>
      </c>
      <c r="AJ25" s="10">
        <f t="shared" si="10"/>
        <v>0.31070559743581921</v>
      </c>
      <c r="AK25" s="18">
        <f>IFERROR(AVERAGEIF('Pemetaan Variant'!$A$5:$A$32,$B25,'Pemetaan Variant'!$W$5:$W$32),"n/a")</f>
        <v>8000</v>
      </c>
      <c r="AL25" s="10">
        <f>IFERROR(IF(ISNUMBER(AK25),(AK25-AVERAGEIF('Pemetaan Variant'!$A$5:$A$32,$B25,'Pemetaan Variant'!$F$5:$F$32))/AVERAGEIF('Pemetaan Variant'!$A$5:$A$32,$B25,'Pemetaan Variant'!$F$5:$F$32)*100,"n/a"),"n/a")</f>
        <v>9.0909090909090953</v>
      </c>
      <c r="AM25" s="10">
        <f t="shared" si="11"/>
        <v>0.31070559743581921</v>
      </c>
      <c r="AN25" s="18">
        <f>IFERROR(AVERAGEIF('Pemetaan Variant'!$A$5:$A$32,$B25,'Pemetaan Variant'!$X$5:$X$32),"n/a")</f>
        <v>8000</v>
      </c>
      <c r="AO25" s="10">
        <f>IFERROR(IF(ISNUMBER(AN25),(AN25-AVERAGEIF('Pemetaan Variant'!$A$5:$A$32,$B25,'Pemetaan Variant'!$F$5:$F$32))/AVERAGEIF('Pemetaan Variant'!$A$5:$A$32,$B25,'Pemetaan Variant'!$F$5:$F$32)*100,"n/a"),"n/a")</f>
        <v>9.0909090909090953</v>
      </c>
      <c r="AP25" s="10">
        <f t="shared" si="12"/>
        <v>0.31070559743581921</v>
      </c>
      <c r="AQ25" s="18">
        <f>IFERROR(AVERAGEIF('Pemetaan Variant'!$A$5:$A$32,$B25,'Pemetaan Variant'!$Y$5:$Y$32),"n/a")</f>
        <v>8000</v>
      </c>
      <c r="AR25" s="10">
        <f>IFERROR(IF(ISNUMBER(AQ25),(AQ25-AVERAGEIF('Pemetaan Variant'!$A$5:$A$32,$B25,'Pemetaan Variant'!$F$5:$F$32))/AVERAGEIF('Pemetaan Variant'!$A$5:$A$32,$B25,'Pemetaan Variant'!$F$5:$F$32)*100,"n/a"),"n/a")</f>
        <v>9.0909090909090953</v>
      </c>
      <c r="AS25" s="10">
        <f t="shared" si="13"/>
        <v>0.31070559743581921</v>
      </c>
      <c r="AT25" s="18">
        <f>IFERROR(AVERAGEIF('Pemetaan Variant'!$A$5:$A$32,$B25,'Pemetaan Variant'!$Z$5:$Z$32),"n/a")</f>
        <v>8000</v>
      </c>
      <c r="AU25" s="10">
        <f>IFERROR(IF(ISNUMBER(AT25),(AT25-AVERAGEIF('Pemetaan Variant'!$A$5:$A$32,$B25,'Pemetaan Variant'!$G$5:$G$32))/AVERAGEIF('Pemetaan Variant'!$A$5:$A$32,$B25,'Pemetaan Variant'!$G$5:$G$32)*100,"n/a"),"n/a")</f>
        <v>0</v>
      </c>
      <c r="AV25" s="10">
        <f t="shared" si="14"/>
        <v>0</v>
      </c>
      <c r="AW25" s="18">
        <f>IFERROR(AVERAGEIF('Pemetaan Variant'!$A$5:$A$32,$B25,'Pemetaan Variant'!$AA$5:$AA$32),"n/a")</f>
        <v>8000</v>
      </c>
      <c r="AX25" s="10">
        <f>IFERROR(IF(ISNUMBER(AW25),(AW25-AVERAGEIF('Pemetaan Variant'!$A$5:$A$32,$B25,'Pemetaan Variant'!$G$5:$G$32))/AVERAGEIF('Pemetaan Variant'!$A$5:$A$32,$B25,'Pemetaan Variant'!$G$5:$G$32)*100,"n/a"),"n/a")</f>
        <v>0</v>
      </c>
      <c r="AY25" s="10">
        <f t="shared" si="15"/>
        <v>0</v>
      </c>
      <c r="AZ25" s="18">
        <f>IFERROR(AVERAGEIF('Pemetaan Variant'!$A$5:$A$32,$B25,'Pemetaan Variant'!$AB$5:$AB$32),"n/a")</f>
        <v>8000</v>
      </c>
      <c r="BA25" s="10">
        <f>IFERROR(IF(ISNUMBER(AZ25),(AZ25-AVERAGEIF('Pemetaan Variant'!$A$5:$A$32,$B25,'Pemetaan Variant'!$G$5:$G$32))/AVERAGEIF('Pemetaan Variant'!$A$5:$A$32,$B25,'Pemetaan Variant'!$G$5:$G$32)*100,"n/a"),"n/a")</f>
        <v>0</v>
      </c>
      <c r="BB25" s="10">
        <f t="shared" si="16"/>
        <v>0</v>
      </c>
      <c r="BC25" s="18">
        <f>IFERROR(AVERAGEIF('Pemetaan Variant'!$A$5:$A$32,$B25,'Pemetaan Variant'!$AC$5:$AC$32),"n/a")</f>
        <v>8000</v>
      </c>
      <c r="BD25" s="10">
        <f>IFERROR(IF(ISNUMBER(BC25),(BC25-AVERAGEIF('Pemetaan Variant'!$A$5:$A$32,$B25,'Pemetaan Variant'!$G$5:$G$32))/AVERAGEIF('Pemetaan Variant'!$A$5:$A$32,$B25,'Pemetaan Variant'!$G$5:$G$32)*100,"n/a"),"n/a")</f>
        <v>0</v>
      </c>
      <c r="BE25" s="10">
        <f t="shared" si="17"/>
        <v>0</v>
      </c>
      <c r="BF25" s="18">
        <f>IFERROR(AVERAGEIF('Pemetaan Variant'!$A$5:$A$32,$B25,'Pemetaan Variant'!$AD$5:$AD$32),"n/a")</f>
        <v>8000</v>
      </c>
      <c r="BG25" s="10">
        <f>IFERROR(IF(ISNUMBER(BF25),(BF25-AVERAGEIF('Pemetaan Variant'!$A$5:$A$32,$B25,'Pemetaan Variant'!$G$5:$G$32))/AVERAGEIF('Pemetaan Variant'!$A$5:$A$32,$B25,'Pemetaan Variant'!$G$5:$G$32)*100,"n/a"),"n/a")</f>
        <v>0</v>
      </c>
      <c r="BH25" s="10">
        <f t="shared" si="18"/>
        <v>0</v>
      </c>
      <c r="BI25" s="18" t="str">
        <f>IFERROR(AVERAGEIF('Pemetaan Variant'!$A$5:$A$32,$B25,'Pemetaan Variant'!$AE$5:$AE$32),"n/a")</f>
        <v>n/a</v>
      </c>
      <c r="BJ25" s="10" t="str">
        <f>IFERROR(IF(ISNUMBER(BI25),(BI25-AVERAGEIF('Pemetaan Variant'!$A$5:$A$32,$B25,'Pemetaan Variant'!$H$5:$H$32))/AVERAGEIF('Pemetaan Variant'!$A$5:$A$32,$B25,'Pemetaan Variant'!$H$5:$H$32)*100,"n/a"),"n/a")</f>
        <v>n/a</v>
      </c>
      <c r="BK25" s="10" t="str">
        <f t="shared" si="19"/>
        <v>n/a</v>
      </c>
      <c r="BL25" s="18">
        <f>IFERROR(AVERAGEIF('Pemetaan Variant'!$A$5:$A$32,$B25,'Pemetaan Variant'!$AF$5:$AF$32),"n/a")</f>
        <v>8000</v>
      </c>
      <c r="BM25" s="10">
        <f>IFERROR(IF(ISNUMBER(BL25),(BL25-AVERAGEIF('Pemetaan Variant'!$A$5:$A$32,$B25,'Pemetaan Variant'!$H$5:$H$32))/AVERAGEIF('Pemetaan Variant'!$A$5:$A$32,$B25,'Pemetaan Variant'!$H$5:$H$32)*100,"n/a"),"n/a")</f>
        <v>0</v>
      </c>
      <c r="BN25" s="10">
        <f t="shared" si="20"/>
        <v>0</v>
      </c>
      <c r="BO25" s="18">
        <f>IFERROR(AVERAGEIF('Pemetaan Variant'!$A$5:$A$32,$B25,'Pemetaan Variant'!$AG$5:$AG$32),"n/a")</f>
        <v>8000</v>
      </c>
      <c r="BP25" s="10">
        <f>IFERROR(IF(ISNUMBER(BO25),(BO25-AVERAGEIF('Pemetaan Variant'!$A$5:$A$32,$B25,'Pemetaan Variant'!$H$5:$H$32))/AVERAGEIF('Pemetaan Variant'!$A$5:$A$32,$B25,'Pemetaan Variant'!$H$5:$H$32)*100,"n/a"),"n/a")</f>
        <v>0</v>
      </c>
      <c r="BQ25" s="10">
        <f t="shared" si="21"/>
        <v>0</v>
      </c>
      <c r="BR25" s="18">
        <f>IFERROR(AVERAGEIF('Pemetaan Variant'!$A$5:$A$32,$B25,'Pemetaan Variant'!$AH$5:$AH$32),"n/a")</f>
        <v>8000</v>
      </c>
      <c r="BS25" s="10">
        <f>IFERROR(IF(ISNUMBER(BR25),(BR25-AVERAGEIF('Pemetaan Variant'!$A$5:$A$32,$B25,'Pemetaan Variant'!$H$5:$H$32))/AVERAGEIF('Pemetaan Variant'!$A$5:$A$32,$B25,'Pemetaan Variant'!$H$5:$H$32)*100,"n/a"),"n/a")</f>
        <v>0</v>
      </c>
      <c r="BT25" s="10">
        <f t="shared" si="22"/>
        <v>0</v>
      </c>
      <c r="BU25" s="18">
        <f>IFERROR(AVERAGEIF('Pemetaan Variant'!$A$5:$A$32,$B25,'Pemetaan Variant'!$AI$5:$AI$32),"n/a")</f>
        <v>8000</v>
      </c>
      <c r="BV25" s="10">
        <f>IFERROR(IF(ISNUMBER(BU25),(BU25-AVERAGEIF('Pemetaan Variant'!$A$5:$A$32,$B25,'Pemetaan Variant'!$H$5:$H$32))/AVERAGEIF('Pemetaan Variant'!$A$5:$A$32,$B25,'Pemetaan Variant'!$H$5:$H$32)*100,"n/a"),"n/a")</f>
        <v>0</v>
      </c>
      <c r="BW25" s="10">
        <f t="shared" si="23"/>
        <v>0</v>
      </c>
      <c r="BX25" s="18">
        <f>IFERROR(AVERAGEIF('Pemetaan Variant'!$A$5:$A$32,$B25,'Pemetaan Variant'!$AJ$5:$AJ$32),"n/a")</f>
        <v>8000</v>
      </c>
      <c r="BY25" s="10">
        <f>IFERROR(IF(ISNUMBER(BX25),(BX25-AVERAGEIF('Pemetaan Variant'!$A$5:$A$32,$B25,'Pemetaan Variant'!$I$5:$I$32))/AVERAGEIF('Pemetaan Variant'!$A$5:$A$32,$B25,'Pemetaan Variant'!$I$5:$I$32)*100,"n/a"),"n/a")</f>
        <v>0</v>
      </c>
      <c r="BZ25" s="10">
        <f t="shared" si="24"/>
        <v>0</v>
      </c>
      <c r="CA25" s="18">
        <f>IFERROR(AVERAGEIF('Pemetaan Variant'!$A$5:$A$32,$B25,'Pemetaan Variant'!$AK$5:$AK$32),"n/a")</f>
        <v>8000</v>
      </c>
      <c r="CB25" s="10">
        <f>IFERROR(IF(ISNUMBER(CA25),(CA25-AVERAGEIF('Pemetaan Variant'!$A$5:$A$32,$B25,'Pemetaan Variant'!$I$5:$I$32))/AVERAGEIF('Pemetaan Variant'!$A$5:$A$32,$B25,'Pemetaan Variant'!$I$5:$I$32)*100,"n/a"),"n/a")</f>
        <v>0</v>
      </c>
      <c r="CC25" s="10">
        <f t="shared" si="25"/>
        <v>0</v>
      </c>
      <c r="CD25" s="18">
        <f>IFERROR(AVERAGEIF('Pemetaan Variant'!$A$5:$A$32,$B25,'Pemetaan Variant'!$AL$5:$AL$32),"n/a")</f>
        <v>8000</v>
      </c>
      <c r="CE25" s="10">
        <f>IFERROR(IF(ISNUMBER(CD25),(CD25-AVERAGEIF('Pemetaan Variant'!$A$5:$A$32,$B25,'Pemetaan Variant'!$I$5:$I$32))/AVERAGEIF('Pemetaan Variant'!$A$5:$A$32,$B25,'Pemetaan Variant'!$I$5:$I$32)*100,"n/a"),"n/a")</f>
        <v>0</v>
      </c>
      <c r="CF25" s="10">
        <f t="shared" si="26"/>
        <v>0</v>
      </c>
      <c r="CG25" s="18">
        <f>IFERROR(AVERAGEIF('Pemetaan Variant'!$A$5:$A$32,$B25,'Pemetaan Variant'!$AM$5:$AM$32),"n/a")</f>
        <v>8000</v>
      </c>
      <c r="CH25" s="10">
        <f>IFERROR(IF(ISNUMBER(CG25),(CG25-AVERAGEIF('Pemetaan Variant'!$A$5:$A$32,$B25,'Pemetaan Variant'!$I$5:$I$32))/AVERAGEIF('Pemetaan Variant'!$A$5:$A$32,$B25,'Pemetaan Variant'!$I$5:$I$32)*100,"n/a"),"n/a")</f>
        <v>0</v>
      </c>
      <c r="CI25" s="10">
        <f t="shared" si="27"/>
        <v>0</v>
      </c>
      <c r="CJ25" s="18">
        <f>IFERROR(AVERAGEIF('Pemetaan Variant'!$A$5:$A$32,$B25,'Pemetaan Variant'!$AN$5:$AN$32),"n/a")</f>
        <v>8000</v>
      </c>
      <c r="CK25" s="10">
        <f>IFERROR(IF(ISNUMBER(CJ25),(CJ25-AVERAGEIF('Pemetaan Variant'!$A$5:$A$32,$B25,'Pemetaan Variant'!$I$5:$I$32))/AVERAGEIF('Pemetaan Variant'!$A$5:$A$32,$B25,'Pemetaan Variant'!$I$5:$I$32)*100,"n/a"),"n/a")</f>
        <v>0</v>
      </c>
      <c r="CL25" s="10">
        <f t="shared" si="28"/>
        <v>0</v>
      </c>
      <c r="CM25" s="18">
        <f>IFERROR(AVERAGEIF('Pemetaan Variant'!$A$5:$A$32,$B25,'Pemetaan Variant'!$AO$5:$AO$32),"n/a")</f>
        <v>8000</v>
      </c>
      <c r="CN25" s="10">
        <f>IFERROR(IF(ISNUMBER(CM25),(CM25-AVERAGEIF('Pemetaan Variant'!$A$5:$A$32,$B25,'Pemetaan Variant'!$J$5:$J$32))/AVERAGEIF('Pemetaan Variant'!$A$5:$A$32,$B25,'Pemetaan Variant'!$J$5:$J$32)*100,"n/a"),"n/a")</f>
        <v>0</v>
      </c>
      <c r="CO25" s="10">
        <f t="shared" si="29"/>
        <v>0</v>
      </c>
      <c r="CP25" s="18">
        <f>IFERROR(AVERAGEIF('Pemetaan Variant'!$A$5:$A$32,$B25,'Pemetaan Variant'!$AP$5:$AP$32),"n/a")</f>
        <v>8000</v>
      </c>
      <c r="CQ25" s="10">
        <f>IFERROR(IF(ISNUMBER(CP25),(CP25-AVERAGEIF('Pemetaan Variant'!$A$5:$A$32,$B25,'Pemetaan Variant'!$J$5:$J$32))/AVERAGEIF('Pemetaan Variant'!$A$5:$A$32,$B25,'Pemetaan Variant'!$J$5:$J$32)*100,"n/a"),"n/a")</f>
        <v>0</v>
      </c>
      <c r="CR25" s="10">
        <f t="shared" si="30"/>
        <v>0</v>
      </c>
      <c r="CS25" s="18">
        <f>IFERROR(AVERAGEIF('Pemetaan Variant'!$A$5:$A$32,$B25,'Pemetaan Variant'!$AQ$5:$AQ$32),"n/a")</f>
        <v>8000</v>
      </c>
      <c r="CT25" s="10">
        <f>IFERROR(IF(ISNUMBER(CS25),(CS25-AVERAGEIF('Pemetaan Variant'!$A$5:$A$32,$B25,'Pemetaan Variant'!$J$5:$J$32))/AVERAGEIF('Pemetaan Variant'!$A$5:$A$32,$B25,'Pemetaan Variant'!$J$5:$J$32)*100,"n/a"),"n/a")</f>
        <v>0</v>
      </c>
      <c r="CU25" s="10">
        <f t="shared" si="31"/>
        <v>0</v>
      </c>
      <c r="CV25" s="18">
        <f>IFERROR(AVERAGEIF('Pemetaan Variant'!$A$5:$A$32,$B25,'Pemetaan Variant'!$AR$5:$AR$32),"n/a")</f>
        <v>8000</v>
      </c>
      <c r="CW25" s="10">
        <f>IFERROR(IF(ISNUMBER(CV25),(CV25-AVERAGEIF('Pemetaan Variant'!$A$5:$A$32,$B25,'Pemetaan Variant'!$J$5:$J$32))/AVERAGEIF('Pemetaan Variant'!$A$5:$A$32,$B25,'Pemetaan Variant'!$J$5:$J$32)*100,"n/a"),"n/a")</f>
        <v>0</v>
      </c>
      <c r="CX25" s="10">
        <f t="shared" si="32"/>
        <v>0</v>
      </c>
      <c r="CY25" s="18">
        <f>IFERROR(AVERAGEIF('Pemetaan Variant'!$A$5:$A$32,$B25,'Pemetaan Variant'!$AS$5:$AS$32),"n/a")</f>
        <v>8000</v>
      </c>
      <c r="CZ25" s="10">
        <f>IFERROR(IF(ISNUMBER(CY25),(CY25-AVERAGEIF('Pemetaan Variant'!$A$5:$A$32,$B25,'Pemetaan Variant'!$J$5:$J$32))/AVERAGEIF('Pemetaan Variant'!$A$5:$A$32,$B25,'Pemetaan Variant'!$J$5:$J$32)*100,"n/a"),"n/a")</f>
        <v>0</v>
      </c>
      <c r="DA25" s="10">
        <f t="shared" si="33"/>
        <v>0</v>
      </c>
      <c r="DB25" s="18">
        <f>IFERROR(AVERAGEIF('Pemetaan Variant'!$A$5:$A$32,$B25,'Pemetaan Variant'!$AT$5:$AT$32),"n/a")</f>
        <v>8000</v>
      </c>
      <c r="DC25" s="10">
        <f>IFERROR(IF(ISNUMBER(DB25),(DB25-AVERAGEIF('Pemetaan Variant'!$A$5:$A$32,$B25,'Pemetaan Variant'!$K$5:$K$32))/AVERAGEIF('Pemetaan Variant'!$A$5:$A$32,$B25,'Pemetaan Variant'!$K$5:$K$32)*100,"n/a"),"n/a")</f>
        <v>0</v>
      </c>
      <c r="DD25" s="10">
        <f t="shared" si="34"/>
        <v>0</v>
      </c>
      <c r="DE25" s="18">
        <f>IFERROR(AVERAGEIF('Pemetaan Variant'!$A$5:$A$32,$B25,'Pemetaan Variant'!$AU$5:$AU$32),"n/a")</f>
        <v>8000</v>
      </c>
      <c r="DF25" s="10">
        <f>IFERROR(IF(ISNUMBER(DE25),(DE25-AVERAGEIF('Pemetaan Variant'!$A$5:$A$32,$B25,'Pemetaan Variant'!$K$5:$K$32))/AVERAGEIF('Pemetaan Variant'!$A$5:$A$32,$B25,'Pemetaan Variant'!$K$5:$K$32)*100,"n/a"),"n/a")</f>
        <v>0</v>
      </c>
      <c r="DG25" s="10">
        <f t="shared" si="35"/>
        <v>0</v>
      </c>
      <c r="DH25" s="18">
        <f>IFERROR(AVERAGEIF('Pemetaan Variant'!$A$5:$A$32,$B25,'Pemetaan Variant'!$AV$5:$AV$32),"n/a")</f>
        <v>8000</v>
      </c>
      <c r="DI25" s="10">
        <f>IFERROR(IF(ISNUMBER(DH25),(DH25-AVERAGEIF('Pemetaan Variant'!$A$5:$A$32,$B25,'Pemetaan Variant'!$K$5:$K$32))/AVERAGEIF('Pemetaan Variant'!$A$5:$A$32,$B25,'Pemetaan Variant'!$K$5:$K$32)*100,"n/a"),"n/a")</f>
        <v>0</v>
      </c>
      <c r="DJ25" s="10">
        <f t="shared" si="36"/>
        <v>0</v>
      </c>
      <c r="DK25" s="18">
        <f>IFERROR(AVERAGEIF('Pemetaan Variant'!$A$5:$A$32,$B25,'Pemetaan Variant'!$AW$5:$AW$32),"n/a")</f>
        <v>8000</v>
      </c>
      <c r="DL25" s="10">
        <f>IFERROR(IF(ISNUMBER(DK25),(DK25-AVERAGEIF('Pemetaan Variant'!$A$5:$A$32,$B25,'Pemetaan Variant'!$K$5:$K$32))/AVERAGEIF('Pemetaan Variant'!$A$5:$A$32,$B25,'Pemetaan Variant'!$K$5:$K$32)*100,"n/a"),"n/a")</f>
        <v>0</v>
      </c>
      <c r="DM25" s="10">
        <f t="shared" si="37"/>
        <v>0</v>
      </c>
      <c r="DN25" s="19">
        <f>IFERROR(AVERAGEIF('Pemetaan Variant'!$A$5:$A$32,$B25,'Pemetaan Variant'!$AZ$5:$AZ$32),"n/a")</f>
        <v>8000</v>
      </c>
      <c r="DO25" s="14">
        <f>IFERROR(IF(ISNUMBER(DN25),(DN25-AVERAGEIF('Pemetaan Variant'!$A$5:$A$32,$B25,'Pemetaan Variant'!$AY$5:$AY$32))/AVERAGEIF('Pemetaan Variant'!$A$5:$A$32,$B25,'Pemetaan Variant'!$AY$5:$AY$32)*100,"n/a"),"n/a")</f>
        <v>0</v>
      </c>
      <c r="DP25" s="14">
        <f t="shared" si="38"/>
        <v>0</v>
      </c>
      <c r="DQ25" s="19" t="str">
        <f>IFERROR(AVERAGEIF('Pemetaan Variant'!$A$5:$A$32,$B25,'Pemetaan Variant'!$BA$5:$BA$32),"n/a")</f>
        <v>n/a</v>
      </c>
      <c r="DR25" s="14" t="str">
        <f>IFERROR(IF(ISNUMBER(DQ25),(DQ25-AVERAGEIF('Pemetaan Variant'!$A$5:$A$32,$B25,'Pemetaan Variant'!$AY$5:$AY$32))/AVERAGEIF('Pemetaan Variant'!$A$5:$A$32,$B25,'Pemetaan Variant'!$AY$5:$AY$32)*100,"n/a"),"n/a")</f>
        <v>n/a</v>
      </c>
      <c r="DS25" s="14" t="str">
        <f t="shared" si="39"/>
        <v>n/a</v>
      </c>
      <c r="DT25" s="19" t="str">
        <f>IFERROR(AVERAGEIF('Pemetaan Variant'!$A$5:$A$32,$B25,'Pemetaan Variant'!$BB$5:$BB$32),"n/a")</f>
        <v>n/a</v>
      </c>
      <c r="DU25" s="14" t="str">
        <f>IFERROR(IF(ISNUMBER(DT25),(DT25-AVERAGEIF('Pemetaan Variant'!$A$5:$A$32,$B25,'Pemetaan Variant'!$AY$5:$AY$32))/AVERAGEIF('Pemetaan Variant'!$A$5:$A$32,$B25,'Pemetaan Variant'!$AY$5:$AY$32)*100,"n/a"),"n/a")</f>
        <v>n/a</v>
      </c>
      <c r="DV25" s="14" t="str">
        <f t="shared" si="40"/>
        <v>n/a</v>
      </c>
      <c r="DW25" s="19" t="str">
        <f>IFERROR(AVERAGEIF('Pemetaan Variant'!$A$5:$A$32,$B25,'Pemetaan Variant'!$BC$5:$BC$32),"n/a")</f>
        <v>n/a</v>
      </c>
      <c r="DX25" s="14" t="str">
        <f>IFERROR(IF(ISNUMBER(DW25),(DW25-AVERAGEIF('Pemetaan Variant'!$A$5:$A$32,$B25,'Pemetaan Variant'!$AY$5:$AY$32))/AVERAGEIF('Pemetaan Variant'!$A$5:$A$32,$B25,'Pemetaan Variant'!$AY$5:$AY$32)*100,"n/a"),"n/a")</f>
        <v>n/a</v>
      </c>
      <c r="DY25" s="14" t="str">
        <f t="shared" si="41"/>
        <v>n/a</v>
      </c>
      <c r="DZ25" s="19" t="str">
        <f>IFERROR(AVERAGEIF('Pemetaan Variant'!$A$5:$A$32,$B25,'Pemetaan Variant'!$BD$5:$BD$32),"n/a")</f>
        <v>n/a</v>
      </c>
      <c r="EA25" s="14" t="str">
        <f>IFERROR(IF(ISNUMBER(DZ25),(DZ25-AVERAGEIF('Pemetaan Variant'!$A$5:$A$32,$B25,'Pemetaan Variant'!$AY$5:$AY$32))/AVERAGEIF('Pemetaan Variant'!$A$5:$A$32,$B25,'Pemetaan Variant'!$AY$5:$AY$32)*100,"n/a"),"n/a")</f>
        <v>n/a</v>
      </c>
      <c r="EB25" s="14" t="str">
        <f t="shared" si="42"/>
        <v>n/a</v>
      </c>
      <c r="ED25" s="14">
        <f>IFERROR(ABS(F25),0)</f>
        <v>0.19717855221888511</v>
      </c>
      <c r="EE25" s="14">
        <f>IFERROR(ABS(I25),0)</f>
        <v>0.19717855221888511</v>
      </c>
      <c r="EF25" s="14">
        <f>IFERROR(ABS(L25),0)</f>
        <v>0.19717855221888511</v>
      </c>
      <c r="EG25" s="14">
        <f>IFERROR(ABS(O25),0)</f>
        <v>0.19717855221888511</v>
      </c>
      <c r="EH25" s="14">
        <f>IFERROR(ABS(R25),0)</f>
        <v>0.19717855221888511</v>
      </c>
      <c r="EI25" s="14">
        <f>IFERROR(ABS(U25),0)</f>
        <v>9.7650330622685994E-2</v>
      </c>
      <c r="EJ25" s="14">
        <f>IFERROR(ABS(X25),0)</f>
        <v>0</v>
      </c>
      <c r="EK25" s="14">
        <f>IFERROR(ABS(AA25),0)</f>
        <v>0.32550110207562016</v>
      </c>
      <c r="EL25" s="14">
        <f>IFERROR(ABS(AD25),0)</f>
        <v>0.29295099186805795</v>
      </c>
      <c r="EM25" s="14">
        <f>IFERROR(ABS(AG25),0)</f>
        <v>0.31070559743581921</v>
      </c>
      <c r="EN25" s="14">
        <f>IFERROR(ABS(AJ25),0)</f>
        <v>0.31070559743581921</v>
      </c>
      <c r="EO25" s="14">
        <f>IFERROR(ABS(AM25),0)</f>
        <v>0.31070559743581921</v>
      </c>
      <c r="EP25" s="14">
        <f>IFERROR(ABS(AP25),0)</f>
        <v>0.31070559743581921</v>
      </c>
      <c r="EQ25" s="14">
        <f>IFERROR(ABS(AS25),0)</f>
        <v>0.31070559743581921</v>
      </c>
      <c r="ER25" s="14">
        <f>IFERROR(ABS(AV25),0)</f>
        <v>0</v>
      </c>
      <c r="ES25" s="14">
        <f>IFERROR(ABS(AY25),0)</f>
        <v>0</v>
      </c>
      <c r="ET25" s="14">
        <f>IFERROR(ABS(BB25),0)</f>
        <v>0</v>
      </c>
      <c r="EU25" s="14">
        <f>IFERROR(ABS(BE25),0)</f>
        <v>0</v>
      </c>
      <c r="EV25" s="14">
        <f>IFERROR(ABS(BH25),0)</f>
        <v>0</v>
      </c>
      <c r="EW25" s="14">
        <f>IFERROR(ABS(BK25),0)</f>
        <v>0</v>
      </c>
      <c r="EX25" s="14">
        <f>IFERROR(ABS(BN25),0)</f>
        <v>0</v>
      </c>
      <c r="EY25" s="14">
        <f>IFERROR(ABS(BQ25),0)</f>
        <v>0</v>
      </c>
      <c r="EZ25" s="14">
        <f>IFERROR(ABS(BT25),0)</f>
        <v>0</v>
      </c>
      <c r="FA25" s="14">
        <f>IFERROR(ABS(BW25),0)</f>
        <v>0</v>
      </c>
      <c r="FB25" s="14">
        <f>IFERROR(ABS(BZ25),0)</f>
        <v>0</v>
      </c>
      <c r="FC25" s="14">
        <f>IFERROR(ABS(CC25),0)</f>
        <v>0</v>
      </c>
      <c r="FD25" s="14">
        <f>IFERROR(ABS(CF25),0)</f>
        <v>0</v>
      </c>
      <c r="FE25" s="14">
        <f>IFERROR(ABS(CI25),0)</f>
        <v>0</v>
      </c>
      <c r="FF25" s="14">
        <f>IFERROR(ABS(CL25),0)</f>
        <v>0</v>
      </c>
      <c r="FG25" s="14">
        <f>IFERROR(ABS(CO25),0)</f>
        <v>0</v>
      </c>
      <c r="FH25" s="14">
        <f>IFERROR(ABS(CR25),0)</f>
        <v>0</v>
      </c>
      <c r="FI25" s="14">
        <f>IFERROR(ABS(CU25),0)</f>
        <v>0</v>
      </c>
      <c r="FJ25" s="14">
        <f>IFERROR(ABS(CX25),0)</f>
        <v>0</v>
      </c>
      <c r="FK25" s="14">
        <f>IFERROR(ABS(DA25),0)</f>
        <v>0</v>
      </c>
      <c r="FL25" s="14">
        <f>IFERROR(ABS(DD25),0)</f>
        <v>0</v>
      </c>
      <c r="FM25" s="14">
        <f>IFERROR(ABS(DG25),0)</f>
        <v>0</v>
      </c>
      <c r="FN25" s="14">
        <f>IFERROR(ABS(DJ25),0)</f>
        <v>0</v>
      </c>
      <c r="FO25" s="14">
        <f>IFERROR(ABS(DM25),0)</f>
        <v>0</v>
      </c>
      <c r="FP25" s="14">
        <f>IFERROR(ABS(#REF!),0)</f>
        <v>0</v>
      </c>
      <c r="FQ25" s="14">
        <f t="shared" si="43"/>
        <v>0</v>
      </c>
      <c r="FR25" s="14">
        <f t="shared" si="44"/>
        <v>0</v>
      </c>
      <c r="FS25" s="14">
        <f t="shared" si="45"/>
        <v>0</v>
      </c>
      <c r="FT25" s="14">
        <f t="shared" si="46"/>
        <v>0</v>
      </c>
      <c r="FU25" s="14">
        <f t="shared" si="47"/>
        <v>0</v>
      </c>
    </row>
    <row r="26" spans="1:177" ht="21.75" customHeight="1" x14ac:dyDescent="0.35">
      <c r="B26" s="20" t="s">
        <v>207</v>
      </c>
      <c r="D26" s="21"/>
      <c r="E26" s="21"/>
      <c r="F26" s="22">
        <f>IF(COUNT(F6:F25)=0,"Data tidak tersedia",SUM(F6:F25))</f>
        <v>7.4147116119730738E-3</v>
      </c>
      <c r="G26" s="21"/>
      <c r="H26" s="21"/>
      <c r="I26" s="22">
        <f>IF(COUNT(I6:I25)=0,"Data tidak tersedia",SUM(I6:I25))</f>
        <v>7.4147116119730738E-3</v>
      </c>
      <c r="J26" s="21"/>
      <c r="K26" s="21"/>
      <c r="L26" s="22">
        <f>IF(COUNT(L6:L25)=0,"Data tidak tersedia",SUM(L6:L25))</f>
        <v>-2.5212905308740957E-2</v>
      </c>
      <c r="M26" s="21"/>
      <c r="N26" s="21"/>
      <c r="O26" s="22">
        <f>IF(COUNT(O6:O25)=0,"Data tidak tersedia",SUM(O6:O25))</f>
        <v>0.24701178713935304</v>
      </c>
      <c r="P26" s="21"/>
      <c r="Q26" s="21"/>
      <c r="R26" s="22">
        <f>IF(COUNT(R6:R25)=0,"Data tidak tersedia",SUM(R6:R25))</f>
        <v>0.49375014927951022</v>
      </c>
      <c r="S26" s="21"/>
      <c r="T26" s="21"/>
      <c r="U26" s="22">
        <f>IF(COUNT(U6:U25)=0,"Data tidak tersedia",SUM(U6:U25))</f>
        <v>2.1969477290745854</v>
      </c>
      <c r="V26" s="21"/>
      <c r="W26" s="21"/>
      <c r="X26" s="22">
        <f>IF(COUNT(X6:X25)=0,"Data tidak tersedia",SUM(X6:X25))</f>
        <v>0.68139888358588108</v>
      </c>
      <c r="Y26" s="21"/>
      <c r="Z26" s="21"/>
      <c r="AA26" s="22">
        <f>IF(COUNT(AA6:AA25)=0,"Data tidak tersedia",SUM(AA6:AA25))</f>
        <v>7.1853198662371245</v>
      </c>
      <c r="AB26" s="21"/>
      <c r="AC26" s="21"/>
      <c r="AD26" s="22">
        <f>IF(COUNT(AD6:AD25)=0,"Data tidak tersedia",SUM(AD6:AD25))</f>
        <v>6.7936501153731657</v>
      </c>
      <c r="AE26" s="21"/>
      <c r="AF26" s="21"/>
      <c r="AG26" s="22">
        <f>IF(COUNT(AG6:AG25)=0,"Data tidak tersedia",SUM(AG6:AG25))</f>
        <v>4.6883640124729524</v>
      </c>
      <c r="AH26" s="21"/>
      <c r="AI26" s="21"/>
      <c r="AJ26" s="22">
        <f>IF(COUNT(AJ6:AJ25)=0,"Data tidak tersedia",SUM(AJ6:AJ25))</f>
        <v>5.3267320384440549</v>
      </c>
      <c r="AK26" s="21"/>
      <c r="AL26" s="21"/>
      <c r="AM26" s="22">
        <f>IF(COUNT(AM6:AM25)=0,"Data tidak tersedia",SUM(AM6:AM25))</f>
        <v>7.4413093860669539</v>
      </c>
      <c r="AN26" s="21"/>
      <c r="AO26" s="21"/>
      <c r="AP26" s="22">
        <f>IF(COUNT(AP6:AP25)=0,"Data tidak tersedia",SUM(AP6:AP25))</f>
        <v>6.3668818249402932</v>
      </c>
      <c r="AQ26" s="21"/>
      <c r="AR26" s="21"/>
      <c r="AS26" s="22">
        <f>IF(COUNT(AS6:AS25)=0,"Data tidak tersedia",SUM(AS6:AS25))</f>
        <v>5.9991494934689582</v>
      </c>
      <c r="AT26" s="21"/>
      <c r="AU26" s="21"/>
      <c r="AV26" s="22">
        <f>IF(COUNT(AV6:AV25)=0,"Data tidak tersedia",SUM(AV6:AV25))</f>
        <v>-0.38464926409094707</v>
      </c>
      <c r="AW26" s="21"/>
      <c r="AX26" s="21"/>
      <c r="AY26" s="22">
        <f>IF(COUNT(AY6:AY25)=0,"Data tidak tersedia",SUM(AY6:AY25))</f>
        <v>-0.75503837006622265</v>
      </c>
      <c r="AZ26" s="21"/>
      <c r="BA26" s="21"/>
      <c r="BB26" s="22">
        <f>IF(COUNT(BB6:BB25)=0,"Data tidak tersedia",SUM(BB6:BB25))</f>
        <v>-0.92014614566006225</v>
      </c>
      <c r="BC26" s="21"/>
      <c r="BD26" s="21"/>
      <c r="BE26" s="22">
        <f>IF(COUNT(BE6:BE25)=0,"Data tidak tersedia",SUM(BE6:BE25))</f>
        <v>-0.32346223261614754</v>
      </c>
      <c r="BF26" s="21"/>
      <c r="BG26" s="21"/>
      <c r="BH26" s="22">
        <f>IF(COUNT(BH6:BH25)=0,"Data tidak tersedia",SUM(BH6:BH25))</f>
        <v>-0.26717913411427036</v>
      </c>
      <c r="BI26" s="21"/>
      <c r="BJ26" s="21"/>
      <c r="BK26" s="22" t="str">
        <f>IF(COUNT(BK6:BK25)=0,"Data tidak tersedia",SUM(BK6:BK25))</f>
        <v>Data tidak tersedia</v>
      </c>
      <c r="BL26" s="21"/>
      <c r="BM26" s="21"/>
      <c r="BN26" s="22">
        <f>IF(COUNT(BN6:BN25)=0,"Data tidak tersedia",SUM(BN6:BN25))</f>
        <v>1.4009085421037328</v>
      </c>
      <c r="BO26" s="21"/>
      <c r="BP26" s="21"/>
      <c r="BQ26" s="22">
        <f>IF(COUNT(BQ6:BQ25)=0,"Data tidak tersedia",SUM(BQ6:BQ25))</f>
        <v>1.7151216318164131</v>
      </c>
      <c r="BR26" s="21"/>
      <c r="BS26" s="21"/>
      <c r="BT26" s="22">
        <f>IF(COUNT(BT6:BT25)=0,"Data tidak tersedia",SUM(BT6:BT25))</f>
        <v>1.5616208688279969</v>
      </c>
      <c r="BU26" s="21"/>
      <c r="BV26" s="21"/>
      <c r="BW26" s="22">
        <f>IF(COUNT(BW6:BW25)=0,"Data tidak tersedia",SUM(BW6:BW25))</f>
        <v>1.2614987590852405</v>
      </c>
      <c r="BX26" s="21"/>
      <c r="BY26" s="21"/>
      <c r="BZ26" s="22">
        <f>IF(COUNT(BZ6:BZ25)=0,"Data tidak tersedia",SUM(BZ6:BZ25))</f>
        <v>-1.1035300827299295</v>
      </c>
      <c r="CA26" s="21"/>
      <c r="CB26" s="21"/>
      <c r="CC26" s="22">
        <f>IF(COUNT(CC6:CC25)=0,"Data tidak tersedia",SUM(CC6:CC25))</f>
        <v>-1.5445377878978053</v>
      </c>
      <c r="CD26" s="21"/>
      <c r="CE26" s="21"/>
      <c r="CF26" s="22">
        <f>IF(COUNT(CF6:CF25)=0,"Data tidak tersedia",SUM(CF6:CF25))</f>
        <v>-1.4925761098797157</v>
      </c>
      <c r="CG26" s="21"/>
      <c r="CH26" s="21"/>
      <c r="CI26" s="22">
        <f>IF(COUNT(CI6:CI25)=0,"Data tidak tersedia",SUM(CI6:CI25))</f>
        <v>-1.9940819144313875</v>
      </c>
      <c r="CJ26" s="21"/>
      <c r="CK26" s="21"/>
      <c r="CL26" s="22">
        <f>IF(COUNT(CL6:CL25)=0,"Data tidak tersedia",SUM(CL6:CL25))</f>
        <v>-2.0753592302148625</v>
      </c>
      <c r="CM26" s="21"/>
      <c r="CN26" s="21"/>
      <c r="CO26" s="22">
        <f>IF(COUNT(CO6:CO25)=0,"Data tidak tersedia",SUM(CO6:CO25))</f>
        <v>-0.66553396636714413</v>
      </c>
      <c r="CP26" s="21"/>
      <c r="CQ26" s="21"/>
      <c r="CR26" s="22">
        <f>IF(COUNT(CR6:CR25)=0,"Data tidak tersedia",SUM(CR6:CR25))</f>
        <v>-0.72863384193094416</v>
      </c>
      <c r="CS26" s="21"/>
      <c r="CT26" s="21"/>
      <c r="CU26" s="22">
        <f>IF(COUNT(CU6:CU25)=0,"Data tidak tersedia",SUM(CU6:CU25))</f>
        <v>-0.72863384193094416</v>
      </c>
      <c r="CV26" s="21"/>
      <c r="CW26" s="21"/>
      <c r="CX26" s="22">
        <f>IF(COUNT(CX6:CX25)=0,"Data tidak tersedia",SUM(CX6:CX25))</f>
        <v>-0.65824272080091017</v>
      </c>
      <c r="CY26" s="21"/>
      <c r="CZ26" s="21"/>
      <c r="DA26" s="22">
        <f>IF(COUNT(DA6:DA25)=0,"Data tidak tersedia",SUM(DA6:DA25))</f>
        <v>-0.39149994722384684</v>
      </c>
      <c r="DB26" s="21"/>
      <c r="DC26" s="21"/>
      <c r="DD26" s="22">
        <f>IF(COUNT(DD6:DD25)=0,"Data tidak tersedia",SUM(DD6:DD25))</f>
        <v>2.7917547436037138E-3</v>
      </c>
      <c r="DE26" s="21"/>
      <c r="DF26" s="21"/>
      <c r="DG26" s="22">
        <f>IF(COUNT(DG6:DG25)=0,"Data tidak tersedia",SUM(DG6:DG25))</f>
        <v>-9.8618656525468446E-2</v>
      </c>
      <c r="DH26" s="21"/>
      <c r="DI26" s="21"/>
      <c r="DJ26" s="22">
        <f>IF(COUNT(DJ6:DJ25)=0,"Data tidak tersedia",SUM(DJ6:DJ25))</f>
        <v>0.13824681229589061</v>
      </c>
      <c r="DK26" s="21"/>
      <c r="DL26" s="21"/>
      <c r="DM26" s="22">
        <f>IF(COUNT(DM6:DM25)=0,"Data tidak tersedia",SUM(DM6:DM25))</f>
        <v>0.35800882943232715</v>
      </c>
      <c r="DN26" s="23"/>
      <c r="DO26" s="23"/>
      <c r="DP26" s="24">
        <f>IF(COUNT(DP6:DP25)=0,"Data tidak tersedia",SUM(DP6:DP25))</f>
        <v>0.30409181434485971</v>
      </c>
      <c r="DQ26" s="23"/>
      <c r="DR26" s="23"/>
      <c r="DS26" s="24" t="str">
        <f>IF(COUNT(DS6:DS25)=0,"Data tidak tersedia",SUM(DS6:DS25))</f>
        <v>Data tidak tersedia</v>
      </c>
      <c r="DT26" s="23"/>
      <c r="DU26" s="23"/>
      <c r="DV26" s="24" t="str">
        <f>IF(COUNT(DV6:DV25)=0,"Data tidak tersedia",SUM(DV6:DV25))</f>
        <v>Data tidak tersedia</v>
      </c>
      <c r="DW26" s="23"/>
      <c r="DX26" s="23"/>
      <c r="DY26" s="24" t="str">
        <f>IF(COUNT(DY6:DY25)=0,"Data tidak tersedia",SUM(DY6:DY25))</f>
        <v>Data tidak tersedia</v>
      </c>
      <c r="DZ26" s="23"/>
      <c r="EA26" s="23"/>
      <c r="EB26" s="24" t="str">
        <f>IF(COUNT(EB6:EB25)=0,"Data tidak tersedia",SUM(EB6:EB25))</f>
        <v>Data tidak tersedia</v>
      </c>
    </row>
  </sheetData>
  <mergeCells count="45">
    <mergeCell ref="DZ4:EB4"/>
    <mergeCell ref="DN4:DP4"/>
    <mergeCell ref="DQ4:DS4"/>
    <mergeCell ref="DT4:DV4"/>
    <mergeCell ref="DW4:DY4"/>
    <mergeCell ref="CY4:DA4"/>
    <mergeCell ref="DB4:DD4"/>
    <mergeCell ref="DE4:DG4"/>
    <mergeCell ref="DH4:DJ4"/>
    <mergeCell ref="DK4:DM4"/>
    <mergeCell ref="CJ4:CL4"/>
    <mergeCell ref="CM4:CO4"/>
    <mergeCell ref="CP4:CR4"/>
    <mergeCell ref="CS4:CU4"/>
    <mergeCell ref="CV4:CX4"/>
    <mergeCell ref="BU4:BW4"/>
    <mergeCell ref="BX4:BZ4"/>
    <mergeCell ref="CA4:CC4"/>
    <mergeCell ref="CD4:CF4"/>
    <mergeCell ref="CG4:CI4"/>
    <mergeCell ref="BF4:BH4"/>
    <mergeCell ref="BI4:BK4"/>
    <mergeCell ref="BL4:BN4"/>
    <mergeCell ref="BO4:BQ4"/>
    <mergeCell ref="BR4:BT4"/>
    <mergeCell ref="AQ4:AS4"/>
    <mergeCell ref="AT4:AV4"/>
    <mergeCell ref="AW4:AY4"/>
    <mergeCell ref="AZ4:BB4"/>
    <mergeCell ref="BC4:BE4"/>
    <mergeCell ref="AB4:AD4"/>
    <mergeCell ref="AE4:AG4"/>
    <mergeCell ref="AH4:AJ4"/>
    <mergeCell ref="AK4:AM4"/>
    <mergeCell ref="AN4:AP4"/>
    <mergeCell ref="M4:O4"/>
    <mergeCell ref="P4:R4"/>
    <mergeCell ref="S4:U4"/>
    <mergeCell ref="V4:X4"/>
    <mergeCell ref="Y4:AA4"/>
    <mergeCell ref="A1:F1"/>
    <mergeCell ref="A2:F2"/>
    <mergeCell ref="D4:F4"/>
    <mergeCell ref="G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7"/>
  <sheetViews>
    <sheetView showGridLines="0" tabSelected="1" topLeftCell="A305" zoomScaleNormal="100" workbookViewId="0">
      <selection activeCell="J315" sqref="J315"/>
    </sheetView>
  </sheetViews>
  <sheetFormatPr defaultColWidth="8.6328125" defaultRowHeight="14.5" x14ac:dyDescent="0.35"/>
  <cols>
    <col min="1" max="1" width="9" customWidth="1"/>
    <col min="2" max="2" width="24" customWidth="1"/>
    <col min="3" max="3" width="11" customWidth="1"/>
    <col min="4" max="4" width="16" customWidth="1"/>
    <col min="5" max="5" width="14" customWidth="1"/>
    <col min="6" max="6" width="26" customWidth="1"/>
  </cols>
  <sheetData>
    <row r="1" spans="1:6" ht="15" customHeight="1" x14ac:dyDescent="0.35">
      <c r="A1" s="5" t="s">
        <v>208</v>
      </c>
      <c r="B1" s="5"/>
      <c r="C1" s="5"/>
      <c r="D1" s="5"/>
      <c r="E1" s="5"/>
      <c r="F1" s="5"/>
    </row>
    <row r="2" spans="1:6" ht="18.75" customHeight="1" x14ac:dyDescent="0.35">
      <c r="A2" s="4" t="s">
        <v>209</v>
      </c>
      <c r="B2" s="4"/>
      <c r="C2" s="4"/>
      <c r="D2" s="4"/>
      <c r="E2" s="4"/>
      <c r="F2" s="4"/>
    </row>
    <row r="4" spans="1:6" ht="15" customHeight="1" x14ac:dyDescent="0.35">
      <c r="A4" s="2" t="s">
        <v>210</v>
      </c>
      <c r="B4" s="2"/>
      <c r="C4" s="2"/>
      <c r="D4" s="2"/>
      <c r="E4" s="2"/>
      <c r="F4" s="2"/>
    </row>
    <row r="5" spans="1:6" ht="21.75" customHeight="1" x14ac:dyDescent="0.35">
      <c r="A5" s="6" t="s">
        <v>211</v>
      </c>
      <c r="B5" s="6" t="s">
        <v>212</v>
      </c>
      <c r="C5" s="6" t="s">
        <v>139</v>
      </c>
      <c r="D5" s="6" t="s">
        <v>213</v>
      </c>
      <c r="E5" s="6" t="s">
        <v>214</v>
      </c>
      <c r="F5" s="6" t="s">
        <v>215</v>
      </c>
    </row>
    <row r="6" spans="1:6" ht="15" customHeight="1" x14ac:dyDescent="0.35">
      <c r="A6" s="8">
        <v>1</v>
      </c>
      <c r="B6" s="9" t="str">
        <f>IFERROR(INDEX('Perhitungan IPH Mingguan 2026'!$B$6:$B$25,MATCH(LARGE('Perhitungan IPH Mingguan 2026'!$DO$6:$DO$25,1),'Perhitungan IPH Mingguan 2026'!$DO$6:$DO$25,0)),"-")</f>
        <v>cabai rawit 01173013</v>
      </c>
      <c r="C6" s="10">
        <f>IFERROR(INDEX('Perhitungan IPH Mingguan 2026'!$C$6:$C$25,MATCH(LARGE('Perhitungan IPH Mingguan 2026'!$DO$6:$DO$25,1),'Perhitungan IPH Mingguan 2026'!$DO$6:$DO$25,0)),"")</f>
        <v>1.7701732362870599E-2</v>
      </c>
      <c r="D6" s="25">
        <f>IFERROR(INDEX('Perhitungan IPH Mingguan 2026'!$E$6:$E$25,MATCH(LARGE('Perhitungan IPH Mingguan 2026'!$DO$6:$DO$25,1),'Perhitungan IPH Mingguan 2026'!$DO$6:$DO$25,0)),"")</f>
        <v>8.4337349397590309</v>
      </c>
      <c r="E6" s="10">
        <f>IFERROR(INDEX('Perhitungan IPH Mingguan 2026'!$F$6:$F$25,MATCH(LARGE('Perhitungan IPH Mingguan 2026'!$DO$6:$DO$25,1),'Perhitungan IPH Mingguan 2026'!$DO$6:$DO$25,0)),"")</f>
        <v>0.14929171872300495</v>
      </c>
      <c r="F6" s="9" t="str">
        <f>IF(ISNUMBER(E6),IF(E6&gt;0,"Penyumbang KENAIKAN IPH","Penyumbang PENURUNAN IPH"),"-")</f>
        <v>Penyumbang KENAIKAN IPH</v>
      </c>
    </row>
    <row r="7" spans="1:6" ht="15" customHeight="1" x14ac:dyDescent="0.35">
      <c r="A7" s="8">
        <v>2</v>
      </c>
      <c r="B7" s="9" t="str">
        <f>IFERROR(INDEX('Perhitungan IPH Mingguan 2026'!$B$6:$B$25,MATCH(LARGE('Perhitungan IPH Mingguan 2026'!$DO$6:$DO$25,2),'Perhitungan IPH Mingguan 2026'!$DO$6:$DO$25,0)),"-")</f>
        <v>daging ayam ras 1124003</v>
      </c>
      <c r="C7" s="10">
        <f>IFERROR(INDEX('Perhitungan IPH Mingguan 2026'!$C$6:$C$25,MATCH(LARGE('Perhitungan IPH Mingguan 2026'!$DO$6:$DO$25,2),'Perhitungan IPH Mingguan 2026'!$DO$6:$DO$25,0)),"")</f>
        <v>4.7910777785027697E-2</v>
      </c>
      <c r="D7" s="25">
        <f>IFERROR(INDEX('Perhitungan IPH Mingguan 2026'!$E$6:$E$25,MATCH(LARGE('Perhitungan IPH Mingguan 2026'!$DO$6:$DO$25,2),'Perhitungan IPH Mingguan 2026'!$DO$6:$DO$25,0)),"")</f>
        <v>2.1515434985968125</v>
      </c>
      <c r="E7" s="10">
        <f>IFERROR(INDEX('Perhitungan IPH Mingguan 2026'!$F$6:$F$25,MATCH(LARGE('Perhitungan IPH Mingguan 2026'!$DO$6:$DO$25,2),'Perhitungan IPH Mingguan 2026'!$DO$6:$DO$25,0)),"")</f>
        <v>0.10308212245609294</v>
      </c>
      <c r="F7" s="9" t="str">
        <f>IF(ISNUMBER(E7),IF(E7&gt;0,"Penyumbang KENAIKAN IPH","Penyumbang PENURUNAN IPH"),"-")</f>
        <v>Penyumbang KENAIKAN IPH</v>
      </c>
    </row>
    <row r="8" spans="1:6" ht="15" customHeight="1" x14ac:dyDescent="0.35">
      <c r="A8" s="8">
        <v>3</v>
      </c>
      <c r="B8" s="9" t="str">
        <f>IFERROR(INDEX('Perhitungan IPH Mingguan 2026'!$B$6:$B$25,MATCH(LARGE('Perhitungan IPH Mingguan 2026'!$DO$6:$DO$25,3),'Perhitungan IPH Mingguan 2026'!$DO$6:$DO$25,0)),"-")</f>
        <v>telur ayam ras 01147002</v>
      </c>
      <c r="C8" s="10">
        <f>IFERROR(INDEX('Perhitungan IPH Mingguan 2026'!$C$6:$C$25,MATCH(LARGE('Perhitungan IPH Mingguan 2026'!$DO$6:$DO$25,3),'Perhitungan IPH Mingguan 2026'!$DO$6:$DO$25,0)),"")</f>
        <v>2.9877791079459301E-2</v>
      </c>
      <c r="D8" s="25">
        <f>IFERROR(INDEX('Perhitungan IPH Mingguan 2026'!$E$6:$E$25,MATCH(LARGE('Perhitungan IPH Mingguan 2026'!$DO$6:$DO$25,3),'Perhitungan IPH Mingguan 2026'!$DO$6:$DO$25,0)),"")</f>
        <v>-0.19011406844105774</v>
      </c>
      <c r="E8" s="10">
        <f>IFERROR(INDEX('Perhitungan IPH Mingguan 2026'!$F$6:$F$25,MATCH(LARGE('Perhitungan IPH Mingguan 2026'!$DO$6:$DO$25,3),'Perhitungan IPH Mingguan 2026'!$DO$6:$DO$25,0)),"")</f>
        <v>-5.6801884181479504E-3</v>
      </c>
      <c r="F8" s="9" t="str">
        <f>IF(ISNUMBER(E8),IF(E8&gt;0,"Penyumbang KENAIKAN IPH","Penyumbang PENURUNAN IPH"),"-")</f>
        <v>Penyumbang PENURUNAN IPH</v>
      </c>
    </row>
    <row r="9" spans="1:6" ht="15" customHeight="1" x14ac:dyDescent="0.35">
      <c r="A9" s="8">
        <v>4</v>
      </c>
      <c r="B9" s="9" t="str">
        <f>IFERROR(INDEX('Perhitungan IPH Mingguan 2026'!$B$6:$B$25,MATCH(LARGE('Perhitungan IPH Mingguan 2026'!$DO$6:$DO$25,4),'Perhitungan IPH Mingguan 2026'!$DO$6:$DO$25,0)),"-")</f>
        <v>beras 1111001</v>
      </c>
      <c r="C9" s="10">
        <f>IFERROR(INDEX('Perhitungan IPH Mingguan 2026'!$C$6:$C$25,MATCH(LARGE('Perhitungan IPH Mingguan 2026'!$DO$6:$DO$25,4),'Perhitungan IPH Mingguan 2026'!$DO$6:$DO$25,0)),"")</f>
        <v>0.12508905675934601</v>
      </c>
      <c r="D9" s="25">
        <f>IFERROR(INDEX('Perhitungan IPH Mingguan 2026'!$E$6:$E$25,MATCH(LARGE('Perhitungan IPH Mingguan 2026'!$DO$6:$DO$25,4),'Perhitungan IPH Mingguan 2026'!$DO$6:$DO$25,0)),"")</f>
        <v>0</v>
      </c>
      <c r="E9" s="10">
        <f>IFERROR(INDEX('Perhitungan IPH Mingguan 2026'!$F$6:$F$25,MATCH(LARGE('Perhitungan IPH Mingguan 2026'!$DO$6:$DO$25,4),'Perhitungan IPH Mingguan 2026'!$DO$6:$DO$25,0)),"")</f>
        <v>0</v>
      </c>
      <c r="F9" s="9" t="str">
        <f>IF(ISNUMBER(E9),IF(E9&gt;0,"Penyumbang KENAIKAN IPH","Penyumbang PENURUNAN IPH"),"-")</f>
        <v>Penyumbang PENURUNAN IPH</v>
      </c>
    </row>
    <row r="10" spans="1:6" ht="15" customHeight="1" x14ac:dyDescent="0.35">
      <c r="A10" s="8">
        <v>5</v>
      </c>
      <c r="B10" s="9" t="str">
        <f>IFERROR(INDEX('Perhitungan IPH Mingguan 2026'!$B$6:$B$25,MATCH(LARGE('Perhitungan IPH Mingguan 2026'!$DO$6:$DO$25,5),'Perhitungan IPH Mingguan 2026'!$DO$6:$DO$25,0)),"-")</f>
        <v>tepung terigu 01115005</v>
      </c>
      <c r="C10" s="10">
        <f>IFERROR(INDEX('Perhitungan IPH Mingguan 2026'!$C$6:$C$25,MATCH(LARGE('Perhitungan IPH Mingguan 2026'!$DO$6:$DO$25,5),'Perhitungan IPH Mingguan 2026'!$DO$6:$DO$25,0)),"")</f>
        <v>7.9366404905036603E-3</v>
      </c>
      <c r="D10" s="25">
        <f>IFERROR(INDEX('Perhitungan IPH Mingguan 2026'!$E$6:$E$25,MATCH(LARGE('Perhitungan IPH Mingguan 2026'!$DO$6:$DO$25,5),'Perhitungan IPH Mingguan 2026'!$DO$6:$DO$25,0)),"")</f>
        <v>0</v>
      </c>
      <c r="E10" s="10">
        <f>IFERROR(INDEX('Perhitungan IPH Mingguan 2026'!$F$6:$F$25,MATCH(LARGE('Perhitungan IPH Mingguan 2026'!$DO$6:$DO$25,5),'Perhitungan IPH Mingguan 2026'!$DO$6:$DO$25,0)),"")</f>
        <v>0</v>
      </c>
      <c r="F10" s="9" t="str">
        <f>IF(ISNUMBER(E10),IF(E10&gt;0,"Penyumbang KENAIKAN IPH","Penyumbang PENURUNAN IPH"),"-")</f>
        <v>Penyumbang PENURUNAN IPH</v>
      </c>
    </row>
    <row r="12" spans="1:6" ht="15" customHeight="1" x14ac:dyDescent="0.35">
      <c r="A12" s="2" t="s">
        <v>216</v>
      </c>
      <c r="B12" s="2"/>
      <c r="C12" s="2"/>
      <c r="D12" s="2"/>
      <c r="E12" s="2"/>
      <c r="F12" s="2"/>
    </row>
    <row r="13" spans="1:6" ht="21.75" customHeight="1" x14ac:dyDescent="0.35">
      <c r="A13" s="6" t="s">
        <v>211</v>
      </c>
      <c r="B13" s="6" t="s">
        <v>212</v>
      </c>
      <c r="C13" s="6" t="s">
        <v>139</v>
      </c>
      <c r="D13" s="6" t="s">
        <v>213</v>
      </c>
      <c r="E13" s="6" t="s">
        <v>214</v>
      </c>
      <c r="F13" s="6" t="s">
        <v>215</v>
      </c>
    </row>
    <row r="14" spans="1:6" ht="15" customHeight="1" x14ac:dyDescent="0.35">
      <c r="A14" s="8">
        <v>1</v>
      </c>
      <c r="B14" s="9" t="str">
        <f>IFERROR(INDEX('Perhitungan IPH Mingguan 2026'!$B$6:$B$25,MATCH(LARGE('Perhitungan IPH Mingguan 2026'!$DP$6:$DP$25,1),'Perhitungan IPH Mingguan 2026'!$DP$6:$DP$25,0)),"-")</f>
        <v>daging ayam ras 1124003</v>
      </c>
      <c r="C14" s="10">
        <f>IFERROR(INDEX('Perhitungan IPH Mingguan 2026'!$C$6:$C$25,MATCH(LARGE('Perhitungan IPH Mingguan 2026'!$DP$6:$DP$25,1),'Perhitungan IPH Mingguan 2026'!$DP$6:$DP$25,0)),"")</f>
        <v>4.7910777785027697E-2</v>
      </c>
      <c r="D14" s="25">
        <f>IFERROR(INDEX('Perhitungan IPH Mingguan 2026'!$H$6:$H$25,MATCH(LARGE('Perhitungan IPH Mingguan 2026'!$DP$6:$DP$25,1),'Perhitungan IPH Mingguan 2026'!$DP$6:$DP$25,0)),"")</f>
        <v>2.1515434985968125</v>
      </c>
      <c r="E14" s="10">
        <f>IFERROR(INDEX('Perhitungan IPH Mingguan 2026'!$I$6:$I$25,MATCH(LARGE('Perhitungan IPH Mingguan 2026'!$DP$6:$DP$25,1),'Perhitungan IPH Mingguan 2026'!$DP$6:$DP$25,0)),"")</f>
        <v>0.10308212245609294</v>
      </c>
      <c r="F14" s="9" t="str">
        <f>IF(ISNUMBER(E14),IF(E14&gt;0,"Penyumbang KENAIKAN IPH","Penyumbang PENURUNAN IPH"),"-")</f>
        <v>Penyumbang KENAIKAN IPH</v>
      </c>
    </row>
    <row r="15" spans="1:6" ht="15" customHeight="1" x14ac:dyDescent="0.35">
      <c r="A15" s="8">
        <v>2</v>
      </c>
      <c r="B15" s="9" t="str">
        <f>IFERROR(INDEX('Perhitungan IPH Mingguan 2026'!$B$6:$B$25,MATCH(LARGE('Perhitungan IPH Mingguan 2026'!$DP$6:$DP$25,2),'Perhitungan IPH Mingguan 2026'!$DP$6:$DP$25,0)),"-")</f>
        <v>telur ayam ras 01147002</v>
      </c>
      <c r="C15" s="10">
        <f>IFERROR(INDEX('Perhitungan IPH Mingguan 2026'!$C$6:$C$25,MATCH(LARGE('Perhitungan IPH Mingguan 2026'!$DP$6:$DP$25,2),'Perhitungan IPH Mingguan 2026'!$DP$6:$DP$25,0)),"")</f>
        <v>2.9877791079459301E-2</v>
      </c>
      <c r="D15" s="25">
        <f>IFERROR(INDEX('Perhitungan IPH Mingguan 2026'!$H$6:$H$25,MATCH(LARGE('Perhitungan IPH Mingguan 2026'!$DP$6:$DP$25,2),'Perhitungan IPH Mingguan 2026'!$DP$6:$DP$25,0)),"")</f>
        <v>-0.19011406844105774</v>
      </c>
      <c r="E15" s="10">
        <f>IFERROR(INDEX('Perhitungan IPH Mingguan 2026'!$I$6:$I$25,MATCH(LARGE('Perhitungan IPH Mingguan 2026'!$DP$6:$DP$25,2),'Perhitungan IPH Mingguan 2026'!$DP$6:$DP$25,0)),"")</f>
        <v>-5.6801884181479504E-3</v>
      </c>
      <c r="F15" s="9" t="str">
        <f>IF(ISNUMBER(E15),IF(E15&gt;0,"Penyumbang KENAIKAN IPH","Penyumbang PENURUNAN IPH"),"-")</f>
        <v>Penyumbang PENURUNAN IPH</v>
      </c>
    </row>
    <row r="16" spans="1:6" ht="15" customHeight="1" x14ac:dyDescent="0.35">
      <c r="A16" s="8">
        <v>3</v>
      </c>
      <c r="B16" s="9" t="str">
        <f>IFERROR(INDEX('Perhitungan IPH Mingguan 2026'!$B$6:$B$25,MATCH(LARGE('Perhitungan IPH Mingguan 2026'!$DP$6:$DP$25,3),'Perhitungan IPH Mingguan 2026'!$DP$6:$DP$25,0)),"-")</f>
        <v>cabai rawit 01173013</v>
      </c>
      <c r="C16" s="10">
        <f>IFERROR(INDEX('Perhitungan IPH Mingguan 2026'!$C$6:$C$25,MATCH(LARGE('Perhitungan IPH Mingguan 2026'!$DP$6:$DP$25,3),'Perhitungan IPH Mingguan 2026'!$DP$6:$DP$25,0)),"")</f>
        <v>1.7701732362870599E-2</v>
      </c>
      <c r="D16" s="25">
        <f>IFERROR(INDEX('Perhitungan IPH Mingguan 2026'!$H$6:$H$25,MATCH(LARGE('Perhitungan IPH Mingguan 2026'!$DP$6:$DP$25,3),'Perhitungan IPH Mingguan 2026'!$DP$6:$DP$25,0)),"")</f>
        <v>8.4337349397590309</v>
      </c>
      <c r="E16" s="10">
        <f>IFERROR(INDEX('Perhitungan IPH Mingguan 2026'!$I$6:$I$25,MATCH(LARGE('Perhitungan IPH Mingguan 2026'!$DP$6:$DP$25,3),'Perhitungan IPH Mingguan 2026'!$DP$6:$DP$25,0)),"")</f>
        <v>0.14929171872300495</v>
      </c>
      <c r="F16" s="9" t="str">
        <f>IF(ISNUMBER(E16),IF(E16&gt;0,"Penyumbang KENAIKAN IPH","Penyumbang PENURUNAN IPH"),"-")</f>
        <v>Penyumbang KENAIKAN IPH</v>
      </c>
    </row>
    <row r="17" spans="1:6" ht="15" customHeight="1" x14ac:dyDescent="0.35">
      <c r="A17" s="8">
        <v>4</v>
      </c>
      <c r="B17" s="9" t="str">
        <f>IFERROR(INDEX('Perhitungan IPH Mingguan 2026'!$B$6:$B$25,MATCH(LARGE('Perhitungan IPH Mingguan 2026'!$DP$6:$DP$25,4),'Perhitungan IPH Mingguan 2026'!$DP$6:$DP$25,0)),"-")</f>
        <v>beras 1111001</v>
      </c>
      <c r="C17" s="10">
        <f>IFERROR(INDEX('Perhitungan IPH Mingguan 2026'!$C$6:$C$25,MATCH(LARGE('Perhitungan IPH Mingguan 2026'!$DP$6:$DP$25,4),'Perhitungan IPH Mingguan 2026'!$DP$6:$DP$25,0)),"")</f>
        <v>0.12508905675934601</v>
      </c>
      <c r="D17" s="25">
        <f>IFERROR(INDEX('Perhitungan IPH Mingguan 2026'!$H$6:$H$25,MATCH(LARGE('Perhitungan IPH Mingguan 2026'!$DP$6:$DP$25,4),'Perhitungan IPH Mingguan 2026'!$DP$6:$DP$25,0)),"")</f>
        <v>0</v>
      </c>
      <c r="E17" s="10">
        <f>IFERROR(INDEX('Perhitungan IPH Mingguan 2026'!$I$6:$I$25,MATCH(LARGE('Perhitungan IPH Mingguan 2026'!$DP$6:$DP$25,4),'Perhitungan IPH Mingguan 2026'!$DP$6:$DP$25,0)),"")</f>
        <v>0</v>
      </c>
      <c r="F17" s="9" t="str">
        <f>IF(ISNUMBER(E17),IF(E17&gt;0,"Penyumbang KENAIKAN IPH","Penyumbang PENURUNAN IPH"),"-")</f>
        <v>Penyumbang PENURUNAN IPH</v>
      </c>
    </row>
    <row r="18" spans="1:6" ht="15" customHeight="1" x14ac:dyDescent="0.35">
      <c r="A18" s="8">
        <v>5</v>
      </c>
      <c r="B18" s="9" t="str">
        <f>IFERROR(INDEX('Perhitungan IPH Mingguan 2026'!$B$6:$B$25,MATCH(LARGE('Perhitungan IPH Mingguan 2026'!$DP$6:$DP$25,5),'Perhitungan IPH Mingguan 2026'!$DP$6:$DP$25,0)),"-")</f>
        <v>tepung terigu 01115005</v>
      </c>
      <c r="C18" s="10">
        <f>IFERROR(INDEX('Perhitungan IPH Mingguan 2026'!$C$6:$C$25,MATCH(LARGE('Perhitungan IPH Mingguan 2026'!$DP$6:$DP$25,5),'Perhitungan IPH Mingguan 2026'!$DP$6:$DP$25,0)),"")</f>
        <v>7.9366404905036603E-3</v>
      </c>
      <c r="D18" s="25">
        <f>IFERROR(INDEX('Perhitungan IPH Mingguan 2026'!$H$6:$H$25,MATCH(LARGE('Perhitungan IPH Mingguan 2026'!$DP$6:$DP$25,5),'Perhitungan IPH Mingguan 2026'!$DP$6:$DP$25,0)),"")</f>
        <v>0</v>
      </c>
      <c r="E18" s="10">
        <f>IFERROR(INDEX('Perhitungan IPH Mingguan 2026'!$I$6:$I$25,MATCH(LARGE('Perhitungan IPH Mingguan 2026'!$DP$6:$DP$25,5),'Perhitungan IPH Mingguan 2026'!$DP$6:$DP$25,0)),"")</f>
        <v>0</v>
      </c>
      <c r="F18" s="9" t="str">
        <f>IF(ISNUMBER(E18),IF(E18&gt;0,"Penyumbang KENAIKAN IPH","Penyumbang PENURUNAN IPH"),"-")</f>
        <v>Penyumbang PENURUNAN IPH</v>
      </c>
    </row>
    <row r="20" spans="1:6" ht="15" customHeight="1" x14ac:dyDescent="0.35">
      <c r="A20" s="2" t="s">
        <v>217</v>
      </c>
      <c r="B20" s="2"/>
      <c r="C20" s="2"/>
      <c r="D20" s="2"/>
      <c r="E20" s="2"/>
      <c r="F20" s="2"/>
    </row>
    <row r="21" spans="1:6" ht="21.75" customHeight="1" x14ac:dyDescent="0.35">
      <c r="A21" s="6" t="s">
        <v>211</v>
      </c>
      <c r="B21" s="6" t="s">
        <v>212</v>
      </c>
      <c r="C21" s="6" t="s">
        <v>139</v>
      </c>
      <c r="D21" s="6" t="s">
        <v>213</v>
      </c>
      <c r="E21" s="6" t="s">
        <v>214</v>
      </c>
      <c r="F21" s="6" t="s">
        <v>215</v>
      </c>
    </row>
    <row r="22" spans="1:6" ht="15" customHeight="1" x14ac:dyDescent="0.35">
      <c r="A22" s="8">
        <v>1</v>
      </c>
      <c r="B22" s="9" t="str">
        <f>IFERROR(INDEX('Perhitungan IPH Mingguan 2026'!$B$6:$B$25,MATCH(LARGE('Perhitungan IPH Mingguan 2026'!$DQ$6:$DQ$25,1),'Perhitungan IPH Mingguan 2026'!$DQ$6:$DQ$25,0)),"-")</f>
        <v>-</v>
      </c>
      <c r="C22" s="10" t="str">
        <f>IFERROR(INDEX('Perhitungan IPH Mingguan 2026'!$C$6:$C$25,MATCH(LARGE('Perhitungan IPH Mingguan 2026'!$DQ$6:$DQ$25,1),'Perhitungan IPH Mingguan 2026'!$DQ$6:$DQ$25,0)),"")</f>
        <v/>
      </c>
      <c r="D22" s="25" t="str">
        <f>IFERROR(INDEX('Perhitungan IPH Mingguan 2026'!$K$6:$K$25,MATCH(LARGE('Perhitungan IPH Mingguan 2026'!$DQ$6:$DQ$25,1),'Perhitungan IPH Mingguan 2026'!$DQ$6:$DQ$25,0)),"")</f>
        <v/>
      </c>
      <c r="E22" s="10" t="str">
        <f>IFERROR(INDEX('Perhitungan IPH Mingguan 2026'!$L$6:$L$25,MATCH(LARGE('Perhitungan IPH Mingguan 2026'!$DQ$6:$DQ$25,1),'Perhitungan IPH Mingguan 2026'!$DQ$6:$DQ$25,0)),"")</f>
        <v/>
      </c>
      <c r="F22" s="9" t="str">
        <f>IF(ISNUMBER(E22),IF(E22&gt;0,"Penyumbang KENAIKAN IPH","Penyumbang PENURUNAN IPH"),"-")</f>
        <v>-</v>
      </c>
    </row>
    <row r="23" spans="1:6" ht="15" customHeight="1" x14ac:dyDescent="0.35">
      <c r="A23" s="8">
        <v>2</v>
      </c>
      <c r="B23" s="9" t="str">
        <f>IFERROR(INDEX('Perhitungan IPH Mingguan 2026'!$B$6:$B$25,MATCH(LARGE('Perhitungan IPH Mingguan 2026'!$DQ$6:$DQ$25,2),'Perhitungan IPH Mingguan 2026'!$DQ$6:$DQ$25,0)),"-")</f>
        <v>-</v>
      </c>
      <c r="C23" s="10" t="str">
        <f>IFERROR(INDEX('Perhitungan IPH Mingguan 2026'!$C$6:$C$25,MATCH(LARGE('Perhitungan IPH Mingguan 2026'!$DQ$6:$DQ$25,2),'Perhitungan IPH Mingguan 2026'!$DQ$6:$DQ$25,0)),"")</f>
        <v/>
      </c>
      <c r="D23" s="25" t="str">
        <f>IFERROR(INDEX('Perhitungan IPH Mingguan 2026'!$K$6:$K$25,MATCH(LARGE('Perhitungan IPH Mingguan 2026'!$DQ$6:$DQ$25,2),'Perhitungan IPH Mingguan 2026'!$DQ$6:$DQ$25,0)),"")</f>
        <v/>
      </c>
      <c r="E23" s="10" t="str">
        <f>IFERROR(INDEX('Perhitungan IPH Mingguan 2026'!$L$6:$L$25,MATCH(LARGE('Perhitungan IPH Mingguan 2026'!$DQ$6:$DQ$25,2),'Perhitungan IPH Mingguan 2026'!$DQ$6:$DQ$25,0)),"")</f>
        <v/>
      </c>
      <c r="F23" s="9" t="str">
        <f>IF(ISNUMBER(E23),IF(E23&gt;0,"Penyumbang KENAIKAN IPH","Penyumbang PENURUNAN IPH"),"-")</f>
        <v>-</v>
      </c>
    </row>
    <row r="24" spans="1:6" ht="15" customHeight="1" x14ac:dyDescent="0.35">
      <c r="A24" s="8">
        <v>3</v>
      </c>
      <c r="B24" s="9" t="str">
        <f>IFERROR(INDEX('Perhitungan IPH Mingguan 2026'!$B$6:$B$25,MATCH(LARGE('Perhitungan IPH Mingguan 2026'!$DQ$6:$DQ$25,3),'Perhitungan IPH Mingguan 2026'!$DQ$6:$DQ$25,0)),"-")</f>
        <v>-</v>
      </c>
      <c r="C24" s="10" t="str">
        <f>IFERROR(INDEX('Perhitungan IPH Mingguan 2026'!$C$6:$C$25,MATCH(LARGE('Perhitungan IPH Mingguan 2026'!$DQ$6:$DQ$25,3),'Perhitungan IPH Mingguan 2026'!$DQ$6:$DQ$25,0)),"")</f>
        <v/>
      </c>
      <c r="D24" s="25" t="str">
        <f>IFERROR(INDEX('Perhitungan IPH Mingguan 2026'!$K$6:$K$25,MATCH(LARGE('Perhitungan IPH Mingguan 2026'!$DQ$6:$DQ$25,3),'Perhitungan IPH Mingguan 2026'!$DQ$6:$DQ$25,0)),"")</f>
        <v/>
      </c>
      <c r="E24" s="10" t="str">
        <f>IFERROR(INDEX('Perhitungan IPH Mingguan 2026'!$L$6:$L$25,MATCH(LARGE('Perhitungan IPH Mingguan 2026'!$DQ$6:$DQ$25,3),'Perhitungan IPH Mingguan 2026'!$DQ$6:$DQ$25,0)),"")</f>
        <v/>
      </c>
      <c r="F24" s="9" t="str">
        <f>IF(ISNUMBER(E24),IF(E24&gt;0,"Penyumbang KENAIKAN IPH","Penyumbang PENURUNAN IPH"),"-")</f>
        <v>-</v>
      </c>
    </row>
    <row r="25" spans="1:6" ht="15" customHeight="1" x14ac:dyDescent="0.35">
      <c r="A25" s="8">
        <v>4</v>
      </c>
      <c r="B25" s="9" t="str">
        <f>IFERROR(INDEX('Perhitungan IPH Mingguan 2026'!$B$6:$B$25,MATCH(LARGE('Perhitungan IPH Mingguan 2026'!$DQ$6:$DQ$25,4),'Perhitungan IPH Mingguan 2026'!$DQ$6:$DQ$25,0)),"-")</f>
        <v>-</v>
      </c>
      <c r="C25" s="10" t="str">
        <f>IFERROR(INDEX('Perhitungan IPH Mingguan 2026'!$C$6:$C$25,MATCH(LARGE('Perhitungan IPH Mingguan 2026'!$DQ$6:$DQ$25,4),'Perhitungan IPH Mingguan 2026'!$DQ$6:$DQ$25,0)),"")</f>
        <v/>
      </c>
      <c r="D25" s="25" t="str">
        <f>IFERROR(INDEX('Perhitungan IPH Mingguan 2026'!$K$6:$K$25,MATCH(LARGE('Perhitungan IPH Mingguan 2026'!$DQ$6:$DQ$25,4),'Perhitungan IPH Mingguan 2026'!$DQ$6:$DQ$25,0)),"")</f>
        <v/>
      </c>
      <c r="E25" s="10" t="str">
        <f>IFERROR(INDEX('Perhitungan IPH Mingguan 2026'!$L$6:$L$25,MATCH(LARGE('Perhitungan IPH Mingguan 2026'!$DQ$6:$DQ$25,4),'Perhitungan IPH Mingguan 2026'!$DQ$6:$DQ$25,0)),"")</f>
        <v/>
      </c>
      <c r="F25" s="9" t="str">
        <f>IF(ISNUMBER(E25),IF(E25&gt;0,"Penyumbang KENAIKAN IPH","Penyumbang PENURUNAN IPH"),"-")</f>
        <v>-</v>
      </c>
    </row>
    <row r="26" spans="1:6" ht="15" customHeight="1" x14ac:dyDescent="0.35">
      <c r="A26" s="8">
        <v>5</v>
      </c>
      <c r="B26" s="9" t="str">
        <f>IFERROR(INDEX('Perhitungan IPH Mingguan 2026'!$B$6:$B$25,MATCH(LARGE('Perhitungan IPH Mingguan 2026'!$DQ$6:$DQ$25,5),'Perhitungan IPH Mingguan 2026'!$DQ$6:$DQ$25,0)),"-")</f>
        <v>-</v>
      </c>
      <c r="C26" s="10" t="str">
        <f>IFERROR(INDEX('Perhitungan IPH Mingguan 2026'!$C$6:$C$25,MATCH(LARGE('Perhitungan IPH Mingguan 2026'!$DQ$6:$DQ$25,5),'Perhitungan IPH Mingguan 2026'!$DQ$6:$DQ$25,0)),"")</f>
        <v/>
      </c>
      <c r="D26" s="25" t="str">
        <f>IFERROR(INDEX('Perhitungan IPH Mingguan 2026'!$K$6:$K$25,MATCH(LARGE('Perhitungan IPH Mingguan 2026'!$DQ$6:$DQ$25,5),'Perhitungan IPH Mingguan 2026'!$DQ$6:$DQ$25,0)),"")</f>
        <v/>
      </c>
      <c r="E26" s="10" t="str">
        <f>IFERROR(INDEX('Perhitungan IPH Mingguan 2026'!$L$6:$L$25,MATCH(LARGE('Perhitungan IPH Mingguan 2026'!$DQ$6:$DQ$25,5),'Perhitungan IPH Mingguan 2026'!$DQ$6:$DQ$25,0)),"")</f>
        <v/>
      </c>
      <c r="F26" s="9" t="str">
        <f>IF(ISNUMBER(E26),IF(E26&gt;0,"Penyumbang KENAIKAN IPH","Penyumbang PENURUNAN IPH"),"-")</f>
        <v>-</v>
      </c>
    </row>
    <row r="28" spans="1:6" ht="15" customHeight="1" x14ac:dyDescent="0.35">
      <c r="A28" s="2" t="s">
        <v>218</v>
      </c>
      <c r="B28" s="2"/>
      <c r="C28" s="2"/>
      <c r="D28" s="2"/>
      <c r="E28" s="2"/>
      <c r="F28" s="2"/>
    </row>
    <row r="29" spans="1:6" ht="21.75" customHeight="1" x14ac:dyDescent="0.35">
      <c r="A29" s="6" t="s">
        <v>211</v>
      </c>
      <c r="B29" s="6" t="s">
        <v>212</v>
      </c>
      <c r="C29" s="6" t="s">
        <v>139</v>
      </c>
      <c r="D29" s="6" t="s">
        <v>213</v>
      </c>
      <c r="E29" s="6" t="s">
        <v>214</v>
      </c>
      <c r="F29" s="6" t="s">
        <v>215</v>
      </c>
    </row>
    <row r="30" spans="1:6" ht="15" customHeight="1" x14ac:dyDescent="0.35">
      <c r="A30" s="8">
        <v>1</v>
      </c>
      <c r="B30" s="9" t="str">
        <f>IFERROR(INDEX('Perhitungan IPH Mingguan 2026'!$B$6:$B$25,MATCH(LARGE('Perhitungan IPH Mingguan 2026'!$DR$6:$DR$25,1),'Perhitungan IPH Mingguan 2026'!$DR$6:$DR$25,0)),"-")</f>
        <v>-</v>
      </c>
      <c r="C30" s="10" t="str">
        <f>IFERROR(INDEX('Perhitungan IPH Mingguan 2026'!$C$6:$C$25,MATCH(LARGE('Perhitungan IPH Mingguan 2026'!$DR$6:$DR$25,1),'Perhitungan IPH Mingguan 2026'!$DR$6:$DR$25,0)),"")</f>
        <v/>
      </c>
      <c r="D30" s="25" t="str">
        <f>IFERROR(INDEX('Perhitungan IPH Mingguan 2026'!$N$6:$N$25,MATCH(LARGE('Perhitungan IPH Mingguan 2026'!$DR$6:$DR$25,1),'Perhitungan IPH Mingguan 2026'!$DR$6:$DR$25,0)),"")</f>
        <v/>
      </c>
      <c r="E30" s="10" t="str">
        <f>IFERROR(INDEX('Perhitungan IPH Mingguan 2026'!$O$6:$O$25,MATCH(LARGE('Perhitungan IPH Mingguan 2026'!$DR$6:$DR$25,1),'Perhitungan IPH Mingguan 2026'!$DR$6:$DR$25,0)),"")</f>
        <v/>
      </c>
      <c r="F30" s="9" t="str">
        <f>IF(ISNUMBER(E30),IF(E30&gt;0,"Penyumbang KENAIKAN IPH","Penyumbang PENURUNAN IPH"),"-")</f>
        <v>-</v>
      </c>
    </row>
    <row r="31" spans="1:6" ht="15" customHeight="1" x14ac:dyDescent="0.35">
      <c r="A31" s="8">
        <v>2</v>
      </c>
      <c r="B31" s="9" t="str">
        <f>IFERROR(INDEX('Perhitungan IPH Mingguan 2026'!$B$6:$B$25,MATCH(LARGE('Perhitungan IPH Mingguan 2026'!$DR$6:$DR$25,2),'Perhitungan IPH Mingguan 2026'!$DR$6:$DR$25,0)),"-")</f>
        <v>-</v>
      </c>
      <c r="C31" s="10" t="str">
        <f>IFERROR(INDEX('Perhitungan IPH Mingguan 2026'!$C$6:$C$25,MATCH(LARGE('Perhitungan IPH Mingguan 2026'!$DR$6:$DR$25,2),'Perhitungan IPH Mingguan 2026'!$DR$6:$DR$25,0)),"")</f>
        <v/>
      </c>
      <c r="D31" s="25" t="str">
        <f>IFERROR(INDEX('Perhitungan IPH Mingguan 2026'!$N$6:$N$25,MATCH(LARGE('Perhitungan IPH Mingguan 2026'!$DR$6:$DR$25,2),'Perhitungan IPH Mingguan 2026'!$DR$6:$DR$25,0)),"")</f>
        <v/>
      </c>
      <c r="E31" s="10" t="str">
        <f>IFERROR(INDEX('Perhitungan IPH Mingguan 2026'!$O$6:$O$25,MATCH(LARGE('Perhitungan IPH Mingguan 2026'!$DR$6:$DR$25,2),'Perhitungan IPH Mingguan 2026'!$DR$6:$DR$25,0)),"")</f>
        <v/>
      </c>
      <c r="F31" s="9" t="str">
        <f>IF(ISNUMBER(E31),IF(E31&gt;0,"Penyumbang KENAIKAN IPH","Penyumbang PENURUNAN IPH"),"-")</f>
        <v>-</v>
      </c>
    </row>
    <row r="32" spans="1:6" ht="15" customHeight="1" x14ac:dyDescent="0.35">
      <c r="A32" s="8">
        <v>3</v>
      </c>
      <c r="B32" s="9" t="str">
        <f>IFERROR(INDEX('Perhitungan IPH Mingguan 2026'!$B$6:$B$25,MATCH(LARGE('Perhitungan IPH Mingguan 2026'!$DR$6:$DR$25,3),'Perhitungan IPH Mingguan 2026'!$DR$6:$DR$25,0)),"-")</f>
        <v>-</v>
      </c>
      <c r="C32" s="10" t="str">
        <f>IFERROR(INDEX('Perhitungan IPH Mingguan 2026'!$C$6:$C$25,MATCH(LARGE('Perhitungan IPH Mingguan 2026'!$DR$6:$DR$25,3),'Perhitungan IPH Mingguan 2026'!$DR$6:$DR$25,0)),"")</f>
        <v/>
      </c>
      <c r="D32" s="25" t="str">
        <f>IFERROR(INDEX('Perhitungan IPH Mingguan 2026'!$N$6:$N$25,MATCH(LARGE('Perhitungan IPH Mingguan 2026'!$DR$6:$DR$25,3),'Perhitungan IPH Mingguan 2026'!$DR$6:$DR$25,0)),"")</f>
        <v/>
      </c>
      <c r="E32" s="10" t="str">
        <f>IFERROR(INDEX('Perhitungan IPH Mingguan 2026'!$O$6:$O$25,MATCH(LARGE('Perhitungan IPH Mingguan 2026'!$DR$6:$DR$25,3),'Perhitungan IPH Mingguan 2026'!$DR$6:$DR$25,0)),"")</f>
        <v/>
      </c>
      <c r="F32" s="9" t="str">
        <f>IF(ISNUMBER(E32),IF(E32&gt;0,"Penyumbang KENAIKAN IPH","Penyumbang PENURUNAN IPH"),"-")</f>
        <v>-</v>
      </c>
    </row>
    <row r="33" spans="1:6" ht="15" customHeight="1" x14ac:dyDescent="0.35">
      <c r="A33" s="8">
        <v>4</v>
      </c>
      <c r="B33" s="9" t="str">
        <f>IFERROR(INDEX('Perhitungan IPH Mingguan 2026'!$B$6:$B$25,MATCH(LARGE('Perhitungan IPH Mingguan 2026'!$DR$6:$DR$25,4),'Perhitungan IPH Mingguan 2026'!$DR$6:$DR$25,0)),"-")</f>
        <v>-</v>
      </c>
      <c r="C33" s="10" t="str">
        <f>IFERROR(INDEX('Perhitungan IPH Mingguan 2026'!$C$6:$C$25,MATCH(LARGE('Perhitungan IPH Mingguan 2026'!$DR$6:$DR$25,4),'Perhitungan IPH Mingguan 2026'!$DR$6:$DR$25,0)),"")</f>
        <v/>
      </c>
      <c r="D33" s="25" t="str">
        <f>IFERROR(INDEX('Perhitungan IPH Mingguan 2026'!$N$6:$N$25,MATCH(LARGE('Perhitungan IPH Mingguan 2026'!$DR$6:$DR$25,4),'Perhitungan IPH Mingguan 2026'!$DR$6:$DR$25,0)),"")</f>
        <v/>
      </c>
      <c r="E33" s="10" t="str">
        <f>IFERROR(INDEX('Perhitungan IPH Mingguan 2026'!$O$6:$O$25,MATCH(LARGE('Perhitungan IPH Mingguan 2026'!$DR$6:$DR$25,4),'Perhitungan IPH Mingguan 2026'!$DR$6:$DR$25,0)),"")</f>
        <v/>
      </c>
      <c r="F33" s="9" t="str">
        <f>IF(ISNUMBER(E33),IF(E33&gt;0,"Penyumbang KENAIKAN IPH","Penyumbang PENURUNAN IPH"),"-")</f>
        <v>-</v>
      </c>
    </row>
    <row r="34" spans="1:6" ht="15" customHeight="1" x14ac:dyDescent="0.35">
      <c r="A34" s="8">
        <v>5</v>
      </c>
      <c r="B34" s="9" t="str">
        <f>IFERROR(INDEX('Perhitungan IPH Mingguan 2026'!$B$6:$B$25,MATCH(LARGE('Perhitungan IPH Mingguan 2026'!$DR$6:$DR$25,5),'Perhitungan IPH Mingguan 2026'!$DR$6:$DR$25,0)),"-")</f>
        <v>-</v>
      </c>
      <c r="C34" s="10" t="str">
        <f>IFERROR(INDEX('Perhitungan IPH Mingguan 2026'!$C$6:$C$25,MATCH(LARGE('Perhitungan IPH Mingguan 2026'!$DR$6:$DR$25,5),'Perhitungan IPH Mingguan 2026'!$DR$6:$DR$25,0)),"")</f>
        <v/>
      </c>
      <c r="D34" s="25" t="str">
        <f>IFERROR(INDEX('Perhitungan IPH Mingguan 2026'!$N$6:$N$25,MATCH(LARGE('Perhitungan IPH Mingguan 2026'!$DR$6:$DR$25,5),'Perhitungan IPH Mingguan 2026'!$DR$6:$DR$25,0)),"")</f>
        <v/>
      </c>
      <c r="E34" s="10" t="str">
        <f>IFERROR(INDEX('Perhitungan IPH Mingguan 2026'!$O$6:$O$25,MATCH(LARGE('Perhitungan IPH Mingguan 2026'!$DR$6:$DR$25,5),'Perhitungan IPH Mingguan 2026'!$DR$6:$DR$25,0)),"")</f>
        <v/>
      </c>
      <c r="F34" s="9" t="str">
        <f>IF(ISNUMBER(E34),IF(E34&gt;0,"Penyumbang KENAIKAN IPH","Penyumbang PENURUNAN IPH"),"-")</f>
        <v>-</v>
      </c>
    </row>
    <row r="36" spans="1:6" ht="15" customHeight="1" x14ac:dyDescent="0.35">
      <c r="A36" s="2" t="s">
        <v>219</v>
      </c>
      <c r="B36" s="2"/>
      <c r="C36" s="2"/>
      <c r="D36" s="2"/>
      <c r="E36" s="2"/>
      <c r="F36" s="2"/>
    </row>
    <row r="37" spans="1:6" ht="21.75" customHeight="1" x14ac:dyDescent="0.35">
      <c r="A37" s="6" t="s">
        <v>211</v>
      </c>
      <c r="B37" s="6" t="s">
        <v>212</v>
      </c>
      <c r="C37" s="6" t="s">
        <v>139</v>
      </c>
      <c r="D37" s="6" t="s">
        <v>213</v>
      </c>
      <c r="E37" s="6" t="s">
        <v>214</v>
      </c>
      <c r="F37" s="6" t="s">
        <v>215</v>
      </c>
    </row>
    <row r="38" spans="1:6" ht="15" customHeight="1" x14ac:dyDescent="0.35">
      <c r="A38" s="8">
        <v>1</v>
      </c>
      <c r="B38" s="9" t="str">
        <f>IFERROR(INDEX('Perhitungan IPH Mingguan 2026'!$B$6:$B$25,MATCH(LARGE('Perhitungan IPH Mingguan 2026'!$DS$6:$DS$25,1),'Perhitungan IPH Mingguan 2026'!$DS$6:$DS$25,0)),"-")</f>
        <v>-</v>
      </c>
      <c r="C38" s="10" t="str">
        <f>IFERROR(INDEX('Perhitungan IPH Mingguan 2026'!$C$6:$C$25,MATCH(LARGE('Perhitungan IPH Mingguan 2026'!$DS$6:$DS$25,1),'Perhitungan IPH Mingguan 2026'!$DS$6:$DS$25,0)),"")</f>
        <v/>
      </c>
      <c r="D38" s="25" t="str">
        <f>IFERROR(INDEX('Perhitungan IPH Mingguan 2026'!$Q$6:$Q$25,MATCH(LARGE('Perhitungan IPH Mingguan 2026'!$DS$6:$DS$25,1),'Perhitungan IPH Mingguan 2026'!$DS$6:$DS$25,0)),"")</f>
        <v/>
      </c>
      <c r="E38" s="10" t="str">
        <f>IFERROR(INDEX('Perhitungan IPH Mingguan 2026'!$R$6:$R$25,MATCH(LARGE('Perhitungan IPH Mingguan 2026'!$DS$6:$DS$25,1),'Perhitungan IPH Mingguan 2026'!$DS$6:$DS$25,0)),"")</f>
        <v/>
      </c>
      <c r="F38" s="9" t="str">
        <f>IF(ISNUMBER(E38),IF(E38&gt;0,"Penyumbang KENAIKAN IPH","Penyumbang PENURUNAN IPH"),"-")</f>
        <v>-</v>
      </c>
    </row>
    <row r="39" spans="1:6" ht="15" customHeight="1" x14ac:dyDescent="0.35">
      <c r="A39" s="8">
        <v>2</v>
      </c>
      <c r="B39" s="9" t="str">
        <f>IFERROR(INDEX('Perhitungan IPH Mingguan 2026'!$B$6:$B$25,MATCH(LARGE('Perhitungan IPH Mingguan 2026'!$DS$6:$DS$25,2),'Perhitungan IPH Mingguan 2026'!$DS$6:$DS$25,0)),"-")</f>
        <v>-</v>
      </c>
      <c r="C39" s="10" t="str">
        <f>IFERROR(INDEX('Perhitungan IPH Mingguan 2026'!$C$6:$C$25,MATCH(LARGE('Perhitungan IPH Mingguan 2026'!$DS$6:$DS$25,2),'Perhitungan IPH Mingguan 2026'!$DS$6:$DS$25,0)),"")</f>
        <v/>
      </c>
      <c r="D39" s="25" t="str">
        <f>IFERROR(INDEX('Perhitungan IPH Mingguan 2026'!$Q$6:$Q$25,MATCH(LARGE('Perhitungan IPH Mingguan 2026'!$DS$6:$DS$25,2),'Perhitungan IPH Mingguan 2026'!$DS$6:$DS$25,0)),"")</f>
        <v/>
      </c>
      <c r="E39" s="10" t="str">
        <f>IFERROR(INDEX('Perhitungan IPH Mingguan 2026'!$R$6:$R$25,MATCH(LARGE('Perhitungan IPH Mingguan 2026'!$DS$6:$DS$25,2),'Perhitungan IPH Mingguan 2026'!$DS$6:$DS$25,0)),"")</f>
        <v/>
      </c>
      <c r="F39" s="9" t="str">
        <f>IF(ISNUMBER(E39),IF(E39&gt;0,"Penyumbang KENAIKAN IPH","Penyumbang PENURUNAN IPH"),"-")</f>
        <v>-</v>
      </c>
    </row>
    <row r="40" spans="1:6" ht="15" customHeight="1" x14ac:dyDescent="0.35">
      <c r="A40" s="8">
        <v>3</v>
      </c>
      <c r="B40" s="9" t="str">
        <f>IFERROR(INDEX('Perhitungan IPH Mingguan 2026'!$B$6:$B$25,MATCH(LARGE('Perhitungan IPH Mingguan 2026'!$DS$6:$DS$25,3),'Perhitungan IPH Mingguan 2026'!$DS$6:$DS$25,0)),"-")</f>
        <v>-</v>
      </c>
      <c r="C40" s="10" t="str">
        <f>IFERROR(INDEX('Perhitungan IPH Mingguan 2026'!$C$6:$C$25,MATCH(LARGE('Perhitungan IPH Mingguan 2026'!$DS$6:$DS$25,3),'Perhitungan IPH Mingguan 2026'!$DS$6:$DS$25,0)),"")</f>
        <v/>
      </c>
      <c r="D40" s="25" t="str">
        <f>IFERROR(INDEX('Perhitungan IPH Mingguan 2026'!$Q$6:$Q$25,MATCH(LARGE('Perhitungan IPH Mingguan 2026'!$DS$6:$DS$25,3),'Perhitungan IPH Mingguan 2026'!$DS$6:$DS$25,0)),"")</f>
        <v/>
      </c>
      <c r="E40" s="10" t="str">
        <f>IFERROR(INDEX('Perhitungan IPH Mingguan 2026'!$R$6:$R$25,MATCH(LARGE('Perhitungan IPH Mingguan 2026'!$DS$6:$DS$25,3),'Perhitungan IPH Mingguan 2026'!$DS$6:$DS$25,0)),"")</f>
        <v/>
      </c>
      <c r="F40" s="9" t="str">
        <f>IF(ISNUMBER(E40),IF(E40&gt;0,"Penyumbang KENAIKAN IPH","Penyumbang PENURUNAN IPH"),"-")</f>
        <v>-</v>
      </c>
    </row>
    <row r="41" spans="1:6" ht="15" customHeight="1" x14ac:dyDescent="0.35">
      <c r="A41" s="8">
        <v>4</v>
      </c>
      <c r="B41" s="9" t="str">
        <f>IFERROR(INDEX('Perhitungan IPH Mingguan 2026'!$B$6:$B$25,MATCH(LARGE('Perhitungan IPH Mingguan 2026'!$DS$6:$DS$25,4),'Perhitungan IPH Mingguan 2026'!$DS$6:$DS$25,0)),"-")</f>
        <v>-</v>
      </c>
      <c r="C41" s="10" t="str">
        <f>IFERROR(INDEX('Perhitungan IPH Mingguan 2026'!$C$6:$C$25,MATCH(LARGE('Perhitungan IPH Mingguan 2026'!$DS$6:$DS$25,4),'Perhitungan IPH Mingguan 2026'!$DS$6:$DS$25,0)),"")</f>
        <v/>
      </c>
      <c r="D41" s="25" t="str">
        <f>IFERROR(INDEX('Perhitungan IPH Mingguan 2026'!$Q$6:$Q$25,MATCH(LARGE('Perhitungan IPH Mingguan 2026'!$DS$6:$DS$25,4),'Perhitungan IPH Mingguan 2026'!$DS$6:$DS$25,0)),"")</f>
        <v/>
      </c>
      <c r="E41" s="10" t="str">
        <f>IFERROR(INDEX('Perhitungan IPH Mingguan 2026'!$R$6:$R$25,MATCH(LARGE('Perhitungan IPH Mingguan 2026'!$DS$6:$DS$25,4),'Perhitungan IPH Mingguan 2026'!$DS$6:$DS$25,0)),"")</f>
        <v/>
      </c>
      <c r="F41" s="9" t="str">
        <f>IF(ISNUMBER(E41),IF(E41&gt;0,"Penyumbang KENAIKAN IPH","Penyumbang PENURUNAN IPH"),"-")</f>
        <v>-</v>
      </c>
    </row>
    <row r="42" spans="1:6" ht="15" customHeight="1" x14ac:dyDescent="0.35">
      <c r="A42" s="8">
        <v>5</v>
      </c>
      <c r="B42" s="9" t="str">
        <f>IFERROR(INDEX('Perhitungan IPH Mingguan 2026'!$B$6:$B$25,MATCH(LARGE('Perhitungan IPH Mingguan 2026'!$DS$6:$DS$25,5),'Perhitungan IPH Mingguan 2026'!$DS$6:$DS$25,0)),"-")</f>
        <v>-</v>
      </c>
      <c r="C42" s="10" t="str">
        <f>IFERROR(INDEX('Perhitungan IPH Mingguan 2026'!$C$6:$C$25,MATCH(LARGE('Perhitungan IPH Mingguan 2026'!$DS$6:$DS$25,5),'Perhitungan IPH Mingguan 2026'!$DS$6:$DS$25,0)),"")</f>
        <v/>
      </c>
      <c r="D42" s="25" t="str">
        <f>IFERROR(INDEX('Perhitungan IPH Mingguan 2026'!$Q$6:$Q$25,MATCH(LARGE('Perhitungan IPH Mingguan 2026'!$DS$6:$DS$25,5),'Perhitungan IPH Mingguan 2026'!$DS$6:$DS$25,0)),"")</f>
        <v/>
      </c>
      <c r="E42" s="10" t="str">
        <f>IFERROR(INDEX('Perhitungan IPH Mingguan 2026'!$R$6:$R$25,MATCH(LARGE('Perhitungan IPH Mingguan 2026'!$DS$6:$DS$25,5),'Perhitungan IPH Mingguan 2026'!$DS$6:$DS$25,0)),"")</f>
        <v/>
      </c>
      <c r="F42" s="9" t="str">
        <f>IF(ISNUMBER(E42),IF(E42&gt;0,"Penyumbang KENAIKAN IPH","Penyumbang PENURUNAN IPH"),"-")</f>
        <v>-</v>
      </c>
    </row>
    <row r="44" spans="1:6" ht="15" customHeight="1" x14ac:dyDescent="0.35">
      <c r="A44" s="2" t="s">
        <v>220</v>
      </c>
      <c r="B44" s="2"/>
      <c r="C44" s="2"/>
      <c r="D44" s="2"/>
      <c r="E44" s="2"/>
      <c r="F44" s="2"/>
    </row>
    <row r="45" spans="1:6" ht="21.75" customHeight="1" x14ac:dyDescent="0.35">
      <c r="A45" s="6" t="s">
        <v>211</v>
      </c>
      <c r="B45" s="6" t="s">
        <v>212</v>
      </c>
      <c r="C45" s="6" t="s">
        <v>139</v>
      </c>
      <c r="D45" s="6" t="s">
        <v>213</v>
      </c>
      <c r="E45" s="6" t="s">
        <v>214</v>
      </c>
      <c r="F45" s="6" t="s">
        <v>215</v>
      </c>
    </row>
    <row r="46" spans="1:6" ht="15" customHeight="1" x14ac:dyDescent="0.35">
      <c r="A46" s="8">
        <v>1</v>
      </c>
      <c r="B46" s="9" t="str">
        <f>IFERROR(INDEX('Perhitungan IPH Mingguan 2026'!$B$6:$B$25,MATCH(LARGE('Perhitungan IPH Mingguan 2026'!$DT$6:$DT$25,1),'Perhitungan IPH Mingguan 2026'!$DT$6:$DT$25,0)),"-")</f>
        <v>-</v>
      </c>
      <c r="C46" s="10" t="str">
        <f>IFERROR(INDEX('Perhitungan IPH Mingguan 2026'!$C$6:$C$25,MATCH(LARGE('Perhitungan IPH Mingguan 2026'!$DT$6:$DT$25,1),'Perhitungan IPH Mingguan 2026'!$DT$6:$DT$25,0)),"")</f>
        <v/>
      </c>
      <c r="D46" s="25" t="str">
        <f>IFERROR(INDEX('Perhitungan IPH Mingguan 2026'!$T$6:$T$25,MATCH(LARGE('Perhitungan IPH Mingguan 2026'!$DT$6:$DT$25,1),'Perhitungan IPH Mingguan 2026'!$DT$6:$DT$25,0)),"")</f>
        <v/>
      </c>
      <c r="E46" s="10" t="str">
        <f>IFERROR(INDEX('Perhitungan IPH Mingguan 2026'!$U$6:$U$25,MATCH(LARGE('Perhitungan IPH Mingguan 2026'!$DT$6:$DT$25,1),'Perhitungan IPH Mingguan 2026'!$DT$6:$DT$25,0)),"")</f>
        <v/>
      </c>
      <c r="F46" s="9" t="str">
        <f>IF(ISNUMBER(E46),IF(E46&gt;0,"Penyumbang KENAIKAN IPH","Penyumbang PENURUNAN IPH"),"-")</f>
        <v>-</v>
      </c>
    </row>
    <row r="47" spans="1:6" ht="15" customHeight="1" x14ac:dyDescent="0.35">
      <c r="A47" s="8">
        <v>2</v>
      </c>
      <c r="B47" s="9" t="str">
        <f>IFERROR(INDEX('Perhitungan IPH Mingguan 2026'!$B$6:$B$25,MATCH(LARGE('Perhitungan IPH Mingguan 2026'!$DT$6:$DT$25,2),'Perhitungan IPH Mingguan 2026'!$DT$6:$DT$25,0)),"-")</f>
        <v>-</v>
      </c>
      <c r="C47" s="10" t="str">
        <f>IFERROR(INDEX('Perhitungan IPH Mingguan 2026'!$C$6:$C$25,MATCH(LARGE('Perhitungan IPH Mingguan 2026'!$DT$6:$DT$25,2),'Perhitungan IPH Mingguan 2026'!$DT$6:$DT$25,0)),"")</f>
        <v/>
      </c>
      <c r="D47" s="25" t="str">
        <f>IFERROR(INDEX('Perhitungan IPH Mingguan 2026'!$T$6:$T$25,MATCH(LARGE('Perhitungan IPH Mingguan 2026'!$DT$6:$DT$25,2),'Perhitungan IPH Mingguan 2026'!$DT$6:$DT$25,0)),"")</f>
        <v/>
      </c>
      <c r="E47" s="10" t="str">
        <f>IFERROR(INDEX('Perhitungan IPH Mingguan 2026'!$U$6:$U$25,MATCH(LARGE('Perhitungan IPH Mingguan 2026'!$DT$6:$DT$25,2),'Perhitungan IPH Mingguan 2026'!$DT$6:$DT$25,0)),"")</f>
        <v/>
      </c>
      <c r="F47" s="9" t="str">
        <f>IF(ISNUMBER(E47),IF(E47&gt;0,"Penyumbang KENAIKAN IPH","Penyumbang PENURUNAN IPH"),"-")</f>
        <v>-</v>
      </c>
    </row>
    <row r="48" spans="1:6" ht="15" customHeight="1" x14ac:dyDescent="0.35">
      <c r="A48" s="8">
        <v>3</v>
      </c>
      <c r="B48" s="9" t="str">
        <f>IFERROR(INDEX('Perhitungan IPH Mingguan 2026'!$B$6:$B$25,MATCH(LARGE('Perhitungan IPH Mingguan 2026'!$DT$6:$DT$25,3),'Perhitungan IPH Mingguan 2026'!$DT$6:$DT$25,0)),"-")</f>
        <v>-</v>
      </c>
      <c r="C48" s="10" t="str">
        <f>IFERROR(INDEX('Perhitungan IPH Mingguan 2026'!$C$6:$C$25,MATCH(LARGE('Perhitungan IPH Mingguan 2026'!$DT$6:$DT$25,3),'Perhitungan IPH Mingguan 2026'!$DT$6:$DT$25,0)),"")</f>
        <v/>
      </c>
      <c r="D48" s="25" t="str">
        <f>IFERROR(INDEX('Perhitungan IPH Mingguan 2026'!$T$6:$T$25,MATCH(LARGE('Perhitungan IPH Mingguan 2026'!$DT$6:$DT$25,3),'Perhitungan IPH Mingguan 2026'!$DT$6:$DT$25,0)),"")</f>
        <v/>
      </c>
      <c r="E48" s="10" t="str">
        <f>IFERROR(INDEX('Perhitungan IPH Mingguan 2026'!$U$6:$U$25,MATCH(LARGE('Perhitungan IPH Mingguan 2026'!$DT$6:$DT$25,3),'Perhitungan IPH Mingguan 2026'!$DT$6:$DT$25,0)),"")</f>
        <v/>
      </c>
      <c r="F48" s="9" t="str">
        <f>IF(ISNUMBER(E48),IF(E48&gt;0,"Penyumbang KENAIKAN IPH","Penyumbang PENURUNAN IPH"),"-")</f>
        <v>-</v>
      </c>
    </row>
    <row r="49" spans="1:6" ht="15" customHeight="1" x14ac:dyDescent="0.35">
      <c r="A49" s="8">
        <v>4</v>
      </c>
      <c r="B49" s="9" t="str">
        <f>IFERROR(INDEX('Perhitungan IPH Mingguan 2026'!$B$6:$B$25,MATCH(LARGE('Perhitungan IPH Mingguan 2026'!$DT$6:$DT$25,4),'Perhitungan IPH Mingguan 2026'!$DT$6:$DT$25,0)),"-")</f>
        <v>-</v>
      </c>
      <c r="C49" s="10" t="str">
        <f>IFERROR(INDEX('Perhitungan IPH Mingguan 2026'!$C$6:$C$25,MATCH(LARGE('Perhitungan IPH Mingguan 2026'!$DT$6:$DT$25,4),'Perhitungan IPH Mingguan 2026'!$DT$6:$DT$25,0)),"")</f>
        <v/>
      </c>
      <c r="D49" s="25" t="str">
        <f>IFERROR(INDEX('Perhitungan IPH Mingguan 2026'!$T$6:$T$25,MATCH(LARGE('Perhitungan IPH Mingguan 2026'!$DT$6:$DT$25,4),'Perhitungan IPH Mingguan 2026'!$DT$6:$DT$25,0)),"")</f>
        <v/>
      </c>
      <c r="E49" s="10" t="str">
        <f>IFERROR(INDEX('Perhitungan IPH Mingguan 2026'!$U$6:$U$25,MATCH(LARGE('Perhitungan IPH Mingguan 2026'!$DT$6:$DT$25,4),'Perhitungan IPH Mingguan 2026'!$DT$6:$DT$25,0)),"")</f>
        <v/>
      </c>
      <c r="F49" s="9" t="str">
        <f>IF(ISNUMBER(E49),IF(E49&gt;0,"Penyumbang KENAIKAN IPH","Penyumbang PENURUNAN IPH"),"-")</f>
        <v>-</v>
      </c>
    </row>
    <row r="50" spans="1:6" ht="15" customHeight="1" x14ac:dyDescent="0.35">
      <c r="A50" s="8">
        <v>5</v>
      </c>
      <c r="B50" s="9" t="str">
        <f>IFERROR(INDEX('Perhitungan IPH Mingguan 2026'!$B$6:$B$25,MATCH(LARGE('Perhitungan IPH Mingguan 2026'!$DT$6:$DT$25,5),'Perhitungan IPH Mingguan 2026'!$DT$6:$DT$25,0)),"-")</f>
        <v>-</v>
      </c>
      <c r="C50" s="10" t="str">
        <f>IFERROR(INDEX('Perhitungan IPH Mingguan 2026'!$C$6:$C$25,MATCH(LARGE('Perhitungan IPH Mingguan 2026'!$DT$6:$DT$25,5),'Perhitungan IPH Mingguan 2026'!$DT$6:$DT$25,0)),"")</f>
        <v/>
      </c>
      <c r="D50" s="25" t="str">
        <f>IFERROR(INDEX('Perhitungan IPH Mingguan 2026'!$T$6:$T$25,MATCH(LARGE('Perhitungan IPH Mingguan 2026'!$DT$6:$DT$25,5),'Perhitungan IPH Mingguan 2026'!$DT$6:$DT$25,0)),"")</f>
        <v/>
      </c>
      <c r="E50" s="10" t="str">
        <f>IFERROR(INDEX('Perhitungan IPH Mingguan 2026'!$U$6:$U$25,MATCH(LARGE('Perhitungan IPH Mingguan 2026'!$DT$6:$DT$25,5),'Perhitungan IPH Mingguan 2026'!$DT$6:$DT$25,0)),"")</f>
        <v/>
      </c>
      <c r="F50" s="9" t="str">
        <f>IF(ISNUMBER(E50),IF(E50&gt;0,"Penyumbang KENAIKAN IPH","Penyumbang PENURUNAN IPH"),"-")</f>
        <v>-</v>
      </c>
    </row>
    <row r="52" spans="1:6" ht="15" customHeight="1" x14ac:dyDescent="0.35">
      <c r="A52" s="2" t="s">
        <v>221</v>
      </c>
      <c r="B52" s="2"/>
      <c r="C52" s="2"/>
      <c r="D52" s="2"/>
      <c r="E52" s="2"/>
      <c r="F52" s="2"/>
    </row>
    <row r="53" spans="1:6" ht="21.75" customHeight="1" x14ac:dyDescent="0.35">
      <c r="A53" s="6" t="s">
        <v>211</v>
      </c>
      <c r="B53" s="6" t="s">
        <v>212</v>
      </c>
      <c r="C53" s="6" t="s">
        <v>139</v>
      </c>
      <c r="D53" s="6" t="s">
        <v>213</v>
      </c>
      <c r="E53" s="6" t="s">
        <v>214</v>
      </c>
      <c r="F53" s="6" t="s">
        <v>215</v>
      </c>
    </row>
    <row r="54" spans="1:6" ht="15" customHeight="1" x14ac:dyDescent="0.35">
      <c r="A54" s="8">
        <v>1</v>
      </c>
      <c r="B54" s="9" t="str">
        <f>IFERROR(INDEX('Perhitungan IPH Mingguan 2026'!$B$6:$B$25,MATCH(LARGE('Perhitungan IPH Mingguan 2026'!$DU$6:$DU$25,1),'Perhitungan IPH Mingguan 2026'!$DU$6:$DU$25,0)),"-")</f>
        <v>-</v>
      </c>
      <c r="C54" s="10" t="str">
        <f>IFERROR(INDEX('Perhitungan IPH Mingguan 2026'!$C$6:$C$25,MATCH(LARGE('Perhitungan IPH Mingguan 2026'!$DU$6:$DU$25,1),'Perhitungan IPH Mingguan 2026'!$DU$6:$DU$25,0)),"")</f>
        <v/>
      </c>
      <c r="D54" s="25" t="str">
        <f>IFERROR(INDEX('Perhitungan IPH Mingguan 2026'!$W$6:$W$25,MATCH(LARGE('Perhitungan IPH Mingguan 2026'!$DU$6:$DU$25,1),'Perhitungan IPH Mingguan 2026'!$DU$6:$DU$25,0)),"")</f>
        <v/>
      </c>
      <c r="E54" s="10" t="str">
        <f>IFERROR(INDEX('Perhitungan IPH Mingguan 2026'!$X$6:$X$25,MATCH(LARGE('Perhitungan IPH Mingguan 2026'!$DU$6:$DU$25,1),'Perhitungan IPH Mingguan 2026'!$DU$6:$DU$25,0)),"")</f>
        <v/>
      </c>
      <c r="F54" s="9" t="str">
        <f>IF(ISNUMBER(E54),IF(E54&gt;0,"Penyumbang KENAIKAN IPH","Penyumbang PENURUNAN IPH"),"-")</f>
        <v>-</v>
      </c>
    </row>
    <row r="55" spans="1:6" ht="15" customHeight="1" x14ac:dyDescent="0.35">
      <c r="A55" s="8">
        <v>2</v>
      </c>
      <c r="B55" s="9" t="str">
        <f>IFERROR(INDEX('Perhitungan IPH Mingguan 2026'!$B$6:$B$25,MATCH(LARGE('Perhitungan IPH Mingguan 2026'!$DU$6:$DU$25,2),'Perhitungan IPH Mingguan 2026'!$DU$6:$DU$25,0)),"-")</f>
        <v>-</v>
      </c>
      <c r="C55" s="10" t="str">
        <f>IFERROR(INDEX('Perhitungan IPH Mingguan 2026'!$C$6:$C$25,MATCH(LARGE('Perhitungan IPH Mingguan 2026'!$DU$6:$DU$25,2),'Perhitungan IPH Mingguan 2026'!$DU$6:$DU$25,0)),"")</f>
        <v/>
      </c>
      <c r="D55" s="25" t="str">
        <f>IFERROR(INDEX('Perhitungan IPH Mingguan 2026'!$W$6:$W$25,MATCH(LARGE('Perhitungan IPH Mingguan 2026'!$DU$6:$DU$25,2),'Perhitungan IPH Mingguan 2026'!$DU$6:$DU$25,0)),"")</f>
        <v/>
      </c>
      <c r="E55" s="10" t="str">
        <f>IFERROR(INDEX('Perhitungan IPH Mingguan 2026'!$X$6:$X$25,MATCH(LARGE('Perhitungan IPH Mingguan 2026'!$DU$6:$DU$25,2),'Perhitungan IPH Mingguan 2026'!$DU$6:$DU$25,0)),"")</f>
        <v/>
      </c>
      <c r="F55" s="9" t="str">
        <f>IF(ISNUMBER(E55),IF(E55&gt;0,"Penyumbang KENAIKAN IPH","Penyumbang PENURUNAN IPH"),"-")</f>
        <v>-</v>
      </c>
    </row>
    <row r="56" spans="1:6" ht="15" customHeight="1" x14ac:dyDescent="0.35">
      <c r="A56" s="8">
        <v>3</v>
      </c>
      <c r="B56" s="9" t="str">
        <f>IFERROR(INDEX('Perhitungan IPH Mingguan 2026'!$B$6:$B$25,MATCH(LARGE('Perhitungan IPH Mingguan 2026'!$DU$6:$DU$25,3),'Perhitungan IPH Mingguan 2026'!$DU$6:$DU$25,0)),"-")</f>
        <v>-</v>
      </c>
      <c r="C56" s="10" t="str">
        <f>IFERROR(INDEX('Perhitungan IPH Mingguan 2026'!$C$6:$C$25,MATCH(LARGE('Perhitungan IPH Mingguan 2026'!$DU$6:$DU$25,3),'Perhitungan IPH Mingguan 2026'!$DU$6:$DU$25,0)),"")</f>
        <v/>
      </c>
      <c r="D56" s="25" t="str">
        <f>IFERROR(INDEX('Perhitungan IPH Mingguan 2026'!$W$6:$W$25,MATCH(LARGE('Perhitungan IPH Mingguan 2026'!$DU$6:$DU$25,3),'Perhitungan IPH Mingguan 2026'!$DU$6:$DU$25,0)),"")</f>
        <v/>
      </c>
      <c r="E56" s="10" t="str">
        <f>IFERROR(INDEX('Perhitungan IPH Mingguan 2026'!$X$6:$X$25,MATCH(LARGE('Perhitungan IPH Mingguan 2026'!$DU$6:$DU$25,3),'Perhitungan IPH Mingguan 2026'!$DU$6:$DU$25,0)),"")</f>
        <v/>
      </c>
      <c r="F56" s="9" t="str">
        <f>IF(ISNUMBER(E56),IF(E56&gt;0,"Penyumbang KENAIKAN IPH","Penyumbang PENURUNAN IPH"),"-")</f>
        <v>-</v>
      </c>
    </row>
    <row r="57" spans="1:6" ht="15" customHeight="1" x14ac:dyDescent="0.35">
      <c r="A57" s="8">
        <v>4</v>
      </c>
      <c r="B57" s="9" t="str">
        <f>IFERROR(INDEX('Perhitungan IPH Mingguan 2026'!$B$6:$B$25,MATCH(LARGE('Perhitungan IPH Mingguan 2026'!$DU$6:$DU$25,4),'Perhitungan IPH Mingguan 2026'!$DU$6:$DU$25,0)),"-")</f>
        <v>-</v>
      </c>
      <c r="C57" s="10" t="str">
        <f>IFERROR(INDEX('Perhitungan IPH Mingguan 2026'!$C$6:$C$25,MATCH(LARGE('Perhitungan IPH Mingguan 2026'!$DU$6:$DU$25,4),'Perhitungan IPH Mingguan 2026'!$DU$6:$DU$25,0)),"")</f>
        <v/>
      </c>
      <c r="D57" s="25" t="str">
        <f>IFERROR(INDEX('Perhitungan IPH Mingguan 2026'!$W$6:$W$25,MATCH(LARGE('Perhitungan IPH Mingguan 2026'!$DU$6:$DU$25,4),'Perhitungan IPH Mingguan 2026'!$DU$6:$DU$25,0)),"")</f>
        <v/>
      </c>
      <c r="E57" s="10" t="str">
        <f>IFERROR(INDEX('Perhitungan IPH Mingguan 2026'!$X$6:$X$25,MATCH(LARGE('Perhitungan IPH Mingguan 2026'!$DU$6:$DU$25,4),'Perhitungan IPH Mingguan 2026'!$DU$6:$DU$25,0)),"")</f>
        <v/>
      </c>
      <c r="F57" s="9" t="str">
        <f>IF(ISNUMBER(E57),IF(E57&gt;0,"Penyumbang KENAIKAN IPH","Penyumbang PENURUNAN IPH"),"-")</f>
        <v>-</v>
      </c>
    </row>
    <row r="58" spans="1:6" ht="15" customHeight="1" x14ac:dyDescent="0.35">
      <c r="A58" s="8">
        <v>5</v>
      </c>
      <c r="B58" s="9" t="str">
        <f>IFERROR(INDEX('Perhitungan IPH Mingguan 2026'!$B$6:$B$25,MATCH(LARGE('Perhitungan IPH Mingguan 2026'!$DU$6:$DU$25,5),'Perhitungan IPH Mingguan 2026'!$DU$6:$DU$25,0)),"-")</f>
        <v>-</v>
      </c>
      <c r="C58" s="10" t="str">
        <f>IFERROR(INDEX('Perhitungan IPH Mingguan 2026'!$C$6:$C$25,MATCH(LARGE('Perhitungan IPH Mingguan 2026'!$DU$6:$DU$25,5),'Perhitungan IPH Mingguan 2026'!$DU$6:$DU$25,0)),"")</f>
        <v/>
      </c>
      <c r="D58" s="25" t="str">
        <f>IFERROR(INDEX('Perhitungan IPH Mingguan 2026'!$W$6:$W$25,MATCH(LARGE('Perhitungan IPH Mingguan 2026'!$DU$6:$DU$25,5),'Perhitungan IPH Mingguan 2026'!$DU$6:$DU$25,0)),"")</f>
        <v/>
      </c>
      <c r="E58" s="10" t="str">
        <f>IFERROR(INDEX('Perhitungan IPH Mingguan 2026'!$X$6:$X$25,MATCH(LARGE('Perhitungan IPH Mingguan 2026'!$DU$6:$DU$25,5),'Perhitungan IPH Mingguan 2026'!$DU$6:$DU$25,0)),"")</f>
        <v/>
      </c>
      <c r="F58" s="9" t="str">
        <f>IF(ISNUMBER(E58),IF(E58&gt;0,"Penyumbang KENAIKAN IPH","Penyumbang PENURUNAN IPH"),"-")</f>
        <v>-</v>
      </c>
    </row>
    <row r="60" spans="1:6" ht="15" customHeight="1" x14ac:dyDescent="0.35">
      <c r="A60" s="2" t="s">
        <v>222</v>
      </c>
      <c r="B60" s="2"/>
      <c r="C60" s="2"/>
      <c r="D60" s="2"/>
      <c r="E60" s="2"/>
      <c r="F60" s="2"/>
    </row>
    <row r="61" spans="1:6" ht="21.75" customHeight="1" x14ac:dyDescent="0.35">
      <c r="A61" s="6" t="s">
        <v>211</v>
      </c>
      <c r="B61" s="6" t="s">
        <v>212</v>
      </c>
      <c r="C61" s="6" t="s">
        <v>139</v>
      </c>
      <c r="D61" s="6" t="s">
        <v>213</v>
      </c>
      <c r="E61" s="6" t="s">
        <v>214</v>
      </c>
      <c r="F61" s="6" t="s">
        <v>215</v>
      </c>
    </row>
    <row r="62" spans="1:6" ht="15" customHeight="1" x14ac:dyDescent="0.35">
      <c r="A62" s="8">
        <v>1</v>
      </c>
      <c r="B62" s="9" t="str">
        <f>IFERROR(INDEX('Perhitungan IPH Mingguan 2026'!$B$6:$B$25,MATCH(LARGE('Perhitungan IPH Mingguan 2026'!$DV$6:$DV$25,1),'Perhitungan IPH Mingguan 2026'!$DV$6:$DV$25,0)),"-")</f>
        <v>-</v>
      </c>
      <c r="C62" s="10" t="str">
        <f>IFERROR(INDEX('Perhitungan IPH Mingguan 2026'!$C$6:$C$25,MATCH(LARGE('Perhitungan IPH Mingguan 2026'!$DV$6:$DV$25,1),'Perhitungan IPH Mingguan 2026'!$DV$6:$DV$25,0)),"")</f>
        <v/>
      </c>
      <c r="D62" s="25" t="str">
        <f>IFERROR(INDEX('Perhitungan IPH Mingguan 2026'!$Z$6:$Z$25,MATCH(LARGE('Perhitungan IPH Mingguan 2026'!$DV$6:$DV$25,1),'Perhitungan IPH Mingguan 2026'!$DV$6:$DV$25,0)),"")</f>
        <v/>
      </c>
      <c r="E62" s="10" t="str">
        <f>IFERROR(INDEX('Perhitungan IPH Mingguan 2026'!$AA$6:$AA$25,MATCH(LARGE('Perhitungan IPH Mingguan 2026'!$DV$6:$DV$25,1),'Perhitungan IPH Mingguan 2026'!$DV$6:$DV$25,0)),"")</f>
        <v/>
      </c>
      <c r="F62" s="9" t="str">
        <f>IF(ISNUMBER(E62),IF(E62&gt;0,"Penyumbang KENAIKAN IPH","Penyumbang PENURUNAN IPH"),"-")</f>
        <v>-</v>
      </c>
    </row>
    <row r="63" spans="1:6" ht="15" customHeight="1" x14ac:dyDescent="0.35">
      <c r="A63" s="8">
        <v>2</v>
      </c>
      <c r="B63" s="9" t="str">
        <f>IFERROR(INDEX('Perhitungan IPH Mingguan 2026'!$B$6:$B$25,MATCH(LARGE('Perhitungan IPH Mingguan 2026'!$DV$6:$DV$25,2),'Perhitungan IPH Mingguan 2026'!$DV$6:$DV$25,0)),"-")</f>
        <v>-</v>
      </c>
      <c r="C63" s="10" t="str">
        <f>IFERROR(INDEX('Perhitungan IPH Mingguan 2026'!$C$6:$C$25,MATCH(LARGE('Perhitungan IPH Mingguan 2026'!$DV$6:$DV$25,2),'Perhitungan IPH Mingguan 2026'!$DV$6:$DV$25,0)),"")</f>
        <v/>
      </c>
      <c r="D63" s="25" t="str">
        <f>IFERROR(INDEX('Perhitungan IPH Mingguan 2026'!$Z$6:$Z$25,MATCH(LARGE('Perhitungan IPH Mingguan 2026'!$DV$6:$DV$25,2),'Perhitungan IPH Mingguan 2026'!$DV$6:$DV$25,0)),"")</f>
        <v/>
      </c>
      <c r="E63" s="10" t="str">
        <f>IFERROR(INDEX('Perhitungan IPH Mingguan 2026'!$AA$6:$AA$25,MATCH(LARGE('Perhitungan IPH Mingguan 2026'!$DV$6:$DV$25,2),'Perhitungan IPH Mingguan 2026'!$DV$6:$DV$25,0)),"")</f>
        <v/>
      </c>
      <c r="F63" s="9" t="str">
        <f>IF(ISNUMBER(E63),IF(E63&gt;0,"Penyumbang KENAIKAN IPH","Penyumbang PENURUNAN IPH"),"-")</f>
        <v>-</v>
      </c>
    </row>
    <row r="64" spans="1:6" ht="15" customHeight="1" x14ac:dyDescent="0.35">
      <c r="A64" s="8">
        <v>3</v>
      </c>
      <c r="B64" s="9" t="str">
        <f>IFERROR(INDEX('Perhitungan IPH Mingguan 2026'!$B$6:$B$25,MATCH(LARGE('Perhitungan IPH Mingguan 2026'!$DV$6:$DV$25,3),'Perhitungan IPH Mingguan 2026'!$DV$6:$DV$25,0)),"-")</f>
        <v>-</v>
      </c>
      <c r="C64" s="10" t="str">
        <f>IFERROR(INDEX('Perhitungan IPH Mingguan 2026'!$C$6:$C$25,MATCH(LARGE('Perhitungan IPH Mingguan 2026'!$DV$6:$DV$25,3),'Perhitungan IPH Mingguan 2026'!$DV$6:$DV$25,0)),"")</f>
        <v/>
      </c>
      <c r="D64" s="25" t="str">
        <f>IFERROR(INDEX('Perhitungan IPH Mingguan 2026'!$Z$6:$Z$25,MATCH(LARGE('Perhitungan IPH Mingguan 2026'!$DV$6:$DV$25,3),'Perhitungan IPH Mingguan 2026'!$DV$6:$DV$25,0)),"")</f>
        <v/>
      </c>
      <c r="E64" s="10" t="str">
        <f>IFERROR(INDEX('Perhitungan IPH Mingguan 2026'!$AA$6:$AA$25,MATCH(LARGE('Perhitungan IPH Mingguan 2026'!$DV$6:$DV$25,3),'Perhitungan IPH Mingguan 2026'!$DV$6:$DV$25,0)),"")</f>
        <v/>
      </c>
      <c r="F64" s="9" t="str">
        <f>IF(ISNUMBER(E64),IF(E64&gt;0,"Penyumbang KENAIKAN IPH","Penyumbang PENURUNAN IPH"),"-")</f>
        <v>-</v>
      </c>
    </row>
    <row r="65" spans="1:6" ht="15" customHeight="1" x14ac:dyDescent="0.35">
      <c r="A65" s="8">
        <v>4</v>
      </c>
      <c r="B65" s="9" t="str">
        <f>IFERROR(INDEX('Perhitungan IPH Mingguan 2026'!$B$6:$B$25,MATCH(LARGE('Perhitungan IPH Mingguan 2026'!$DV$6:$DV$25,4),'Perhitungan IPH Mingguan 2026'!$DV$6:$DV$25,0)),"-")</f>
        <v>-</v>
      </c>
      <c r="C65" s="10" t="str">
        <f>IFERROR(INDEX('Perhitungan IPH Mingguan 2026'!$C$6:$C$25,MATCH(LARGE('Perhitungan IPH Mingguan 2026'!$DV$6:$DV$25,4),'Perhitungan IPH Mingguan 2026'!$DV$6:$DV$25,0)),"")</f>
        <v/>
      </c>
      <c r="D65" s="25" t="str">
        <f>IFERROR(INDEX('Perhitungan IPH Mingguan 2026'!$Z$6:$Z$25,MATCH(LARGE('Perhitungan IPH Mingguan 2026'!$DV$6:$DV$25,4),'Perhitungan IPH Mingguan 2026'!$DV$6:$DV$25,0)),"")</f>
        <v/>
      </c>
      <c r="E65" s="10" t="str">
        <f>IFERROR(INDEX('Perhitungan IPH Mingguan 2026'!$AA$6:$AA$25,MATCH(LARGE('Perhitungan IPH Mingguan 2026'!$DV$6:$DV$25,4),'Perhitungan IPH Mingguan 2026'!$DV$6:$DV$25,0)),"")</f>
        <v/>
      </c>
      <c r="F65" s="9" t="str">
        <f>IF(ISNUMBER(E65),IF(E65&gt;0,"Penyumbang KENAIKAN IPH","Penyumbang PENURUNAN IPH"),"-")</f>
        <v>-</v>
      </c>
    </row>
    <row r="66" spans="1:6" ht="15" customHeight="1" x14ac:dyDescent="0.35">
      <c r="A66" s="8">
        <v>5</v>
      </c>
      <c r="B66" s="9" t="str">
        <f>IFERROR(INDEX('Perhitungan IPH Mingguan 2026'!$B$6:$B$25,MATCH(LARGE('Perhitungan IPH Mingguan 2026'!$DV$6:$DV$25,5),'Perhitungan IPH Mingguan 2026'!$DV$6:$DV$25,0)),"-")</f>
        <v>-</v>
      </c>
      <c r="C66" s="10" t="str">
        <f>IFERROR(INDEX('Perhitungan IPH Mingguan 2026'!$C$6:$C$25,MATCH(LARGE('Perhitungan IPH Mingguan 2026'!$DV$6:$DV$25,5),'Perhitungan IPH Mingguan 2026'!$DV$6:$DV$25,0)),"")</f>
        <v/>
      </c>
      <c r="D66" s="25" t="str">
        <f>IFERROR(INDEX('Perhitungan IPH Mingguan 2026'!$Z$6:$Z$25,MATCH(LARGE('Perhitungan IPH Mingguan 2026'!$DV$6:$DV$25,5),'Perhitungan IPH Mingguan 2026'!$DV$6:$DV$25,0)),"")</f>
        <v/>
      </c>
      <c r="E66" s="10" t="str">
        <f>IFERROR(INDEX('Perhitungan IPH Mingguan 2026'!$AA$6:$AA$25,MATCH(LARGE('Perhitungan IPH Mingguan 2026'!$DV$6:$DV$25,5),'Perhitungan IPH Mingguan 2026'!$DV$6:$DV$25,0)),"")</f>
        <v/>
      </c>
      <c r="F66" s="9" t="str">
        <f>IF(ISNUMBER(E66),IF(E66&gt;0,"Penyumbang KENAIKAN IPH","Penyumbang PENURUNAN IPH"),"-")</f>
        <v>-</v>
      </c>
    </row>
    <row r="68" spans="1:6" ht="15" customHeight="1" x14ac:dyDescent="0.35">
      <c r="A68" s="2" t="s">
        <v>223</v>
      </c>
      <c r="B68" s="2"/>
      <c r="C68" s="2"/>
      <c r="D68" s="2"/>
      <c r="E68" s="2"/>
      <c r="F68" s="2"/>
    </row>
    <row r="69" spans="1:6" ht="21.75" customHeight="1" x14ac:dyDescent="0.35">
      <c r="A69" s="6" t="s">
        <v>211</v>
      </c>
      <c r="B69" s="6" t="s">
        <v>212</v>
      </c>
      <c r="C69" s="6" t="s">
        <v>139</v>
      </c>
      <c r="D69" s="6" t="s">
        <v>213</v>
      </c>
      <c r="E69" s="6" t="s">
        <v>214</v>
      </c>
      <c r="F69" s="6" t="s">
        <v>215</v>
      </c>
    </row>
    <row r="70" spans="1:6" ht="15" customHeight="1" x14ac:dyDescent="0.35">
      <c r="A70" s="8">
        <v>1</v>
      </c>
      <c r="B70" s="9" t="str">
        <f>IFERROR(INDEX('Perhitungan IPH Mingguan 2026'!$B$6:$B$25,MATCH(LARGE('Perhitungan IPH Mingguan 2026'!$DW$6:$DW$25,1),'Perhitungan IPH Mingguan 2026'!$DW$6:$DW$25,0)),"-")</f>
        <v>-</v>
      </c>
      <c r="C70" s="10" t="str">
        <f>IFERROR(INDEX('Perhitungan IPH Mingguan 2026'!$C$6:$C$25,MATCH(LARGE('Perhitungan IPH Mingguan 2026'!$DW$6:$DW$25,1),'Perhitungan IPH Mingguan 2026'!$DW$6:$DW$25,0)),"")</f>
        <v/>
      </c>
      <c r="D70" s="25" t="str">
        <f>IFERROR(INDEX('Perhitungan IPH Mingguan 2026'!$AC$6:$AC$25,MATCH(LARGE('Perhitungan IPH Mingguan 2026'!$DW$6:$DW$25,1),'Perhitungan IPH Mingguan 2026'!$DW$6:$DW$25,0)),"")</f>
        <v/>
      </c>
      <c r="E70" s="10" t="str">
        <f>IFERROR(INDEX('Perhitungan IPH Mingguan 2026'!$AD$6:$AD$25,MATCH(LARGE('Perhitungan IPH Mingguan 2026'!$DW$6:$DW$25,1),'Perhitungan IPH Mingguan 2026'!$DW$6:$DW$25,0)),"")</f>
        <v/>
      </c>
      <c r="F70" s="9" t="str">
        <f>IF(ISNUMBER(E70),IF(E70&gt;0,"Penyumbang KENAIKAN IPH","Penyumbang PENURUNAN IPH"),"-")</f>
        <v>-</v>
      </c>
    </row>
    <row r="71" spans="1:6" ht="15" customHeight="1" x14ac:dyDescent="0.35">
      <c r="A71" s="8">
        <v>2</v>
      </c>
      <c r="B71" s="9" t="str">
        <f>IFERROR(INDEX('Perhitungan IPH Mingguan 2026'!$B$6:$B$25,MATCH(LARGE('Perhitungan IPH Mingguan 2026'!$DW$6:$DW$25,2),'Perhitungan IPH Mingguan 2026'!$DW$6:$DW$25,0)),"-")</f>
        <v>-</v>
      </c>
      <c r="C71" s="10" t="str">
        <f>IFERROR(INDEX('Perhitungan IPH Mingguan 2026'!$C$6:$C$25,MATCH(LARGE('Perhitungan IPH Mingguan 2026'!$DW$6:$DW$25,2),'Perhitungan IPH Mingguan 2026'!$DW$6:$DW$25,0)),"")</f>
        <v/>
      </c>
      <c r="D71" s="25" t="str">
        <f>IFERROR(INDEX('Perhitungan IPH Mingguan 2026'!$AC$6:$AC$25,MATCH(LARGE('Perhitungan IPH Mingguan 2026'!$DW$6:$DW$25,2),'Perhitungan IPH Mingguan 2026'!$DW$6:$DW$25,0)),"")</f>
        <v/>
      </c>
      <c r="E71" s="10" t="str">
        <f>IFERROR(INDEX('Perhitungan IPH Mingguan 2026'!$AD$6:$AD$25,MATCH(LARGE('Perhitungan IPH Mingguan 2026'!$DW$6:$DW$25,2),'Perhitungan IPH Mingguan 2026'!$DW$6:$DW$25,0)),"")</f>
        <v/>
      </c>
      <c r="F71" s="9" t="str">
        <f>IF(ISNUMBER(E71),IF(E71&gt;0,"Penyumbang KENAIKAN IPH","Penyumbang PENURUNAN IPH"),"-")</f>
        <v>-</v>
      </c>
    </row>
    <row r="72" spans="1:6" ht="15" customHeight="1" x14ac:dyDescent="0.35">
      <c r="A72" s="8">
        <v>3</v>
      </c>
      <c r="B72" s="9" t="str">
        <f>IFERROR(INDEX('Perhitungan IPH Mingguan 2026'!$B$6:$B$25,MATCH(LARGE('Perhitungan IPH Mingguan 2026'!$DW$6:$DW$25,3),'Perhitungan IPH Mingguan 2026'!$DW$6:$DW$25,0)),"-")</f>
        <v>-</v>
      </c>
      <c r="C72" s="10" t="str">
        <f>IFERROR(INDEX('Perhitungan IPH Mingguan 2026'!$C$6:$C$25,MATCH(LARGE('Perhitungan IPH Mingguan 2026'!$DW$6:$DW$25,3),'Perhitungan IPH Mingguan 2026'!$DW$6:$DW$25,0)),"")</f>
        <v/>
      </c>
      <c r="D72" s="25" t="str">
        <f>IFERROR(INDEX('Perhitungan IPH Mingguan 2026'!$AC$6:$AC$25,MATCH(LARGE('Perhitungan IPH Mingguan 2026'!$DW$6:$DW$25,3),'Perhitungan IPH Mingguan 2026'!$DW$6:$DW$25,0)),"")</f>
        <v/>
      </c>
      <c r="E72" s="10" t="str">
        <f>IFERROR(INDEX('Perhitungan IPH Mingguan 2026'!$AD$6:$AD$25,MATCH(LARGE('Perhitungan IPH Mingguan 2026'!$DW$6:$DW$25,3),'Perhitungan IPH Mingguan 2026'!$DW$6:$DW$25,0)),"")</f>
        <v/>
      </c>
      <c r="F72" s="9" t="str">
        <f>IF(ISNUMBER(E72),IF(E72&gt;0,"Penyumbang KENAIKAN IPH","Penyumbang PENURUNAN IPH"),"-")</f>
        <v>-</v>
      </c>
    </row>
    <row r="73" spans="1:6" ht="15" customHeight="1" x14ac:dyDescent="0.35">
      <c r="A73" s="8">
        <v>4</v>
      </c>
      <c r="B73" s="9" t="str">
        <f>IFERROR(INDEX('Perhitungan IPH Mingguan 2026'!$B$6:$B$25,MATCH(LARGE('Perhitungan IPH Mingguan 2026'!$DW$6:$DW$25,4),'Perhitungan IPH Mingguan 2026'!$DW$6:$DW$25,0)),"-")</f>
        <v>-</v>
      </c>
      <c r="C73" s="10" t="str">
        <f>IFERROR(INDEX('Perhitungan IPH Mingguan 2026'!$C$6:$C$25,MATCH(LARGE('Perhitungan IPH Mingguan 2026'!$DW$6:$DW$25,4),'Perhitungan IPH Mingguan 2026'!$DW$6:$DW$25,0)),"")</f>
        <v/>
      </c>
      <c r="D73" s="25" t="str">
        <f>IFERROR(INDEX('Perhitungan IPH Mingguan 2026'!$AC$6:$AC$25,MATCH(LARGE('Perhitungan IPH Mingguan 2026'!$DW$6:$DW$25,4),'Perhitungan IPH Mingguan 2026'!$DW$6:$DW$25,0)),"")</f>
        <v/>
      </c>
      <c r="E73" s="10" t="str">
        <f>IFERROR(INDEX('Perhitungan IPH Mingguan 2026'!$AD$6:$AD$25,MATCH(LARGE('Perhitungan IPH Mingguan 2026'!$DW$6:$DW$25,4),'Perhitungan IPH Mingguan 2026'!$DW$6:$DW$25,0)),"")</f>
        <v/>
      </c>
      <c r="F73" s="9" t="str">
        <f>IF(ISNUMBER(E73),IF(E73&gt;0,"Penyumbang KENAIKAN IPH","Penyumbang PENURUNAN IPH"),"-")</f>
        <v>-</v>
      </c>
    </row>
    <row r="74" spans="1:6" ht="15" customHeight="1" x14ac:dyDescent="0.35">
      <c r="A74" s="8">
        <v>5</v>
      </c>
      <c r="B74" s="9" t="str">
        <f>IFERROR(INDEX('Perhitungan IPH Mingguan 2026'!$B$6:$B$25,MATCH(LARGE('Perhitungan IPH Mingguan 2026'!$DW$6:$DW$25,5),'Perhitungan IPH Mingguan 2026'!$DW$6:$DW$25,0)),"-")</f>
        <v>-</v>
      </c>
      <c r="C74" s="10" t="str">
        <f>IFERROR(INDEX('Perhitungan IPH Mingguan 2026'!$C$6:$C$25,MATCH(LARGE('Perhitungan IPH Mingguan 2026'!$DW$6:$DW$25,5),'Perhitungan IPH Mingguan 2026'!$DW$6:$DW$25,0)),"")</f>
        <v/>
      </c>
      <c r="D74" s="25" t="str">
        <f>IFERROR(INDEX('Perhitungan IPH Mingguan 2026'!$AC$6:$AC$25,MATCH(LARGE('Perhitungan IPH Mingguan 2026'!$DW$6:$DW$25,5),'Perhitungan IPH Mingguan 2026'!$DW$6:$DW$25,0)),"")</f>
        <v/>
      </c>
      <c r="E74" s="10" t="str">
        <f>IFERROR(INDEX('Perhitungan IPH Mingguan 2026'!$AD$6:$AD$25,MATCH(LARGE('Perhitungan IPH Mingguan 2026'!$DW$6:$DW$25,5),'Perhitungan IPH Mingguan 2026'!$DW$6:$DW$25,0)),"")</f>
        <v/>
      </c>
      <c r="F74" s="9" t="str">
        <f>IF(ISNUMBER(E74),IF(E74&gt;0,"Penyumbang KENAIKAN IPH","Penyumbang PENURUNAN IPH"),"-")</f>
        <v>-</v>
      </c>
    </row>
    <row r="76" spans="1:6" ht="15" customHeight="1" x14ac:dyDescent="0.35">
      <c r="A76" s="2" t="s">
        <v>224</v>
      </c>
      <c r="B76" s="2"/>
      <c r="C76" s="2"/>
      <c r="D76" s="2"/>
      <c r="E76" s="2"/>
      <c r="F76" s="2"/>
    </row>
    <row r="77" spans="1:6" ht="21.75" customHeight="1" x14ac:dyDescent="0.35">
      <c r="A77" s="6" t="s">
        <v>211</v>
      </c>
      <c r="B77" s="6" t="s">
        <v>212</v>
      </c>
      <c r="C77" s="6" t="s">
        <v>139</v>
      </c>
      <c r="D77" s="6" t="s">
        <v>213</v>
      </c>
      <c r="E77" s="6" t="s">
        <v>214</v>
      </c>
      <c r="F77" s="6" t="s">
        <v>215</v>
      </c>
    </row>
    <row r="78" spans="1:6" ht="15" customHeight="1" x14ac:dyDescent="0.35">
      <c r="A78" s="8">
        <v>1</v>
      </c>
      <c r="B78" s="9" t="str">
        <f>IFERROR(INDEX('Perhitungan IPH Mingguan 2026'!$B$6:$B$25,MATCH(LARGE('Perhitungan IPH Mingguan 2026'!$DX$6:$DX$25,1),'Perhitungan IPH Mingguan 2026'!$DX$6:$DX$25,0)),"-")</f>
        <v>-</v>
      </c>
      <c r="C78" s="10" t="str">
        <f>IFERROR(INDEX('Perhitungan IPH Mingguan 2026'!$C$6:$C$25,MATCH(LARGE('Perhitungan IPH Mingguan 2026'!$DX$6:$DX$25,1),'Perhitungan IPH Mingguan 2026'!$DX$6:$DX$25,0)),"")</f>
        <v/>
      </c>
      <c r="D78" s="25" t="str">
        <f>IFERROR(INDEX('Perhitungan IPH Mingguan 2026'!$AF$6:$AF$25,MATCH(LARGE('Perhitungan IPH Mingguan 2026'!$DX$6:$DX$25,1),'Perhitungan IPH Mingguan 2026'!$DX$6:$DX$25,0)),"")</f>
        <v/>
      </c>
      <c r="E78" s="10" t="str">
        <f>IFERROR(INDEX('Perhitungan IPH Mingguan 2026'!$AG$6:$AG$25,MATCH(LARGE('Perhitungan IPH Mingguan 2026'!$DX$6:$DX$25,1),'Perhitungan IPH Mingguan 2026'!$DX$6:$DX$25,0)),"")</f>
        <v/>
      </c>
      <c r="F78" s="9" t="str">
        <f>IF(ISNUMBER(E78),IF(E78&gt;0,"Penyumbang KENAIKAN IPH","Penyumbang PENURUNAN IPH"),"-")</f>
        <v>-</v>
      </c>
    </row>
    <row r="79" spans="1:6" ht="15" customHeight="1" x14ac:dyDescent="0.35">
      <c r="A79" s="8">
        <v>2</v>
      </c>
      <c r="B79" s="9" t="str">
        <f>IFERROR(INDEX('Perhitungan IPH Mingguan 2026'!$B$6:$B$25,MATCH(LARGE('Perhitungan IPH Mingguan 2026'!$DX$6:$DX$25,2),'Perhitungan IPH Mingguan 2026'!$DX$6:$DX$25,0)),"-")</f>
        <v>-</v>
      </c>
      <c r="C79" s="10" t="str">
        <f>IFERROR(INDEX('Perhitungan IPH Mingguan 2026'!$C$6:$C$25,MATCH(LARGE('Perhitungan IPH Mingguan 2026'!$DX$6:$DX$25,2),'Perhitungan IPH Mingguan 2026'!$DX$6:$DX$25,0)),"")</f>
        <v/>
      </c>
      <c r="D79" s="25" t="str">
        <f>IFERROR(INDEX('Perhitungan IPH Mingguan 2026'!$AF$6:$AF$25,MATCH(LARGE('Perhitungan IPH Mingguan 2026'!$DX$6:$DX$25,2),'Perhitungan IPH Mingguan 2026'!$DX$6:$DX$25,0)),"")</f>
        <v/>
      </c>
      <c r="E79" s="10" t="str">
        <f>IFERROR(INDEX('Perhitungan IPH Mingguan 2026'!$AG$6:$AG$25,MATCH(LARGE('Perhitungan IPH Mingguan 2026'!$DX$6:$DX$25,2),'Perhitungan IPH Mingguan 2026'!$DX$6:$DX$25,0)),"")</f>
        <v/>
      </c>
      <c r="F79" s="9" t="str">
        <f>IF(ISNUMBER(E79),IF(E79&gt;0,"Penyumbang KENAIKAN IPH","Penyumbang PENURUNAN IPH"),"-")</f>
        <v>-</v>
      </c>
    </row>
    <row r="80" spans="1:6" ht="15" customHeight="1" x14ac:dyDescent="0.35">
      <c r="A80" s="8">
        <v>3</v>
      </c>
      <c r="B80" s="9" t="str">
        <f>IFERROR(INDEX('Perhitungan IPH Mingguan 2026'!$B$6:$B$25,MATCH(LARGE('Perhitungan IPH Mingguan 2026'!$DX$6:$DX$25,3),'Perhitungan IPH Mingguan 2026'!$DX$6:$DX$25,0)),"-")</f>
        <v>-</v>
      </c>
      <c r="C80" s="10" t="str">
        <f>IFERROR(INDEX('Perhitungan IPH Mingguan 2026'!$C$6:$C$25,MATCH(LARGE('Perhitungan IPH Mingguan 2026'!$DX$6:$DX$25,3),'Perhitungan IPH Mingguan 2026'!$DX$6:$DX$25,0)),"")</f>
        <v/>
      </c>
      <c r="D80" s="25" t="str">
        <f>IFERROR(INDEX('Perhitungan IPH Mingguan 2026'!$AF$6:$AF$25,MATCH(LARGE('Perhitungan IPH Mingguan 2026'!$DX$6:$DX$25,3),'Perhitungan IPH Mingguan 2026'!$DX$6:$DX$25,0)),"")</f>
        <v/>
      </c>
      <c r="E80" s="10" t="str">
        <f>IFERROR(INDEX('Perhitungan IPH Mingguan 2026'!$AG$6:$AG$25,MATCH(LARGE('Perhitungan IPH Mingguan 2026'!$DX$6:$DX$25,3),'Perhitungan IPH Mingguan 2026'!$DX$6:$DX$25,0)),"")</f>
        <v/>
      </c>
      <c r="F80" s="9" t="str">
        <f>IF(ISNUMBER(E80),IF(E80&gt;0,"Penyumbang KENAIKAN IPH","Penyumbang PENURUNAN IPH"),"-")</f>
        <v>-</v>
      </c>
    </row>
    <row r="81" spans="1:6" ht="15" customHeight="1" x14ac:dyDescent="0.35">
      <c r="A81" s="8">
        <v>4</v>
      </c>
      <c r="B81" s="9" t="str">
        <f>IFERROR(INDEX('Perhitungan IPH Mingguan 2026'!$B$6:$B$25,MATCH(LARGE('Perhitungan IPH Mingguan 2026'!$DX$6:$DX$25,4),'Perhitungan IPH Mingguan 2026'!$DX$6:$DX$25,0)),"-")</f>
        <v>-</v>
      </c>
      <c r="C81" s="10" t="str">
        <f>IFERROR(INDEX('Perhitungan IPH Mingguan 2026'!$C$6:$C$25,MATCH(LARGE('Perhitungan IPH Mingguan 2026'!$DX$6:$DX$25,4),'Perhitungan IPH Mingguan 2026'!$DX$6:$DX$25,0)),"")</f>
        <v/>
      </c>
      <c r="D81" s="25" t="str">
        <f>IFERROR(INDEX('Perhitungan IPH Mingguan 2026'!$AF$6:$AF$25,MATCH(LARGE('Perhitungan IPH Mingguan 2026'!$DX$6:$DX$25,4),'Perhitungan IPH Mingguan 2026'!$DX$6:$DX$25,0)),"")</f>
        <v/>
      </c>
      <c r="E81" s="10" t="str">
        <f>IFERROR(INDEX('Perhitungan IPH Mingguan 2026'!$AG$6:$AG$25,MATCH(LARGE('Perhitungan IPH Mingguan 2026'!$DX$6:$DX$25,4),'Perhitungan IPH Mingguan 2026'!$DX$6:$DX$25,0)),"")</f>
        <v/>
      </c>
      <c r="F81" s="9" t="str">
        <f>IF(ISNUMBER(E81),IF(E81&gt;0,"Penyumbang KENAIKAN IPH","Penyumbang PENURUNAN IPH"),"-")</f>
        <v>-</v>
      </c>
    </row>
    <row r="82" spans="1:6" ht="15" customHeight="1" x14ac:dyDescent="0.35">
      <c r="A82" s="8">
        <v>5</v>
      </c>
      <c r="B82" s="9" t="str">
        <f>IFERROR(INDEX('Perhitungan IPH Mingguan 2026'!$B$6:$B$25,MATCH(LARGE('Perhitungan IPH Mingguan 2026'!$DX$6:$DX$25,5),'Perhitungan IPH Mingguan 2026'!$DX$6:$DX$25,0)),"-")</f>
        <v>-</v>
      </c>
      <c r="C82" s="10" t="str">
        <f>IFERROR(INDEX('Perhitungan IPH Mingguan 2026'!$C$6:$C$25,MATCH(LARGE('Perhitungan IPH Mingguan 2026'!$DX$6:$DX$25,5),'Perhitungan IPH Mingguan 2026'!$DX$6:$DX$25,0)),"")</f>
        <v/>
      </c>
      <c r="D82" s="25" t="str">
        <f>IFERROR(INDEX('Perhitungan IPH Mingguan 2026'!$AF$6:$AF$25,MATCH(LARGE('Perhitungan IPH Mingguan 2026'!$DX$6:$DX$25,5),'Perhitungan IPH Mingguan 2026'!$DX$6:$DX$25,0)),"")</f>
        <v/>
      </c>
      <c r="E82" s="10" t="str">
        <f>IFERROR(INDEX('Perhitungan IPH Mingguan 2026'!$AG$6:$AG$25,MATCH(LARGE('Perhitungan IPH Mingguan 2026'!$DX$6:$DX$25,5),'Perhitungan IPH Mingguan 2026'!$DX$6:$DX$25,0)),"")</f>
        <v/>
      </c>
      <c r="F82" s="9" t="str">
        <f>IF(ISNUMBER(E82),IF(E82&gt;0,"Penyumbang KENAIKAN IPH","Penyumbang PENURUNAN IPH"),"-")</f>
        <v>-</v>
      </c>
    </row>
    <row r="84" spans="1:6" ht="15" customHeight="1" x14ac:dyDescent="0.35">
      <c r="A84" s="2" t="s">
        <v>225</v>
      </c>
      <c r="B84" s="2"/>
      <c r="C84" s="2"/>
      <c r="D84" s="2"/>
      <c r="E84" s="2"/>
      <c r="F84" s="2"/>
    </row>
    <row r="85" spans="1:6" ht="21.75" customHeight="1" x14ac:dyDescent="0.35">
      <c r="A85" s="6" t="s">
        <v>211</v>
      </c>
      <c r="B85" s="6" t="s">
        <v>212</v>
      </c>
      <c r="C85" s="6" t="s">
        <v>139</v>
      </c>
      <c r="D85" s="6" t="s">
        <v>213</v>
      </c>
      <c r="E85" s="6" t="s">
        <v>214</v>
      </c>
      <c r="F85" s="6" t="s">
        <v>215</v>
      </c>
    </row>
    <row r="86" spans="1:6" ht="15" customHeight="1" x14ac:dyDescent="0.35">
      <c r="A86" s="8">
        <v>1</v>
      </c>
      <c r="B86" s="9" t="str">
        <f>IFERROR(INDEX('Perhitungan IPH Mingguan 2026'!$B$6:$B$25,MATCH(LARGE('Perhitungan IPH Mingguan 2026'!$DY$6:$DY$25,1),'Perhitungan IPH Mingguan 2026'!$DY$6:$DY$25,0)),"-")</f>
        <v>-</v>
      </c>
      <c r="C86" s="10" t="str">
        <f>IFERROR(INDEX('Perhitungan IPH Mingguan 2026'!$C$6:$C$25,MATCH(LARGE('Perhitungan IPH Mingguan 2026'!$DY$6:$DY$25,1),'Perhitungan IPH Mingguan 2026'!$DY$6:$DY$25,0)),"")</f>
        <v/>
      </c>
      <c r="D86" s="25" t="str">
        <f>IFERROR(INDEX('Perhitungan IPH Mingguan 2026'!$AI$6:$AI$25,MATCH(LARGE('Perhitungan IPH Mingguan 2026'!$DY$6:$DY$25,1),'Perhitungan IPH Mingguan 2026'!$DY$6:$DY$25,0)),"")</f>
        <v/>
      </c>
      <c r="E86" s="10" t="str">
        <f>IFERROR(INDEX('Perhitungan IPH Mingguan 2026'!$AJ$6:$AJ$25,MATCH(LARGE('Perhitungan IPH Mingguan 2026'!$DY$6:$DY$25,1),'Perhitungan IPH Mingguan 2026'!$DY$6:$DY$25,0)),"")</f>
        <v/>
      </c>
      <c r="F86" s="9" t="str">
        <f>IF(ISNUMBER(E86),IF(E86&gt;0,"Penyumbang KENAIKAN IPH","Penyumbang PENURUNAN IPH"),"-")</f>
        <v>-</v>
      </c>
    </row>
    <row r="87" spans="1:6" ht="15" customHeight="1" x14ac:dyDescent="0.35">
      <c r="A87" s="8">
        <v>2</v>
      </c>
      <c r="B87" s="9" t="str">
        <f>IFERROR(INDEX('Perhitungan IPH Mingguan 2026'!$B$6:$B$25,MATCH(LARGE('Perhitungan IPH Mingguan 2026'!$DY$6:$DY$25,2),'Perhitungan IPH Mingguan 2026'!$DY$6:$DY$25,0)),"-")</f>
        <v>-</v>
      </c>
      <c r="C87" s="10" t="str">
        <f>IFERROR(INDEX('Perhitungan IPH Mingguan 2026'!$C$6:$C$25,MATCH(LARGE('Perhitungan IPH Mingguan 2026'!$DY$6:$DY$25,2),'Perhitungan IPH Mingguan 2026'!$DY$6:$DY$25,0)),"")</f>
        <v/>
      </c>
      <c r="D87" s="25" t="str">
        <f>IFERROR(INDEX('Perhitungan IPH Mingguan 2026'!$AI$6:$AI$25,MATCH(LARGE('Perhitungan IPH Mingguan 2026'!$DY$6:$DY$25,2),'Perhitungan IPH Mingguan 2026'!$DY$6:$DY$25,0)),"")</f>
        <v/>
      </c>
      <c r="E87" s="10" t="str">
        <f>IFERROR(INDEX('Perhitungan IPH Mingguan 2026'!$AJ$6:$AJ$25,MATCH(LARGE('Perhitungan IPH Mingguan 2026'!$DY$6:$DY$25,2),'Perhitungan IPH Mingguan 2026'!$DY$6:$DY$25,0)),"")</f>
        <v/>
      </c>
      <c r="F87" s="9" t="str">
        <f>IF(ISNUMBER(E87),IF(E87&gt;0,"Penyumbang KENAIKAN IPH","Penyumbang PENURUNAN IPH"),"-")</f>
        <v>-</v>
      </c>
    </row>
    <row r="88" spans="1:6" ht="15" customHeight="1" x14ac:dyDescent="0.35">
      <c r="A88" s="8">
        <v>3</v>
      </c>
      <c r="B88" s="9" t="str">
        <f>IFERROR(INDEX('Perhitungan IPH Mingguan 2026'!$B$6:$B$25,MATCH(LARGE('Perhitungan IPH Mingguan 2026'!$DY$6:$DY$25,3),'Perhitungan IPH Mingguan 2026'!$DY$6:$DY$25,0)),"-")</f>
        <v>-</v>
      </c>
      <c r="C88" s="10" t="str">
        <f>IFERROR(INDEX('Perhitungan IPH Mingguan 2026'!$C$6:$C$25,MATCH(LARGE('Perhitungan IPH Mingguan 2026'!$DY$6:$DY$25,3),'Perhitungan IPH Mingguan 2026'!$DY$6:$DY$25,0)),"")</f>
        <v/>
      </c>
      <c r="D88" s="25" t="str">
        <f>IFERROR(INDEX('Perhitungan IPH Mingguan 2026'!$AI$6:$AI$25,MATCH(LARGE('Perhitungan IPH Mingguan 2026'!$DY$6:$DY$25,3),'Perhitungan IPH Mingguan 2026'!$DY$6:$DY$25,0)),"")</f>
        <v/>
      </c>
      <c r="E88" s="10" t="str">
        <f>IFERROR(INDEX('Perhitungan IPH Mingguan 2026'!$AJ$6:$AJ$25,MATCH(LARGE('Perhitungan IPH Mingguan 2026'!$DY$6:$DY$25,3),'Perhitungan IPH Mingguan 2026'!$DY$6:$DY$25,0)),"")</f>
        <v/>
      </c>
      <c r="F88" s="9" t="str">
        <f>IF(ISNUMBER(E88),IF(E88&gt;0,"Penyumbang KENAIKAN IPH","Penyumbang PENURUNAN IPH"),"-")</f>
        <v>-</v>
      </c>
    </row>
    <row r="89" spans="1:6" ht="15" customHeight="1" x14ac:dyDescent="0.35">
      <c r="A89" s="8">
        <v>4</v>
      </c>
      <c r="B89" s="9" t="str">
        <f>IFERROR(INDEX('Perhitungan IPH Mingguan 2026'!$B$6:$B$25,MATCH(LARGE('Perhitungan IPH Mingguan 2026'!$DY$6:$DY$25,4),'Perhitungan IPH Mingguan 2026'!$DY$6:$DY$25,0)),"-")</f>
        <v>-</v>
      </c>
      <c r="C89" s="10" t="str">
        <f>IFERROR(INDEX('Perhitungan IPH Mingguan 2026'!$C$6:$C$25,MATCH(LARGE('Perhitungan IPH Mingguan 2026'!$DY$6:$DY$25,4),'Perhitungan IPH Mingguan 2026'!$DY$6:$DY$25,0)),"")</f>
        <v/>
      </c>
      <c r="D89" s="25" t="str">
        <f>IFERROR(INDEX('Perhitungan IPH Mingguan 2026'!$AI$6:$AI$25,MATCH(LARGE('Perhitungan IPH Mingguan 2026'!$DY$6:$DY$25,4),'Perhitungan IPH Mingguan 2026'!$DY$6:$DY$25,0)),"")</f>
        <v/>
      </c>
      <c r="E89" s="10" t="str">
        <f>IFERROR(INDEX('Perhitungan IPH Mingguan 2026'!$AJ$6:$AJ$25,MATCH(LARGE('Perhitungan IPH Mingguan 2026'!$DY$6:$DY$25,4),'Perhitungan IPH Mingguan 2026'!$DY$6:$DY$25,0)),"")</f>
        <v/>
      </c>
      <c r="F89" s="9" t="str">
        <f>IF(ISNUMBER(E89),IF(E89&gt;0,"Penyumbang KENAIKAN IPH","Penyumbang PENURUNAN IPH"),"-")</f>
        <v>-</v>
      </c>
    </row>
    <row r="90" spans="1:6" ht="15" customHeight="1" x14ac:dyDescent="0.35">
      <c r="A90" s="8">
        <v>5</v>
      </c>
      <c r="B90" s="9" t="str">
        <f>IFERROR(INDEX('Perhitungan IPH Mingguan 2026'!$B$6:$B$25,MATCH(LARGE('Perhitungan IPH Mingguan 2026'!$DY$6:$DY$25,5),'Perhitungan IPH Mingguan 2026'!$DY$6:$DY$25,0)),"-")</f>
        <v>-</v>
      </c>
      <c r="C90" s="10" t="str">
        <f>IFERROR(INDEX('Perhitungan IPH Mingguan 2026'!$C$6:$C$25,MATCH(LARGE('Perhitungan IPH Mingguan 2026'!$DY$6:$DY$25,5),'Perhitungan IPH Mingguan 2026'!$DY$6:$DY$25,0)),"")</f>
        <v/>
      </c>
      <c r="D90" s="25" t="str">
        <f>IFERROR(INDEX('Perhitungan IPH Mingguan 2026'!$AI$6:$AI$25,MATCH(LARGE('Perhitungan IPH Mingguan 2026'!$DY$6:$DY$25,5),'Perhitungan IPH Mingguan 2026'!$DY$6:$DY$25,0)),"")</f>
        <v/>
      </c>
      <c r="E90" s="10" t="str">
        <f>IFERROR(INDEX('Perhitungan IPH Mingguan 2026'!$AJ$6:$AJ$25,MATCH(LARGE('Perhitungan IPH Mingguan 2026'!$DY$6:$DY$25,5),'Perhitungan IPH Mingguan 2026'!$DY$6:$DY$25,0)),"")</f>
        <v/>
      </c>
      <c r="F90" s="9" t="str">
        <f>IF(ISNUMBER(E90),IF(E90&gt;0,"Penyumbang KENAIKAN IPH","Penyumbang PENURUNAN IPH"),"-")</f>
        <v>-</v>
      </c>
    </row>
    <row r="92" spans="1:6" ht="15" customHeight="1" x14ac:dyDescent="0.35">
      <c r="A92" s="2" t="s">
        <v>226</v>
      </c>
      <c r="B92" s="2"/>
      <c r="C92" s="2"/>
      <c r="D92" s="2"/>
      <c r="E92" s="2"/>
      <c r="F92" s="2"/>
    </row>
    <row r="93" spans="1:6" ht="21.75" customHeight="1" x14ac:dyDescent="0.35">
      <c r="A93" s="6" t="s">
        <v>211</v>
      </c>
      <c r="B93" s="6" t="s">
        <v>212</v>
      </c>
      <c r="C93" s="6" t="s">
        <v>139</v>
      </c>
      <c r="D93" s="6" t="s">
        <v>213</v>
      </c>
      <c r="E93" s="6" t="s">
        <v>214</v>
      </c>
      <c r="F93" s="6" t="s">
        <v>215</v>
      </c>
    </row>
    <row r="94" spans="1:6" ht="15" customHeight="1" x14ac:dyDescent="0.35">
      <c r="A94" s="8">
        <v>1</v>
      </c>
      <c r="B94" s="9" t="str">
        <f>IFERROR(INDEX('Perhitungan IPH Mingguan 2026'!$B$6:$B$25,MATCH(LARGE('Perhitungan IPH Mingguan 2026'!$DZ$6:$DZ$25,1),'Perhitungan IPH Mingguan 2026'!$DZ$6:$DZ$25,0)),"-")</f>
        <v>-</v>
      </c>
      <c r="C94" s="10" t="str">
        <f>IFERROR(INDEX('Perhitungan IPH Mingguan 2026'!$C$6:$C$25,MATCH(LARGE('Perhitungan IPH Mingguan 2026'!$DZ$6:$DZ$25,1),'Perhitungan IPH Mingguan 2026'!$DZ$6:$DZ$25,0)),"")</f>
        <v/>
      </c>
      <c r="D94" s="25" t="str">
        <f>IFERROR(INDEX('Perhitungan IPH Mingguan 2026'!$AL$6:$AL$25,MATCH(LARGE('Perhitungan IPH Mingguan 2026'!$DZ$6:$DZ$25,1),'Perhitungan IPH Mingguan 2026'!$DZ$6:$DZ$25,0)),"")</f>
        <v/>
      </c>
      <c r="E94" s="10" t="str">
        <f>IFERROR(INDEX('Perhitungan IPH Mingguan 2026'!$AM$6:$AM$25,MATCH(LARGE('Perhitungan IPH Mingguan 2026'!$DZ$6:$DZ$25,1),'Perhitungan IPH Mingguan 2026'!$DZ$6:$DZ$25,0)),"")</f>
        <v/>
      </c>
      <c r="F94" s="9" t="str">
        <f>IF(ISNUMBER(E94),IF(E94&gt;0,"Penyumbang KENAIKAN IPH","Penyumbang PENURUNAN IPH"),"-")</f>
        <v>-</v>
      </c>
    </row>
    <row r="95" spans="1:6" ht="15" customHeight="1" x14ac:dyDescent="0.35">
      <c r="A95" s="8">
        <v>2</v>
      </c>
      <c r="B95" s="9" t="str">
        <f>IFERROR(INDEX('Perhitungan IPH Mingguan 2026'!$B$6:$B$25,MATCH(LARGE('Perhitungan IPH Mingguan 2026'!$DZ$6:$DZ$25,2),'Perhitungan IPH Mingguan 2026'!$DZ$6:$DZ$25,0)),"-")</f>
        <v>-</v>
      </c>
      <c r="C95" s="10" t="str">
        <f>IFERROR(INDEX('Perhitungan IPH Mingguan 2026'!$C$6:$C$25,MATCH(LARGE('Perhitungan IPH Mingguan 2026'!$DZ$6:$DZ$25,2),'Perhitungan IPH Mingguan 2026'!$DZ$6:$DZ$25,0)),"")</f>
        <v/>
      </c>
      <c r="D95" s="25" t="str">
        <f>IFERROR(INDEX('Perhitungan IPH Mingguan 2026'!$AL$6:$AL$25,MATCH(LARGE('Perhitungan IPH Mingguan 2026'!$DZ$6:$DZ$25,2),'Perhitungan IPH Mingguan 2026'!$DZ$6:$DZ$25,0)),"")</f>
        <v/>
      </c>
      <c r="E95" s="10" t="str">
        <f>IFERROR(INDEX('Perhitungan IPH Mingguan 2026'!$AM$6:$AM$25,MATCH(LARGE('Perhitungan IPH Mingguan 2026'!$DZ$6:$DZ$25,2),'Perhitungan IPH Mingguan 2026'!$DZ$6:$DZ$25,0)),"")</f>
        <v/>
      </c>
      <c r="F95" s="9" t="str">
        <f>IF(ISNUMBER(E95),IF(E95&gt;0,"Penyumbang KENAIKAN IPH","Penyumbang PENURUNAN IPH"),"-")</f>
        <v>-</v>
      </c>
    </row>
    <row r="96" spans="1:6" ht="15" customHeight="1" x14ac:dyDescent="0.35">
      <c r="A96" s="8">
        <v>3</v>
      </c>
      <c r="B96" s="9" t="str">
        <f>IFERROR(INDEX('Perhitungan IPH Mingguan 2026'!$B$6:$B$25,MATCH(LARGE('Perhitungan IPH Mingguan 2026'!$DZ$6:$DZ$25,3),'Perhitungan IPH Mingguan 2026'!$DZ$6:$DZ$25,0)),"-")</f>
        <v>-</v>
      </c>
      <c r="C96" s="10" t="str">
        <f>IFERROR(INDEX('Perhitungan IPH Mingguan 2026'!$C$6:$C$25,MATCH(LARGE('Perhitungan IPH Mingguan 2026'!$DZ$6:$DZ$25,3),'Perhitungan IPH Mingguan 2026'!$DZ$6:$DZ$25,0)),"")</f>
        <v/>
      </c>
      <c r="D96" s="25" t="str">
        <f>IFERROR(INDEX('Perhitungan IPH Mingguan 2026'!$AL$6:$AL$25,MATCH(LARGE('Perhitungan IPH Mingguan 2026'!$DZ$6:$DZ$25,3),'Perhitungan IPH Mingguan 2026'!$DZ$6:$DZ$25,0)),"")</f>
        <v/>
      </c>
      <c r="E96" s="10" t="str">
        <f>IFERROR(INDEX('Perhitungan IPH Mingguan 2026'!$AM$6:$AM$25,MATCH(LARGE('Perhitungan IPH Mingguan 2026'!$DZ$6:$DZ$25,3),'Perhitungan IPH Mingguan 2026'!$DZ$6:$DZ$25,0)),"")</f>
        <v/>
      </c>
      <c r="F96" s="9" t="str">
        <f>IF(ISNUMBER(E96),IF(E96&gt;0,"Penyumbang KENAIKAN IPH","Penyumbang PENURUNAN IPH"),"-")</f>
        <v>-</v>
      </c>
    </row>
    <row r="97" spans="1:6" ht="15" customHeight="1" x14ac:dyDescent="0.35">
      <c r="A97" s="8">
        <v>4</v>
      </c>
      <c r="B97" s="9" t="str">
        <f>IFERROR(INDEX('Perhitungan IPH Mingguan 2026'!$B$6:$B$25,MATCH(LARGE('Perhitungan IPH Mingguan 2026'!$DZ$6:$DZ$25,4),'Perhitungan IPH Mingguan 2026'!$DZ$6:$DZ$25,0)),"-")</f>
        <v>-</v>
      </c>
      <c r="C97" s="10" t="str">
        <f>IFERROR(INDEX('Perhitungan IPH Mingguan 2026'!$C$6:$C$25,MATCH(LARGE('Perhitungan IPH Mingguan 2026'!$DZ$6:$DZ$25,4),'Perhitungan IPH Mingguan 2026'!$DZ$6:$DZ$25,0)),"")</f>
        <v/>
      </c>
      <c r="D97" s="25" t="str">
        <f>IFERROR(INDEX('Perhitungan IPH Mingguan 2026'!$AL$6:$AL$25,MATCH(LARGE('Perhitungan IPH Mingguan 2026'!$DZ$6:$DZ$25,4),'Perhitungan IPH Mingguan 2026'!$DZ$6:$DZ$25,0)),"")</f>
        <v/>
      </c>
      <c r="E97" s="10" t="str">
        <f>IFERROR(INDEX('Perhitungan IPH Mingguan 2026'!$AM$6:$AM$25,MATCH(LARGE('Perhitungan IPH Mingguan 2026'!$DZ$6:$DZ$25,4),'Perhitungan IPH Mingguan 2026'!$DZ$6:$DZ$25,0)),"")</f>
        <v/>
      </c>
      <c r="F97" s="9" t="str">
        <f>IF(ISNUMBER(E97),IF(E97&gt;0,"Penyumbang KENAIKAN IPH","Penyumbang PENURUNAN IPH"),"-")</f>
        <v>-</v>
      </c>
    </row>
    <row r="98" spans="1:6" ht="15" customHeight="1" x14ac:dyDescent="0.35">
      <c r="A98" s="8">
        <v>5</v>
      </c>
      <c r="B98" s="9" t="str">
        <f>IFERROR(INDEX('Perhitungan IPH Mingguan 2026'!$B$6:$B$25,MATCH(LARGE('Perhitungan IPH Mingguan 2026'!$DZ$6:$DZ$25,5),'Perhitungan IPH Mingguan 2026'!$DZ$6:$DZ$25,0)),"-")</f>
        <v>-</v>
      </c>
      <c r="C98" s="10" t="str">
        <f>IFERROR(INDEX('Perhitungan IPH Mingguan 2026'!$C$6:$C$25,MATCH(LARGE('Perhitungan IPH Mingguan 2026'!$DZ$6:$DZ$25,5),'Perhitungan IPH Mingguan 2026'!$DZ$6:$DZ$25,0)),"")</f>
        <v/>
      </c>
      <c r="D98" s="25" t="str">
        <f>IFERROR(INDEX('Perhitungan IPH Mingguan 2026'!$AL$6:$AL$25,MATCH(LARGE('Perhitungan IPH Mingguan 2026'!$DZ$6:$DZ$25,5),'Perhitungan IPH Mingguan 2026'!$DZ$6:$DZ$25,0)),"")</f>
        <v/>
      </c>
      <c r="E98" s="10" t="str">
        <f>IFERROR(INDEX('Perhitungan IPH Mingguan 2026'!$AM$6:$AM$25,MATCH(LARGE('Perhitungan IPH Mingguan 2026'!$DZ$6:$DZ$25,5),'Perhitungan IPH Mingguan 2026'!$DZ$6:$DZ$25,0)),"")</f>
        <v/>
      </c>
      <c r="F98" s="9" t="str">
        <f>IF(ISNUMBER(E98),IF(E98&gt;0,"Penyumbang KENAIKAN IPH","Penyumbang PENURUNAN IPH"),"-")</f>
        <v>-</v>
      </c>
    </row>
    <row r="100" spans="1:6" ht="15" customHeight="1" x14ac:dyDescent="0.35">
      <c r="A100" s="2" t="s">
        <v>227</v>
      </c>
      <c r="B100" s="2"/>
      <c r="C100" s="2"/>
      <c r="D100" s="2"/>
      <c r="E100" s="2"/>
      <c r="F100" s="2"/>
    </row>
    <row r="101" spans="1:6" ht="21.75" customHeight="1" x14ac:dyDescent="0.35">
      <c r="A101" s="6" t="s">
        <v>211</v>
      </c>
      <c r="B101" s="6" t="s">
        <v>212</v>
      </c>
      <c r="C101" s="6" t="s">
        <v>139</v>
      </c>
      <c r="D101" s="6" t="s">
        <v>213</v>
      </c>
      <c r="E101" s="6" t="s">
        <v>214</v>
      </c>
      <c r="F101" s="6" t="s">
        <v>215</v>
      </c>
    </row>
    <row r="102" spans="1:6" ht="15" customHeight="1" x14ac:dyDescent="0.35">
      <c r="A102" s="8">
        <v>1</v>
      </c>
      <c r="B102" s="9" t="str">
        <f>IFERROR(INDEX('Perhitungan IPH Mingguan 2026'!$B$6:$B$25,MATCH(LARGE('Perhitungan IPH Mingguan 2026'!$EA$6:$EA$25,1),'Perhitungan IPH Mingguan 2026'!$EA$6:$EA$25,0)),"-")</f>
        <v>-</v>
      </c>
      <c r="C102" s="10" t="str">
        <f>IFERROR(INDEX('Perhitungan IPH Mingguan 2026'!$C$6:$C$25,MATCH(LARGE('Perhitungan IPH Mingguan 2026'!$EA$6:$EA$25,1),'Perhitungan IPH Mingguan 2026'!$EA$6:$EA$25,0)),"")</f>
        <v/>
      </c>
      <c r="D102" s="25" t="str">
        <f>IFERROR(INDEX('Perhitungan IPH Mingguan 2026'!$AO$6:$AO$25,MATCH(LARGE('Perhitungan IPH Mingguan 2026'!$EA$6:$EA$25,1),'Perhitungan IPH Mingguan 2026'!$EA$6:$EA$25,0)),"")</f>
        <v/>
      </c>
      <c r="E102" s="10" t="str">
        <f>IFERROR(INDEX('Perhitungan IPH Mingguan 2026'!$AP$6:$AP$25,MATCH(LARGE('Perhitungan IPH Mingguan 2026'!$EA$6:$EA$25,1),'Perhitungan IPH Mingguan 2026'!$EA$6:$EA$25,0)),"")</f>
        <v/>
      </c>
      <c r="F102" s="9" t="str">
        <f>IF(ISNUMBER(E102),IF(E102&gt;0,"Penyumbang KENAIKAN IPH","Penyumbang PENURUNAN IPH"),"-")</f>
        <v>-</v>
      </c>
    </row>
    <row r="103" spans="1:6" ht="15" customHeight="1" x14ac:dyDescent="0.35">
      <c r="A103" s="8">
        <v>2</v>
      </c>
      <c r="B103" s="9" t="str">
        <f>IFERROR(INDEX('Perhitungan IPH Mingguan 2026'!$B$6:$B$25,MATCH(LARGE('Perhitungan IPH Mingguan 2026'!$EA$6:$EA$25,2),'Perhitungan IPH Mingguan 2026'!$EA$6:$EA$25,0)),"-")</f>
        <v>-</v>
      </c>
      <c r="C103" s="10" t="str">
        <f>IFERROR(INDEX('Perhitungan IPH Mingguan 2026'!$C$6:$C$25,MATCH(LARGE('Perhitungan IPH Mingguan 2026'!$EA$6:$EA$25,2),'Perhitungan IPH Mingguan 2026'!$EA$6:$EA$25,0)),"")</f>
        <v/>
      </c>
      <c r="D103" s="25" t="str">
        <f>IFERROR(INDEX('Perhitungan IPH Mingguan 2026'!$AO$6:$AO$25,MATCH(LARGE('Perhitungan IPH Mingguan 2026'!$EA$6:$EA$25,2),'Perhitungan IPH Mingguan 2026'!$EA$6:$EA$25,0)),"")</f>
        <v/>
      </c>
      <c r="E103" s="10" t="str">
        <f>IFERROR(INDEX('Perhitungan IPH Mingguan 2026'!$AP$6:$AP$25,MATCH(LARGE('Perhitungan IPH Mingguan 2026'!$EA$6:$EA$25,2),'Perhitungan IPH Mingguan 2026'!$EA$6:$EA$25,0)),"")</f>
        <v/>
      </c>
      <c r="F103" s="9" t="str">
        <f>IF(ISNUMBER(E103),IF(E103&gt;0,"Penyumbang KENAIKAN IPH","Penyumbang PENURUNAN IPH"),"-")</f>
        <v>-</v>
      </c>
    </row>
    <row r="104" spans="1:6" ht="15" customHeight="1" x14ac:dyDescent="0.35">
      <c r="A104" s="8">
        <v>3</v>
      </c>
      <c r="B104" s="9" t="str">
        <f>IFERROR(INDEX('Perhitungan IPH Mingguan 2026'!$B$6:$B$25,MATCH(LARGE('Perhitungan IPH Mingguan 2026'!$EA$6:$EA$25,3),'Perhitungan IPH Mingguan 2026'!$EA$6:$EA$25,0)),"-")</f>
        <v>-</v>
      </c>
      <c r="C104" s="10" t="str">
        <f>IFERROR(INDEX('Perhitungan IPH Mingguan 2026'!$C$6:$C$25,MATCH(LARGE('Perhitungan IPH Mingguan 2026'!$EA$6:$EA$25,3),'Perhitungan IPH Mingguan 2026'!$EA$6:$EA$25,0)),"")</f>
        <v/>
      </c>
      <c r="D104" s="25" t="str">
        <f>IFERROR(INDEX('Perhitungan IPH Mingguan 2026'!$AO$6:$AO$25,MATCH(LARGE('Perhitungan IPH Mingguan 2026'!$EA$6:$EA$25,3),'Perhitungan IPH Mingguan 2026'!$EA$6:$EA$25,0)),"")</f>
        <v/>
      </c>
      <c r="E104" s="10" t="str">
        <f>IFERROR(INDEX('Perhitungan IPH Mingguan 2026'!$AP$6:$AP$25,MATCH(LARGE('Perhitungan IPH Mingguan 2026'!$EA$6:$EA$25,3),'Perhitungan IPH Mingguan 2026'!$EA$6:$EA$25,0)),"")</f>
        <v/>
      </c>
      <c r="F104" s="9" t="str">
        <f>IF(ISNUMBER(E104),IF(E104&gt;0,"Penyumbang KENAIKAN IPH","Penyumbang PENURUNAN IPH"),"-")</f>
        <v>-</v>
      </c>
    </row>
    <row r="105" spans="1:6" ht="15" customHeight="1" x14ac:dyDescent="0.35">
      <c r="A105" s="8">
        <v>4</v>
      </c>
      <c r="B105" s="9" t="str">
        <f>IFERROR(INDEX('Perhitungan IPH Mingguan 2026'!$B$6:$B$25,MATCH(LARGE('Perhitungan IPH Mingguan 2026'!$EA$6:$EA$25,4),'Perhitungan IPH Mingguan 2026'!$EA$6:$EA$25,0)),"-")</f>
        <v>-</v>
      </c>
      <c r="C105" s="10" t="str">
        <f>IFERROR(INDEX('Perhitungan IPH Mingguan 2026'!$C$6:$C$25,MATCH(LARGE('Perhitungan IPH Mingguan 2026'!$EA$6:$EA$25,4),'Perhitungan IPH Mingguan 2026'!$EA$6:$EA$25,0)),"")</f>
        <v/>
      </c>
      <c r="D105" s="25" t="str">
        <f>IFERROR(INDEX('Perhitungan IPH Mingguan 2026'!$AO$6:$AO$25,MATCH(LARGE('Perhitungan IPH Mingguan 2026'!$EA$6:$EA$25,4),'Perhitungan IPH Mingguan 2026'!$EA$6:$EA$25,0)),"")</f>
        <v/>
      </c>
      <c r="E105" s="10" t="str">
        <f>IFERROR(INDEX('Perhitungan IPH Mingguan 2026'!$AP$6:$AP$25,MATCH(LARGE('Perhitungan IPH Mingguan 2026'!$EA$6:$EA$25,4),'Perhitungan IPH Mingguan 2026'!$EA$6:$EA$25,0)),"")</f>
        <v/>
      </c>
      <c r="F105" s="9" t="str">
        <f>IF(ISNUMBER(E105),IF(E105&gt;0,"Penyumbang KENAIKAN IPH","Penyumbang PENURUNAN IPH"),"-")</f>
        <v>-</v>
      </c>
    </row>
    <row r="106" spans="1:6" ht="15" customHeight="1" x14ac:dyDescent="0.35">
      <c r="A106" s="8">
        <v>5</v>
      </c>
      <c r="B106" s="9" t="str">
        <f>IFERROR(INDEX('Perhitungan IPH Mingguan 2026'!$B$6:$B$25,MATCH(LARGE('Perhitungan IPH Mingguan 2026'!$EA$6:$EA$25,5),'Perhitungan IPH Mingguan 2026'!$EA$6:$EA$25,0)),"-")</f>
        <v>-</v>
      </c>
      <c r="C106" s="10" t="str">
        <f>IFERROR(INDEX('Perhitungan IPH Mingguan 2026'!$C$6:$C$25,MATCH(LARGE('Perhitungan IPH Mingguan 2026'!$EA$6:$EA$25,5),'Perhitungan IPH Mingguan 2026'!$EA$6:$EA$25,0)),"")</f>
        <v/>
      </c>
      <c r="D106" s="25" t="str">
        <f>IFERROR(INDEX('Perhitungan IPH Mingguan 2026'!$AO$6:$AO$25,MATCH(LARGE('Perhitungan IPH Mingguan 2026'!$EA$6:$EA$25,5),'Perhitungan IPH Mingguan 2026'!$EA$6:$EA$25,0)),"")</f>
        <v/>
      </c>
      <c r="E106" s="10" t="str">
        <f>IFERROR(INDEX('Perhitungan IPH Mingguan 2026'!$AP$6:$AP$25,MATCH(LARGE('Perhitungan IPH Mingguan 2026'!$EA$6:$EA$25,5),'Perhitungan IPH Mingguan 2026'!$EA$6:$EA$25,0)),"")</f>
        <v/>
      </c>
      <c r="F106" s="9" t="str">
        <f>IF(ISNUMBER(E106),IF(E106&gt;0,"Penyumbang KENAIKAN IPH","Penyumbang PENURUNAN IPH"),"-")</f>
        <v>-</v>
      </c>
    </row>
    <row r="108" spans="1:6" ht="15" customHeight="1" x14ac:dyDescent="0.35">
      <c r="A108" s="2" t="s">
        <v>228</v>
      </c>
      <c r="B108" s="2"/>
      <c r="C108" s="2"/>
      <c r="D108" s="2"/>
      <c r="E108" s="2"/>
      <c r="F108" s="2"/>
    </row>
    <row r="109" spans="1:6" ht="21.75" customHeight="1" x14ac:dyDescent="0.35">
      <c r="A109" s="6" t="s">
        <v>211</v>
      </c>
      <c r="B109" s="6" t="s">
        <v>212</v>
      </c>
      <c r="C109" s="6" t="s">
        <v>139</v>
      </c>
      <c r="D109" s="6" t="s">
        <v>213</v>
      </c>
      <c r="E109" s="6" t="s">
        <v>214</v>
      </c>
      <c r="F109" s="6" t="s">
        <v>215</v>
      </c>
    </row>
    <row r="110" spans="1:6" ht="15" customHeight="1" x14ac:dyDescent="0.35">
      <c r="A110" s="8">
        <v>1</v>
      </c>
      <c r="B110" s="9" t="str">
        <f>IFERROR(INDEX('Perhitungan IPH Mingguan 2026'!$B$6:$B$25,MATCH(LARGE('Perhitungan IPH Mingguan 2026'!$EB$6:$EB$25,1),'Perhitungan IPH Mingguan 2026'!$EB$6:$EB$25,0)),"-")</f>
        <v>-</v>
      </c>
      <c r="C110" s="10" t="str">
        <f>IFERROR(INDEX('Perhitungan IPH Mingguan 2026'!$C$6:$C$25,MATCH(LARGE('Perhitungan IPH Mingguan 2026'!$EB$6:$EB$25,1),'Perhitungan IPH Mingguan 2026'!$EB$6:$EB$25,0)),"")</f>
        <v/>
      </c>
      <c r="D110" s="25" t="str">
        <f>IFERROR(INDEX('Perhitungan IPH Mingguan 2026'!$AR$6:$AR$25,MATCH(LARGE('Perhitungan IPH Mingguan 2026'!$EB$6:$EB$25,1),'Perhitungan IPH Mingguan 2026'!$EB$6:$EB$25,0)),"")</f>
        <v/>
      </c>
      <c r="E110" s="10" t="str">
        <f>IFERROR(INDEX('Perhitungan IPH Mingguan 2026'!$AS$6:$AS$25,MATCH(LARGE('Perhitungan IPH Mingguan 2026'!$EB$6:$EB$25,1),'Perhitungan IPH Mingguan 2026'!$EB$6:$EB$25,0)),"")</f>
        <v/>
      </c>
      <c r="F110" s="9" t="str">
        <f>IF(ISNUMBER(E110),IF(E110&gt;0,"Penyumbang KENAIKAN IPH","Penyumbang PENURUNAN IPH"),"-")</f>
        <v>-</v>
      </c>
    </row>
    <row r="111" spans="1:6" ht="15" customHeight="1" x14ac:dyDescent="0.35">
      <c r="A111" s="8">
        <v>2</v>
      </c>
      <c r="B111" s="9" t="str">
        <f>IFERROR(INDEX('Perhitungan IPH Mingguan 2026'!$B$6:$B$25,MATCH(LARGE('Perhitungan IPH Mingguan 2026'!$EB$6:$EB$25,2),'Perhitungan IPH Mingguan 2026'!$EB$6:$EB$25,0)),"-")</f>
        <v>-</v>
      </c>
      <c r="C111" s="10" t="str">
        <f>IFERROR(INDEX('Perhitungan IPH Mingguan 2026'!$C$6:$C$25,MATCH(LARGE('Perhitungan IPH Mingguan 2026'!$EB$6:$EB$25,2),'Perhitungan IPH Mingguan 2026'!$EB$6:$EB$25,0)),"")</f>
        <v/>
      </c>
      <c r="D111" s="25" t="str">
        <f>IFERROR(INDEX('Perhitungan IPH Mingguan 2026'!$AR$6:$AR$25,MATCH(LARGE('Perhitungan IPH Mingguan 2026'!$EB$6:$EB$25,2),'Perhitungan IPH Mingguan 2026'!$EB$6:$EB$25,0)),"")</f>
        <v/>
      </c>
      <c r="E111" s="10" t="str">
        <f>IFERROR(INDEX('Perhitungan IPH Mingguan 2026'!$AS$6:$AS$25,MATCH(LARGE('Perhitungan IPH Mingguan 2026'!$EB$6:$EB$25,2),'Perhitungan IPH Mingguan 2026'!$EB$6:$EB$25,0)),"")</f>
        <v/>
      </c>
      <c r="F111" s="9" t="str">
        <f>IF(ISNUMBER(E111),IF(E111&gt;0,"Penyumbang KENAIKAN IPH","Penyumbang PENURUNAN IPH"),"-")</f>
        <v>-</v>
      </c>
    </row>
    <row r="112" spans="1:6" ht="15" customHeight="1" x14ac:dyDescent="0.35">
      <c r="A112" s="8">
        <v>3</v>
      </c>
      <c r="B112" s="9" t="str">
        <f>IFERROR(INDEX('Perhitungan IPH Mingguan 2026'!$B$6:$B$25,MATCH(LARGE('Perhitungan IPH Mingguan 2026'!$EB$6:$EB$25,3),'Perhitungan IPH Mingguan 2026'!$EB$6:$EB$25,0)),"-")</f>
        <v>-</v>
      </c>
      <c r="C112" s="10" t="str">
        <f>IFERROR(INDEX('Perhitungan IPH Mingguan 2026'!$C$6:$C$25,MATCH(LARGE('Perhitungan IPH Mingguan 2026'!$EB$6:$EB$25,3),'Perhitungan IPH Mingguan 2026'!$EB$6:$EB$25,0)),"")</f>
        <v/>
      </c>
      <c r="D112" s="25" t="str">
        <f>IFERROR(INDEX('Perhitungan IPH Mingguan 2026'!$AR$6:$AR$25,MATCH(LARGE('Perhitungan IPH Mingguan 2026'!$EB$6:$EB$25,3),'Perhitungan IPH Mingguan 2026'!$EB$6:$EB$25,0)),"")</f>
        <v/>
      </c>
      <c r="E112" s="10" t="str">
        <f>IFERROR(INDEX('Perhitungan IPH Mingguan 2026'!$AS$6:$AS$25,MATCH(LARGE('Perhitungan IPH Mingguan 2026'!$EB$6:$EB$25,3),'Perhitungan IPH Mingguan 2026'!$EB$6:$EB$25,0)),"")</f>
        <v/>
      </c>
      <c r="F112" s="9" t="str">
        <f>IF(ISNUMBER(E112),IF(E112&gt;0,"Penyumbang KENAIKAN IPH","Penyumbang PENURUNAN IPH"),"-")</f>
        <v>-</v>
      </c>
    </row>
    <row r="113" spans="1:6" ht="15" customHeight="1" x14ac:dyDescent="0.35">
      <c r="A113" s="8">
        <v>4</v>
      </c>
      <c r="B113" s="9" t="str">
        <f>IFERROR(INDEX('Perhitungan IPH Mingguan 2026'!$B$6:$B$25,MATCH(LARGE('Perhitungan IPH Mingguan 2026'!$EB$6:$EB$25,4),'Perhitungan IPH Mingguan 2026'!$EB$6:$EB$25,0)),"-")</f>
        <v>-</v>
      </c>
      <c r="C113" s="10" t="str">
        <f>IFERROR(INDEX('Perhitungan IPH Mingguan 2026'!$C$6:$C$25,MATCH(LARGE('Perhitungan IPH Mingguan 2026'!$EB$6:$EB$25,4),'Perhitungan IPH Mingguan 2026'!$EB$6:$EB$25,0)),"")</f>
        <v/>
      </c>
      <c r="D113" s="25" t="str">
        <f>IFERROR(INDEX('Perhitungan IPH Mingguan 2026'!$AR$6:$AR$25,MATCH(LARGE('Perhitungan IPH Mingguan 2026'!$EB$6:$EB$25,4),'Perhitungan IPH Mingguan 2026'!$EB$6:$EB$25,0)),"")</f>
        <v/>
      </c>
      <c r="E113" s="10" t="str">
        <f>IFERROR(INDEX('Perhitungan IPH Mingguan 2026'!$AS$6:$AS$25,MATCH(LARGE('Perhitungan IPH Mingguan 2026'!$EB$6:$EB$25,4),'Perhitungan IPH Mingguan 2026'!$EB$6:$EB$25,0)),"")</f>
        <v/>
      </c>
      <c r="F113" s="9" t="str">
        <f>IF(ISNUMBER(E113),IF(E113&gt;0,"Penyumbang KENAIKAN IPH","Penyumbang PENURUNAN IPH"),"-")</f>
        <v>-</v>
      </c>
    </row>
    <row r="114" spans="1:6" ht="15" customHeight="1" x14ac:dyDescent="0.35">
      <c r="A114" s="8">
        <v>5</v>
      </c>
      <c r="B114" s="9" t="str">
        <f>IFERROR(INDEX('Perhitungan IPH Mingguan 2026'!$B$6:$B$25,MATCH(LARGE('Perhitungan IPH Mingguan 2026'!$EB$6:$EB$25,5),'Perhitungan IPH Mingguan 2026'!$EB$6:$EB$25,0)),"-")</f>
        <v>-</v>
      </c>
      <c r="C114" s="10" t="str">
        <f>IFERROR(INDEX('Perhitungan IPH Mingguan 2026'!$C$6:$C$25,MATCH(LARGE('Perhitungan IPH Mingguan 2026'!$EB$6:$EB$25,5),'Perhitungan IPH Mingguan 2026'!$EB$6:$EB$25,0)),"")</f>
        <v/>
      </c>
      <c r="D114" s="25" t="str">
        <f>IFERROR(INDEX('Perhitungan IPH Mingguan 2026'!$AR$6:$AR$25,MATCH(LARGE('Perhitungan IPH Mingguan 2026'!$EB$6:$EB$25,5),'Perhitungan IPH Mingguan 2026'!$EB$6:$EB$25,0)),"")</f>
        <v/>
      </c>
      <c r="E114" s="10" t="str">
        <f>IFERROR(INDEX('Perhitungan IPH Mingguan 2026'!$AS$6:$AS$25,MATCH(LARGE('Perhitungan IPH Mingguan 2026'!$EB$6:$EB$25,5),'Perhitungan IPH Mingguan 2026'!$EB$6:$EB$25,0)),"")</f>
        <v/>
      </c>
      <c r="F114" s="9" t="str">
        <f>IF(ISNUMBER(E114),IF(E114&gt;0,"Penyumbang KENAIKAN IPH","Penyumbang PENURUNAN IPH"),"-")</f>
        <v>-</v>
      </c>
    </row>
    <row r="116" spans="1:6" ht="15" customHeight="1" x14ac:dyDescent="0.35">
      <c r="A116" s="2" t="s">
        <v>229</v>
      </c>
      <c r="B116" s="2"/>
      <c r="C116" s="2"/>
      <c r="D116" s="2"/>
      <c r="E116" s="2"/>
      <c r="F116" s="2"/>
    </row>
    <row r="117" spans="1:6" ht="21.75" customHeight="1" x14ac:dyDescent="0.35">
      <c r="A117" s="6" t="s">
        <v>211</v>
      </c>
      <c r="B117" s="6" t="s">
        <v>212</v>
      </c>
      <c r="C117" s="6" t="s">
        <v>139</v>
      </c>
      <c r="D117" s="6" t="s">
        <v>213</v>
      </c>
      <c r="E117" s="6" t="s">
        <v>214</v>
      </c>
      <c r="F117" s="6" t="s">
        <v>215</v>
      </c>
    </row>
    <row r="118" spans="1:6" ht="15" customHeight="1" x14ac:dyDescent="0.35">
      <c r="A118" s="8">
        <v>1</v>
      </c>
      <c r="B118" s="9" t="str">
        <f>IFERROR(INDEX('Perhitungan IPH Mingguan 2026'!$B$6:$B$25,MATCH(LARGE('Perhitungan IPH Mingguan 2026'!$EC$6:$EC$25,1),'Perhitungan IPH Mingguan 2026'!$EC$6:$EC$25,0)),"-")</f>
        <v>-</v>
      </c>
      <c r="C118" s="10" t="str">
        <f>IFERROR(INDEX('Perhitungan IPH Mingguan 2026'!$C$6:$C$25,MATCH(LARGE('Perhitungan IPH Mingguan 2026'!$EC$6:$EC$25,1),'Perhitungan IPH Mingguan 2026'!$EC$6:$EC$25,0)),"")</f>
        <v/>
      </c>
      <c r="D118" s="25" t="str">
        <f>IFERROR(INDEX('Perhitungan IPH Mingguan 2026'!$AU$6:$AU$25,MATCH(LARGE('Perhitungan IPH Mingguan 2026'!$EC$6:$EC$25,1),'Perhitungan IPH Mingguan 2026'!$EC$6:$EC$25,0)),"")</f>
        <v/>
      </c>
      <c r="E118" s="10" t="str">
        <f>IFERROR(INDEX('Perhitungan IPH Mingguan 2026'!$AV$6:$AV$25,MATCH(LARGE('Perhitungan IPH Mingguan 2026'!$EC$6:$EC$25,1),'Perhitungan IPH Mingguan 2026'!$EC$6:$EC$25,0)),"")</f>
        <v/>
      </c>
      <c r="F118" s="9" t="str">
        <f>IF(ISNUMBER(E118),IF(E118&gt;0,"Penyumbang KENAIKAN IPH","Penyumbang PENURUNAN IPH"),"-")</f>
        <v>-</v>
      </c>
    </row>
    <row r="119" spans="1:6" ht="15" customHeight="1" x14ac:dyDescent="0.35">
      <c r="A119" s="8">
        <v>2</v>
      </c>
      <c r="B119" s="9" t="str">
        <f>IFERROR(INDEX('Perhitungan IPH Mingguan 2026'!$B$6:$B$25,MATCH(LARGE('Perhitungan IPH Mingguan 2026'!$EC$6:$EC$25,2),'Perhitungan IPH Mingguan 2026'!$EC$6:$EC$25,0)),"-")</f>
        <v>-</v>
      </c>
      <c r="C119" s="10" t="str">
        <f>IFERROR(INDEX('Perhitungan IPH Mingguan 2026'!$C$6:$C$25,MATCH(LARGE('Perhitungan IPH Mingguan 2026'!$EC$6:$EC$25,2),'Perhitungan IPH Mingguan 2026'!$EC$6:$EC$25,0)),"")</f>
        <v/>
      </c>
      <c r="D119" s="25" t="str">
        <f>IFERROR(INDEX('Perhitungan IPH Mingguan 2026'!$AU$6:$AU$25,MATCH(LARGE('Perhitungan IPH Mingguan 2026'!$EC$6:$EC$25,2),'Perhitungan IPH Mingguan 2026'!$EC$6:$EC$25,0)),"")</f>
        <v/>
      </c>
      <c r="E119" s="10" t="str">
        <f>IFERROR(INDEX('Perhitungan IPH Mingguan 2026'!$AV$6:$AV$25,MATCH(LARGE('Perhitungan IPH Mingguan 2026'!$EC$6:$EC$25,2),'Perhitungan IPH Mingguan 2026'!$EC$6:$EC$25,0)),"")</f>
        <v/>
      </c>
      <c r="F119" s="9" t="str">
        <f>IF(ISNUMBER(E119),IF(E119&gt;0,"Penyumbang KENAIKAN IPH","Penyumbang PENURUNAN IPH"),"-")</f>
        <v>-</v>
      </c>
    </row>
    <row r="120" spans="1:6" ht="15" customHeight="1" x14ac:dyDescent="0.35">
      <c r="A120" s="8">
        <v>3</v>
      </c>
      <c r="B120" s="9" t="str">
        <f>IFERROR(INDEX('Perhitungan IPH Mingguan 2026'!$B$6:$B$25,MATCH(LARGE('Perhitungan IPH Mingguan 2026'!$EC$6:$EC$25,3),'Perhitungan IPH Mingguan 2026'!$EC$6:$EC$25,0)),"-")</f>
        <v>-</v>
      </c>
      <c r="C120" s="10" t="str">
        <f>IFERROR(INDEX('Perhitungan IPH Mingguan 2026'!$C$6:$C$25,MATCH(LARGE('Perhitungan IPH Mingguan 2026'!$EC$6:$EC$25,3),'Perhitungan IPH Mingguan 2026'!$EC$6:$EC$25,0)),"")</f>
        <v/>
      </c>
      <c r="D120" s="25" t="str">
        <f>IFERROR(INDEX('Perhitungan IPH Mingguan 2026'!$AU$6:$AU$25,MATCH(LARGE('Perhitungan IPH Mingguan 2026'!$EC$6:$EC$25,3),'Perhitungan IPH Mingguan 2026'!$EC$6:$EC$25,0)),"")</f>
        <v/>
      </c>
      <c r="E120" s="10" t="str">
        <f>IFERROR(INDEX('Perhitungan IPH Mingguan 2026'!$AV$6:$AV$25,MATCH(LARGE('Perhitungan IPH Mingguan 2026'!$EC$6:$EC$25,3),'Perhitungan IPH Mingguan 2026'!$EC$6:$EC$25,0)),"")</f>
        <v/>
      </c>
      <c r="F120" s="9" t="str">
        <f>IF(ISNUMBER(E120),IF(E120&gt;0,"Penyumbang KENAIKAN IPH","Penyumbang PENURUNAN IPH"),"-")</f>
        <v>-</v>
      </c>
    </row>
    <row r="121" spans="1:6" ht="15" customHeight="1" x14ac:dyDescent="0.35">
      <c r="A121" s="8">
        <v>4</v>
      </c>
      <c r="B121" s="9" t="str">
        <f>IFERROR(INDEX('Perhitungan IPH Mingguan 2026'!$B$6:$B$25,MATCH(LARGE('Perhitungan IPH Mingguan 2026'!$EC$6:$EC$25,4),'Perhitungan IPH Mingguan 2026'!$EC$6:$EC$25,0)),"-")</f>
        <v>-</v>
      </c>
      <c r="C121" s="10" t="str">
        <f>IFERROR(INDEX('Perhitungan IPH Mingguan 2026'!$C$6:$C$25,MATCH(LARGE('Perhitungan IPH Mingguan 2026'!$EC$6:$EC$25,4),'Perhitungan IPH Mingguan 2026'!$EC$6:$EC$25,0)),"")</f>
        <v/>
      </c>
      <c r="D121" s="25" t="str">
        <f>IFERROR(INDEX('Perhitungan IPH Mingguan 2026'!$AU$6:$AU$25,MATCH(LARGE('Perhitungan IPH Mingguan 2026'!$EC$6:$EC$25,4),'Perhitungan IPH Mingguan 2026'!$EC$6:$EC$25,0)),"")</f>
        <v/>
      </c>
      <c r="E121" s="10" t="str">
        <f>IFERROR(INDEX('Perhitungan IPH Mingguan 2026'!$AV$6:$AV$25,MATCH(LARGE('Perhitungan IPH Mingguan 2026'!$EC$6:$EC$25,4),'Perhitungan IPH Mingguan 2026'!$EC$6:$EC$25,0)),"")</f>
        <v/>
      </c>
      <c r="F121" s="9" t="str">
        <f>IF(ISNUMBER(E121),IF(E121&gt;0,"Penyumbang KENAIKAN IPH","Penyumbang PENURUNAN IPH"),"-")</f>
        <v>-</v>
      </c>
    </row>
    <row r="122" spans="1:6" ht="15" customHeight="1" x14ac:dyDescent="0.35">
      <c r="A122" s="8">
        <v>5</v>
      </c>
      <c r="B122" s="9" t="str">
        <f>IFERROR(INDEX('Perhitungan IPH Mingguan 2026'!$B$6:$B$25,MATCH(LARGE('Perhitungan IPH Mingguan 2026'!$EC$6:$EC$25,5),'Perhitungan IPH Mingguan 2026'!$EC$6:$EC$25,0)),"-")</f>
        <v>-</v>
      </c>
      <c r="C122" s="10" t="str">
        <f>IFERROR(INDEX('Perhitungan IPH Mingguan 2026'!$C$6:$C$25,MATCH(LARGE('Perhitungan IPH Mingguan 2026'!$EC$6:$EC$25,5),'Perhitungan IPH Mingguan 2026'!$EC$6:$EC$25,0)),"")</f>
        <v/>
      </c>
      <c r="D122" s="25" t="str">
        <f>IFERROR(INDEX('Perhitungan IPH Mingguan 2026'!$AU$6:$AU$25,MATCH(LARGE('Perhitungan IPH Mingguan 2026'!$EC$6:$EC$25,5),'Perhitungan IPH Mingguan 2026'!$EC$6:$EC$25,0)),"")</f>
        <v/>
      </c>
      <c r="E122" s="10" t="str">
        <f>IFERROR(INDEX('Perhitungan IPH Mingguan 2026'!$AV$6:$AV$25,MATCH(LARGE('Perhitungan IPH Mingguan 2026'!$EC$6:$EC$25,5),'Perhitungan IPH Mingguan 2026'!$EC$6:$EC$25,0)),"")</f>
        <v/>
      </c>
      <c r="F122" s="9" t="str">
        <f>IF(ISNUMBER(E122),IF(E122&gt;0,"Penyumbang KENAIKAN IPH","Penyumbang PENURUNAN IPH"),"-")</f>
        <v>-</v>
      </c>
    </row>
    <row r="124" spans="1:6" ht="15" customHeight="1" x14ac:dyDescent="0.35">
      <c r="A124" s="2" t="s">
        <v>230</v>
      </c>
      <c r="B124" s="2"/>
      <c r="C124" s="2"/>
      <c r="D124" s="2"/>
      <c r="E124" s="2"/>
      <c r="F124" s="2"/>
    </row>
    <row r="125" spans="1:6" ht="21.75" customHeight="1" x14ac:dyDescent="0.35">
      <c r="A125" s="6" t="s">
        <v>211</v>
      </c>
      <c r="B125" s="6" t="s">
        <v>212</v>
      </c>
      <c r="C125" s="6" t="s">
        <v>139</v>
      </c>
      <c r="D125" s="6" t="s">
        <v>213</v>
      </c>
      <c r="E125" s="6" t="s">
        <v>214</v>
      </c>
      <c r="F125" s="6" t="s">
        <v>215</v>
      </c>
    </row>
    <row r="126" spans="1:6" ht="15" customHeight="1" x14ac:dyDescent="0.35">
      <c r="A126" s="8">
        <v>1</v>
      </c>
      <c r="B126" s="9" t="str">
        <f>IFERROR(INDEX('Perhitungan IPH Mingguan 2026'!$B$6:$B$25,MATCH(LARGE('Perhitungan IPH Mingguan 2026'!$ED$6:$ED$25,1),'Perhitungan IPH Mingguan 2026'!$ED$6:$ED$25,0)),"-")</f>
        <v>jeruk 01161001-33</v>
      </c>
      <c r="C126" s="10">
        <f>IFERROR(INDEX('Perhitungan IPH Mingguan 2026'!$C$6:$C$25,MATCH(LARGE('Perhitungan IPH Mingguan 2026'!$ED$6:$ED$25,1),'Perhitungan IPH Mingguan 2026'!$ED$6:$ED$25,0)),"")</f>
        <v>3.4177615717940098E-2</v>
      </c>
      <c r="D126" s="25">
        <f>IFERROR(INDEX('Perhitungan IPH Mingguan 2026'!$AX$6:$AX$25,MATCH(LARGE('Perhitungan IPH Mingguan 2026'!$ED$6:$ED$25,1),'Perhitungan IPH Mingguan 2026'!$ED$6:$ED$25,0)),"")</f>
        <v>0</v>
      </c>
      <c r="E126" s="10">
        <f>IFERROR(INDEX('Perhitungan IPH Mingguan 2026'!$AY$6:$AY$25,MATCH(LARGE('Perhitungan IPH Mingguan 2026'!$ED$6:$ED$25,1),'Perhitungan IPH Mingguan 2026'!$ED$6:$ED$25,0)),"")</f>
        <v>0</v>
      </c>
      <c r="F126" s="9" t="str">
        <f>IF(ISNUMBER(E126),IF(E126&gt;0,"Penyumbang KENAIKAN IPH","Penyumbang PENURUNAN IPH"),"-")</f>
        <v>Penyumbang PENURUNAN IPH</v>
      </c>
    </row>
    <row r="127" spans="1:6" ht="15" customHeight="1" x14ac:dyDescent="0.35">
      <c r="A127" s="8">
        <v>2</v>
      </c>
      <c r="B127" s="9" t="str">
        <f>IFERROR(INDEX('Perhitungan IPH Mingguan 2026'!$B$6:$B$25,MATCH(LARGE('Perhitungan IPH Mingguan 2026'!$ED$6:$ED$25,2),'Perhitungan IPH Mingguan 2026'!$ED$6:$ED$25,0)),"-")</f>
        <v>cabai rawit 01173013</v>
      </c>
      <c r="C127" s="10">
        <f>IFERROR(INDEX('Perhitungan IPH Mingguan 2026'!$C$6:$C$25,MATCH(LARGE('Perhitungan IPH Mingguan 2026'!$ED$6:$ED$25,2),'Perhitungan IPH Mingguan 2026'!$ED$6:$ED$25,0)),"")</f>
        <v>1.7701732362870599E-2</v>
      </c>
      <c r="D127" s="25">
        <f>IFERROR(INDEX('Perhitungan IPH Mingguan 2026'!$AX$6:$AX$25,MATCH(LARGE('Perhitungan IPH Mingguan 2026'!$ED$6:$ED$25,2),'Perhitungan IPH Mingguan 2026'!$ED$6:$ED$25,0)),"")</f>
        <v>-23.018867924528301</v>
      </c>
      <c r="E127" s="10">
        <f>IFERROR(INDEX('Perhitungan IPH Mingguan 2026'!$AY$6:$AY$25,MATCH(LARGE('Perhitungan IPH Mingguan 2026'!$ED$6:$ED$25,2),'Perhitungan IPH Mingguan 2026'!$ED$6:$ED$25,0)),"")</f>
        <v>-0.40747383929626663</v>
      </c>
      <c r="F127" s="9" t="str">
        <f>IF(ISNUMBER(E127),IF(E127&gt;0,"Penyumbang KENAIKAN IPH","Penyumbang PENURUNAN IPH"),"-")</f>
        <v>Penyumbang PENURUNAN IPH</v>
      </c>
    </row>
    <row r="128" spans="1:6" ht="15" customHeight="1" x14ac:dyDescent="0.35">
      <c r="A128" s="8">
        <v>3</v>
      </c>
      <c r="B128" s="9" t="str">
        <f>IFERROR(INDEX('Perhitungan IPH Mingguan 2026'!$B$6:$B$25,MATCH(LARGE('Perhitungan IPH Mingguan 2026'!$ED$6:$ED$25,3),'Perhitungan IPH Mingguan 2026'!$ED$6:$ED$25,0)),"-")</f>
        <v>pisang ambon 1162001</v>
      </c>
      <c r="C128" s="10">
        <f>IFERROR(INDEX('Perhitungan IPH Mingguan 2026'!$C$6:$C$25,MATCH(LARGE('Perhitungan IPH Mingguan 2026'!$ED$6:$ED$25,3),'Perhitungan IPH Mingguan 2026'!$ED$6:$ED$25,0)),"")</f>
        <v>4.0636572858027402E-2</v>
      </c>
      <c r="D128" s="25">
        <f>IFERROR(INDEX('Perhitungan IPH Mingguan 2026'!$AX$6:$AX$25,MATCH(LARGE('Perhitungan IPH Mingguan 2026'!$ED$6:$ED$25,3),'Perhitungan IPH Mingguan 2026'!$ED$6:$ED$25,0)),"")</f>
        <v>0</v>
      </c>
      <c r="E128" s="10">
        <f>IFERROR(INDEX('Perhitungan IPH Mingguan 2026'!$AY$6:$AY$25,MATCH(LARGE('Perhitungan IPH Mingguan 2026'!$ED$6:$ED$25,3),'Perhitungan IPH Mingguan 2026'!$ED$6:$ED$25,0)),"")</f>
        <v>0</v>
      </c>
      <c r="F128" s="9" t="str">
        <f>IF(ISNUMBER(E128),IF(E128&gt;0,"Penyumbang KENAIKAN IPH","Penyumbang PENURUNAN IPH"),"-")</f>
        <v>Penyumbang PENURUNAN IPH</v>
      </c>
    </row>
    <row r="129" spans="1:6" ht="15" customHeight="1" x14ac:dyDescent="0.35">
      <c r="A129" s="8">
        <v>4</v>
      </c>
      <c r="B129" s="9" t="str">
        <f>IFERROR(INDEX('Perhitungan IPH Mingguan 2026'!$B$6:$B$25,MATCH(LARGE('Perhitungan IPH Mingguan 2026'!$ED$6:$ED$25,4),'Perhitungan IPH Mingguan 2026'!$ED$6:$ED$25,0)),"-")</f>
        <v>daging ayam ras 1124003</v>
      </c>
      <c r="C129" s="10">
        <f>IFERROR(INDEX('Perhitungan IPH Mingguan 2026'!$C$6:$C$25,MATCH(LARGE('Perhitungan IPH Mingguan 2026'!$ED$6:$ED$25,4),'Perhitungan IPH Mingguan 2026'!$ED$6:$ED$25,0)),"")</f>
        <v>4.7910777785027697E-2</v>
      </c>
      <c r="D129" s="25">
        <f>IFERROR(INDEX('Perhitungan IPH Mingguan 2026'!$AX$6:$AX$25,MATCH(LARGE('Perhitungan IPH Mingguan 2026'!$ED$6:$ED$25,4),'Perhitungan IPH Mingguan 2026'!$ED$6:$ED$25,0)),"")</f>
        <v>-15.294117647058824</v>
      </c>
      <c r="E129" s="10">
        <f>IFERROR(INDEX('Perhitungan IPH Mingguan 2026'!$AY$6:$AY$25,MATCH(LARGE('Perhitungan IPH Mingguan 2026'!$ED$6:$ED$25,4),'Perhitungan IPH Mingguan 2026'!$ED$6:$ED$25,0)),"")</f>
        <v>-0.73275307200630602</v>
      </c>
      <c r="F129" s="9" t="str">
        <f>IF(ISNUMBER(E129),IF(E129&gt;0,"Penyumbang KENAIKAN IPH","Penyumbang PENURUNAN IPH"),"-")</f>
        <v>Penyumbang PENURUNAN IPH</v>
      </c>
    </row>
    <row r="130" spans="1:6" ht="15" customHeight="1" x14ac:dyDescent="0.35">
      <c r="A130" s="8">
        <v>5</v>
      </c>
      <c r="B130" s="9" t="str">
        <f>IFERROR(INDEX('Perhitungan IPH Mingguan 2026'!$B$6:$B$25,MATCH(LARGE('Perhitungan IPH Mingguan 2026'!$ED$6:$ED$25,5),'Perhitungan IPH Mingguan 2026'!$ED$6:$ED$25,0)),"-")</f>
        <v>bawang merah 1174006</v>
      </c>
      <c r="C130" s="10">
        <f>IFERROR(INDEX('Perhitungan IPH Mingguan 2026'!$C$6:$C$25,MATCH(LARGE('Perhitungan IPH Mingguan 2026'!$ED$6:$ED$25,5),'Perhitungan IPH Mingguan 2026'!$ED$6:$ED$25,0)),"")</f>
        <v>1.94434650422287E-2</v>
      </c>
      <c r="D130" s="25">
        <f>IFERROR(INDEX('Perhitungan IPH Mingguan 2026'!$AX$6:$AX$25,MATCH(LARGE('Perhitungan IPH Mingguan 2026'!$ED$6:$ED$25,5),'Perhitungan IPH Mingguan 2026'!$ED$6:$ED$25,0)),"")</f>
        <v>-0.99009900990099009</v>
      </c>
      <c r="E130" s="10">
        <f>IFERROR(INDEX('Perhitungan IPH Mingguan 2026'!$AY$6:$AY$25,MATCH(LARGE('Perhitungan IPH Mingguan 2026'!$ED$6:$ED$25,5),'Perhitungan IPH Mingguan 2026'!$ED$6:$ED$25,0)),"")</f>
        <v>-1.9250955487355149E-2</v>
      </c>
      <c r="F130" s="9" t="str">
        <f>IF(ISNUMBER(E130),IF(E130&gt;0,"Penyumbang KENAIKAN IPH","Penyumbang PENURUNAN IPH"),"-")</f>
        <v>Penyumbang PENURUNAN IPH</v>
      </c>
    </row>
    <row r="132" spans="1:6" ht="15" customHeight="1" x14ac:dyDescent="0.35">
      <c r="A132" s="2" t="s">
        <v>231</v>
      </c>
      <c r="B132" s="2"/>
      <c r="C132" s="2"/>
      <c r="D132" s="2"/>
      <c r="E132" s="2"/>
      <c r="F132" s="2"/>
    </row>
    <row r="133" spans="1:6" ht="21.75" customHeight="1" x14ac:dyDescent="0.35">
      <c r="A133" s="6" t="s">
        <v>211</v>
      </c>
      <c r="B133" s="6" t="s">
        <v>212</v>
      </c>
      <c r="C133" s="6" t="s">
        <v>139</v>
      </c>
      <c r="D133" s="6" t="s">
        <v>213</v>
      </c>
      <c r="E133" s="6" t="s">
        <v>214</v>
      </c>
      <c r="F133" s="6" t="s">
        <v>215</v>
      </c>
    </row>
    <row r="134" spans="1:6" ht="15" customHeight="1" x14ac:dyDescent="0.35">
      <c r="A134" s="8">
        <v>1</v>
      </c>
      <c r="B134" s="9" t="str">
        <f>IFERROR(INDEX('Perhitungan IPH Mingguan 2026'!$B$6:$B$25,MATCH(LARGE('Perhitungan IPH Mingguan 2026'!$EE$6:$EE$25,1),'Perhitungan IPH Mingguan 2026'!$EE$6:$EE$25,0)),"-")</f>
        <v>jeruk 01161001-33</v>
      </c>
      <c r="C134" s="10">
        <f>IFERROR(INDEX('Perhitungan IPH Mingguan 2026'!$C$6:$C$25,MATCH(LARGE('Perhitungan IPH Mingguan 2026'!$EE$6:$EE$25,1),'Perhitungan IPH Mingguan 2026'!$EE$6:$EE$25,0)),"")</f>
        <v>3.4177615717940098E-2</v>
      </c>
      <c r="D134" s="25">
        <f>IFERROR(INDEX('Perhitungan IPH Mingguan 2026'!$BA$6:$BA$25,MATCH(LARGE('Perhitungan IPH Mingguan 2026'!$EE$6:$EE$25,1),'Perhitungan IPH Mingguan 2026'!$EE$6:$EE$25,0)),"")</f>
        <v>0</v>
      </c>
      <c r="E134" s="10">
        <f>IFERROR(INDEX('Perhitungan IPH Mingguan 2026'!$BB$6:$BB$25,MATCH(LARGE('Perhitungan IPH Mingguan 2026'!$EE$6:$EE$25,1),'Perhitungan IPH Mingguan 2026'!$EE$6:$EE$25,0)),"")</f>
        <v>0</v>
      </c>
      <c r="F134" s="9" t="str">
        <f>IF(ISNUMBER(E134),IF(E134&gt;0,"Penyumbang KENAIKAN IPH","Penyumbang PENURUNAN IPH"),"-")</f>
        <v>Penyumbang PENURUNAN IPH</v>
      </c>
    </row>
    <row r="135" spans="1:6" ht="15" customHeight="1" x14ac:dyDescent="0.35">
      <c r="A135" s="8">
        <v>2</v>
      </c>
      <c r="B135" s="9" t="str">
        <f>IFERROR(INDEX('Perhitungan IPH Mingguan 2026'!$B$6:$B$25,MATCH(LARGE('Perhitungan IPH Mingguan 2026'!$EE$6:$EE$25,2),'Perhitungan IPH Mingguan 2026'!$EE$6:$EE$25,0)),"-")</f>
        <v>cabai rawit 01173013</v>
      </c>
      <c r="C135" s="10">
        <f>IFERROR(INDEX('Perhitungan IPH Mingguan 2026'!$C$6:$C$25,MATCH(LARGE('Perhitungan IPH Mingguan 2026'!$EE$6:$EE$25,2),'Perhitungan IPH Mingguan 2026'!$EE$6:$EE$25,0)),"")</f>
        <v>1.7701732362870599E-2</v>
      </c>
      <c r="D135" s="25">
        <f>IFERROR(INDEX('Perhitungan IPH Mingguan 2026'!$BA$6:$BA$25,MATCH(LARGE('Perhitungan IPH Mingguan 2026'!$EE$6:$EE$25,2),'Perhitungan IPH Mingguan 2026'!$EE$6:$EE$25,0)),"")</f>
        <v>-32.075471698113205</v>
      </c>
      <c r="E135" s="10">
        <f>IFERROR(INDEX('Perhitungan IPH Mingguan 2026'!$BB$6:$BB$25,MATCH(LARGE('Perhitungan IPH Mingguan 2026'!$EE$6:$EE$25,2),'Perhitungan IPH Mingguan 2026'!$EE$6:$EE$25,0)),"")</f>
        <v>-0.56779141541283051</v>
      </c>
      <c r="F135" s="9" t="str">
        <f>IF(ISNUMBER(E135),IF(E135&gt;0,"Penyumbang KENAIKAN IPH","Penyumbang PENURUNAN IPH"),"-")</f>
        <v>Penyumbang PENURUNAN IPH</v>
      </c>
    </row>
    <row r="136" spans="1:6" ht="15" customHeight="1" x14ac:dyDescent="0.35">
      <c r="A136" s="8">
        <v>3</v>
      </c>
      <c r="B136" s="9" t="str">
        <f>IFERROR(INDEX('Perhitungan IPH Mingguan 2026'!$B$6:$B$25,MATCH(LARGE('Perhitungan IPH Mingguan 2026'!$EE$6:$EE$25,3),'Perhitungan IPH Mingguan 2026'!$EE$6:$EE$25,0)),"-")</f>
        <v>pisang ambon 1162001</v>
      </c>
      <c r="C136" s="10">
        <f>IFERROR(INDEX('Perhitungan IPH Mingguan 2026'!$C$6:$C$25,MATCH(LARGE('Perhitungan IPH Mingguan 2026'!$EE$6:$EE$25,3),'Perhitungan IPH Mingguan 2026'!$EE$6:$EE$25,0)),"")</f>
        <v>4.0636572858027402E-2</v>
      </c>
      <c r="D136" s="25">
        <f>IFERROR(INDEX('Perhitungan IPH Mingguan 2026'!$BA$6:$BA$25,MATCH(LARGE('Perhitungan IPH Mingguan 2026'!$EE$6:$EE$25,3),'Perhitungan IPH Mingguan 2026'!$EE$6:$EE$25,0)),"")</f>
        <v>0</v>
      </c>
      <c r="E136" s="10">
        <f>IFERROR(INDEX('Perhitungan IPH Mingguan 2026'!$BB$6:$BB$25,MATCH(LARGE('Perhitungan IPH Mingguan 2026'!$EE$6:$EE$25,3),'Perhitungan IPH Mingguan 2026'!$EE$6:$EE$25,0)),"")</f>
        <v>0</v>
      </c>
      <c r="F136" s="9" t="str">
        <f>IF(ISNUMBER(E136),IF(E136&gt;0,"Penyumbang KENAIKAN IPH","Penyumbang PENURUNAN IPH"),"-")</f>
        <v>Penyumbang PENURUNAN IPH</v>
      </c>
    </row>
    <row r="137" spans="1:6" ht="15" customHeight="1" x14ac:dyDescent="0.35">
      <c r="A137" s="8">
        <v>4</v>
      </c>
      <c r="B137" s="9" t="str">
        <f>IFERROR(INDEX('Perhitungan IPH Mingguan 2026'!$B$6:$B$25,MATCH(LARGE('Perhitungan IPH Mingguan 2026'!$EE$6:$EE$25,4),'Perhitungan IPH Mingguan 2026'!$EE$6:$EE$25,0)),"-")</f>
        <v>daging ayam ras 1124003</v>
      </c>
      <c r="C137" s="10">
        <f>IFERROR(INDEX('Perhitungan IPH Mingguan 2026'!$C$6:$C$25,MATCH(LARGE('Perhitungan IPH Mingguan 2026'!$EE$6:$EE$25,4),'Perhitungan IPH Mingguan 2026'!$EE$6:$EE$25,0)),"")</f>
        <v>4.7910777785027697E-2</v>
      </c>
      <c r="D137" s="25">
        <f>IFERROR(INDEX('Perhitungan IPH Mingguan 2026'!$BA$6:$BA$25,MATCH(LARGE('Perhitungan IPH Mingguan 2026'!$EE$6:$EE$25,4),'Perhitungan IPH Mingguan 2026'!$EE$6:$EE$25,0)),"")</f>
        <v>-13.725490196078432</v>
      </c>
      <c r="E137" s="10">
        <f>IFERROR(INDEX('Perhitungan IPH Mingguan 2026'!$BB$6:$BB$25,MATCH(LARGE('Perhitungan IPH Mingguan 2026'!$EE$6:$EE$25,4),'Perhitungan IPH Mingguan 2026'!$EE$6:$EE$25,0)),"")</f>
        <v>-0.65759891077488997</v>
      </c>
      <c r="F137" s="9" t="str">
        <f>IF(ISNUMBER(E137),IF(E137&gt;0,"Penyumbang KENAIKAN IPH","Penyumbang PENURUNAN IPH"),"-")</f>
        <v>Penyumbang PENURUNAN IPH</v>
      </c>
    </row>
    <row r="138" spans="1:6" ht="15" customHeight="1" x14ac:dyDescent="0.35">
      <c r="A138" s="8">
        <v>5</v>
      </c>
      <c r="B138" s="9" t="str">
        <f>IFERROR(INDEX('Perhitungan IPH Mingguan 2026'!$B$6:$B$25,MATCH(LARGE('Perhitungan IPH Mingguan 2026'!$EE$6:$EE$25,5),'Perhitungan IPH Mingguan 2026'!$EE$6:$EE$25,0)),"-")</f>
        <v>bawang merah 1174006</v>
      </c>
      <c r="C138" s="10">
        <f>IFERROR(INDEX('Perhitungan IPH Mingguan 2026'!$C$6:$C$25,MATCH(LARGE('Perhitungan IPH Mingguan 2026'!$EE$6:$EE$25,5),'Perhitungan IPH Mingguan 2026'!$EE$6:$EE$25,0)),"")</f>
        <v>1.94434650422287E-2</v>
      </c>
      <c r="D138" s="25">
        <f>IFERROR(INDEX('Perhitungan IPH Mingguan 2026'!$BA$6:$BA$25,MATCH(LARGE('Perhitungan IPH Mingguan 2026'!$EE$6:$EE$25,5),'Perhitungan IPH Mingguan 2026'!$EE$6:$EE$25,0)),"")</f>
        <v>-7.5907590759075907</v>
      </c>
      <c r="E138" s="10">
        <f>IFERROR(INDEX('Perhitungan IPH Mingguan 2026'!$BB$6:$BB$25,MATCH(LARGE('Perhitungan IPH Mingguan 2026'!$EE$6:$EE$25,5),'Perhitungan IPH Mingguan 2026'!$EE$6:$EE$25,0)),"")</f>
        <v>-0.14759065873638946</v>
      </c>
      <c r="F138" s="9" t="str">
        <f>IF(ISNUMBER(E138),IF(E138&gt;0,"Penyumbang KENAIKAN IPH","Penyumbang PENURUNAN IPH"),"-")</f>
        <v>Penyumbang PENURUNAN IPH</v>
      </c>
    </row>
    <row r="140" spans="1:6" ht="15" customHeight="1" x14ac:dyDescent="0.35">
      <c r="A140" s="2" t="s">
        <v>232</v>
      </c>
      <c r="B140" s="2"/>
      <c r="C140" s="2"/>
      <c r="D140" s="2"/>
      <c r="E140" s="2"/>
      <c r="F140" s="2"/>
    </row>
    <row r="141" spans="1:6" ht="21.75" customHeight="1" x14ac:dyDescent="0.35">
      <c r="A141" s="6" t="s">
        <v>211</v>
      </c>
      <c r="B141" s="6" t="s">
        <v>212</v>
      </c>
      <c r="C141" s="6" t="s">
        <v>139</v>
      </c>
      <c r="D141" s="6" t="s">
        <v>213</v>
      </c>
      <c r="E141" s="6" t="s">
        <v>214</v>
      </c>
      <c r="F141" s="6" t="s">
        <v>215</v>
      </c>
    </row>
    <row r="142" spans="1:6" ht="15" customHeight="1" x14ac:dyDescent="0.35">
      <c r="A142" s="8">
        <v>1</v>
      </c>
      <c r="B142" s="9" t="str">
        <f>IFERROR(INDEX('Perhitungan IPH Mingguan 2026'!$B$6:$B$25,MATCH(LARGE('Perhitungan IPH Mingguan 2026'!$EF$6:$EF$25,1),'Perhitungan IPH Mingguan 2026'!$EF$6:$EF$25,0)),"-")</f>
        <v>jeruk 01161001-33</v>
      </c>
      <c r="C142" s="10">
        <f>IFERROR(INDEX('Perhitungan IPH Mingguan 2026'!$C$6:$C$25,MATCH(LARGE('Perhitungan IPH Mingguan 2026'!$EF$6:$EF$25,1),'Perhitungan IPH Mingguan 2026'!$EF$6:$EF$25,0)),"")</f>
        <v>3.4177615717940098E-2</v>
      </c>
      <c r="D142" s="25">
        <f>IFERROR(INDEX('Perhitungan IPH Mingguan 2026'!$BD$6:$BD$25,MATCH(LARGE('Perhitungan IPH Mingguan 2026'!$EF$6:$EF$25,1),'Perhitungan IPH Mingguan 2026'!$EF$6:$EF$25,0)),"")</f>
        <v>0</v>
      </c>
      <c r="E142" s="10">
        <f>IFERROR(INDEX('Perhitungan IPH Mingguan 2026'!$BE$6:$BE$25,MATCH(LARGE('Perhitungan IPH Mingguan 2026'!$EF$6:$EF$25,1),'Perhitungan IPH Mingguan 2026'!$EF$6:$EF$25,0)),"")</f>
        <v>0</v>
      </c>
      <c r="F142" s="9" t="str">
        <f>IF(ISNUMBER(E142),IF(E142&gt;0,"Penyumbang KENAIKAN IPH","Penyumbang PENURUNAN IPH"),"-")</f>
        <v>Penyumbang PENURUNAN IPH</v>
      </c>
    </row>
    <row r="143" spans="1:6" ht="15" customHeight="1" x14ac:dyDescent="0.35">
      <c r="A143" s="8">
        <v>2</v>
      </c>
      <c r="B143" s="9" t="str">
        <f>IFERROR(INDEX('Perhitungan IPH Mingguan 2026'!$B$6:$B$25,MATCH(LARGE('Perhitungan IPH Mingguan 2026'!$EF$6:$EF$25,2),'Perhitungan IPH Mingguan 2026'!$EF$6:$EF$25,0)),"-")</f>
        <v>cabai rawit 01173013</v>
      </c>
      <c r="C143" s="10">
        <f>IFERROR(INDEX('Perhitungan IPH Mingguan 2026'!$C$6:$C$25,MATCH(LARGE('Perhitungan IPH Mingguan 2026'!$EF$6:$EF$25,2),'Perhitungan IPH Mingguan 2026'!$EF$6:$EF$25,0)),"")</f>
        <v>1.7701732362870599E-2</v>
      </c>
      <c r="D143" s="25">
        <f>IFERROR(INDEX('Perhitungan IPH Mingguan 2026'!$BD$6:$BD$25,MATCH(LARGE('Perhitungan IPH Mingguan 2026'!$EF$6:$EF$25,2),'Perhitungan IPH Mingguan 2026'!$EF$6:$EF$25,0)),"")</f>
        <v>-38.113207547169814</v>
      </c>
      <c r="E143" s="10">
        <f>IFERROR(INDEX('Perhitungan IPH Mingguan 2026'!$BE$6:$BE$25,MATCH(LARGE('Perhitungan IPH Mingguan 2026'!$EF$6:$EF$25,2),'Perhitungan IPH Mingguan 2026'!$EF$6:$EF$25,0)),"")</f>
        <v>-0.67466979949053985</v>
      </c>
      <c r="F143" s="9" t="str">
        <f>IF(ISNUMBER(E143),IF(E143&gt;0,"Penyumbang KENAIKAN IPH","Penyumbang PENURUNAN IPH"),"-")</f>
        <v>Penyumbang PENURUNAN IPH</v>
      </c>
    </row>
    <row r="144" spans="1:6" ht="15" customHeight="1" x14ac:dyDescent="0.35">
      <c r="A144" s="8">
        <v>3</v>
      </c>
      <c r="B144" s="9" t="str">
        <f>IFERROR(INDEX('Perhitungan IPH Mingguan 2026'!$B$6:$B$25,MATCH(LARGE('Perhitungan IPH Mingguan 2026'!$EF$6:$EF$25,3),'Perhitungan IPH Mingguan 2026'!$EF$6:$EF$25,0)),"-")</f>
        <v>pisang ambon 1162001</v>
      </c>
      <c r="C144" s="10">
        <f>IFERROR(INDEX('Perhitungan IPH Mingguan 2026'!$C$6:$C$25,MATCH(LARGE('Perhitungan IPH Mingguan 2026'!$EF$6:$EF$25,3),'Perhitungan IPH Mingguan 2026'!$EF$6:$EF$25,0)),"")</f>
        <v>4.0636572858027402E-2</v>
      </c>
      <c r="D144" s="25">
        <f>IFERROR(INDEX('Perhitungan IPH Mingguan 2026'!$BD$6:$BD$25,MATCH(LARGE('Perhitungan IPH Mingguan 2026'!$EF$6:$EF$25,3),'Perhitungan IPH Mingguan 2026'!$EF$6:$EF$25,0)),"")</f>
        <v>0</v>
      </c>
      <c r="E144" s="10">
        <f>IFERROR(INDEX('Perhitungan IPH Mingguan 2026'!$BE$6:$BE$25,MATCH(LARGE('Perhitungan IPH Mingguan 2026'!$EF$6:$EF$25,3),'Perhitungan IPH Mingguan 2026'!$EF$6:$EF$25,0)),"")</f>
        <v>0</v>
      </c>
      <c r="F144" s="9" t="str">
        <f>IF(ISNUMBER(E144),IF(E144&gt;0,"Penyumbang KENAIKAN IPH","Penyumbang PENURUNAN IPH"),"-")</f>
        <v>Penyumbang PENURUNAN IPH</v>
      </c>
    </row>
    <row r="145" spans="1:6" ht="15" customHeight="1" x14ac:dyDescent="0.35">
      <c r="A145" s="8">
        <v>4</v>
      </c>
      <c r="B145" s="9" t="str">
        <f>IFERROR(INDEX('Perhitungan IPH Mingguan 2026'!$B$6:$B$25,MATCH(LARGE('Perhitungan IPH Mingguan 2026'!$EF$6:$EF$25,4),'Perhitungan IPH Mingguan 2026'!$EF$6:$EF$25,0)),"-")</f>
        <v>daging ayam ras 1124003</v>
      </c>
      <c r="C145" s="10">
        <f>IFERROR(INDEX('Perhitungan IPH Mingguan 2026'!$C$6:$C$25,MATCH(LARGE('Perhitungan IPH Mingguan 2026'!$EF$6:$EF$25,4),'Perhitungan IPH Mingguan 2026'!$EF$6:$EF$25,0)),"")</f>
        <v>4.7910777785027697E-2</v>
      </c>
      <c r="D145" s="25">
        <f>IFERROR(INDEX('Perhitungan IPH Mingguan 2026'!$BD$6:$BD$25,MATCH(LARGE('Perhitungan IPH Mingguan 2026'!$EF$6:$EF$25,4),'Perhitungan IPH Mingguan 2026'!$EF$6:$EF$25,0)),"")</f>
        <v>-14.77124183006536</v>
      </c>
      <c r="E145" s="10">
        <f>IFERROR(INDEX('Perhitungan IPH Mingguan 2026'!$BE$6:$BE$25,MATCH(LARGE('Perhitungan IPH Mingguan 2026'!$EF$6:$EF$25,4),'Perhitungan IPH Mingguan 2026'!$EF$6:$EF$25,0)),"")</f>
        <v>-0.7077016849291673</v>
      </c>
      <c r="F145" s="9" t="str">
        <f>IF(ISNUMBER(E145),IF(E145&gt;0,"Penyumbang KENAIKAN IPH","Penyumbang PENURUNAN IPH"),"-")</f>
        <v>Penyumbang PENURUNAN IPH</v>
      </c>
    </row>
    <row r="146" spans="1:6" ht="15" customHeight="1" x14ac:dyDescent="0.35">
      <c r="A146" s="8">
        <v>5</v>
      </c>
      <c r="B146" s="9" t="str">
        <f>IFERROR(INDEX('Perhitungan IPH Mingguan 2026'!$B$6:$B$25,MATCH(LARGE('Perhitungan IPH Mingguan 2026'!$EF$6:$EF$25,5),'Perhitungan IPH Mingguan 2026'!$EF$6:$EF$25,0)),"-")</f>
        <v>bawang merah 1174006</v>
      </c>
      <c r="C146" s="10">
        <f>IFERROR(INDEX('Perhitungan IPH Mingguan 2026'!$C$6:$C$25,MATCH(LARGE('Perhitungan IPH Mingguan 2026'!$EF$6:$EF$25,5),'Perhitungan IPH Mingguan 2026'!$EF$6:$EF$25,0)),"")</f>
        <v>1.94434650422287E-2</v>
      </c>
      <c r="D146" s="25">
        <f>IFERROR(INDEX('Perhitungan IPH Mingguan 2026'!$BD$6:$BD$25,MATCH(LARGE('Perhitungan IPH Mingguan 2026'!$EF$6:$EF$25,5),'Perhitungan IPH Mingguan 2026'!$EF$6:$EF$25,0)),"")</f>
        <v>-2.3102310231023102</v>
      </c>
      <c r="E146" s="10">
        <f>IFERROR(INDEX('Perhitungan IPH Mingguan 2026'!$BE$6:$BE$25,MATCH(LARGE('Perhitungan IPH Mingguan 2026'!$EF$6:$EF$25,5),'Perhitungan IPH Mingguan 2026'!$EF$6:$EF$25,0)),"")</f>
        <v>-4.4918896137162011E-2</v>
      </c>
      <c r="F146" s="9" t="str">
        <f>IF(ISNUMBER(E146),IF(E146&gt;0,"Penyumbang KENAIKAN IPH","Penyumbang PENURUNAN IPH"),"-")</f>
        <v>Penyumbang PENURUNAN IPH</v>
      </c>
    </row>
    <row r="148" spans="1:6" ht="15" customHeight="1" x14ac:dyDescent="0.35">
      <c r="A148" s="2" t="s">
        <v>233</v>
      </c>
      <c r="B148" s="2"/>
      <c r="C148" s="2"/>
      <c r="D148" s="2"/>
      <c r="E148" s="2"/>
      <c r="F148" s="2"/>
    </row>
    <row r="149" spans="1:6" ht="21.75" customHeight="1" x14ac:dyDescent="0.35">
      <c r="A149" s="6" t="s">
        <v>211</v>
      </c>
      <c r="B149" s="6" t="s">
        <v>212</v>
      </c>
      <c r="C149" s="6" t="s">
        <v>139</v>
      </c>
      <c r="D149" s="6" t="s">
        <v>213</v>
      </c>
      <c r="E149" s="6" t="s">
        <v>214</v>
      </c>
      <c r="F149" s="6" t="s">
        <v>215</v>
      </c>
    </row>
    <row r="150" spans="1:6" ht="15" customHeight="1" x14ac:dyDescent="0.35">
      <c r="A150" s="8">
        <v>1</v>
      </c>
      <c r="B150" s="9" t="str">
        <f>IFERROR(INDEX('Perhitungan IPH Mingguan 2026'!$B$6:$B$25,MATCH(LARGE('Perhitungan IPH Mingguan 2026'!$EG$6:$EG$25,1),'Perhitungan IPH Mingguan 2026'!$EG$6:$EG$25,0)),"-")</f>
        <v>udang lobster 01132004</v>
      </c>
      <c r="C150" s="10">
        <f>IFERROR(INDEX('Perhitungan IPH Mingguan 2026'!$C$6:$C$25,MATCH(LARGE('Perhitungan IPH Mingguan 2026'!$EG$6:$EG$25,1),'Perhitungan IPH Mingguan 2026'!$EG$6:$EG$25,0)),"")</f>
        <v>3.7010754321023603E-2</v>
      </c>
      <c r="D150" s="25">
        <f>IFERROR(INDEX('Perhitungan IPH Mingguan 2026'!$BG$6:$BG$25,MATCH(LARGE('Perhitungan IPH Mingguan 2026'!$EG$6:$EG$25,1),'Perhitungan IPH Mingguan 2026'!$EG$6:$EG$25,0)),"")</f>
        <v>0</v>
      </c>
      <c r="E150" s="10">
        <f>IFERROR(INDEX('Perhitungan IPH Mingguan 2026'!$BH$6:$BH$25,MATCH(LARGE('Perhitungan IPH Mingguan 2026'!$EG$6:$EG$25,1),'Perhitungan IPH Mingguan 2026'!$EG$6:$EG$25,0)),"")</f>
        <v>0</v>
      </c>
      <c r="F150" s="9" t="str">
        <f>IF(ISNUMBER(E150),IF(E150&gt;0,"Penyumbang KENAIKAN IPH","Penyumbang PENURUNAN IPH"),"-")</f>
        <v>Penyumbang PENURUNAN IPH</v>
      </c>
    </row>
    <row r="151" spans="1:6" ht="15" customHeight="1" x14ac:dyDescent="0.35">
      <c r="A151" s="8">
        <v>2</v>
      </c>
      <c r="B151" s="9" t="str">
        <f>IFERROR(INDEX('Perhitungan IPH Mingguan 2026'!$B$6:$B$25,MATCH(LARGE('Perhitungan IPH Mingguan 2026'!$EG$6:$EG$25,2),'Perhitungan IPH Mingguan 2026'!$EG$6:$EG$25,0)),"-")</f>
        <v>jeruk 01161001-33</v>
      </c>
      <c r="C151" s="10">
        <f>IFERROR(INDEX('Perhitungan IPH Mingguan 2026'!$C$6:$C$25,MATCH(LARGE('Perhitungan IPH Mingguan 2026'!$EG$6:$EG$25,2),'Perhitungan IPH Mingguan 2026'!$EG$6:$EG$25,0)),"")</f>
        <v>3.4177615717940098E-2</v>
      </c>
      <c r="D151" s="25">
        <f>IFERROR(INDEX('Perhitungan IPH Mingguan 2026'!$BG$6:$BG$25,MATCH(LARGE('Perhitungan IPH Mingguan 2026'!$EG$6:$EG$25,2),'Perhitungan IPH Mingguan 2026'!$EG$6:$EG$25,0)),"")</f>
        <v>0</v>
      </c>
      <c r="E151" s="10">
        <f>IFERROR(INDEX('Perhitungan IPH Mingguan 2026'!$BH$6:$BH$25,MATCH(LARGE('Perhitungan IPH Mingguan 2026'!$EG$6:$EG$25,2),'Perhitungan IPH Mingguan 2026'!$EG$6:$EG$25,0)),"")</f>
        <v>0</v>
      </c>
      <c r="F151" s="9" t="str">
        <f>IF(ISNUMBER(E151),IF(E151&gt;0,"Penyumbang KENAIKAN IPH","Penyumbang PENURUNAN IPH"),"-")</f>
        <v>Penyumbang PENURUNAN IPH</v>
      </c>
    </row>
    <row r="152" spans="1:6" ht="15" customHeight="1" x14ac:dyDescent="0.35">
      <c r="A152" s="8">
        <v>3</v>
      </c>
      <c r="B152" s="9" t="str">
        <f>IFERROR(INDEX('Perhitungan IPH Mingguan 2026'!$B$6:$B$25,MATCH(LARGE('Perhitungan IPH Mingguan 2026'!$EG$6:$EG$25,3),'Perhitungan IPH Mingguan 2026'!$EG$6:$EG$25,0)),"-")</f>
        <v>cabai rawit 01173013</v>
      </c>
      <c r="C152" s="10">
        <f>IFERROR(INDEX('Perhitungan IPH Mingguan 2026'!$C$6:$C$25,MATCH(LARGE('Perhitungan IPH Mingguan 2026'!$EG$6:$EG$25,3),'Perhitungan IPH Mingguan 2026'!$EG$6:$EG$25,0)),"")</f>
        <v>1.7701732362870599E-2</v>
      </c>
      <c r="D152" s="25">
        <f>IFERROR(INDEX('Perhitungan IPH Mingguan 2026'!$BG$6:$BG$25,MATCH(LARGE('Perhitungan IPH Mingguan 2026'!$EG$6:$EG$25,3),'Perhitungan IPH Mingguan 2026'!$EG$6:$EG$25,0)),"")</f>
        <v>-46.540880503144656</v>
      </c>
      <c r="E152" s="10">
        <f>IFERROR(INDEX('Perhitungan IPH Mingguan 2026'!$BH$6:$BH$25,MATCH(LARGE('Perhitungan IPH Mingguan 2026'!$EG$6:$EG$25,3),'Perhitungan IPH Mingguan 2026'!$EG$6:$EG$25,0)),"")</f>
        <v>-0.8238542105990091</v>
      </c>
      <c r="F152" s="9" t="str">
        <f>IF(ISNUMBER(E152),IF(E152&gt;0,"Penyumbang KENAIKAN IPH","Penyumbang PENURUNAN IPH"),"-")</f>
        <v>Penyumbang PENURUNAN IPH</v>
      </c>
    </row>
    <row r="153" spans="1:6" ht="15" customHeight="1" x14ac:dyDescent="0.35">
      <c r="A153" s="8">
        <v>4</v>
      </c>
      <c r="B153" s="9" t="str">
        <f>IFERROR(INDEX('Perhitungan IPH Mingguan 2026'!$B$6:$B$25,MATCH(LARGE('Perhitungan IPH Mingguan 2026'!$EG$6:$EG$25,4),'Perhitungan IPH Mingguan 2026'!$EG$6:$EG$25,0)),"-")</f>
        <v>cabai merah 01173012</v>
      </c>
      <c r="C153" s="10">
        <f>IFERROR(INDEX('Perhitungan IPH Mingguan 2026'!$C$6:$C$25,MATCH(LARGE('Perhitungan IPH Mingguan 2026'!$EG$6:$EG$25,4),'Perhitungan IPH Mingguan 2026'!$EG$6:$EG$25,0)),"")</f>
        <v>1.10208839376634E-2</v>
      </c>
      <c r="D153" s="25">
        <f>IFERROR(INDEX('Perhitungan IPH Mingguan 2026'!$BG$6:$BG$25,MATCH(LARGE('Perhitungan IPH Mingguan 2026'!$EG$6:$EG$25,4),'Perhitungan IPH Mingguan 2026'!$EG$6:$EG$25,0)),"")</f>
        <v>17.013086989992303</v>
      </c>
      <c r="E153" s="10">
        <f>IFERROR(INDEX('Perhitungan IPH Mingguan 2026'!$BH$6:$BH$25,MATCH(LARGE('Perhitungan IPH Mingguan 2026'!$EG$6:$EG$25,4),'Perhitungan IPH Mingguan 2026'!$EG$6:$EG$25,0)),"")</f>
        <v>0.18749925713807633</v>
      </c>
      <c r="F153" s="9" t="str">
        <f>IF(ISNUMBER(E153),IF(E153&gt;0,"Penyumbang KENAIKAN IPH","Penyumbang PENURUNAN IPH"),"-")</f>
        <v>Penyumbang KENAIKAN IPH</v>
      </c>
    </row>
    <row r="154" spans="1:6" ht="15" customHeight="1" x14ac:dyDescent="0.35">
      <c r="A154" s="8">
        <v>5</v>
      </c>
      <c r="B154" s="9" t="str">
        <f>IFERROR(INDEX('Perhitungan IPH Mingguan 2026'!$B$6:$B$25,MATCH(LARGE('Perhitungan IPH Mingguan 2026'!$EG$6:$EG$25,5),'Perhitungan IPH Mingguan 2026'!$EG$6:$EG$25,0)),"-")</f>
        <v>pisang ambon 1162001</v>
      </c>
      <c r="C154" s="10">
        <f>IFERROR(INDEX('Perhitungan IPH Mingguan 2026'!$C$6:$C$25,MATCH(LARGE('Perhitungan IPH Mingguan 2026'!$EG$6:$EG$25,5),'Perhitungan IPH Mingguan 2026'!$EG$6:$EG$25,0)),"")</f>
        <v>4.0636572858027402E-2</v>
      </c>
      <c r="D154" s="25">
        <f>IFERROR(INDEX('Perhitungan IPH Mingguan 2026'!$BG$6:$BG$25,MATCH(LARGE('Perhitungan IPH Mingguan 2026'!$EG$6:$EG$25,5),'Perhitungan IPH Mingguan 2026'!$EG$6:$EG$25,0)),"")</f>
        <v>0</v>
      </c>
      <c r="E154" s="10">
        <f>IFERROR(INDEX('Perhitungan IPH Mingguan 2026'!$BH$6:$BH$25,MATCH(LARGE('Perhitungan IPH Mingguan 2026'!$EG$6:$EG$25,5),'Perhitungan IPH Mingguan 2026'!$EG$6:$EG$25,0)),"")</f>
        <v>0</v>
      </c>
      <c r="F154" s="9" t="str">
        <f>IF(ISNUMBER(E154),IF(E154&gt;0,"Penyumbang KENAIKAN IPH","Penyumbang PENURUNAN IPH"),"-")</f>
        <v>Penyumbang PENURUNAN IPH</v>
      </c>
    </row>
    <row r="156" spans="1:6" ht="15" customHeight="1" x14ac:dyDescent="0.35">
      <c r="A156" s="2" t="s">
        <v>234</v>
      </c>
      <c r="B156" s="2"/>
      <c r="C156" s="2"/>
      <c r="D156" s="2"/>
      <c r="E156" s="2"/>
      <c r="F156" s="2"/>
    </row>
    <row r="157" spans="1:6" ht="21.75" customHeight="1" x14ac:dyDescent="0.35">
      <c r="A157" s="6" t="s">
        <v>211</v>
      </c>
      <c r="B157" s="6" t="s">
        <v>212</v>
      </c>
      <c r="C157" s="6" t="s">
        <v>139</v>
      </c>
      <c r="D157" s="6" t="s">
        <v>213</v>
      </c>
      <c r="E157" s="6" t="s">
        <v>214</v>
      </c>
      <c r="F157" s="6" t="s">
        <v>215</v>
      </c>
    </row>
    <row r="158" spans="1:6" ht="15" customHeight="1" x14ac:dyDescent="0.35">
      <c r="A158" s="8">
        <v>1</v>
      </c>
      <c r="B158" s="9" t="str">
        <f>IFERROR(INDEX('Perhitungan IPH Mingguan 2026'!$B$6:$B$25,MATCH(LARGE('Perhitungan IPH Mingguan 2026'!$EH$6:$EH$25,1),'Perhitungan IPH Mingguan 2026'!$EH$6:$EH$25,0)),"-")</f>
        <v>udang lobster 01132004</v>
      </c>
      <c r="C158" s="10">
        <f>IFERROR(INDEX('Perhitungan IPH Mingguan 2026'!$C$6:$C$25,MATCH(LARGE('Perhitungan IPH Mingguan 2026'!$EH$6:$EH$25,1),'Perhitungan IPH Mingguan 2026'!$EH$6:$EH$25,0)),"")</f>
        <v>3.7010754321023603E-2</v>
      </c>
      <c r="D158" s="25" t="str">
        <f>IFERROR(INDEX('Perhitungan IPH Mingguan 2026'!$BJ$6:$BJ$25,MATCH(LARGE('Perhitungan IPH Mingguan 2026'!$EH$6:$EH$25,1),'Perhitungan IPH Mingguan 2026'!$EH$6:$EH$25,0)),"")</f>
        <v>n/a</v>
      </c>
      <c r="E158" s="10" t="str">
        <f>IFERROR(INDEX('Perhitungan IPH Mingguan 2026'!$BK$6:$BK$25,MATCH(LARGE('Perhitungan IPH Mingguan 2026'!$EH$6:$EH$25,1),'Perhitungan IPH Mingguan 2026'!$EH$6:$EH$25,0)),"")</f>
        <v>n/a</v>
      </c>
      <c r="F158" s="9" t="str">
        <f>IF(ISNUMBER(E158),IF(E158&gt;0,"Penyumbang KENAIKAN IPH","Penyumbang PENURUNAN IPH"),"-")</f>
        <v>-</v>
      </c>
    </row>
    <row r="159" spans="1:6" ht="15" customHeight="1" x14ac:dyDescent="0.35">
      <c r="A159" s="8">
        <v>2</v>
      </c>
      <c r="B159" s="9" t="str">
        <f>IFERROR(INDEX('Perhitungan IPH Mingguan 2026'!$B$6:$B$25,MATCH(LARGE('Perhitungan IPH Mingguan 2026'!$EH$6:$EH$25,2),'Perhitungan IPH Mingguan 2026'!$EH$6:$EH$25,0)),"-")</f>
        <v>jeruk 01161001-33</v>
      </c>
      <c r="C159" s="10">
        <f>IFERROR(INDEX('Perhitungan IPH Mingguan 2026'!$C$6:$C$25,MATCH(LARGE('Perhitungan IPH Mingguan 2026'!$EH$6:$EH$25,2),'Perhitungan IPH Mingguan 2026'!$EH$6:$EH$25,0)),"")</f>
        <v>3.4177615717940098E-2</v>
      </c>
      <c r="D159" s="25" t="str">
        <f>IFERROR(INDEX('Perhitungan IPH Mingguan 2026'!$BJ$6:$BJ$25,MATCH(LARGE('Perhitungan IPH Mingguan 2026'!$EH$6:$EH$25,2),'Perhitungan IPH Mingguan 2026'!$EH$6:$EH$25,0)),"")</f>
        <v>n/a</v>
      </c>
      <c r="E159" s="10" t="str">
        <f>IFERROR(INDEX('Perhitungan IPH Mingguan 2026'!$BK$6:$BK$25,MATCH(LARGE('Perhitungan IPH Mingguan 2026'!$EH$6:$EH$25,2),'Perhitungan IPH Mingguan 2026'!$EH$6:$EH$25,0)),"")</f>
        <v>n/a</v>
      </c>
      <c r="F159" s="9" t="str">
        <f>IF(ISNUMBER(E159),IF(E159&gt;0,"Penyumbang KENAIKAN IPH","Penyumbang PENURUNAN IPH"),"-")</f>
        <v>-</v>
      </c>
    </row>
    <row r="160" spans="1:6" ht="15" customHeight="1" x14ac:dyDescent="0.35">
      <c r="A160" s="8">
        <v>3</v>
      </c>
      <c r="B160" s="9" t="str">
        <f>IFERROR(INDEX('Perhitungan IPH Mingguan 2026'!$B$6:$B$25,MATCH(LARGE('Perhitungan IPH Mingguan 2026'!$EH$6:$EH$25,3),'Perhitungan IPH Mingguan 2026'!$EH$6:$EH$25,0)),"-")</f>
        <v>cabai rawit 01173013</v>
      </c>
      <c r="C160" s="10">
        <f>IFERROR(INDEX('Perhitungan IPH Mingguan 2026'!$C$6:$C$25,MATCH(LARGE('Perhitungan IPH Mingguan 2026'!$EH$6:$EH$25,3),'Perhitungan IPH Mingguan 2026'!$EH$6:$EH$25,0)),"")</f>
        <v>1.7701732362870599E-2</v>
      </c>
      <c r="D160" s="25" t="str">
        <f>IFERROR(INDEX('Perhitungan IPH Mingguan 2026'!$BJ$6:$BJ$25,MATCH(LARGE('Perhitungan IPH Mingguan 2026'!$EH$6:$EH$25,3),'Perhitungan IPH Mingguan 2026'!$EH$6:$EH$25,0)),"")</f>
        <v>n/a</v>
      </c>
      <c r="E160" s="10" t="str">
        <f>IFERROR(INDEX('Perhitungan IPH Mingguan 2026'!$BK$6:$BK$25,MATCH(LARGE('Perhitungan IPH Mingguan 2026'!$EH$6:$EH$25,3),'Perhitungan IPH Mingguan 2026'!$EH$6:$EH$25,0)),"")</f>
        <v>n/a</v>
      </c>
      <c r="F160" s="9" t="str">
        <f>IF(ISNUMBER(E160),IF(E160&gt;0,"Penyumbang KENAIKAN IPH","Penyumbang PENURUNAN IPH"),"-")</f>
        <v>-</v>
      </c>
    </row>
    <row r="161" spans="1:6" ht="15" customHeight="1" x14ac:dyDescent="0.35">
      <c r="A161" s="8">
        <v>4</v>
      </c>
      <c r="B161" s="9" t="str">
        <f>IFERROR(INDEX('Perhitungan IPH Mingguan 2026'!$B$6:$B$25,MATCH(LARGE('Perhitungan IPH Mingguan 2026'!$EH$6:$EH$25,4),'Perhitungan IPH Mingguan 2026'!$EH$6:$EH$25,0)),"-")</f>
        <v>cabai merah 01173012</v>
      </c>
      <c r="C161" s="10">
        <f>IFERROR(INDEX('Perhitungan IPH Mingguan 2026'!$C$6:$C$25,MATCH(LARGE('Perhitungan IPH Mingguan 2026'!$EH$6:$EH$25,4),'Perhitungan IPH Mingguan 2026'!$EH$6:$EH$25,0)),"")</f>
        <v>1.10208839376634E-2</v>
      </c>
      <c r="D161" s="25" t="str">
        <f>IFERROR(INDEX('Perhitungan IPH Mingguan 2026'!$BJ$6:$BJ$25,MATCH(LARGE('Perhitungan IPH Mingguan 2026'!$EH$6:$EH$25,4),'Perhitungan IPH Mingguan 2026'!$EH$6:$EH$25,0)),"")</f>
        <v>n/a</v>
      </c>
      <c r="E161" s="10" t="str">
        <f>IFERROR(INDEX('Perhitungan IPH Mingguan 2026'!$BK$6:$BK$25,MATCH(LARGE('Perhitungan IPH Mingguan 2026'!$EH$6:$EH$25,4),'Perhitungan IPH Mingguan 2026'!$EH$6:$EH$25,0)),"")</f>
        <v>n/a</v>
      </c>
      <c r="F161" s="9" t="str">
        <f>IF(ISNUMBER(E161),IF(E161&gt;0,"Penyumbang KENAIKAN IPH","Penyumbang PENURUNAN IPH"),"-")</f>
        <v>-</v>
      </c>
    </row>
    <row r="162" spans="1:6" ht="15" customHeight="1" x14ac:dyDescent="0.35">
      <c r="A162" s="8">
        <v>5</v>
      </c>
      <c r="B162" s="9" t="str">
        <f>IFERROR(INDEX('Perhitungan IPH Mingguan 2026'!$B$6:$B$25,MATCH(LARGE('Perhitungan IPH Mingguan 2026'!$EH$6:$EH$25,5),'Perhitungan IPH Mingguan 2026'!$EH$6:$EH$25,0)),"-")</f>
        <v>pisang ambon 1162001</v>
      </c>
      <c r="C162" s="10">
        <f>IFERROR(INDEX('Perhitungan IPH Mingguan 2026'!$C$6:$C$25,MATCH(LARGE('Perhitungan IPH Mingguan 2026'!$EH$6:$EH$25,5),'Perhitungan IPH Mingguan 2026'!$EH$6:$EH$25,0)),"")</f>
        <v>4.0636572858027402E-2</v>
      </c>
      <c r="D162" s="25" t="str">
        <f>IFERROR(INDEX('Perhitungan IPH Mingguan 2026'!$BJ$6:$BJ$25,MATCH(LARGE('Perhitungan IPH Mingguan 2026'!$EH$6:$EH$25,5),'Perhitungan IPH Mingguan 2026'!$EH$6:$EH$25,0)),"")</f>
        <v>n/a</v>
      </c>
      <c r="E162" s="10" t="str">
        <f>IFERROR(INDEX('Perhitungan IPH Mingguan 2026'!$BK$6:$BK$25,MATCH(LARGE('Perhitungan IPH Mingguan 2026'!$EH$6:$EH$25,5),'Perhitungan IPH Mingguan 2026'!$EH$6:$EH$25,0)),"")</f>
        <v>n/a</v>
      </c>
      <c r="F162" s="9" t="str">
        <f>IF(ISNUMBER(E162),IF(E162&gt;0,"Penyumbang KENAIKAN IPH","Penyumbang PENURUNAN IPH"),"-")</f>
        <v>-</v>
      </c>
    </row>
    <row r="164" spans="1:6" ht="15" customHeight="1" x14ac:dyDescent="0.35">
      <c r="A164" s="2" t="s">
        <v>235</v>
      </c>
      <c r="B164" s="2"/>
      <c r="C164" s="2"/>
      <c r="D164" s="2"/>
      <c r="E164" s="2"/>
      <c r="F164" s="2"/>
    </row>
    <row r="165" spans="1:6" ht="21.75" customHeight="1" x14ac:dyDescent="0.35">
      <c r="A165" s="6" t="s">
        <v>211</v>
      </c>
      <c r="B165" s="6" t="s">
        <v>212</v>
      </c>
      <c r="C165" s="6" t="s">
        <v>139</v>
      </c>
      <c r="D165" s="6" t="s">
        <v>213</v>
      </c>
      <c r="E165" s="6" t="s">
        <v>214</v>
      </c>
      <c r="F165" s="6" t="s">
        <v>215</v>
      </c>
    </row>
    <row r="166" spans="1:6" ht="15" customHeight="1" x14ac:dyDescent="0.35">
      <c r="A166" s="8">
        <v>1</v>
      </c>
      <c r="B166" s="9" t="str">
        <f>IFERROR(INDEX('Perhitungan IPH Mingguan 2026'!$B$6:$B$25,MATCH(LARGE('Perhitungan IPH Mingguan 2026'!$EI$6:$EI$25,1),'Perhitungan IPH Mingguan 2026'!$EI$6:$EI$25,0)),"-")</f>
        <v>cabai rawit 01173013</v>
      </c>
      <c r="C166" s="10">
        <f>IFERROR(INDEX('Perhitungan IPH Mingguan 2026'!$C$6:$C$25,MATCH(LARGE('Perhitungan IPH Mingguan 2026'!$EI$6:$EI$25,1),'Perhitungan IPH Mingguan 2026'!$EI$6:$EI$25,0)),"")</f>
        <v>1.7701732362870599E-2</v>
      </c>
      <c r="D166" s="25">
        <f>IFERROR(INDEX('Perhitungan IPH Mingguan 2026'!$BM$6:$BM$25,MATCH(LARGE('Perhitungan IPH Mingguan 2026'!$EI$6:$EI$25,1),'Perhitungan IPH Mingguan 2026'!$EI$6:$EI$25,0)),"")</f>
        <v>21.118012422360255</v>
      </c>
      <c r="E166" s="10">
        <f>IFERROR(INDEX('Perhitungan IPH Mingguan 2026'!$BN$6:$BN$25,MATCH(LARGE('Perhitungan IPH Mingguan 2026'!$EI$6:$EI$25,1),'Perhitungan IPH Mingguan 2026'!$EI$6:$EI$25,0)),"")</f>
        <v>0.37382540393639785</v>
      </c>
      <c r="F166" s="9" t="str">
        <f>IF(ISNUMBER(E166),IF(E166&gt;0,"Penyumbang KENAIKAN IPH","Penyumbang PENURUNAN IPH"),"-")</f>
        <v>Penyumbang KENAIKAN IPH</v>
      </c>
    </row>
    <row r="167" spans="1:6" ht="15" customHeight="1" x14ac:dyDescent="0.35">
      <c r="A167" s="8">
        <v>2</v>
      </c>
      <c r="B167" s="9" t="str">
        <f>IFERROR(INDEX('Perhitungan IPH Mingguan 2026'!$B$6:$B$25,MATCH(LARGE('Perhitungan IPH Mingguan 2026'!$EI$6:$EI$25,2),'Perhitungan IPH Mingguan 2026'!$EI$6:$EI$25,0)),"-")</f>
        <v>daging ayam ras 1124003</v>
      </c>
      <c r="C167" s="10">
        <f>IFERROR(INDEX('Perhitungan IPH Mingguan 2026'!$C$6:$C$25,MATCH(LARGE('Perhitungan IPH Mingguan 2026'!$EI$6:$EI$25,2),'Perhitungan IPH Mingguan 2026'!$EI$6:$EI$25,0)),"")</f>
        <v>4.7910777785027697E-2</v>
      </c>
      <c r="D167" s="25">
        <f>IFERROR(INDEX('Perhitungan IPH Mingguan 2026'!$BM$6:$BM$25,MATCH(LARGE('Perhitungan IPH Mingguan 2026'!$EI$6:$EI$25,2),'Perhitungan IPH Mingguan 2026'!$EI$6:$EI$25,0)),"")</f>
        <v>3.4782608695652235</v>
      </c>
      <c r="E167" s="10">
        <f>IFERROR(INDEX('Perhitungan IPH Mingguan 2026'!$BN$6:$BN$25,MATCH(LARGE('Perhitungan IPH Mingguan 2026'!$EI$6:$EI$25,2),'Perhitungan IPH Mingguan 2026'!$EI$6:$EI$25,0)),"")</f>
        <v>0.16664618360009664</v>
      </c>
      <c r="F167" s="9" t="str">
        <f>IF(ISNUMBER(E167),IF(E167&gt;0,"Penyumbang KENAIKAN IPH","Penyumbang PENURUNAN IPH"),"-")</f>
        <v>Penyumbang KENAIKAN IPH</v>
      </c>
    </row>
    <row r="168" spans="1:6" ht="15" customHeight="1" x14ac:dyDescent="0.35">
      <c r="A168" s="8">
        <v>3</v>
      </c>
      <c r="B168" s="9" t="str">
        <f>IFERROR(INDEX('Perhitungan IPH Mingguan 2026'!$B$6:$B$25,MATCH(LARGE('Perhitungan IPH Mingguan 2026'!$EI$6:$EI$25,3),'Perhitungan IPH Mingguan 2026'!$EI$6:$EI$25,0)),"-")</f>
        <v>udang lobster 01132004</v>
      </c>
      <c r="C168" s="10">
        <f>IFERROR(INDEX('Perhitungan IPH Mingguan 2026'!$C$6:$C$25,MATCH(LARGE('Perhitungan IPH Mingguan 2026'!$EI$6:$EI$25,3),'Perhitungan IPH Mingguan 2026'!$EI$6:$EI$25,0)),"")</f>
        <v>3.7010754321023603E-2</v>
      </c>
      <c r="D168" s="25">
        <f>IFERROR(INDEX('Perhitungan IPH Mingguan 2026'!$BM$6:$BM$25,MATCH(LARGE('Perhitungan IPH Mingguan 2026'!$EI$6:$EI$25,3),'Perhitungan IPH Mingguan 2026'!$EI$6:$EI$25,0)),"")</f>
        <v>0</v>
      </c>
      <c r="E168" s="10">
        <f>IFERROR(INDEX('Perhitungan IPH Mingguan 2026'!$BN$6:$BN$25,MATCH(LARGE('Perhitungan IPH Mingguan 2026'!$EI$6:$EI$25,3),'Perhitungan IPH Mingguan 2026'!$EI$6:$EI$25,0)),"")</f>
        <v>0</v>
      </c>
      <c r="F168" s="9" t="str">
        <f>IF(ISNUMBER(E168),IF(E168&gt;0,"Penyumbang KENAIKAN IPH","Penyumbang PENURUNAN IPH"),"-")</f>
        <v>Penyumbang PENURUNAN IPH</v>
      </c>
    </row>
    <row r="169" spans="1:6" ht="15" customHeight="1" x14ac:dyDescent="0.35">
      <c r="A169" s="8">
        <v>4</v>
      </c>
      <c r="B169" s="9" t="str">
        <f>IFERROR(INDEX('Perhitungan IPH Mingguan 2026'!$B$6:$B$25,MATCH(LARGE('Perhitungan IPH Mingguan 2026'!$EI$6:$EI$25,4),'Perhitungan IPH Mingguan 2026'!$EI$6:$EI$25,0)),"-")</f>
        <v>daging sapi 01121001</v>
      </c>
      <c r="C169" s="10">
        <f>IFERROR(INDEX('Perhitungan IPH Mingguan 2026'!$C$6:$C$25,MATCH(LARGE('Perhitungan IPH Mingguan 2026'!$EI$6:$EI$25,4),'Perhitungan IPH Mingguan 2026'!$EI$6:$EI$25,0)),"")</f>
        <v>5.98704213474298E-2</v>
      </c>
      <c r="D169" s="25">
        <f>IFERROR(INDEX('Perhitungan IPH Mingguan 2026'!$BM$6:$BM$25,MATCH(LARGE('Perhitungan IPH Mingguan 2026'!$EI$6:$EI$25,4),'Perhitungan IPH Mingguan 2026'!$EI$6:$EI$25,0)),"")</f>
        <v>0.3606853020739329</v>
      </c>
      <c r="E169" s="10">
        <f>IFERROR(INDEX('Perhitungan IPH Mingguan 2026'!$BN$6:$BN$25,MATCH(LARGE('Perhitungan IPH Mingguan 2026'!$EI$6:$EI$25,4),'Perhitungan IPH Mingguan 2026'!$EI$6:$EI$25,0)),"")</f>
        <v>2.1594381008991359E-2</v>
      </c>
      <c r="F169" s="9" t="str">
        <f>IF(ISNUMBER(E169),IF(E169&gt;0,"Penyumbang KENAIKAN IPH","Penyumbang PENURUNAN IPH"),"-")</f>
        <v>Penyumbang KENAIKAN IPH</v>
      </c>
    </row>
    <row r="170" spans="1:6" ht="15" customHeight="1" x14ac:dyDescent="0.35">
      <c r="A170" s="8">
        <v>5</v>
      </c>
      <c r="B170" s="9" t="str">
        <f>IFERROR(INDEX('Perhitungan IPH Mingguan 2026'!$B$6:$B$25,MATCH(LARGE('Perhitungan IPH Mingguan 2026'!$EI$6:$EI$25,5),'Perhitungan IPH Mingguan 2026'!$EI$6:$EI$25,0)),"-")</f>
        <v>ikan kembung 01131028</v>
      </c>
      <c r="C170" s="10">
        <f>IFERROR(INDEX('Perhitungan IPH Mingguan 2026'!$C$6:$C$25,MATCH(LARGE('Perhitungan IPH Mingguan 2026'!$EI$6:$EI$25,5),'Perhitungan IPH Mingguan 2026'!$EI$6:$EI$25,0)),"")</f>
        <v>2.0771540916134899E-2</v>
      </c>
      <c r="D170" s="25">
        <f>IFERROR(INDEX('Perhitungan IPH Mingguan 2026'!$BM$6:$BM$25,MATCH(LARGE('Perhitungan IPH Mingguan 2026'!$EI$6:$EI$25,5),'Perhitungan IPH Mingguan 2026'!$EI$6:$EI$25,0)),"")</f>
        <v>0</v>
      </c>
      <c r="E170" s="10">
        <f>IFERROR(INDEX('Perhitungan IPH Mingguan 2026'!$BN$6:$BN$25,MATCH(LARGE('Perhitungan IPH Mingguan 2026'!$EI$6:$EI$25,5),'Perhitungan IPH Mingguan 2026'!$EI$6:$EI$25,0)),"")</f>
        <v>0</v>
      </c>
      <c r="F170" s="9" t="str">
        <f>IF(ISNUMBER(E170),IF(E170&gt;0,"Penyumbang KENAIKAN IPH","Penyumbang PENURUNAN IPH"),"-")</f>
        <v>Penyumbang PENURUNAN IPH</v>
      </c>
    </row>
    <row r="172" spans="1:6" ht="15" customHeight="1" x14ac:dyDescent="0.35">
      <c r="A172" s="2" t="s">
        <v>236</v>
      </c>
      <c r="B172" s="2"/>
      <c r="C172" s="2"/>
      <c r="D172" s="2"/>
      <c r="E172" s="2"/>
      <c r="F172" s="2"/>
    </row>
    <row r="173" spans="1:6" ht="21.75" customHeight="1" x14ac:dyDescent="0.35">
      <c r="A173" s="6" t="s">
        <v>211</v>
      </c>
      <c r="B173" s="6" t="s">
        <v>212</v>
      </c>
      <c r="C173" s="6" t="s">
        <v>139</v>
      </c>
      <c r="D173" s="6" t="s">
        <v>213</v>
      </c>
      <c r="E173" s="6" t="s">
        <v>214</v>
      </c>
      <c r="F173" s="6" t="s">
        <v>215</v>
      </c>
    </row>
    <row r="174" spans="1:6" ht="15" customHeight="1" x14ac:dyDescent="0.35">
      <c r="A174" s="8">
        <v>1</v>
      </c>
      <c r="B174" s="9" t="str">
        <f>IFERROR(INDEX('Perhitungan IPH Mingguan 2026'!$B$6:$B$25,MATCH(LARGE('Perhitungan IPH Mingguan 2026'!$EJ$6:$EJ$25,1),'Perhitungan IPH Mingguan 2026'!$EJ$6:$EJ$25,0)),"-")</f>
        <v>udang lobster 01132004</v>
      </c>
      <c r="C174" s="10">
        <f>IFERROR(INDEX('Perhitungan IPH Mingguan 2026'!$C$6:$C$25,MATCH(LARGE('Perhitungan IPH Mingguan 2026'!$EJ$6:$EJ$25,1),'Perhitungan IPH Mingguan 2026'!$EJ$6:$EJ$25,0)),"")</f>
        <v>3.7010754321023603E-2</v>
      </c>
      <c r="D174" s="25">
        <f>IFERROR(INDEX('Perhitungan IPH Mingguan 2026'!$BP$6:$BP$25,MATCH(LARGE('Perhitungan IPH Mingguan 2026'!$EJ$6:$EJ$25,1),'Perhitungan IPH Mingguan 2026'!$EJ$6:$EJ$25,0)),"")</f>
        <v>0</v>
      </c>
      <c r="E174" s="10">
        <f>IFERROR(INDEX('Perhitungan IPH Mingguan 2026'!$BQ$6:$BQ$25,MATCH(LARGE('Perhitungan IPH Mingguan 2026'!$EJ$6:$EJ$25,1),'Perhitungan IPH Mingguan 2026'!$EJ$6:$EJ$25,0)),"")</f>
        <v>0</v>
      </c>
      <c r="F174" s="9" t="str">
        <f>IF(ISNUMBER(E174),IF(E174&gt;0,"Penyumbang KENAIKAN IPH","Penyumbang PENURUNAN IPH"),"-")</f>
        <v>Penyumbang PENURUNAN IPH</v>
      </c>
    </row>
    <row r="175" spans="1:6" ht="15" customHeight="1" x14ac:dyDescent="0.35">
      <c r="A175" s="8">
        <v>2</v>
      </c>
      <c r="B175" s="9" t="str">
        <f>IFERROR(INDEX('Perhitungan IPH Mingguan 2026'!$B$6:$B$25,MATCH(LARGE('Perhitungan IPH Mingguan 2026'!$EJ$6:$EJ$25,2),'Perhitungan IPH Mingguan 2026'!$EJ$6:$EJ$25,0)),"-")</f>
        <v>cabai rawit 01173013</v>
      </c>
      <c r="C175" s="10">
        <f>IFERROR(INDEX('Perhitungan IPH Mingguan 2026'!$C$6:$C$25,MATCH(LARGE('Perhitungan IPH Mingguan 2026'!$EJ$6:$EJ$25,2),'Perhitungan IPH Mingguan 2026'!$EJ$6:$EJ$25,0)),"")</f>
        <v>1.7701732362870599E-2</v>
      </c>
      <c r="D175" s="25">
        <f>IFERROR(INDEX('Perhitungan IPH Mingguan 2026'!$BP$6:$BP$25,MATCH(LARGE('Perhitungan IPH Mingguan 2026'!$EJ$6:$EJ$25,2),'Perhitungan IPH Mingguan 2026'!$EJ$6:$EJ$25,0)),"")</f>
        <v>36.645962732919251</v>
      </c>
      <c r="E175" s="10">
        <f>IFERROR(INDEX('Perhitungan IPH Mingguan 2026'!$BQ$6:$BQ$25,MATCH(LARGE('Perhitungan IPH Mingguan 2026'!$EJ$6:$EJ$25,2),'Perhitungan IPH Mingguan 2026'!$EJ$6:$EJ$25,0)),"")</f>
        <v>0.64869702447786659</v>
      </c>
      <c r="F175" s="9" t="str">
        <f>IF(ISNUMBER(E175),IF(E175&gt;0,"Penyumbang KENAIKAN IPH","Penyumbang PENURUNAN IPH"),"-")</f>
        <v>Penyumbang KENAIKAN IPH</v>
      </c>
    </row>
    <row r="176" spans="1:6" ht="15" customHeight="1" x14ac:dyDescent="0.35">
      <c r="A176" s="8">
        <v>3</v>
      </c>
      <c r="B176" s="9" t="str">
        <f>IFERROR(INDEX('Perhitungan IPH Mingguan 2026'!$B$6:$B$25,MATCH(LARGE('Perhitungan IPH Mingguan 2026'!$EJ$6:$EJ$25,3),'Perhitungan IPH Mingguan 2026'!$EJ$6:$EJ$25,0)),"-")</f>
        <v>bawang merah 1174006</v>
      </c>
      <c r="C176" s="10">
        <f>IFERROR(INDEX('Perhitungan IPH Mingguan 2026'!$C$6:$C$25,MATCH(LARGE('Perhitungan IPH Mingguan 2026'!$EJ$6:$EJ$25,3),'Perhitungan IPH Mingguan 2026'!$EJ$6:$EJ$25,0)),"")</f>
        <v>1.94434650422287E-2</v>
      </c>
      <c r="D176" s="25">
        <f>IFERROR(INDEX('Perhitungan IPH Mingguan 2026'!$BP$6:$BP$25,MATCH(LARGE('Perhitungan IPH Mingguan 2026'!$EJ$6:$EJ$25,3),'Perhitungan IPH Mingguan 2026'!$EJ$6:$EJ$25,0)),"")</f>
        <v>20.766773162939298</v>
      </c>
      <c r="E176" s="10">
        <f>IFERROR(INDEX('Perhitungan IPH Mingguan 2026'!$BQ$6:$BQ$25,MATCH(LARGE('Perhitungan IPH Mingguan 2026'!$EJ$6:$EJ$25,3),'Perhitungan IPH Mingguan 2026'!$EJ$6:$EJ$25,0)),"")</f>
        <v>0.40377802803350338</v>
      </c>
      <c r="F176" s="9" t="str">
        <f>IF(ISNUMBER(E176),IF(E176&gt;0,"Penyumbang KENAIKAN IPH","Penyumbang PENURUNAN IPH"),"-")</f>
        <v>Penyumbang KENAIKAN IPH</v>
      </c>
    </row>
    <row r="177" spans="1:6" ht="15" customHeight="1" x14ac:dyDescent="0.35">
      <c r="A177" s="8">
        <v>4</v>
      </c>
      <c r="B177" s="9" t="str">
        <f>IFERROR(INDEX('Perhitungan IPH Mingguan 2026'!$B$6:$B$25,MATCH(LARGE('Perhitungan IPH Mingguan 2026'!$EJ$6:$EJ$25,4),'Perhitungan IPH Mingguan 2026'!$EJ$6:$EJ$25,0)),"-")</f>
        <v>daging ayam ras 1124003</v>
      </c>
      <c r="C177" s="10">
        <f>IFERROR(INDEX('Perhitungan IPH Mingguan 2026'!$C$6:$C$25,MATCH(LARGE('Perhitungan IPH Mingguan 2026'!$EJ$6:$EJ$25,4),'Perhitungan IPH Mingguan 2026'!$EJ$6:$EJ$25,0)),"")</f>
        <v>4.7910777785027697E-2</v>
      </c>
      <c r="D177" s="25">
        <f>IFERROR(INDEX('Perhitungan IPH Mingguan 2026'!$BP$6:$BP$25,MATCH(LARGE('Perhitungan IPH Mingguan 2026'!$EJ$6:$EJ$25,4),'Perhitungan IPH Mingguan 2026'!$EJ$6:$EJ$25,0)),"")</f>
        <v>2.4637681159420279</v>
      </c>
      <c r="E177" s="10">
        <f>IFERROR(INDEX('Perhitungan IPH Mingguan 2026'!$BQ$6:$BQ$25,MATCH(LARGE('Perhitungan IPH Mingguan 2026'!$EJ$6:$EJ$25,4),'Perhitungan IPH Mingguan 2026'!$EJ$6:$EJ$25,0)),"")</f>
        <v>0.11804104671673486</v>
      </c>
      <c r="F177" s="9" t="str">
        <f>IF(ISNUMBER(E177),IF(E177&gt;0,"Penyumbang KENAIKAN IPH","Penyumbang PENURUNAN IPH"),"-")</f>
        <v>Penyumbang KENAIKAN IPH</v>
      </c>
    </row>
    <row r="178" spans="1:6" ht="15" customHeight="1" x14ac:dyDescent="0.35">
      <c r="A178" s="8">
        <v>5</v>
      </c>
      <c r="B178" s="9" t="str">
        <f>IFERROR(INDEX('Perhitungan IPH Mingguan 2026'!$B$6:$B$25,MATCH(LARGE('Perhitungan IPH Mingguan 2026'!$EJ$6:$EJ$25,5),'Perhitungan IPH Mingguan 2026'!$EJ$6:$EJ$25,0)),"-")</f>
        <v>cabai merah 01173012</v>
      </c>
      <c r="C178" s="10">
        <f>IFERROR(INDEX('Perhitungan IPH Mingguan 2026'!$C$6:$C$25,MATCH(LARGE('Perhitungan IPH Mingguan 2026'!$EJ$6:$EJ$25,5),'Perhitungan IPH Mingguan 2026'!$EJ$6:$EJ$25,0)),"")</f>
        <v>1.10208839376634E-2</v>
      </c>
      <c r="D178" s="25">
        <f>IFERROR(INDEX('Perhitungan IPH Mingguan 2026'!$BP$6:$BP$25,MATCH(LARGE('Perhitungan IPH Mingguan 2026'!$EJ$6:$EJ$25,5),'Perhitungan IPH Mingguan 2026'!$EJ$6:$EJ$25,0)),"")</f>
        <v>30.16323633782822</v>
      </c>
      <c r="E178" s="10">
        <f>IFERROR(INDEX('Perhitungan IPH Mingguan 2026'!$BQ$6:$BQ$25,MATCH(LARGE('Perhitungan IPH Mingguan 2026'!$EJ$6:$EJ$25,5),'Perhitungan IPH Mingguan 2026'!$EJ$6:$EJ$25,0)),"")</f>
        <v>0.33242552686351606</v>
      </c>
      <c r="F178" s="9" t="str">
        <f>IF(ISNUMBER(E178),IF(E178&gt;0,"Penyumbang KENAIKAN IPH","Penyumbang PENURUNAN IPH"),"-")</f>
        <v>Penyumbang KENAIKAN IPH</v>
      </c>
    </row>
    <row r="180" spans="1:6" ht="15" customHeight="1" x14ac:dyDescent="0.35">
      <c r="A180" s="2" t="s">
        <v>237</v>
      </c>
      <c r="B180" s="2"/>
      <c r="C180" s="2"/>
      <c r="D180" s="2"/>
      <c r="E180" s="2"/>
      <c r="F180" s="2"/>
    </row>
    <row r="181" spans="1:6" ht="21.75" customHeight="1" x14ac:dyDescent="0.35">
      <c r="A181" s="6" t="s">
        <v>211</v>
      </c>
      <c r="B181" s="6" t="s">
        <v>212</v>
      </c>
      <c r="C181" s="6" t="s">
        <v>139</v>
      </c>
      <c r="D181" s="6" t="s">
        <v>213</v>
      </c>
      <c r="E181" s="6" t="s">
        <v>214</v>
      </c>
      <c r="F181" s="6" t="s">
        <v>215</v>
      </c>
    </row>
    <row r="182" spans="1:6" ht="15" customHeight="1" x14ac:dyDescent="0.35">
      <c r="A182" s="8">
        <v>1</v>
      </c>
      <c r="B182" s="9" t="str">
        <f>IFERROR(INDEX('Perhitungan IPH Mingguan 2026'!$B$6:$B$25,MATCH(LARGE('Perhitungan IPH Mingguan 2026'!$EK$6:$EK$25,1),'Perhitungan IPH Mingguan 2026'!$EK$6:$EK$25,0)),"-")</f>
        <v>cabai rawit 01173013</v>
      </c>
      <c r="C182" s="10">
        <f>IFERROR(INDEX('Perhitungan IPH Mingguan 2026'!$C$6:$C$25,MATCH(LARGE('Perhitungan IPH Mingguan 2026'!$EK$6:$EK$25,1),'Perhitungan IPH Mingguan 2026'!$EK$6:$EK$25,0)),"")</f>
        <v>1.7701732362870599E-2</v>
      </c>
      <c r="D182" s="25">
        <f>IFERROR(INDEX('Perhitungan IPH Mingguan 2026'!$BS$6:$BS$25,MATCH(LARGE('Perhitungan IPH Mingguan 2026'!$EK$6:$EK$25,1),'Perhitungan IPH Mingguan 2026'!$EK$6:$EK$25,0)),"")</f>
        <v>44.596273291925471</v>
      </c>
      <c r="E182" s="10">
        <f>IFERROR(INDEX('Perhitungan IPH Mingguan 2026'!$BT$6:$BT$25,MATCH(LARGE('Perhitungan IPH Mingguan 2026'!$EK$6:$EK$25,1),'Perhitungan IPH Mingguan 2026'!$EK$6:$EK$25,0)),"")</f>
        <v>0.78943129419509883</v>
      </c>
      <c r="F182" s="9" t="str">
        <f>IF(ISNUMBER(E182),IF(E182&gt;0,"Penyumbang KENAIKAN IPH","Penyumbang PENURUNAN IPH"),"-")</f>
        <v>Penyumbang KENAIKAN IPH</v>
      </c>
    </row>
    <row r="183" spans="1:6" ht="15" customHeight="1" x14ac:dyDescent="0.35">
      <c r="A183" s="8">
        <v>2</v>
      </c>
      <c r="B183" s="9" t="str">
        <f>IFERROR(INDEX('Perhitungan IPH Mingguan 2026'!$B$6:$B$25,MATCH(LARGE('Perhitungan IPH Mingguan 2026'!$EK$6:$EK$25,2),'Perhitungan IPH Mingguan 2026'!$EK$6:$EK$25,0)),"-")</f>
        <v>daging ayam ras 1124003</v>
      </c>
      <c r="C183" s="10">
        <f>IFERROR(INDEX('Perhitungan IPH Mingguan 2026'!$C$6:$C$25,MATCH(LARGE('Perhitungan IPH Mingguan 2026'!$EK$6:$EK$25,2),'Perhitungan IPH Mingguan 2026'!$EK$6:$EK$25,0)),"")</f>
        <v>4.7910777785027697E-2</v>
      </c>
      <c r="D183" s="25">
        <f>IFERROR(INDEX('Perhitungan IPH Mingguan 2026'!$BS$6:$BS$25,MATCH(LARGE('Perhitungan IPH Mingguan 2026'!$EK$6:$EK$25,2),'Perhitungan IPH Mingguan 2026'!$EK$6:$EK$25,0)),"")</f>
        <v>-2.6086956521739069</v>
      </c>
      <c r="E183" s="10">
        <f>IFERROR(INDEX('Perhitungan IPH Mingguan 2026'!$BT$6:$BT$25,MATCH(LARGE('Perhitungan IPH Mingguan 2026'!$EK$6:$EK$25,2),'Perhitungan IPH Mingguan 2026'!$EK$6:$EK$25,0)),"")</f>
        <v>-0.12498463770007195</v>
      </c>
      <c r="F183" s="9" t="str">
        <f>IF(ISNUMBER(E183),IF(E183&gt;0,"Penyumbang KENAIKAN IPH","Penyumbang PENURUNAN IPH"),"-")</f>
        <v>Penyumbang PENURUNAN IPH</v>
      </c>
    </row>
    <row r="184" spans="1:6" ht="15" customHeight="1" x14ac:dyDescent="0.35">
      <c r="A184" s="8">
        <v>3</v>
      </c>
      <c r="B184" s="9" t="str">
        <f>IFERROR(INDEX('Perhitungan IPH Mingguan 2026'!$B$6:$B$25,MATCH(LARGE('Perhitungan IPH Mingguan 2026'!$EK$6:$EK$25,3),'Perhitungan IPH Mingguan 2026'!$EK$6:$EK$25,0)),"-")</f>
        <v>daging sapi 01121001</v>
      </c>
      <c r="C184" s="10">
        <f>IFERROR(INDEX('Perhitungan IPH Mingguan 2026'!$C$6:$C$25,MATCH(LARGE('Perhitungan IPH Mingguan 2026'!$EK$6:$EK$25,3),'Perhitungan IPH Mingguan 2026'!$EK$6:$EK$25,0)),"")</f>
        <v>5.98704213474298E-2</v>
      </c>
      <c r="D184" s="25">
        <f>IFERROR(INDEX('Perhitungan IPH Mingguan 2026'!$BS$6:$BS$25,MATCH(LARGE('Perhitungan IPH Mingguan 2026'!$EK$6:$EK$25,3),'Perhitungan IPH Mingguan 2026'!$EK$6:$EK$25,0)),"")</f>
        <v>0.3606853020739329</v>
      </c>
      <c r="E184" s="10">
        <f>IFERROR(INDEX('Perhitungan IPH Mingguan 2026'!$BT$6:$BT$25,MATCH(LARGE('Perhitungan IPH Mingguan 2026'!$EK$6:$EK$25,3),'Perhitungan IPH Mingguan 2026'!$EK$6:$EK$25,0)),"")</f>
        <v>2.1594381008991359E-2</v>
      </c>
      <c r="F184" s="9" t="str">
        <f>IF(ISNUMBER(E184),IF(E184&gt;0,"Penyumbang KENAIKAN IPH","Penyumbang PENURUNAN IPH"),"-")</f>
        <v>Penyumbang KENAIKAN IPH</v>
      </c>
    </row>
    <row r="185" spans="1:6" ht="15" customHeight="1" x14ac:dyDescent="0.35">
      <c r="A185" s="8">
        <v>4</v>
      </c>
      <c r="B185" s="9" t="str">
        <f>IFERROR(INDEX('Perhitungan IPH Mingguan 2026'!$B$6:$B$25,MATCH(LARGE('Perhitungan IPH Mingguan 2026'!$EK$6:$EK$25,4),'Perhitungan IPH Mingguan 2026'!$EK$6:$EK$25,0)),"-")</f>
        <v>udang lobster 01132004</v>
      </c>
      <c r="C185" s="10">
        <f>IFERROR(INDEX('Perhitungan IPH Mingguan 2026'!$C$6:$C$25,MATCH(LARGE('Perhitungan IPH Mingguan 2026'!$EK$6:$EK$25,4),'Perhitungan IPH Mingguan 2026'!$EK$6:$EK$25,0)),"")</f>
        <v>3.7010754321023603E-2</v>
      </c>
      <c r="D185" s="25">
        <f>IFERROR(INDEX('Perhitungan IPH Mingguan 2026'!$BS$6:$BS$25,MATCH(LARGE('Perhitungan IPH Mingguan 2026'!$EK$6:$EK$25,4),'Perhitungan IPH Mingguan 2026'!$EK$6:$EK$25,0)),"")</f>
        <v>0</v>
      </c>
      <c r="E185" s="10">
        <f>IFERROR(INDEX('Perhitungan IPH Mingguan 2026'!$BT$6:$BT$25,MATCH(LARGE('Perhitungan IPH Mingguan 2026'!$EK$6:$EK$25,4),'Perhitungan IPH Mingguan 2026'!$EK$6:$EK$25,0)),"")</f>
        <v>0</v>
      </c>
      <c r="F185" s="9" t="str">
        <f>IF(ISNUMBER(E185),IF(E185&gt;0,"Penyumbang KENAIKAN IPH","Penyumbang PENURUNAN IPH"),"-")</f>
        <v>Penyumbang PENURUNAN IPH</v>
      </c>
    </row>
    <row r="186" spans="1:6" ht="15" customHeight="1" x14ac:dyDescent="0.35">
      <c r="A186" s="8">
        <v>5</v>
      </c>
      <c r="B186" s="9" t="str">
        <f>IFERROR(INDEX('Perhitungan IPH Mingguan 2026'!$B$6:$B$25,MATCH(LARGE('Perhitungan IPH Mingguan 2026'!$EK$6:$EK$25,5),'Perhitungan IPH Mingguan 2026'!$EK$6:$EK$25,0)),"-")</f>
        <v>ikan kembung 01131028</v>
      </c>
      <c r="C186" s="10">
        <f>IFERROR(INDEX('Perhitungan IPH Mingguan 2026'!$C$6:$C$25,MATCH(LARGE('Perhitungan IPH Mingguan 2026'!$EK$6:$EK$25,5),'Perhitungan IPH Mingguan 2026'!$EK$6:$EK$25,0)),"")</f>
        <v>2.0771540916134899E-2</v>
      </c>
      <c r="D186" s="25">
        <f>IFERROR(INDEX('Perhitungan IPH Mingguan 2026'!$BS$6:$BS$25,MATCH(LARGE('Perhitungan IPH Mingguan 2026'!$EK$6:$EK$25,5),'Perhitungan IPH Mingguan 2026'!$EK$6:$EK$25,0)),"")</f>
        <v>0</v>
      </c>
      <c r="E186" s="10">
        <f>IFERROR(INDEX('Perhitungan IPH Mingguan 2026'!$BT$6:$BT$25,MATCH(LARGE('Perhitungan IPH Mingguan 2026'!$EK$6:$EK$25,5),'Perhitungan IPH Mingguan 2026'!$EK$6:$EK$25,0)),"")</f>
        <v>0</v>
      </c>
      <c r="F186" s="9" t="str">
        <f>IF(ISNUMBER(E186),IF(E186&gt;0,"Penyumbang KENAIKAN IPH","Penyumbang PENURUNAN IPH"),"-")</f>
        <v>Penyumbang PENURUNAN IPH</v>
      </c>
    </row>
    <row r="188" spans="1:6" ht="15" customHeight="1" x14ac:dyDescent="0.35">
      <c r="A188" s="2" t="s">
        <v>238</v>
      </c>
      <c r="B188" s="2"/>
      <c r="C188" s="2"/>
      <c r="D188" s="2"/>
      <c r="E188" s="2"/>
      <c r="F188" s="2"/>
    </row>
    <row r="189" spans="1:6" ht="21.75" customHeight="1" x14ac:dyDescent="0.35">
      <c r="A189" s="6" t="s">
        <v>211</v>
      </c>
      <c r="B189" s="6" t="s">
        <v>212</v>
      </c>
      <c r="C189" s="6" t="s">
        <v>139</v>
      </c>
      <c r="D189" s="6" t="s">
        <v>213</v>
      </c>
      <c r="E189" s="6" t="s">
        <v>214</v>
      </c>
      <c r="F189" s="6" t="s">
        <v>215</v>
      </c>
    </row>
    <row r="190" spans="1:6" ht="15" customHeight="1" x14ac:dyDescent="0.35">
      <c r="A190" s="8">
        <v>1</v>
      </c>
      <c r="B190" s="9" t="str">
        <f>IFERROR(INDEX('Perhitungan IPH Mingguan 2026'!$B$6:$B$25,MATCH(LARGE('Perhitungan IPH Mingguan 2026'!$EL$6:$EL$25,1),'Perhitungan IPH Mingguan 2026'!$EL$6:$EL$25,0)),"-")</f>
        <v>cabai rawit 01173013</v>
      </c>
      <c r="C190" s="10">
        <f>IFERROR(INDEX('Perhitungan IPH Mingguan 2026'!$C$6:$C$25,MATCH(LARGE('Perhitungan IPH Mingguan 2026'!$EL$6:$EL$25,1),'Perhitungan IPH Mingguan 2026'!$EL$6:$EL$25,0)),"")</f>
        <v>1.7701732362870599E-2</v>
      </c>
      <c r="D190" s="25">
        <f>IFERROR(INDEX('Perhitungan IPH Mingguan 2026'!$BV$6:$BV$25,MATCH(LARGE('Perhitungan IPH Mingguan 2026'!$EL$6:$EL$25,1),'Perhitungan IPH Mingguan 2026'!$EL$6:$EL$25,0)),"")</f>
        <v>34.782608695652172</v>
      </c>
      <c r="E190" s="10">
        <f>IFERROR(INDEX('Perhitungan IPH Mingguan 2026'!$BW$6:$BW$25,MATCH(LARGE('Perhitungan IPH Mingguan 2026'!$EL$6:$EL$25,1),'Perhitungan IPH Mingguan 2026'!$EL$6:$EL$25,0)),"")</f>
        <v>0.61571243001289033</v>
      </c>
      <c r="F190" s="9" t="str">
        <f>IF(ISNUMBER(E190),IF(E190&gt;0,"Penyumbang KENAIKAN IPH","Penyumbang PENURUNAN IPH"),"-")</f>
        <v>Penyumbang KENAIKAN IPH</v>
      </c>
    </row>
    <row r="191" spans="1:6" ht="15" customHeight="1" x14ac:dyDescent="0.35">
      <c r="A191" s="8">
        <v>2</v>
      </c>
      <c r="B191" s="9" t="str">
        <f>IFERROR(INDEX('Perhitungan IPH Mingguan 2026'!$B$6:$B$25,MATCH(LARGE('Perhitungan IPH Mingguan 2026'!$EL$6:$EL$25,2),'Perhitungan IPH Mingguan 2026'!$EL$6:$EL$25,0)),"-")</f>
        <v>daging ayam ras 1124003</v>
      </c>
      <c r="C191" s="10">
        <f>IFERROR(INDEX('Perhitungan IPH Mingguan 2026'!$C$6:$C$25,MATCH(LARGE('Perhitungan IPH Mingguan 2026'!$EL$6:$EL$25,2),'Perhitungan IPH Mingguan 2026'!$EL$6:$EL$25,0)),"")</f>
        <v>4.7910777785027697E-2</v>
      </c>
      <c r="D191" s="25">
        <f>IFERROR(INDEX('Perhitungan IPH Mingguan 2026'!$BV$6:$BV$25,MATCH(LARGE('Perhitungan IPH Mingguan 2026'!$EL$6:$EL$25,2),'Perhitungan IPH Mingguan 2026'!$EL$6:$EL$25,0)),"")</f>
        <v>-2.6086956521739069</v>
      </c>
      <c r="E191" s="10">
        <f>IFERROR(INDEX('Perhitungan IPH Mingguan 2026'!$BW$6:$BW$25,MATCH(LARGE('Perhitungan IPH Mingguan 2026'!$EL$6:$EL$25,2),'Perhitungan IPH Mingguan 2026'!$EL$6:$EL$25,0)),"")</f>
        <v>-0.12498463770007195</v>
      </c>
      <c r="F191" s="9" t="str">
        <f>IF(ISNUMBER(E191),IF(E191&gt;0,"Penyumbang KENAIKAN IPH","Penyumbang PENURUNAN IPH"),"-")</f>
        <v>Penyumbang PENURUNAN IPH</v>
      </c>
    </row>
    <row r="192" spans="1:6" ht="15" customHeight="1" x14ac:dyDescent="0.35">
      <c r="A192" s="8">
        <v>3</v>
      </c>
      <c r="B192" s="9" t="str">
        <f>IFERROR(INDEX('Perhitungan IPH Mingguan 2026'!$B$6:$B$25,MATCH(LARGE('Perhitungan IPH Mingguan 2026'!$EL$6:$EL$25,3),'Perhitungan IPH Mingguan 2026'!$EL$6:$EL$25,0)),"-")</f>
        <v>daging sapi 01121001</v>
      </c>
      <c r="C192" s="10">
        <f>IFERROR(INDEX('Perhitungan IPH Mingguan 2026'!$C$6:$C$25,MATCH(LARGE('Perhitungan IPH Mingguan 2026'!$EL$6:$EL$25,3),'Perhitungan IPH Mingguan 2026'!$EL$6:$EL$25,0)),"")</f>
        <v>5.98704213474298E-2</v>
      </c>
      <c r="D192" s="25">
        <f>IFERROR(INDEX('Perhitungan IPH Mingguan 2026'!$BV$6:$BV$25,MATCH(LARGE('Perhitungan IPH Mingguan 2026'!$EL$6:$EL$25,3),'Perhitungan IPH Mingguan 2026'!$EL$6:$EL$25,0)),"")</f>
        <v>0.3606853020739329</v>
      </c>
      <c r="E192" s="10">
        <f>IFERROR(INDEX('Perhitungan IPH Mingguan 2026'!$BW$6:$BW$25,MATCH(LARGE('Perhitungan IPH Mingguan 2026'!$EL$6:$EL$25,3),'Perhitungan IPH Mingguan 2026'!$EL$6:$EL$25,0)),"")</f>
        <v>2.1594381008991359E-2</v>
      </c>
      <c r="F192" s="9" t="str">
        <f>IF(ISNUMBER(E192),IF(E192&gt;0,"Penyumbang KENAIKAN IPH","Penyumbang PENURUNAN IPH"),"-")</f>
        <v>Penyumbang KENAIKAN IPH</v>
      </c>
    </row>
    <row r="193" spans="1:6" ht="15" customHeight="1" x14ac:dyDescent="0.35">
      <c r="A193" s="8">
        <v>4</v>
      </c>
      <c r="B193" s="9" t="str">
        <f>IFERROR(INDEX('Perhitungan IPH Mingguan 2026'!$B$6:$B$25,MATCH(LARGE('Perhitungan IPH Mingguan 2026'!$EL$6:$EL$25,4),'Perhitungan IPH Mingguan 2026'!$EL$6:$EL$25,0)),"-")</f>
        <v>udang lobster 01132004</v>
      </c>
      <c r="C193" s="10">
        <f>IFERROR(INDEX('Perhitungan IPH Mingguan 2026'!$C$6:$C$25,MATCH(LARGE('Perhitungan IPH Mingguan 2026'!$EL$6:$EL$25,4),'Perhitungan IPH Mingguan 2026'!$EL$6:$EL$25,0)),"")</f>
        <v>3.7010754321023603E-2</v>
      </c>
      <c r="D193" s="25">
        <f>IFERROR(INDEX('Perhitungan IPH Mingguan 2026'!$BV$6:$BV$25,MATCH(LARGE('Perhitungan IPH Mingguan 2026'!$EL$6:$EL$25,4),'Perhitungan IPH Mingguan 2026'!$EL$6:$EL$25,0)),"")</f>
        <v>0</v>
      </c>
      <c r="E193" s="10">
        <f>IFERROR(INDEX('Perhitungan IPH Mingguan 2026'!$BW$6:$BW$25,MATCH(LARGE('Perhitungan IPH Mingguan 2026'!$EL$6:$EL$25,4),'Perhitungan IPH Mingguan 2026'!$EL$6:$EL$25,0)),"")</f>
        <v>0</v>
      </c>
      <c r="F193" s="9" t="str">
        <f>IF(ISNUMBER(E193),IF(E193&gt;0,"Penyumbang KENAIKAN IPH","Penyumbang PENURUNAN IPH"),"-")</f>
        <v>Penyumbang PENURUNAN IPH</v>
      </c>
    </row>
    <row r="194" spans="1:6" ht="15" customHeight="1" x14ac:dyDescent="0.35">
      <c r="A194" s="8">
        <v>5</v>
      </c>
      <c r="B194" s="9" t="str">
        <f>IFERROR(INDEX('Perhitungan IPH Mingguan 2026'!$B$6:$B$25,MATCH(LARGE('Perhitungan IPH Mingguan 2026'!$EL$6:$EL$25,5),'Perhitungan IPH Mingguan 2026'!$EL$6:$EL$25,0)),"-")</f>
        <v>ikan kembung 01131028</v>
      </c>
      <c r="C194" s="10">
        <f>IFERROR(INDEX('Perhitungan IPH Mingguan 2026'!$C$6:$C$25,MATCH(LARGE('Perhitungan IPH Mingguan 2026'!$EL$6:$EL$25,5),'Perhitungan IPH Mingguan 2026'!$EL$6:$EL$25,0)),"")</f>
        <v>2.0771540916134899E-2</v>
      </c>
      <c r="D194" s="25">
        <f>IFERROR(INDEX('Perhitungan IPH Mingguan 2026'!$BV$6:$BV$25,MATCH(LARGE('Perhitungan IPH Mingguan 2026'!$EL$6:$EL$25,5),'Perhitungan IPH Mingguan 2026'!$EL$6:$EL$25,0)),"")</f>
        <v>0</v>
      </c>
      <c r="E194" s="10">
        <f>IFERROR(INDEX('Perhitungan IPH Mingguan 2026'!$BW$6:$BW$25,MATCH(LARGE('Perhitungan IPH Mingguan 2026'!$EL$6:$EL$25,5),'Perhitungan IPH Mingguan 2026'!$EL$6:$EL$25,0)),"")</f>
        <v>0</v>
      </c>
      <c r="F194" s="9" t="str">
        <f>IF(ISNUMBER(E194),IF(E194&gt;0,"Penyumbang KENAIKAN IPH","Penyumbang PENURUNAN IPH"),"-")</f>
        <v>Penyumbang PENURUNAN IPH</v>
      </c>
    </row>
    <row r="196" spans="1:6" ht="15" customHeight="1" x14ac:dyDescent="0.35">
      <c r="A196" s="2" t="s">
        <v>239</v>
      </c>
      <c r="B196" s="2"/>
      <c r="C196" s="2"/>
      <c r="D196" s="2"/>
      <c r="E196" s="2"/>
      <c r="F196" s="2"/>
    </row>
    <row r="197" spans="1:6" ht="21.75" customHeight="1" x14ac:dyDescent="0.35">
      <c r="A197" s="6" t="s">
        <v>211</v>
      </c>
      <c r="B197" s="6" t="s">
        <v>212</v>
      </c>
      <c r="C197" s="6" t="s">
        <v>139</v>
      </c>
      <c r="D197" s="6" t="s">
        <v>213</v>
      </c>
      <c r="E197" s="6" t="s">
        <v>214</v>
      </c>
      <c r="F197" s="6" t="s">
        <v>215</v>
      </c>
    </row>
    <row r="198" spans="1:6" ht="15" customHeight="1" x14ac:dyDescent="0.35">
      <c r="A198" s="8">
        <v>1</v>
      </c>
      <c r="B198" s="9" t="str">
        <f>IFERROR(INDEX('Perhitungan IPH Mingguan 2026'!$B$6:$B$25,MATCH(LARGE('Perhitungan IPH Mingguan 2026'!$EM$6:$EM$25,1),'Perhitungan IPH Mingguan 2026'!$EM$6:$EM$25,0)),"-")</f>
        <v>cabai rawit 01173013</v>
      </c>
      <c r="C198" s="10">
        <f>IFERROR(INDEX('Perhitungan IPH Mingguan 2026'!$C$6:$C$25,MATCH(LARGE('Perhitungan IPH Mingguan 2026'!$EM$6:$EM$25,1),'Perhitungan IPH Mingguan 2026'!$EM$6:$EM$25,0)),"")</f>
        <v>1.7701732362870599E-2</v>
      </c>
      <c r="D198" s="25">
        <f>IFERROR(INDEX('Perhitungan IPH Mingguan 2026'!$BY$6:$BY$25,MATCH(LARGE('Perhitungan IPH Mingguan 2026'!$EM$6:$EM$25,1),'Perhitungan IPH Mingguan 2026'!$EM$6:$EM$25,0)),"")</f>
        <v>-11.304347826086957</v>
      </c>
      <c r="E198" s="10">
        <f>IFERROR(INDEX('Perhitungan IPH Mingguan 2026'!$BZ$6:$BZ$25,MATCH(LARGE('Perhitungan IPH Mingguan 2026'!$EM$6:$EM$25,1),'Perhitungan IPH Mingguan 2026'!$EM$6:$EM$25,0)),"")</f>
        <v>-0.20010653975418941</v>
      </c>
      <c r="F198" s="9" t="str">
        <f>IF(ISNUMBER(E198),IF(E198&gt;0,"Penyumbang KENAIKAN IPH","Penyumbang PENURUNAN IPH"),"-")</f>
        <v>Penyumbang PENURUNAN IPH</v>
      </c>
    </row>
    <row r="199" spans="1:6" ht="15" customHeight="1" x14ac:dyDescent="0.35">
      <c r="A199" s="8">
        <v>2</v>
      </c>
      <c r="B199" s="9" t="str">
        <f>IFERROR(INDEX('Perhitungan IPH Mingguan 2026'!$B$6:$B$25,MATCH(LARGE('Perhitungan IPH Mingguan 2026'!$EM$6:$EM$25,2),'Perhitungan IPH Mingguan 2026'!$EM$6:$EM$25,0)),"-")</f>
        <v>daging ayam ras 1124003</v>
      </c>
      <c r="C199" s="10">
        <f>IFERROR(INDEX('Perhitungan IPH Mingguan 2026'!$C$6:$C$25,MATCH(LARGE('Perhitungan IPH Mingguan 2026'!$EM$6:$EM$25,2),'Perhitungan IPH Mingguan 2026'!$EM$6:$EM$25,0)),"")</f>
        <v>4.7910777785027697E-2</v>
      </c>
      <c r="D199" s="25">
        <f>IFERROR(INDEX('Perhitungan IPH Mingguan 2026'!$BY$6:$BY$25,MATCH(LARGE('Perhitungan IPH Mingguan 2026'!$EM$6:$EM$25,2),'Perhitungan IPH Mingguan 2026'!$EM$6:$EM$25,0)),"")</f>
        <v>-3.6053130929791273</v>
      </c>
      <c r="E199" s="10">
        <f>IFERROR(INDEX('Perhitungan IPH Mingguan 2026'!$BZ$6:$BZ$25,MATCH(LARGE('Perhitungan IPH Mingguan 2026'!$EM$6:$EM$25,2),'Perhitungan IPH Mingguan 2026'!$EM$6:$EM$25,0)),"")</f>
        <v>-0.17273335444317386</v>
      </c>
      <c r="F199" s="9" t="str">
        <f>IF(ISNUMBER(E199),IF(E199&gt;0,"Penyumbang KENAIKAN IPH","Penyumbang PENURUNAN IPH"),"-")</f>
        <v>Penyumbang PENURUNAN IPH</v>
      </c>
    </row>
    <row r="200" spans="1:6" ht="15" customHeight="1" x14ac:dyDescent="0.35">
      <c r="A200" s="8">
        <v>3</v>
      </c>
      <c r="B200" s="9" t="str">
        <f>IFERROR(INDEX('Perhitungan IPH Mingguan 2026'!$B$6:$B$25,MATCH(LARGE('Perhitungan IPH Mingguan 2026'!$EM$6:$EM$25,3),'Perhitungan IPH Mingguan 2026'!$EM$6:$EM$25,0)),"-")</f>
        <v>daging sapi 01121001</v>
      </c>
      <c r="C200" s="10">
        <f>IFERROR(INDEX('Perhitungan IPH Mingguan 2026'!$C$6:$C$25,MATCH(LARGE('Perhitungan IPH Mingguan 2026'!$EM$6:$EM$25,3),'Perhitungan IPH Mingguan 2026'!$EM$6:$EM$25,0)),"")</f>
        <v>5.98704213474298E-2</v>
      </c>
      <c r="D200" s="25">
        <f>IFERROR(INDEX('Perhitungan IPH Mingguan 2026'!$BY$6:$BY$25,MATCH(LARGE('Perhitungan IPH Mingguan 2026'!$EM$6:$EM$25,3),'Perhitungan IPH Mingguan 2026'!$EM$6:$EM$25,0)),"")</f>
        <v>0</v>
      </c>
      <c r="E200" s="10">
        <f>IFERROR(INDEX('Perhitungan IPH Mingguan 2026'!$BZ$6:$BZ$25,MATCH(LARGE('Perhitungan IPH Mingguan 2026'!$EM$6:$EM$25,3),'Perhitungan IPH Mingguan 2026'!$EM$6:$EM$25,0)),"")</f>
        <v>0</v>
      </c>
      <c r="F200" s="9" t="str">
        <f>IF(ISNUMBER(E200),IF(E200&gt;0,"Penyumbang KENAIKAN IPH","Penyumbang PENURUNAN IPH"),"-")</f>
        <v>Penyumbang PENURUNAN IPH</v>
      </c>
    </row>
    <row r="201" spans="1:6" ht="15" customHeight="1" x14ac:dyDescent="0.35">
      <c r="A201" s="8">
        <v>4</v>
      </c>
      <c r="B201" s="9" t="str">
        <f>IFERROR(INDEX('Perhitungan IPH Mingguan 2026'!$B$6:$B$25,MATCH(LARGE('Perhitungan IPH Mingguan 2026'!$EM$6:$EM$25,4),'Perhitungan IPH Mingguan 2026'!$EM$6:$EM$25,0)),"-")</f>
        <v>ikan kembung 01131028</v>
      </c>
      <c r="C201" s="10">
        <f>IFERROR(INDEX('Perhitungan IPH Mingguan 2026'!$C$6:$C$25,MATCH(LARGE('Perhitungan IPH Mingguan 2026'!$EM$6:$EM$25,4),'Perhitungan IPH Mingguan 2026'!$EM$6:$EM$25,0)),"")</f>
        <v>2.0771540916134899E-2</v>
      </c>
      <c r="D201" s="25">
        <f>IFERROR(INDEX('Perhitungan IPH Mingguan 2026'!$BY$6:$BY$25,MATCH(LARGE('Perhitungan IPH Mingguan 2026'!$EM$6:$EM$25,4),'Perhitungan IPH Mingguan 2026'!$EM$6:$EM$25,0)),"")</f>
        <v>0</v>
      </c>
      <c r="E201" s="10">
        <f>IFERROR(INDEX('Perhitungan IPH Mingguan 2026'!$BZ$6:$BZ$25,MATCH(LARGE('Perhitungan IPH Mingguan 2026'!$EM$6:$EM$25,4),'Perhitungan IPH Mingguan 2026'!$EM$6:$EM$25,0)),"")</f>
        <v>0</v>
      </c>
      <c r="F201" s="9" t="str">
        <f>IF(ISNUMBER(E201),IF(E201&gt;0,"Penyumbang KENAIKAN IPH","Penyumbang PENURUNAN IPH"),"-")</f>
        <v>Penyumbang PENURUNAN IPH</v>
      </c>
    </row>
    <row r="202" spans="1:6" ht="15" customHeight="1" x14ac:dyDescent="0.35">
      <c r="A202" s="8">
        <v>5</v>
      </c>
      <c r="B202" s="9" t="str">
        <f>IFERROR(INDEX('Perhitungan IPH Mingguan 2026'!$B$6:$B$25,MATCH(LARGE('Perhitungan IPH Mingguan 2026'!$EM$6:$EM$25,5),'Perhitungan IPH Mingguan 2026'!$EM$6:$EM$25,0)),"-")</f>
        <v>tempe 01194013</v>
      </c>
      <c r="C202" s="10">
        <f>IFERROR(INDEX('Perhitungan IPH Mingguan 2026'!$C$6:$C$25,MATCH(LARGE('Perhitungan IPH Mingguan 2026'!$EM$6:$EM$25,5),'Perhitungan IPH Mingguan 2026'!$EM$6:$EM$25,0)),"")</f>
        <v>2.0282595222329398E-2</v>
      </c>
      <c r="D202" s="25">
        <f>IFERROR(INDEX('Perhitungan IPH Mingguan 2026'!$BY$6:$BY$25,MATCH(LARGE('Perhitungan IPH Mingguan 2026'!$EM$6:$EM$25,5),'Perhitungan IPH Mingguan 2026'!$EM$6:$EM$25,0)),"")</f>
        <v>0</v>
      </c>
      <c r="E202" s="10">
        <f>IFERROR(INDEX('Perhitungan IPH Mingguan 2026'!$BZ$6:$BZ$25,MATCH(LARGE('Perhitungan IPH Mingguan 2026'!$EM$6:$EM$25,5),'Perhitungan IPH Mingguan 2026'!$EM$6:$EM$25,0)),"")</f>
        <v>0</v>
      </c>
      <c r="F202" s="9" t="str">
        <f>IF(ISNUMBER(E202),IF(E202&gt;0,"Penyumbang KENAIKAN IPH","Penyumbang PENURUNAN IPH"),"-")</f>
        <v>Penyumbang PENURUNAN IPH</v>
      </c>
    </row>
    <row r="204" spans="1:6" ht="15" customHeight="1" x14ac:dyDescent="0.35">
      <c r="A204" s="2" t="s">
        <v>240</v>
      </c>
      <c r="B204" s="2"/>
      <c r="C204" s="2"/>
      <c r="D204" s="2"/>
      <c r="E204" s="2"/>
      <c r="F204" s="2"/>
    </row>
    <row r="205" spans="1:6" ht="21.75" customHeight="1" x14ac:dyDescent="0.35">
      <c r="A205" s="6" t="s">
        <v>211</v>
      </c>
      <c r="B205" s="6" t="s">
        <v>212</v>
      </c>
      <c r="C205" s="6" t="s">
        <v>139</v>
      </c>
      <c r="D205" s="6" t="s">
        <v>213</v>
      </c>
      <c r="E205" s="6" t="s">
        <v>214</v>
      </c>
      <c r="F205" s="6" t="s">
        <v>215</v>
      </c>
    </row>
    <row r="206" spans="1:6" ht="15" customHeight="1" x14ac:dyDescent="0.35">
      <c r="A206" s="8">
        <v>1</v>
      </c>
      <c r="B206" s="9" t="str">
        <f>IFERROR(INDEX('Perhitungan IPH Mingguan 2026'!$B$6:$B$25,MATCH(LARGE('Perhitungan IPH Mingguan 2026'!$EN$6:$EN$25,1),'Perhitungan IPH Mingguan 2026'!$EN$6:$EN$25,0)),"-")</f>
        <v>cabai rawit 01173013</v>
      </c>
      <c r="C206" s="10">
        <f>IFERROR(INDEX('Perhitungan IPH Mingguan 2026'!$C$6:$C$25,MATCH(LARGE('Perhitungan IPH Mingguan 2026'!$EN$6:$EN$25,1),'Perhitungan IPH Mingguan 2026'!$EN$6:$EN$25,0)),"")</f>
        <v>1.7701732362870599E-2</v>
      </c>
      <c r="D206" s="25">
        <f>IFERROR(INDEX('Perhitungan IPH Mingguan 2026'!$CB$6:$CB$25,MATCH(LARGE('Perhitungan IPH Mingguan 2026'!$EN$6:$EN$25,1),'Perhitungan IPH Mingguan 2026'!$EN$6:$EN$25,0)),"")</f>
        <v>-14.295652173913043</v>
      </c>
      <c r="E206" s="10">
        <f>IFERROR(INDEX('Perhitungan IPH Mingguan 2026'!$CC$6:$CC$25,MATCH(LARGE('Perhitungan IPH Mingguan 2026'!$EN$6:$EN$25,1),'Perhitungan IPH Mingguan 2026'!$EN$6:$EN$25,0)),"")</f>
        <v>-0.25305780873529793</v>
      </c>
      <c r="F206" s="9" t="str">
        <f>IF(ISNUMBER(E206),IF(E206&gt;0,"Penyumbang KENAIKAN IPH","Penyumbang PENURUNAN IPH"),"-")</f>
        <v>Penyumbang PENURUNAN IPH</v>
      </c>
    </row>
    <row r="207" spans="1:6" ht="15" customHeight="1" x14ac:dyDescent="0.35">
      <c r="A207" s="8">
        <v>2</v>
      </c>
      <c r="B207" s="9" t="str">
        <f>IFERROR(INDEX('Perhitungan IPH Mingguan 2026'!$B$6:$B$25,MATCH(LARGE('Perhitungan IPH Mingguan 2026'!$EN$6:$EN$25,2),'Perhitungan IPH Mingguan 2026'!$EN$6:$EN$25,0)),"-")</f>
        <v>daging ayam ras 1124003</v>
      </c>
      <c r="C207" s="10">
        <f>IFERROR(INDEX('Perhitungan IPH Mingguan 2026'!$C$6:$C$25,MATCH(LARGE('Perhitungan IPH Mingguan 2026'!$EN$6:$EN$25,2),'Perhitungan IPH Mingguan 2026'!$EN$6:$EN$25,0)),"")</f>
        <v>4.7910777785027697E-2</v>
      </c>
      <c r="D207" s="25">
        <f>IFERROR(INDEX('Perhitungan IPH Mingguan 2026'!$CB$6:$CB$25,MATCH(LARGE('Perhitungan IPH Mingguan 2026'!$EN$6:$EN$25,2),'Perhitungan IPH Mingguan 2026'!$EN$6:$EN$25,0)),"")</f>
        <v>-11.347248576850095</v>
      </c>
      <c r="E207" s="10">
        <f>IFERROR(INDEX('Perhitungan IPH Mingguan 2026'!$CC$6:$CC$25,MATCH(LARGE('Perhitungan IPH Mingguan 2026'!$EN$6:$EN$25,2),'Perhitungan IPH Mingguan 2026'!$EN$6:$EN$25,0)),"")</f>
        <v>-0.54365550503693671</v>
      </c>
      <c r="F207" s="9" t="str">
        <f>IF(ISNUMBER(E207),IF(E207&gt;0,"Penyumbang KENAIKAN IPH","Penyumbang PENURUNAN IPH"),"-")</f>
        <v>Penyumbang PENURUNAN IPH</v>
      </c>
    </row>
    <row r="208" spans="1:6" ht="15" customHeight="1" x14ac:dyDescent="0.35">
      <c r="A208" s="8">
        <v>3</v>
      </c>
      <c r="B208" s="9" t="str">
        <f>IFERROR(INDEX('Perhitungan IPH Mingguan 2026'!$B$6:$B$25,MATCH(LARGE('Perhitungan IPH Mingguan 2026'!$EN$6:$EN$25,3),'Perhitungan IPH Mingguan 2026'!$EN$6:$EN$25,0)),"-")</f>
        <v>tempe 01194013</v>
      </c>
      <c r="C208" s="10">
        <f>IFERROR(INDEX('Perhitungan IPH Mingguan 2026'!$C$6:$C$25,MATCH(LARGE('Perhitungan IPH Mingguan 2026'!$EN$6:$EN$25,3),'Perhitungan IPH Mingguan 2026'!$EN$6:$EN$25,0)),"")</f>
        <v>2.0282595222329398E-2</v>
      </c>
      <c r="D208" s="25">
        <f>IFERROR(INDEX('Perhitungan IPH Mingguan 2026'!$CB$6:$CB$25,MATCH(LARGE('Perhitungan IPH Mingguan 2026'!$EN$6:$EN$25,3),'Perhitungan IPH Mingguan 2026'!$EN$6:$EN$25,0)),"")</f>
        <v>0</v>
      </c>
      <c r="E208" s="10">
        <f>IFERROR(INDEX('Perhitungan IPH Mingguan 2026'!$CC$6:$CC$25,MATCH(LARGE('Perhitungan IPH Mingguan 2026'!$EN$6:$EN$25,3),'Perhitungan IPH Mingguan 2026'!$EN$6:$EN$25,0)),"")</f>
        <v>0</v>
      </c>
      <c r="F208" s="9" t="str">
        <f>IF(ISNUMBER(E208),IF(E208&gt;0,"Penyumbang KENAIKAN IPH","Penyumbang PENURUNAN IPH"),"-")</f>
        <v>Penyumbang PENURUNAN IPH</v>
      </c>
    </row>
    <row r="209" spans="1:6" ht="15" customHeight="1" x14ac:dyDescent="0.35">
      <c r="A209" s="8">
        <v>4</v>
      </c>
      <c r="B209" s="9" t="str">
        <f>IFERROR(INDEX('Perhitungan IPH Mingguan 2026'!$B$6:$B$25,MATCH(LARGE('Perhitungan IPH Mingguan 2026'!$EN$6:$EN$25,4),'Perhitungan IPH Mingguan 2026'!$EN$6:$EN$25,0)),"-")</f>
        <v>daging sapi 01121001</v>
      </c>
      <c r="C209" s="10">
        <f>IFERROR(INDEX('Perhitungan IPH Mingguan 2026'!$C$6:$C$25,MATCH(LARGE('Perhitungan IPH Mingguan 2026'!$EN$6:$EN$25,4),'Perhitungan IPH Mingguan 2026'!$EN$6:$EN$25,0)),"")</f>
        <v>5.98704213474298E-2</v>
      </c>
      <c r="D209" s="25">
        <f>IFERROR(INDEX('Perhitungan IPH Mingguan 2026'!$CB$6:$CB$25,MATCH(LARGE('Perhitungan IPH Mingguan 2026'!$EN$6:$EN$25,4),'Perhitungan IPH Mingguan 2026'!$EN$6:$EN$25,0)),"")</f>
        <v>0.30188679245283567</v>
      </c>
      <c r="E209" s="10">
        <f>IFERROR(INDEX('Perhitungan IPH Mingguan 2026'!$CC$6:$CC$25,MATCH(LARGE('Perhitungan IPH Mingguan 2026'!$EN$6:$EN$25,4),'Perhitungan IPH Mingguan 2026'!$EN$6:$EN$25,0)),"")</f>
        <v>1.8074089463375364E-2</v>
      </c>
      <c r="F209" s="9" t="str">
        <f>IF(ISNUMBER(E209),IF(E209&gt;0,"Penyumbang KENAIKAN IPH","Penyumbang PENURUNAN IPH"),"-")</f>
        <v>Penyumbang KENAIKAN IPH</v>
      </c>
    </row>
    <row r="210" spans="1:6" ht="15" customHeight="1" x14ac:dyDescent="0.35">
      <c r="A210" s="8">
        <v>5</v>
      </c>
      <c r="B210" s="9" t="str">
        <f>IFERROR(INDEX('Perhitungan IPH Mingguan 2026'!$B$6:$B$25,MATCH(LARGE('Perhitungan IPH Mingguan 2026'!$EN$6:$EN$25,5),'Perhitungan IPH Mingguan 2026'!$EN$6:$EN$25,0)),"-")</f>
        <v>ikan kembung 01131028</v>
      </c>
      <c r="C210" s="10">
        <f>IFERROR(INDEX('Perhitungan IPH Mingguan 2026'!$C$6:$C$25,MATCH(LARGE('Perhitungan IPH Mingguan 2026'!$EN$6:$EN$25,5),'Perhitungan IPH Mingguan 2026'!$EN$6:$EN$25,0)),"")</f>
        <v>2.0771540916134899E-2</v>
      </c>
      <c r="D210" s="25">
        <f>IFERROR(INDEX('Perhitungan IPH Mingguan 2026'!$CB$6:$CB$25,MATCH(LARGE('Perhitungan IPH Mingguan 2026'!$EN$6:$EN$25,5),'Perhitungan IPH Mingguan 2026'!$EN$6:$EN$25,0)),"")</f>
        <v>0</v>
      </c>
      <c r="E210" s="10">
        <f>IFERROR(INDEX('Perhitungan IPH Mingguan 2026'!$CC$6:$CC$25,MATCH(LARGE('Perhitungan IPH Mingguan 2026'!$EN$6:$EN$25,5),'Perhitungan IPH Mingguan 2026'!$EN$6:$EN$25,0)),"")</f>
        <v>0</v>
      </c>
      <c r="F210" s="9" t="str">
        <f>IF(ISNUMBER(E210),IF(E210&gt;0,"Penyumbang KENAIKAN IPH","Penyumbang PENURUNAN IPH"),"-")</f>
        <v>Penyumbang PENURUNAN IPH</v>
      </c>
    </row>
    <row r="212" spans="1:6" ht="15" customHeight="1" x14ac:dyDescent="0.35">
      <c r="A212" s="2" t="s">
        <v>241</v>
      </c>
      <c r="B212" s="2"/>
      <c r="C212" s="2"/>
      <c r="D212" s="2"/>
      <c r="E212" s="2"/>
      <c r="F212" s="2"/>
    </row>
    <row r="213" spans="1:6" ht="21.75" customHeight="1" x14ac:dyDescent="0.35">
      <c r="A213" s="6" t="s">
        <v>211</v>
      </c>
      <c r="B213" s="6" t="s">
        <v>212</v>
      </c>
      <c r="C213" s="6" t="s">
        <v>139</v>
      </c>
      <c r="D213" s="6" t="s">
        <v>213</v>
      </c>
      <c r="E213" s="6" t="s">
        <v>214</v>
      </c>
      <c r="F213" s="6" t="s">
        <v>215</v>
      </c>
    </row>
    <row r="214" spans="1:6" ht="15" customHeight="1" x14ac:dyDescent="0.35">
      <c r="A214" s="8">
        <v>1</v>
      </c>
      <c r="B214" s="9" t="str">
        <f>IFERROR(INDEX('Perhitungan IPH Mingguan 2026'!$B$6:$B$25,MATCH(LARGE('Perhitungan IPH Mingguan 2026'!$EO$6:$EO$25,1),'Perhitungan IPH Mingguan 2026'!$EO$6:$EO$25,0)),"-")</f>
        <v>daging ayam ras 1124003</v>
      </c>
      <c r="C214" s="10">
        <f>IFERROR(INDEX('Perhitungan IPH Mingguan 2026'!$C$6:$C$25,MATCH(LARGE('Perhitungan IPH Mingguan 2026'!$EO$6:$EO$25,1),'Perhitungan IPH Mingguan 2026'!$EO$6:$EO$25,0)),"")</f>
        <v>4.7910777785027697E-2</v>
      </c>
      <c r="D214" s="25">
        <f>IFERROR(INDEX('Perhitungan IPH Mingguan 2026'!$CE$6:$CE$25,MATCH(LARGE('Perhitungan IPH Mingguan 2026'!$EO$6:$EO$25,1),'Perhitungan IPH Mingguan 2026'!$EO$6:$EO$25,0)),"")</f>
        <v>-9.67741935483871</v>
      </c>
      <c r="E214" s="10">
        <f>IFERROR(INDEX('Perhitungan IPH Mingguan 2026'!$CF$6:$CF$25,MATCH(LARGE('Perhitungan IPH Mingguan 2026'!$EO$6:$EO$25,1),'Perhitungan IPH Mingguan 2026'!$EO$6:$EO$25,0)),"")</f>
        <v>-0.46365268824220351</v>
      </c>
      <c r="F214" s="9" t="str">
        <f>IF(ISNUMBER(E214),IF(E214&gt;0,"Penyumbang KENAIKAN IPH","Penyumbang PENURUNAN IPH"),"-")</f>
        <v>Penyumbang PENURUNAN IPH</v>
      </c>
    </row>
    <row r="215" spans="1:6" ht="15" customHeight="1" x14ac:dyDescent="0.35">
      <c r="A215" s="8">
        <v>2</v>
      </c>
      <c r="B215" s="9" t="str">
        <f>IFERROR(INDEX('Perhitungan IPH Mingguan 2026'!$B$6:$B$25,MATCH(LARGE('Perhitungan IPH Mingguan 2026'!$EO$6:$EO$25,2),'Perhitungan IPH Mingguan 2026'!$EO$6:$EO$25,0)),"-")</f>
        <v>cabai rawit 01173013</v>
      </c>
      <c r="C215" s="10">
        <f>IFERROR(INDEX('Perhitungan IPH Mingguan 2026'!$C$6:$C$25,MATCH(LARGE('Perhitungan IPH Mingguan 2026'!$EO$6:$EO$25,2),'Perhitungan IPH Mingguan 2026'!$EO$6:$EO$25,0)),"")</f>
        <v>1.7701732362870599E-2</v>
      </c>
      <c r="D215" s="25">
        <f>IFERROR(INDEX('Perhitungan IPH Mingguan 2026'!$CE$6:$CE$25,MATCH(LARGE('Perhitungan IPH Mingguan 2026'!$EO$6:$EO$25,2),'Perhitungan IPH Mingguan 2026'!$EO$6:$EO$25,0)),"")</f>
        <v>-20.347826086956523</v>
      </c>
      <c r="E215" s="10">
        <f>IFERROR(INDEX('Perhitungan IPH Mingguan 2026'!$CF$6:$CF$25,MATCH(LARGE('Perhitungan IPH Mingguan 2026'!$EO$6:$EO$25,2),'Perhitungan IPH Mingguan 2026'!$EO$6:$EO$25,0)),"")</f>
        <v>-0.3601917715575409</v>
      </c>
      <c r="F215" s="9" t="str">
        <f>IF(ISNUMBER(E215),IF(E215&gt;0,"Penyumbang KENAIKAN IPH","Penyumbang PENURUNAN IPH"),"-")</f>
        <v>Penyumbang PENURUNAN IPH</v>
      </c>
    </row>
    <row r="216" spans="1:6" ht="15" customHeight="1" x14ac:dyDescent="0.35">
      <c r="A216" s="8">
        <v>3</v>
      </c>
      <c r="B216" s="9" t="str">
        <f>IFERROR(INDEX('Perhitungan IPH Mingguan 2026'!$B$6:$B$25,MATCH(LARGE('Perhitungan IPH Mingguan 2026'!$EO$6:$EO$25,3),'Perhitungan IPH Mingguan 2026'!$EO$6:$EO$25,0)),"-")</f>
        <v>daging sapi 01121001</v>
      </c>
      <c r="C216" s="10">
        <f>IFERROR(INDEX('Perhitungan IPH Mingguan 2026'!$C$6:$C$25,MATCH(LARGE('Perhitungan IPH Mingguan 2026'!$EO$6:$EO$25,3),'Perhitungan IPH Mingguan 2026'!$EO$6:$EO$25,0)),"")</f>
        <v>5.98704213474298E-2</v>
      </c>
      <c r="D216" s="25">
        <f>IFERROR(INDEX('Perhitungan IPH Mingguan 2026'!$CE$6:$CE$25,MATCH(LARGE('Perhitungan IPH Mingguan 2026'!$EO$6:$EO$25,3),'Perhitungan IPH Mingguan 2026'!$EO$6:$EO$25,0)),"")</f>
        <v>1.1320754716981134</v>
      </c>
      <c r="E216" s="10">
        <f>IFERROR(INDEX('Perhitungan IPH Mingguan 2026'!$CF$6:$CF$25,MATCH(LARGE('Perhitungan IPH Mingguan 2026'!$EO$6:$EO$25,3),'Perhitungan IPH Mingguan 2026'!$EO$6:$EO$25,0)),"")</f>
        <v>6.7777835487656396E-2</v>
      </c>
      <c r="F216" s="9" t="str">
        <f>IF(ISNUMBER(E216),IF(E216&gt;0,"Penyumbang KENAIKAN IPH","Penyumbang PENURUNAN IPH"),"-")</f>
        <v>Penyumbang KENAIKAN IPH</v>
      </c>
    </row>
    <row r="217" spans="1:6" ht="15" customHeight="1" x14ac:dyDescent="0.35">
      <c r="A217" s="8">
        <v>4</v>
      </c>
      <c r="B217" s="9" t="str">
        <f>IFERROR(INDEX('Perhitungan IPH Mingguan 2026'!$B$6:$B$25,MATCH(LARGE('Perhitungan IPH Mingguan 2026'!$EO$6:$EO$25,4),'Perhitungan IPH Mingguan 2026'!$EO$6:$EO$25,0)),"-")</f>
        <v>cabai merah 01173012</v>
      </c>
      <c r="C217" s="10">
        <f>IFERROR(INDEX('Perhitungan IPH Mingguan 2026'!$C$6:$C$25,MATCH(LARGE('Perhitungan IPH Mingguan 2026'!$EO$6:$EO$25,4),'Perhitungan IPH Mingguan 2026'!$EO$6:$EO$25,0)),"")</f>
        <v>1.10208839376634E-2</v>
      </c>
      <c r="D217" s="25">
        <f>IFERROR(INDEX('Perhitungan IPH Mingguan 2026'!$CE$6:$CE$25,MATCH(LARGE('Perhitungan IPH Mingguan 2026'!$EO$6:$EO$25,4),'Perhitungan IPH Mingguan 2026'!$EO$6:$EO$25,0)),"")</f>
        <v>-24.599708879184863</v>
      </c>
      <c r="E217" s="10">
        <f>IFERROR(INDEX('Perhitungan IPH Mingguan 2026'!$CF$6:$CF$25,MATCH(LARGE('Perhitungan IPH Mingguan 2026'!$EO$6:$EO$25,4),'Perhitungan IPH Mingguan 2026'!$EO$6:$EO$25,0)),"")</f>
        <v>-0.2711105364578042</v>
      </c>
      <c r="F217" s="9" t="str">
        <f>IF(ISNUMBER(E217),IF(E217&gt;0,"Penyumbang KENAIKAN IPH","Penyumbang PENURUNAN IPH"),"-")</f>
        <v>Penyumbang PENURUNAN IPH</v>
      </c>
    </row>
    <row r="218" spans="1:6" ht="15" customHeight="1" x14ac:dyDescent="0.35">
      <c r="A218" s="8">
        <v>5</v>
      </c>
      <c r="B218" s="9" t="str">
        <f>IFERROR(INDEX('Perhitungan IPH Mingguan 2026'!$B$6:$B$25,MATCH(LARGE('Perhitungan IPH Mingguan 2026'!$EO$6:$EO$25,5),'Perhitungan IPH Mingguan 2026'!$EO$6:$EO$25,0)),"-")</f>
        <v>ikan kembung 01131028</v>
      </c>
      <c r="C218" s="10">
        <f>IFERROR(INDEX('Perhitungan IPH Mingguan 2026'!$C$6:$C$25,MATCH(LARGE('Perhitungan IPH Mingguan 2026'!$EO$6:$EO$25,5),'Perhitungan IPH Mingguan 2026'!$EO$6:$EO$25,0)),"")</f>
        <v>2.0771540916134899E-2</v>
      </c>
      <c r="D218" s="25">
        <f>IFERROR(INDEX('Perhitungan IPH Mingguan 2026'!$CE$6:$CE$25,MATCH(LARGE('Perhitungan IPH Mingguan 2026'!$EO$6:$EO$25,5),'Perhitungan IPH Mingguan 2026'!$EO$6:$EO$25,0)),"")</f>
        <v>0</v>
      </c>
      <c r="E218" s="10">
        <f>IFERROR(INDEX('Perhitungan IPH Mingguan 2026'!$CF$6:$CF$25,MATCH(LARGE('Perhitungan IPH Mingguan 2026'!$EO$6:$EO$25,5),'Perhitungan IPH Mingguan 2026'!$EO$6:$EO$25,0)),"")</f>
        <v>0</v>
      </c>
      <c r="F218" s="9" t="str">
        <f>IF(ISNUMBER(E218),IF(E218&gt;0,"Penyumbang KENAIKAN IPH","Penyumbang PENURUNAN IPH"),"-")</f>
        <v>Penyumbang PENURUNAN IPH</v>
      </c>
    </row>
    <row r="220" spans="1:6" ht="15" customHeight="1" x14ac:dyDescent="0.35">
      <c r="A220" s="2" t="s">
        <v>242</v>
      </c>
      <c r="B220" s="2"/>
      <c r="C220" s="2"/>
      <c r="D220" s="2"/>
      <c r="E220" s="2"/>
      <c r="F220" s="2"/>
    </row>
    <row r="221" spans="1:6" ht="21.75" customHeight="1" x14ac:dyDescent="0.35">
      <c r="A221" s="6" t="s">
        <v>211</v>
      </c>
      <c r="B221" s="6" t="s">
        <v>212</v>
      </c>
      <c r="C221" s="6" t="s">
        <v>139</v>
      </c>
      <c r="D221" s="6" t="s">
        <v>213</v>
      </c>
      <c r="E221" s="6" t="s">
        <v>214</v>
      </c>
      <c r="F221" s="6" t="s">
        <v>215</v>
      </c>
    </row>
    <row r="222" spans="1:6" ht="15" customHeight="1" x14ac:dyDescent="0.35">
      <c r="A222" s="8">
        <v>1</v>
      </c>
      <c r="B222" s="9" t="str">
        <f>IFERROR(INDEX('Perhitungan IPH Mingguan 2026'!$B$6:$B$25,MATCH(LARGE('Perhitungan IPH Mingguan 2026'!$EP$6:$EP$25,1),'Perhitungan IPH Mingguan 2026'!$EP$6:$EP$25,0)),"-")</f>
        <v>daging ayam ras 1124003</v>
      </c>
      <c r="C222" s="10">
        <f>IFERROR(INDEX('Perhitungan IPH Mingguan 2026'!$C$6:$C$25,MATCH(LARGE('Perhitungan IPH Mingguan 2026'!$EP$6:$EP$25,1),'Perhitungan IPH Mingguan 2026'!$EP$6:$EP$25,0)),"")</f>
        <v>4.7910777785027697E-2</v>
      </c>
      <c r="D222" s="25">
        <f>IFERROR(INDEX('Perhitungan IPH Mingguan 2026'!$CH$6:$CH$25,MATCH(LARGE('Perhitungan IPH Mingguan 2026'!$EP$6:$EP$25,1),'Perhitungan IPH Mingguan 2026'!$EP$6:$EP$25,0)),"")</f>
        <v>-8.9184060721062615</v>
      </c>
      <c r="E222" s="10">
        <f>IFERROR(INDEX('Perhitungan IPH Mingguan 2026'!$CI$6:$CI$25,MATCH(LARGE('Perhitungan IPH Mingguan 2026'!$EP$6:$EP$25,1),'Perhitungan IPH Mingguan 2026'!$EP$6:$EP$25,0)),"")</f>
        <v>-0.42728777151732478</v>
      </c>
      <c r="F222" s="9" t="str">
        <f>IF(ISNUMBER(E222),IF(E222&gt;0,"Penyumbang KENAIKAN IPH","Penyumbang PENURUNAN IPH"),"-")</f>
        <v>Penyumbang PENURUNAN IPH</v>
      </c>
    </row>
    <row r="223" spans="1:6" ht="15" customHeight="1" x14ac:dyDescent="0.35">
      <c r="A223" s="8">
        <v>2</v>
      </c>
      <c r="B223" s="9" t="str">
        <f>IFERROR(INDEX('Perhitungan IPH Mingguan 2026'!$B$6:$B$25,MATCH(LARGE('Perhitungan IPH Mingguan 2026'!$EP$6:$EP$25,2),'Perhitungan IPH Mingguan 2026'!$EP$6:$EP$25,0)),"-")</f>
        <v>ikan kembung 01131028</v>
      </c>
      <c r="C223" s="10">
        <f>IFERROR(INDEX('Perhitungan IPH Mingguan 2026'!$C$6:$C$25,MATCH(LARGE('Perhitungan IPH Mingguan 2026'!$EP$6:$EP$25,2),'Perhitungan IPH Mingguan 2026'!$EP$6:$EP$25,0)),"")</f>
        <v>2.0771540916134899E-2</v>
      </c>
      <c r="D223" s="25">
        <f>IFERROR(INDEX('Perhitungan IPH Mingguan 2026'!$CH$6:$CH$25,MATCH(LARGE('Perhitungan IPH Mingguan 2026'!$EP$6:$EP$25,2),'Perhitungan IPH Mingguan 2026'!$EP$6:$EP$25,0)),"")</f>
        <v>0</v>
      </c>
      <c r="E223" s="10">
        <f>IFERROR(INDEX('Perhitungan IPH Mingguan 2026'!$CI$6:$CI$25,MATCH(LARGE('Perhitungan IPH Mingguan 2026'!$EP$6:$EP$25,2),'Perhitungan IPH Mingguan 2026'!$EP$6:$EP$25,0)),"")</f>
        <v>0</v>
      </c>
      <c r="F223" s="9" t="str">
        <f>IF(ISNUMBER(E223),IF(E223&gt;0,"Penyumbang KENAIKAN IPH","Penyumbang PENURUNAN IPH"),"-")</f>
        <v>Penyumbang PENURUNAN IPH</v>
      </c>
    </row>
    <row r="224" spans="1:6" ht="15" customHeight="1" x14ac:dyDescent="0.35">
      <c r="A224" s="8">
        <v>3</v>
      </c>
      <c r="B224" s="9" t="str">
        <f>IFERROR(INDEX('Perhitungan IPH Mingguan 2026'!$B$6:$B$25,MATCH(LARGE('Perhitungan IPH Mingguan 2026'!$EP$6:$EP$25,3),'Perhitungan IPH Mingguan 2026'!$EP$6:$EP$25,0)),"-")</f>
        <v>daging sapi 01121001</v>
      </c>
      <c r="C224" s="10">
        <f>IFERROR(INDEX('Perhitungan IPH Mingguan 2026'!$C$6:$C$25,MATCH(LARGE('Perhitungan IPH Mingguan 2026'!$EP$6:$EP$25,3),'Perhitungan IPH Mingguan 2026'!$EP$6:$EP$25,0)),"")</f>
        <v>5.98704213474298E-2</v>
      </c>
      <c r="D224" s="25">
        <f>IFERROR(INDEX('Perhitungan IPH Mingguan 2026'!$CH$6:$CH$25,MATCH(LARGE('Perhitungan IPH Mingguan 2026'!$EP$6:$EP$25,3),'Perhitungan IPH Mingguan 2026'!$EP$6:$EP$25,0)),"")</f>
        <v>1.8867924528301943</v>
      </c>
      <c r="E224" s="10">
        <f>IFERROR(INDEX('Perhitungan IPH Mingguan 2026'!$CI$6:$CI$25,MATCH(LARGE('Perhitungan IPH Mingguan 2026'!$EP$6:$EP$25,3),'Perhitungan IPH Mingguan 2026'!$EP$6:$EP$25,0)),"")</f>
        <v>0.11296305914609429</v>
      </c>
      <c r="F224" s="9" t="str">
        <f>IF(ISNUMBER(E224),IF(E224&gt;0,"Penyumbang KENAIKAN IPH","Penyumbang PENURUNAN IPH"),"-")</f>
        <v>Penyumbang KENAIKAN IPH</v>
      </c>
    </row>
    <row r="225" spans="1:6" ht="15" customHeight="1" x14ac:dyDescent="0.35">
      <c r="A225" s="8">
        <v>4</v>
      </c>
      <c r="B225" s="9" t="str">
        <f>IFERROR(INDEX('Perhitungan IPH Mingguan 2026'!$B$6:$B$25,MATCH(LARGE('Perhitungan IPH Mingguan 2026'!$EP$6:$EP$25,4),'Perhitungan IPH Mingguan 2026'!$EP$6:$EP$25,0)),"-")</f>
        <v>minyak goreng 01154001/4</v>
      </c>
      <c r="C225" s="10">
        <f>IFERROR(INDEX('Perhitungan IPH Mingguan 2026'!$C$6:$C$25,MATCH(LARGE('Perhitungan IPH Mingguan 2026'!$EP$6:$EP$25,4),'Perhitungan IPH Mingguan 2026'!$EP$6:$EP$25,0)),"")</f>
        <v>4.5176622985638501E-2</v>
      </c>
      <c r="D225" s="25">
        <f>IFERROR(INDEX('Perhitungan IPH Mingguan 2026'!$CH$6:$CH$25,MATCH(LARGE('Perhitungan IPH Mingguan 2026'!$EP$6:$EP$25,4),'Perhitungan IPH Mingguan 2026'!$EP$6:$EP$25,0)),"")</f>
        <v>-0.56743780008731082</v>
      </c>
      <c r="E225" s="10">
        <f>IFERROR(INDEX('Perhitungan IPH Mingguan 2026'!$CI$6:$CI$25,MATCH(LARGE('Perhitungan IPH Mingguan 2026'!$EP$6:$EP$25,4),'Perhitungan IPH Mingguan 2026'!$EP$6:$EP$25,0)),"")</f>
        <v>-2.563492356234455E-2</v>
      </c>
      <c r="F225" s="9" t="str">
        <f>IF(ISNUMBER(E225),IF(E225&gt;0,"Penyumbang KENAIKAN IPH","Penyumbang PENURUNAN IPH"),"-")</f>
        <v>Penyumbang PENURUNAN IPH</v>
      </c>
    </row>
    <row r="226" spans="1:6" ht="15" customHeight="1" x14ac:dyDescent="0.35">
      <c r="A226" s="8">
        <v>5</v>
      </c>
      <c r="B226" s="9" t="str">
        <f>IFERROR(INDEX('Perhitungan IPH Mingguan 2026'!$B$6:$B$25,MATCH(LARGE('Perhitungan IPH Mingguan 2026'!$EP$6:$EP$25,5),'Perhitungan IPH Mingguan 2026'!$EP$6:$EP$25,0)),"-")</f>
        <v>tempe 01194013</v>
      </c>
      <c r="C226" s="10">
        <f>IFERROR(INDEX('Perhitungan IPH Mingguan 2026'!$C$6:$C$25,MATCH(LARGE('Perhitungan IPH Mingguan 2026'!$EP$6:$EP$25,5),'Perhitungan IPH Mingguan 2026'!$EP$6:$EP$25,0)),"")</f>
        <v>2.0282595222329398E-2</v>
      </c>
      <c r="D226" s="25">
        <f>IFERROR(INDEX('Perhitungan IPH Mingguan 2026'!$CH$6:$CH$25,MATCH(LARGE('Perhitungan IPH Mingguan 2026'!$EP$6:$EP$25,5),'Perhitungan IPH Mingguan 2026'!$EP$6:$EP$25,0)),"")</f>
        <v>0</v>
      </c>
      <c r="E226" s="10">
        <f>IFERROR(INDEX('Perhitungan IPH Mingguan 2026'!$CI$6:$CI$25,MATCH(LARGE('Perhitungan IPH Mingguan 2026'!$EP$6:$EP$25,5),'Perhitungan IPH Mingguan 2026'!$EP$6:$EP$25,0)),"")</f>
        <v>0</v>
      </c>
      <c r="F226" s="9" t="str">
        <f>IF(ISNUMBER(E226),IF(E226&gt;0,"Penyumbang KENAIKAN IPH","Penyumbang PENURUNAN IPH"),"-")</f>
        <v>Penyumbang PENURUNAN IPH</v>
      </c>
    </row>
    <row r="228" spans="1:6" ht="15" customHeight="1" x14ac:dyDescent="0.35">
      <c r="A228" s="2" t="s">
        <v>243</v>
      </c>
      <c r="B228" s="2"/>
      <c r="C228" s="2"/>
      <c r="D228" s="2"/>
      <c r="E228" s="2"/>
      <c r="F228" s="2"/>
    </row>
    <row r="229" spans="1:6" ht="21.75" customHeight="1" x14ac:dyDescent="0.35">
      <c r="A229" s="6" t="s">
        <v>211</v>
      </c>
      <c r="B229" s="6" t="s">
        <v>212</v>
      </c>
      <c r="C229" s="6" t="s">
        <v>139</v>
      </c>
      <c r="D229" s="6" t="s">
        <v>213</v>
      </c>
      <c r="E229" s="6" t="s">
        <v>214</v>
      </c>
      <c r="F229" s="6" t="s">
        <v>215</v>
      </c>
    </row>
    <row r="230" spans="1:6" ht="15" customHeight="1" x14ac:dyDescent="0.35">
      <c r="A230" s="8">
        <v>1</v>
      </c>
      <c r="B230" s="9" t="str">
        <f>IFERROR(INDEX('Perhitungan IPH Mingguan 2026'!$B$6:$B$25,MATCH(LARGE('Perhitungan IPH Mingguan 2026'!$EQ$6:$EQ$25,1),'Perhitungan IPH Mingguan 2026'!$EQ$6:$EQ$25,0)),"-")</f>
        <v>ikan kembung 01131028</v>
      </c>
      <c r="C230" s="10">
        <f>IFERROR(INDEX('Perhitungan IPH Mingguan 2026'!$C$6:$C$25,MATCH(LARGE('Perhitungan IPH Mingguan 2026'!$EQ$6:$EQ$25,1),'Perhitungan IPH Mingguan 2026'!$EQ$6:$EQ$25,0)),"")</f>
        <v>2.0771540916134899E-2</v>
      </c>
      <c r="D230" s="25">
        <f>IFERROR(INDEX('Perhitungan IPH Mingguan 2026'!$CK$6:$CK$25,MATCH(LARGE('Perhitungan IPH Mingguan 2026'!$EQ$6:$EQ$25,1),'Perhitungan IPH Mingguan 2026'!$EQ$6:$EQ$25,0)),"")</f>
        <v>0</v>
      </c>
      <c r="E230" s="10">
        <f>IFERROR(INDEX('Perhitungan IPH Mingguan 2026'!$CL$6:$CL$25,MATCH(LARGE('Perhitungan IPH Mingguan 2026'!$EQ$6:$EQ$25,1),'Perhitungan IPH Mingguan 2026'!$EQ$6:$EQ$25,0)),"")</f>
        <v>0</v>
      </c>
      <c r="F230" s="9" t="str">
        <f>IF(ISNUMBER(E230),IF(E230&gt;0,"Penyumbang KENAIKAN IPH","Penyumbang PENURUNAN IPH"),"-")</f>
        <v>Penyumbang PENURUNAN IPH</v>
      </c>
    </row>
    <row r="231" spans="1:6" ht="15" customHeight="1" x14ac:dyDescent="0.35">
      <c r="A231" s="8">
        <v>2</v>
      </c>
      <c r="B231" s="9" t="str">
        <f>IFERROR(INDEX('Perhitungan IPH Mingguan 2026'!$B$6:$B$25,MATCH(LARGE('Perhitungan IPH Mingguan 2026'!$EQ$6:$EQ$25,2),'Perhitungan IPH Mingguan 2026'!$EQ$6:$EQ$25,0)),"-")</f>
        <v>daging ayam ras 1124003</v>
      </c>
      <c r="C231" s="10">
        <f>IFERROR(INDEX('Perhitungan IPH Mingguan 2026'!$C$6:$C$25,MATCH(LARGE('Perhitungan IPH Mingguan 2026'!$EQ$6:$EQ$25,2),'Perhitungan IPH Mingguan 2026'!$EQ$6:$EQ$25,0)),"")</f>
        <v>4.7910777785027697E-2</v>
      </c>
      <c r="D231" s="25">
        <f>IFERROR(INDEX('Perhitungan IPH Mingguan 2026'!$CK$6:$CK$25,MATCH(LARGE('Perhitungan IPH Mingguan 2026'!$EQ$6:$EQ$25,2),'Perhitungan IPH Mingguan 2026'!$EQ$6:$EQ$25,0)),"")</f>
        <v>-8.9184060721062615</v>
      </c>
      <c r="E231" s="10">
        <f>IFERROR(INDEX('Perhitungan IPH Mingguan 2026'!$CL$6:$CL$25,MATCH(LARGE('Perhitungan IPH Mingguan 2026'!$EQ$6:$EQ$25,2),'Perhitungan IPH Mingguan 2026'!$EQ$6:$EQ$25,0)),"")</f>
        <v>-0.42728777151732478</v>
      </c>
      <c r="F231" s="9" t="str">
        <f>IF(ISNUMBER(E231),IF(E231&gt;0,"Penyumbang KENAIKAN IPH","Penyumbang PENURUNAN IPH"),"-")</f>
        <v>Penyumbang PENURUNAN IPH</v>
      </c>
    </row>
    <row r="232" spans="1:6" ht="15" customHeight="1" x14ac:dyDescent="0.35">
      <c r="A232" s="8">
        <v>3</v>
      </c>
      <c r="B232" s="9" t="str">
        <f>IFERROR(INDEX('Perhitungan IPH Mingguan 2026'!$B$6:$B$25,MATCH(LARGE('Perhitungan IPH Mingguan 2026'!$EQ$6:$EQ$25,3),'Perhitungan IPH Mingguan 2026'!$EQ$6:$EQ$25,0)),"-")</f>
        <v>daging sapi 01121001</v>
      </c>
      <c r="C232" s="10">
        <f>IFERROR(INDEX('Perhitungan IPH Mingguan 2026'!$C$6:$C$25,MATCH(LARGE('Perhitungan IPH Mingguan 2026'!$EQ$6:$EQ$25,3),'Perhitungan IPH Mingguan 2026'!$EQ$6:$EQ$25,0)),"")</f>
        <v>5.98704213474298E-2</v>
      </c>
      <c r="D232" s="25">
        <f>IFERROR(INDEX('Perhitungan IPH Mingguan 2026'!$CK$6:$CK$25,MATCH(LARGE('Perhitungan IPH Mingguan 2026'!$EQ$6:$EQ$25,3),'Perhitungan IPH Mingguan 2026'!$EQ$6:$EQ$25,0)),"")</f>
        <v>1.8867924528301943</v>
      </c>
      <c r="E232" s="10">
        <f>IFERROR(INDEX('Perhitungan IPH Mingguan 2026'!$CL$6:$CL$25,MATCH(LARGE('Perhitungan IPH Mingguan 2026'!$EQ$6:$EQ$25,3),'Perhitungan IPH Mingguan 2026'!$EQ$6:$EQ$25,0)),"")</f>
        <v>0.11296305914609429</v>
      </c>
      <c r="F232" s="9" t="str">
        <f>IF(ISNUMBER(E232),IF(E232&gt;0,"Penyumbang KENAIKAN IPH","Penyumbang PENURUNAN IPH"),"-")</f>
        <v>Penyumbang KENAIKAN IPH</v>
      </c>
    </row>
    <row r="233" spans="1:6" ht="15" customHeight="1" x14ac:dyDescent="0.35">
      <c r="A233" s="8">
        <v>4</v>
      </c>
      <c r="B233" s="9" t="str">
        <f>IFERROR(INDEX('Perhitungan IPH Mingguan 2026'!$B$6:$B$25,MATCH(LARGE('Perhitungan IPH Mingguan 2026'!$EQ$6:$EQ$25,4),'Perhitungan IPH Mingguan 2026'!$EQ$6:$EQ$25,0)),"-")</f>
        <v>minyak goreng 01154001/4</v>
      </c>
      <c r="C233" s="10">
        <f>IFERROR(INDEX('Perhitungan IPH Mingguan 2026'!$C$6:$C$25,MATCH(LARGE('Perhitungan IPH Mingguan 2026'!$EQ$6:$EQ$25,4),'Perhitungan IPH Mingguan 2026'!$EQ$6:$EQ$25,0)),"")</f>
        <v>4.5176622985638501E-2</v>
      </c>
      <c r="D233" s="25">
        <f>IFERROR(INDEX('Perhitungan IPH Mingguan 2026'!$CK$6:$CK$25,MATCH(LARGE('Perhitungan IPH Mingguan 2026'!$EQ$6:$EQ$25,4),'Perhitungan IPH Mingguan 2026'!$EQ$6:$EQ$25,0)),"")</f>
        <v>-0.56743780008731082</v>
      </c>
      <c r="E233" s="10">
        <f>IFERROR(INDEX('Perhitungan IPH Mingguan 2026'!$CL$6:$CL$25,MATCH(LARGE('Perhitungan IPH Mingguan 2026'!$EQ$6:$EQ$25,4),'Perhitungan IPH Mingguan 2026'!$EQ$6:$EQ$25,0)),"")</f>
        <v>-2.563492356234455E-2</v>
      </c>
      <c r="F233" s="9" t="str">
        <f>IF(ISNUMBER(E233),IF(E233&gt;0,"Penyumbang KENAIKAN IPH","Penyumbang PENURUNAN IPH"),"-")</f>
        <v>Penyumbang PENURUNAN IPH</v>
      </c>
    </row>
    <row r="234" spans="1:6" ht="15" customHeight="1" x14ac:dyDescent="0.35">
      <c r="A234" s="8">
        <v>5</v>
      </c>
      <c r="B234" s="9" t="str">
        <f>IFERROR(INDEX('Perhitungan IPH Mingguan 2026'!$B$6:$B$25,MATCH(LARGE('Perhitungan IPH Mingguan 2026'!$EQ$6:$EQ$25,5),'Perhitungan IPH Mingguan 2026'!$EQ$6:$EQ$25,0)),"-")</f>
        <v>tempe 01194013</v>
      </c>
      <c r="C234" s="10">
        <f>IFERROR(INDEX('Perhitungan IPH Mingguan 2026'!$C$6:$C$25,MATCH(LARGE('Perhitungan IPH Mingguan 2026'!$EQ$6:$EQ$25,5),'Perhitungan IPH Mingguan 2026'!$EQ$6:$EQ$25,0)),"")</f>
        <v>2.0282595222329398E-2</v>
      </c>
      <c r="D234" s="25">
        <f>IFERROR(INDEX('Perhitungan IPH Mingguan 2026'!$CK$6:$CK$25,MATCH(LARGE('Perhitungan IPH Mingguan 2026'!$EQ$6:$EQ$25,5),'Perhitungan IPH Mingguan 2026'!$EQ$6:$EQ$25,0)),"")</f>
        <v>0</v>
      </c>
      <c r="E234" s="10">
        <f>IFERROR(INDEX('Perhitungan IPH Mingguan 2026'!$CL$6:$CL$25,MATCH(LARGE('Perhitungan IPH Mingguan 2026'!$EQ$6:$EQ$25,5),'Perhitungan IPH Mingguan 2026'!$EQ$6:$EQ$25,0)),"")</f>
        <v>0</v>
      </c>
      <c r="F234" s="9" t="str">
        <f>IF(ISNUMBER(E234),IF(E234&gt;0,"Penyumbang KENAIKAN IPH","Penyumbang PENURUNAN IPH"),"-")</f>
        <v>Penyumbang PENURUNAN IPH</v>
      </c>
    </row>
    <row r="236" spans="1:6" ht="15" customHeight="1" x14ac:dyDescent="0.35">
      <c r="A236" s="2" t="s">
        <v>244</v>
      </c>
      <c r="B236" s="2"/>
      <c r="C236" s="2"/>
      <c r="D236" s="2"/>
      <c r="E236" s="2"/>
      <c r="F236" s="2"/>
    </row>
    <row r="237" spans="1:6" ht="21.75" customHeight="1" x14ac:dyDescent="0.35">
      <c r="A237" s="6" t="s">
        <v>211</v>
      </c>
      <c r="B237" s="6" t="s">
        <v>212</v>
      </c>
      <c r="C237" s="6" t="s">
        <v>139</v>
      </c>
      <c r="D237" s="6" t="s">
        <v>213</v>
      </c>
      <c r="E237" s="6" t="s">
        <v>214</v>
      </c>
      <c r="F237" s="6" t="s">
        <v>215</v>
      </c>
    </row>
    <row r="238" spans="1:6" ht="15" customHeight="1" x14ac:dyDescent="0.35">
      <c r="A238" s="8">
        <v>1</v>
      </c>
      <c r="B238" s="9" t="str">
        <f>IFERROR(INDEX('Perhitungan IPH Mingguan 2026'!$B$6:$B$25,MATCH(LARGE('Perhitungan IPH Mingguan 2026'!$ER$6:$ER$25,1),'Perhitungan IPH Mingguan 2026'!$ER$6:$ER$25,0)),"-")</f>
        <v>daging ayam ras 1124003</v>
      </c>
      <c r="C238" s="10">
        <f>IFERROR(INDEX('Perhitungan IPH Mingguan 2026'!$C$6:$C$25,MATCH(LARGE('Perhitungan IPH Mingguan 2026'!$ER$6:$ER$25,1),'Perhitungan IPH Mingguan 2026'!$ER$6:$ER$25,0)),"")</f>
        <v>4.7910777785027697E-2</v>
      </c>
      <c r="D238" s="25">
        <f>IFERROR(INDEX('Perhitungan IPH Mingguan 2026'!$CN$6:$CN$25,MATCH(LARGE('Perhitungan IPH Mingguan 2026'!$ER$6:$ER$25,1),'Perhitungan IPH Mingguan 2026'!$ER$6:$ER$25,0)),"")</f>
        <v>-0.33222591362126247</v>
      </c>
      <c r="E238" s="10">
        <f>IFERROR(INDEX('Perhitungan IPH Mingguan 2026'!$CO$6:$CO$25,MATCH(LARGE('Perhitungan IPH Mingguan 2026'!$ER$6:$ER$25,1),'Perhitungan IPH Mingguan 2026'!$ER$6:$ER$25,0)),"")</f>
        <v>-1.5917201921936113E-2</v>
      </c>
      <c r="F238" s="9" t="str">
        <f>IF(ISNUMBER(E238),IF(E238&gt;0,"Penyumbang KENAIKAN IPH","Penyumbang PENURUNAN IPH"),"-")</f>
        <v>Penyumbang PENURUNAN IPH</v>
      </c>
    </row>
    <row r="239" spans="1:6" ht="15" customHeight="1" x14ac:dyDescent="0.35">
      <c r="A239" s="8">
        <v>2</v>
      </c>
      <c r="B239" s="9" t="str">
        <f>IFERROR(INDEX('Perhitungan IPH Mingguan 2026'!$B$6:$B$25,MATCH(LARGE('Perhitungan IPH Mingguan 2026'!$ER$6:$ER$25,2),'Perhitungan IPH Mingguan 2026'!$ER$6:$ER$25,0)),"-")</f>
        <v>ikan kembung 01131028</v>
      </c>
      <c r="C239" s="10">
        <f>IFERROR(INDEX('Perhitungan IPH Mingguan 2026'!$C$6:$C$25,MATCH(LARGE('Perhitungan IPH Mingguan 2026'!$ER$6:$ER$25,2),'Perhitungan IPH Mingguan 2026'!$ER$6:$ER$25,0)),"")</f>
        <v>2.0771540916134899E-2</v>
      </c>
      <c r="D239" s="25">
        <f>IFERROR(INDEX('Perhitungan IPH Mingguan 2026'!$CN$6:$CN$25,MATCH(LARGE('Perhitungan IPH Mingguan 2026'!$ER$6:$ER$25,2),'Perhitungan IPH Mingguan 2026'!$ER$6:$ER$25,0)),"")</f>
        <v>0</v>
      </c>
      <c r="E239" s="10">
        <f>IFERROR(INDEX('Perhitungan IPH Mingguan 2026'!$CO$6:$CO$25,MATCH(LARGE('Perhitungan IPH Mingguan 2026'!$ER$6:$ER$25,2),'Perhitungan IPH Mingguan 2026'!$ER$6:$ER$25,0)),"")</f>
        <v>0</v>
      </c>
      <c r="F239" s="9" t="str">
        <f>IF(ISNUMBER(E239),IF(E239&gt;0,"Penyumbang KENAIKAN IPH","Penyumbang PENURUNAN IPH"),"-")</f>
        <v>Penyumbang PENURUNAN IPH</v>
      </c>
    </row>
    <row r="240" spans="1:6" ht="15" customHeight="1" x14ac:dyDescent="0.35">
      <c r="A240" s="8">
        <v>3</v>
      </c>
      <c r="B240" s="9" t="str">
        <f>IFERROR(INDEX('Perhitungan IPH Mingguan 2026'!$B$6:$B$25,MATCH(LARGE('Perhitungan IPH Mingguan 2026'!$ER$6:$ER$25,3),'Perhitungan IPH Mingguan 2026'!$ER$6:$ER$25,0)),"-")</f>
        <v>cabai rawit 01173013</v>
      </c>
      <c r="C240" s="10">
        <f>IFERROR(INDEX('Perhitungan IPH Mingguan 2026'!$C$6:$C$25,MATCH(LARGE('Perhitungan IPH Mingguan 2026'!$ER$6:$ER$25,3),'Perhitungan IPH Mingguan 2026'!$ER$6:$ER$25,0)),"")</f>
        <v>1.7701732362870599E-2</v>
      </c>
      <c r="D240" s="25">
        <f>IFERROR(INDEX('Perhitungan IPH Mingguan 2026'!$CN$6:$CN$25,MATCH(LARGE('Perhitungan IPH Mingguan 2026'!$ER$6:$ER$25,3),'Perhitungan IPH Mingguan 2026'!$ER$6:$ER$25,0)),"")</f>
        <v>-20.844327176781004</v>
      </c>
      <c r="E240" s="10">
        <f>IFERROR(INDEX('Perhitungan IPH Mingguan 2026'!$CO$6:$CO$25,MATCH(LARGE('Perhitungan IPH Mingguan 2026'!$ER$6:$ER$25,3),'Perhitungan IPH Mingguan 2026'!$ER$6:$ER$25,0)),"")</f>
        <v>-0.36898070096748747</v>
      </c>
      <c r="F240" s="9" t="str">
        <f>IF(ISNUMBER(E240),IF(E240&gt;0,"Penyumbang KENAIKAN IPH","Penyumbang PENURUNAN IPH"),"-")</f>
        <v>Penyumbang PENURUNAN IPH</v>
      </c>
    </row>
    <row r="241" spans="1:6" ht="15" customHeight="1" x14ac:dyDescent="0.35">
      <c r="A241" s="8">
        <v>4</v>
      </c>
      <c r="B241" s="9" t="str">
        <f>IFERROR(INDEX('Perhitungan IPH Mingguan 2026'!$B$6:$B$25,MATCH(LARGE('Perhitungan IPH Mingguan 2026'!$ER$6:$ER$25,4),'Perhitungan IPH Mingguan 2026'!$ER$6:$ER$25,0)),"-")</f>
        <v>minyak goreng 01154001/4</v>
      </c>
      <c r="C241" s="10">
        <f>IFERROR(INDEX('Perhitungan IPH Mingguan 2026'!$C$6:$C$25,MATCH(LARGE('Perhitungan IPH Mingguan 2026'!$ER$6:$ER$25,4),'Perhitungan IPH Mingguan 2026'!$ER$6:$ER$25,0)),"")</f>
        <v>4.5176622985638501E-2</v>
      </c>
      <c r="D241" s="25">
        <f>IFERROR(INDEX('Perhitungan IPH Mingguan 2026'!$CN$6:$CN$25,MATCH(LARGE('Perhitungan IPH Mingguan 2026'!$ER$6:$ER$25,4),'Perhitungan IPH Mingguan 2026'!$ER$6:$ER$25,0)),"")</f>
        <v>0</v>
      </c>
      <c r="E241" s="10">
        <f>IFERROR(INDEX('Perhitungan IPH Mingguan 2026'!$CO$6:$CO$25,MATCH(LARGE('Perhitungan IPH Mingguan 2026'!$ER$6:$ER$25,4),'Perhitungan IPH Mingguan 2026'!$ER$6:$ER$25,0)),"")</f>
        <v>0</v>
      </c>
      <c r="F241" s="9" t="str">
        <f>IF(ISNUMBER(E241),IF(E241&gt;0,"Penyumbang KENAIKAN IPH","Penyumbang PENURUNAN IPH"),"-")</f>
        <v>Penyumbang PENURUNAN IPH</v>
      </c>
    </row>
    <row r="242" spans="1:6" ht="15" customHeight="1" x14ac:dyDescent="0.35">
      <c r="A242" s="8">
        <v>5</v>
      </c>
      <c r="B242" s="9" t="str">
        <f>IFERROR(INDEX('Perhitungan IPH Mingguan 2026'!$B$6:$B$25,MATCH(LARGE('Perhitungan IPH Mingguan 2026'!$ER$6:$ER$25,5),'Perhitungan IPH Mingguan 2026'!$ER$6:$ER$25,0)),"-")</f>
        <v>telur ayam ras 01147002</v>
      </c>
      <c r="C242" s="10">
        <f>IFERROR(INDEX('Perhitungan IPH Mingguan 2026'!$C$6:$C$25,MATCH(LARGE('Perhitungan IPH Mingguan 2026'!$ER$6:$ER$25,5),'Perhitungan IPH Mingguan 2026'!$ER$6:$ER$25,0)),"")</f>
        <v>2.9877791079459301E-2</v>
      </c>
      <c r="D242" s="25">
        <f>IFERROR(INDEX('Perhitungan IPH Mingguan 2026'!$CN$6:$CN$25,MATCH(LARGE('Perhitungan IPH Mingguan 2026'!$ER$6:$ER$25,5),'Perhitungan IPH Mingguan 2026'!$ER$6:$ER$25,0)),"")</f>
        <v>-2.8511087645195352</v>
      </c>
      <c r="E242" s="10">
        <f>IFERROR(INDEX('Perhitungan IPH Mingguan 2026'!$CO$6:$CO$25,MATCH(LARGE('Perhitungan IPH Mingguan 2026'!$ER$6:$ER$25,5),'Perhitungan IPH Mingguan 2026'!$ER$6:$ER$25,0)),"")</f>
        <v>-8.5184832011130002E-2</v>
      </c>
      <c r="F242" s="9" t="str">
        <f>IF(ISNUMBER(E242),IF(E242&gt;0,"Penyumbang KENAIKAN IPH","Penyumbang PENURUNAN IPH"),"-")</f>
        <v>Penyumbang PENURUNAN IPH</v>
      </c>
    </row>
    <row r="244" spans="1:6" ht="15" customHeight="1" x14ac:dyDescent="0.35">
      <c r="A244" s="2" t="s">
        <v>245</v>
      </c>
      <c r="B244" s="2"/>
      <c r="C244" s="2"/>
      <c r="D244" s="2"/>
      <c r="E244" s="2"/>
      <c r="F244" s="2"/>
    </row>
    <row r="245" spans="1:6" ht="21.75" customHeight="1" x14ac:dyDescent="0.35">
      <c r="A245" s="6" t="s">
        <v>211</v>
      </c>
      <c r="B245" s="6" t="s">
        <v>212</v>
      </c>
      <c r="C245" s="6" t="s">
        <v>139</v>
      </c>
      <c r="D245" s="6" t="s">
        <v>213</v>
      </c>
      <c r="E245" s="6" t="s">
        <v>214</v>
      </c>
      <c r="F245" s="6" t="s">
        <v>215</v>
      </c>
    </row>
    <row r="246" spans="1:6" ht="15" customHeight="1" x14ac:dyDescent="0.35">
      <c r="A246" s="8">
        <v>1</v>
      </c>
      <c r="B246" s="9" t="str">
        <f>IFERROR(INDEX('Perhitungan IPH Mingguan 2026'!$B$6:$B$25,MATCH(LARGE('Perhitungan IPH Mingguan 2026'!$ES$6:$ES$25,1),'Perhitungan IPH Mingguan 2026'!$ES$6:$ES$25,0)),"-")</f>
        <v>daging ayam ras 1124003</v>
      </c>
      <c r="C246" s="10">
        <f>IFERROR(INDEX('Perhitungan IPH Mingguan 2026'!$C$6:$C$25,MATCH(LARGE('Perhitungan IPH Mingguan 2026'!$ES$6:$ES$25,1),'Perhitungan IPH Mingguan 2026'!$ES$6:$ES$25,0)),"")</f>
        <v>4.7910777785027697E-2</v>
      </c>
      <c r="D246" s="25">
        <f>IFERROR(INDEX('Perhitungan IPH Mingguan 2026'!$CQ$6:$CQ$25,MATCH(LARGE('Perhitungan IPH Mingguan 2026'!$ES$6:$ES$25,1),'Perhitungan IPH Mingguan 2026'!$ES$6:$ES$25,0)),"")</f>
        <v>-0.33222591362126247</v>
      </c>
      <c r="E246" s="10">
        <f>IFERROR(INDEX('Perhitungan IPH Mingguan 2026'!$CR$6:$CR$25,MATCH(LARGE('Perhitungan IPH Mingguan 2026'!$ES$6:$ES$25,1),'Perhitungan IPH Mingguan 2026'!$ES$6:$ES$25,0)),"")</f>
        <v>-1.5917201921936113E-2</v>
      </c>
      <c r="F246" s="9" t="str">
        <f>IF(ISNUMBER(E246),IF(E246&gt;0,"Penyumbang KENAIKAN IPH","Penyumbang PENURUNAN IPH"),"-")</f>
        <v>Penyumbang PENURUNAN IPH</v>
      </c>
    </row>
    <row r="247" spans="1:6" ht="15" customHeight="1" x14ac:dyDescent="0.35">
      <c r="A247" s="8">
        <v>2</v>
      </c>
      <c r="B247" s="9" t="str">
        <f>IFERROR(INDEX('Perhitungan IPH Mingguan 2026'!$B$6:$B$25,MATCH(LARGE('Perhitungan IPH Mingguan 2026'!$ES$6:$ES$25,2),'Perhitungan IPH Mingguan 2026'!$ES$6:$ES$25,0)),"-")</f>
        <v>cabai rawit 01173013</v>
      </c>
      <c r="C247" s="10">
        <f>IFERROR(INDEX('Perhitungan IPH Mingguan 2026'!$C$6:$C$25,MATCH(LARGE('Perhitungan IPH Mingguan 2026'!$ES$6:$ES$25,2),'Perhitungan IPH Mingguan 2026'!$ES$6:$ES$25,0)),"")</f>
        <v>1.7701732362870599E-2</v>
      </c>
      <c r="D247" s="25">
        <f>IFERROR(INDEX('Perhitungan IPH Mingguan 2026'!$CQ$6:$CQ$25,MATCH(LARGE('Perhitungan IPH Mingguan 2026'!$ES$6:$ES$25,2),'Perhitungan IPH Mingguan 2026'!$ES$6:$ES$25,0)),"")</f>
        <v>-20.844327176781004</v>
      </c>
      <c r="E247" s="10">
        <f>IFERROR(INDEX('Perhitungan IPH Mingguan 2026'!$CR$6:$CR$25,MATCH(LARGE('Perhitungan IPH Mingguan 2026'!$ES$6:$ES$25,2),'Perhitungan IPH Mingguan 2026'!$ES$6:$ES$25,0)),"")</f>
        <v>-0.36898070096748747</v>
      </c>
      <c r="F247" s="9" t="str">
        <f>IF(ISNUMBER(E247),IF(E247&gt;0,"Penyumbang KENAIKAN IPH","Penyumbang PENURUNAN IPH"),"-")</f>
        <v>Penyumbang PENURUNAN IPH</v>
      </c>
    </row>
    <row r="248" spans="1:6" ht="15" customHeight="1" x14ac:dyDescent="0.35">
      <c r="A248" s="8">
        <v>3</v>
      </c>
      <c r="B248" s="9" t="str">
        <f>IFERROR(INDEX('Perhitungan IPH Mingguan 2026'!$B$6:$B$25,MATCH(LARGE('Perhitungan IPH Mingguan 2026'!$ES$6:$ES$25,3),'Perhitungan IPH Mingguan 2026'!$ES$6:$ES$25,0)),"-")</f>
        <v>ikan kembung 01131028</v>
      </c>
      <c r="C248" s="10">
        <f>IFERROR(INDEX('Perhitungan IPH Mingguan 2026'!$C$6:$C$25,MATCH(LARGE('Perhitungan IPH Mingguan 2026'!$ES$6:$ES$25,3),'Perhitungan IPH Mingguan 2026'!$ES$6:$ES$25,0)),"")</f>
        <v>2.0771540916134899E-2</v>
      </c>
      <c r="D248" s="25">
        <f>IFERROR(INDEX('Perhitungan IPH Mingguan 2026'!$CQ$6:$CQ$25,MATCH(LARGE('Perhitungan IPH Mingguan 2026'!$ES$6:$ES$25,3),'Perhitungan IPH Mingguan 2026'!$ES$6:$ES$25,0)),"")</f>
        <v>0</v>
      </c>
      <c r="E248" s="10">
        <f>IFERROR(INDEX('Perhitungan IPH Mingguan 2026'!$CR$6:$CR$25,MATCH(LARGE('Perhitungan IPH Mingguan 2026'!$ES$6:$ES$25,3),'Perhitungan IPH Mingguan 2026'!$ES$6:$ES$25,0)),"")</f>
        <v>0</v>
      </c>
      <c r="F248" s="9" t="str">
        <f>IF(ISNUMBER(E248),IF(E248&gt;0,"Penyumbang KENAIKAN IPH","Penyumbang PENURUNAN IPH"),"-")</f>
        <v>Penyumbang PENURUNAN IPH</v>
      </c>
    </row>
    <row r="249" spans="1:6" ht="15" customHeight="1" x14ac:dyDescent="0.35">
      <c r="A249" s="8">
        <v>4</v>
      </c>
      <c r="B249" s="9" t="str">
        <f>IFERROR(INDEX('Perhitungan IPH Mingguan 2026'!$B$6:$B$25,MATCH(LARGE('Perhitungan IPH Mingguan 2026'!$ES$6:$ES$25,4),'Perhitungan IPH Mingguan 2026'!$ES$6:$ES$25,0)),"-")</f>
        <v>telur ayam ras 01147002</v>
      </c>
      <c r="C249" s="10">
        <f>IFERROR(INDEX('Perhitungan IPH Mingguan 2026'!$C$6:$C$25,MATCH(LARGE('Perhitungan IPH Mingguan 2026'!$ES$6:$ES$25,4),'Perhitungan IPH Mingguan 2026'!$ES$6:$ES$25,0)),"")</f>
        <v>2.9877791079459301E-2</v>
      </c>
      <c r="D249" s="25">
        <f>IFERROR(INDEX('Perhitungan IPH Mingguan 2026'!$CQ$6:$CQ$25,MATCH(LARGE('Perhitungan IPH Mingguan 2026'!$ES$6:$ES$25,4),'Perhitungan IPH Mingguan 2026'!$ES$6:$ES$25,0)),"")</f>
        <v>-4.9630411826821543</v>
      </c>
      <c r="E249" s="10">
        <f>IFERROR(INDEX('Perhitungan IPH Mingguan 2026'!$CR$6:$CR$25,MATCH(LARGE('Perhitungan IPH Mingguan 2026'!$ES$6:$ES$25,4),'Perhitungan IPH Mingguan 2026'!$ES$6:$ES$25,0)),"")</f>
        <v>-0.14828470757493001</v>
      </c>
      <c r="F249" s="9" t="str">
        <f>IF(ISNUMBER(E249),IF(E249&gt;0,"Penyumbang KENAIKAN IPH","Penyumbang PENURUNAN IPH"),"-")</f>
        <v>Penyumbang PENURUNAN IPH</v>
      </c>
    </row>
    <row r="250" spans="1:6" ht="15" customHeight="1" x14ac:dyDescent="0.35">
      <c r="A250" s="8">
        <v>5</v>
      </c>
      <c r="B250" s="9" t="str">
        <f>IFERROR(INDEX('Perhitungan IPH Mingguan 2026'!$B$6:$B$25,MATCH(LARGE('Perhitungan IPH Mingguan 2026'!$ES$6:$ES$25,5),'Perhitungan IPH Mingguan 2026'!$ES$6:$ES$25,0)),"-")</f>
        <v>minyak goreng 01154001/4</v>
      </c>
      <c r="C250" s="10">
        <f>IFERROR(INDEX('Perhitungan IPH Mingguan 2026'!$C$6:$C$25,MATCH(LARGE('Perhitungan IPH Mingguan 2026'!$ES$6:$ES$25,5),'Perhitungan IPH Mingguan 2026'!$ES$6:$ES$25,0)),"")</f>
        <v>4.5176622985638501E-2</v>
      </c>
      <c r="D250" s="25">
        <f>IFERROR(INDEX('Perhitungan IPH Mingguan 2026'!$CQ$6:$CQ$25,MATCH(LARGE('Perhitungan IPH Mingguan 2026'!$ES$6:$ES$25,5),'Perhitungan IPH Mingguan 2026'!$ES$6:$ES$25,0)),"")</f>
        <v>0</v>
      </c>
      <c r="E250" s="10">
        <f>IFERROR(INDEX('Perhitungan IPH Mingguan 2026'!$CR$6:$CR$25,MATCH(LARGE('Perhitungan IPH Mingguan 2026'!$ES$6:$ES$25,5),'Perhitungan IPH Mingguan 2026'!$ES$6:$ES$25,0)),"")</f>
        <v>0</v>
      </c>
      <c r="F250" s="9" t="str">
        <f>IF(ISNUMBER(E250),IF(E250&gt;0,"Penyumbang KENAIKAN IPH","Penyumbang PENURUNAN IPH"),"-")</f>
        <v>Penyumbang PENURUNAN IPH</v>
      </c>
    </row>
    <row r="252" spans="1:6" ht="15" customHeight="1" x14ac:dyDescent="0.35">
      <c r="A252" s="2" t="s">
        <v>246</v>
      </c>
      <c r="B252" s="2"/>
      <c r="C252" s="2"/>
      <c r="D252" s="2"/>
      <c r="E252" s="2"/>
      <c r="F252" s="2"/>
    </row>
    <row r="253" spans="1:6" ht="21.75" customHeight="1" x14ac:dyDescent="0.35">
      <c r="A253" s="6" t="s">
        <v>211</v>
      </c>
      <c r="B253" s="6" t="s">
        <v>212</v>
      </c>
      <c r="C253" s="6" t="s">
        <v>139</v>
      </c>
      <c r="D253" s="6" t="s">
        <v>213</v>
      </c>
      <c r="E253" s="6" t="s">
        <v>214</v>
      </c>
      <c r="F253" s="6" t="s">
        <v>215</v>
      </c>
    </row>
    <row r="254" spans="1:6" ht="15" customHeight="1" x14ac:dyDescent="0.35">
      <c r="A254" s="8">
        <v>1</v>
      </c>
      <c r="B254" s="9" t="str">
        <f>IFERROR(INDEX('Perhitungan IPH Mingguan 2026'!$B$6:$B$25,MATCH(LARGE('Perhitungan IPH Mingguan 2026'!$ET$6:$ET$25,1),'Perhitungan IPH Mingguan 2026'!$ET$6:$ET$25,0)),"-")</f>
        <v>daging ayam ras 1124003</v>
      </c>
      <c r="C254" s="10">
        <f>IFERROR(INDEX('Perhitungan IPH Mingguan 2026'!$C$6:$C$25,MATCH(LARGE('Perhitungan IPH Mingguan 2026'!$ET$6:$ET$25,1),'Perhitungan IPH Mingguan 2026'!$ET$6:$ET$25,0)),"")</f>
        <v>4.7910777785027697E-2</v>
      </c>
      <c r="D254" s="25">
        <f>IFERROR(INDEX('Perhitungan IPH Mingguan 2026'!$CT$6:$CT$25,MATCH(LARGE('Perhitungan IPH Mingguan 2026'!$ET$6:$ET$25,1),'Perhitungan IPH Mingguan 2026'!$ET$6:$ET$25,0)),"")</f>
        <v>-0.33222591362126247</v>
      </c>
      <c r="E254" s="10">
        <f>IFERROR(INDEX('Perhitungan IPH Mingguan 2026'!$CU$6:$CU$25,MATCH(LARGE('Perhitungan IPH Mingguan 2026'!$ET$6:$ET$25,1),'Perhitungan IPH Mingguan 2026'!$ET$6:$ET$25,0)),"")</f>
        <v>-1.5917201921936113E-2</v>
      </c>
      <c r="F254" s="9" t="str">
        <f>IF(ISNUMBER(E254),IF(E254&gt;0,"Penyumbang KENAIKAN IPH","Penyumbang PENURUNAN IPH"),"-")</f>
        <v>Penyumbang PENURUNAN IPH</v>
      </c>
    </row>
    <row r="255" spans="1:6" ht="15" customHeight="1" x14ac:dyDescent="0.35">
      <c r="A255" s="8">
        <v>2</v>
      </c>
      <c r="B255" s="9" t="str">
        <f>IFERROR(INDEX('Perhitungan IPH Mingguan 2026'!$B$6:$B$25,MATCH(LARGE('Perhitungan IPH Mingguan 2026'!$ET$6:$ET$25,2),'Perhitungan IPH Mingguan 2026'!$ET$6:$ET$25,0)),"-")</f>
        <v>cabai rawit 01173013</v>
      </c>
      <c r="C255" s="10">
        <f>IFERROR(INDEX('Perhitungan IPH Mingguan 2026'!$C$6:$C$25,MATCH(LARGE('Perhitungan IPH Mingguan 2026'!$ET$6:$ET$25,2),'Perhitungan IPH Mingguan 2026'!$ET$6:$ET$25,0)),"")</f>
        <v>1.7701732362870599E-2</v>
      </c>
      <c r="D255" s="25">
        <f>IFERROR(INDEX('Perhitungan IPH Mingguan 2026'!$CT$6:$CT$25,MATCH(LARGE('Perhitungan IPH Mingguan 2026'!$ET$6:$ET$25,2),'Perhitungan IPH Mingguan 2026'!$ET$6:$ET$25,0)),"")</f>
        <v>-20.844327176781004</v>
      </c>
      <c r="E255" s="10">
        <f>IFERROR(INDEX('Perhitungan IPH Mingguan 2026'!$CU$6:$CU$25,MATCH(LARGE('Perhitungan IPH Mingguan 2026'!$ET$6:$ET$25,2),'Perhitungan IPH Mingguan 2026'!$ET$6:$ET$25,0)),"")</f>
        <v>-0.36898070096748747</v>
      </c>
      <c r="F255" s="9" t="str">
        <f>IF(ISNUMBER(E255),IF(E255&gt;0,"Penyumbang KENAIKAN IPH","Penyumbang PENURUNAN IPH"),"-")</f>
        <v>Penyumbang PENURUNAN IPH</v>
      </c>
    </row>
    <row r="256" spans="1:6" ht="15" customHeight="1" x14ac:dyDescent="0.35">
      <c r="A256" s="8">
        <v>3</v>
      </c>
      <c r="B256" s="9" t="str">
        <f>IFERROR(INDEX('Perhitungan IPH Mingguan 2026'!$B$6:$B$25,MATCH(LARGE('Perhitungan IPH Mingguan 2026'!$ET$6:$ET$25,3),'Perhitungan IPH Mingguan 2026'!$ET$6:$ET$25,0)),"-")</f>
        <v>ikan kembung 01131028</v>
      </c>
      <c r="C256" s="10">
        <f>IFERROR(INDEX('Perhitungan IPH Mingguan 2026'!$C$6:$C$25,MATCH(LARGE('Perhitungan IPH Mingguan 2026'!$ET$6:$ET$25,3),'Perhitungan IPH Mingguan 2026'!$ET$6:$ET$25,0)),"")</f>
        <v>2.0771540916134899E-2</v>
      </c>
      <c r="D256" s="25">
        <f>IFERROR(INDEX('Perhitungan IPH Mingguan 2026'!$CT$6:$CT$25,MATCH(LARGE('Perhitungan IPH Mingguan 2026'!$ET$6:$ET$25,3),'Perhitungan IPH Mingguan 2026'!$ET$6:$ET$25,0)),"")</f>
        <v>0</v>
      </c>
      <c r="E256" s="10">
        <f>IFERROR(INDEX('Perhitungan IPH Mingguan 2026'!$CU$6:$CU$25,MATCH(LARGE('Perhitungan IPH Mingguan 2026'!$ET$6:$ET$25,3),'Perhitungan IPH Mingguan 2026'!$ET$6:$ET$25,0)),"")</f>
        <v>0</v>
      </c>
      <c r="F256" s="9" t="str">
        <f>IF(ISNUMBER(E256),IF(E256&gt;0,"Penyumbang KENAIKAN IPH","Penyumbang PENURUNAN IPH"),"-")</f>
        <v>Penyumbang PENURUNAN IPH</v>
      </c>
    </row>
    <row r="257" spans="1:6" ht="15" customHeight="1" x14ac:dyDescent="0.35">
      <c r="A257" s="8">
        <v>4</v>
      </c>
      <c r="B257" s="9" t="str">
        <f>IFERROR(INDEX('Perhitungan IPH Mingguan 2026'!$B$6:$B$25,MATCH(LARGE('Perhitungan IPH Mingguan 2026'!$ET$6:$ET$25,4),'Perhitungan IPH Mingguan 2026'!$ET$6:$ET$25,0)),"-")</f>
        <v>telur ayam ras 01147002</v>
      </c>
      <c r="C257" s="10">
        <f>IFERROR(INDEX('Perhitungan IPH Mingguan 2026'!$C$6:$C$25,MATCH(LARGE('Perhitungan IPH Mingguan 2026'!$ET$6:$ET$25,4),'Perhitungan IPH Mingguan 2026'!$ET$6:$ET$25,0)),"")</f>
        <v>2.9877791079459301E-2</v>
      </c>
      <c r="D257" s="25">
        <f>IFERROR(INDEX('Perhitungan IPH Mingguan 2026'!$CT$6:$CT$25,MATCH(LARGE('Perhitungan IPH Mingguan 2026'!$ET$6:$ET$25,4),'Perhitungan IPH Mingguan 2026'!$ET$6:$ET$25,0)),"")</f>
        <v>-4.9630411826821543</v>
      </c>
      <c r="E257" s="10">
        <f>IFERROR(INDEX('Perhitungan IPH Mingguan 2026'!$CU$6:$CU$25,MATCH(LARGE('Perhitungan IPH Mingguan 2026'!$ET$6:$ET$25,4),'Perhitungan IPH Mingguan 2026'!$ET$6:$ET$25,0)),"")</f>
        <v>-0.14828470757493001</v>
      </c>
      <c r="F257" s="9" t="str">
        <f>IF(ISNUMBER(E257),IF(E257&gt;0,"Penyumbang KENAIKAN IPH","Penyumbang PENURUNAN IPH"),"-")</f>
        <v>Penyumbang PENURUNAN IPH</v>
      </c>
    </row>
    <row r="258" spans="1:6" ht="15" customHeight="1" x14ac:dyDescent="0.35">
      <c r="A258" s="8">
        <v>5</v>
      </c>
      <c r="B258" s="9" t="str">
        <f>IFERROR(INDEX('Perhitungan IPH Mingguan 2026'!$B$6:$B$25,MATCH(LARGE('Perhitungan IPH Mingguan 2026'!$ET$6:$ET$25,5),'Perhitungan IPH Mingguan 2026'!$ET$6:$ET$25,0)),"-")</f>
        <v>minyak goreng 01154001/4</v>
      </c>
      <c r="C258" s="10">
        <f>IFERROR(INDEX('Perhitungan IPH Mingguan 2026'!$C$6:$C$25,MATCH(LARGE('Perhitungan IPH Mingguan 2026'!$ET$6:$ET$25,5),'Perhitungan IPH Mingguan 2026'!$ET$6:$ET$25,0)),"")</f>
        <v>4.5176622985638501E-2</v>
      </c>
      <c r="D258" s="25">
        <f>IFERROR(INDEX('Perhitungan IPH Mingguan 2026'!$CT$6:$CT$25,MATCH(LARGE('Perhitungan IPH Mingguan 2026'!$ET$6:$ET$25,5),'Perhitungan IPH Mingguan 2026'!$ET$6:$ET$25,0)),"")</f>
        <v>0</v>
      </c>
      <c r="E258" s="10">
        <f>IFERROR(INDEX('Perhitungan IPH Mingguan 2026'!$CU$6:$CU$25,MATCH(LARGE('Perhitungan IPH Mingguan 2026'!$ET$6:$ET$25,5),'Perhitungan IPH Mingguan 2026'!$ET$6:$ET$25,0)),"")</f>
        <v>0</v>
      </c>
      <c r="F258" s="9" t="str">
        <f>IF(ISNUMBER(E258),IF(E258&gt;0,"Penyumbang KENAIKAN IPH","Penyumbang PENURUNAN IPH"),"-")</f>
        <v>Penyumbang PENURUNAN IPH</v>
      </c>
    </row>
    <row r="260" spans="1:6" ht="15" customHeight="1" x14ac:dyDescent="0.35">
      <c r="A260" s="2" t="s">
        <v>247</v>
      </c>
      <c r="B260" s="2"/>
      <c r="C260" s="2"/>
      <c r="D260" s="2"/>
      <c r="E260" s="2"/>
      <c r="F260" s="2"/>
    </row>
    <row r="261" spans="1:6" ht="21.75" customHeight="1" x14ac:dyDescent="0.35">
      <c r="A261" s="6" t="s">
        <v>211</v>
      </c>
      <c r="B261" s="6" t="s">
        <v>212</v>
      </c>
      <c r="C261" s="6" t="s">
        <v>139</v>
      </c>
      <c r="D261" s="6" t="s">
        <v>213</v>
      </c>
      <c r="E261" s="6" t="s">
        <v>214</v>
      </c>
      <c r="F261" s="6" t="s">
        <v>215</v>
      </c>
    </row>
    <row r="262" spans="1:6" ht="15" customHeight="1" x14ac:dyDescent="0.35">
      <c r="A262" s="8">
        <v>1</v>
      </c>
      <c r="B262" s="9" t="str">
        <f>IFERROR(INDEX('Perhitungan IPH Mingguan 2026'!$B$6:$B$25,MATCH(LARGE('Perhitungan IPH Mingguan 2026'!$EU$6:$EU$25,1),'Perhitungan IPH Mingguan 2026'!$EU$6:$EU$25,0)),"-")</f>
        <v>daging ayam ras 1124003</v>
      </c>
      <c r="C262" s="10">
        <f>IFERROR(INDEX('Perhitungan IPH Mingguan 2026'!$C$6:$C$25,MATCH(LARGE('Perhitungan IPH Mingguan 2026'!$EU$6:$EU$25,1),'Perhitungan IPH Mingguan 2026'!$EU$6:$EU$25,0)),"")</f>
        <v>4.7910777785027697E-2</v>
      </c>
      <c r="D262" s="25">
        <f>IFERROR(INDEX('Perhitungan IPH Mingguan 2026'!$CW$6:$CW$25,MATCH(LARGE('Perhitungan IPH Mingguan 2026'!$EU$6:$EU$25,1),'Perhitungan IPH Mingguan 2026'!$EU$6:$EU$25,0)),"")</f>
        <v>0.99667774086378735</v>
      </c>
      <c r="E262" s="10">
        <f>IFERROR(INDEX('Perhitungan IPH Mingguan 2026'!$CX$6:$CX$25,MATCH(LARGE('Perhitungan IPH Mingguan 2026'!$EU$6:$EU$25,1),'Perhitungan IPH Mingguan 2026'!$EU$6:$EU$25,0)),"")</f>
        <v>4.7751605765808336E-2</v>
      </c>
      <c r="F262" s="9" t="str">
        <f>IF(ISNUMBER(E262),IF(E262&gt;0,"Penyumbang KENAIKAN IPH","Penyumbang PENURUNAN IPH"),"-")</f>
        <v>Penyumbang KENAIKAN IPH</v>
      </c>
    </row>
    <row r="263" spans="1:6" ht="15" customHeight="1" x14ac:dyDescent="0.35">
      <c r="A263" s="8">
        <v>2</v>
      </c>
      <c r="B263" s="9" t="str">
        <f>IFERROR(INDEX('Perhitungan IPH Mingguan 2026'!$B$6:$B$25,MATCH(LARGE('Perhitungan IPH Mingguan 2026'!$EU$6:$EU$25,2),'Perhitungan IPH Mingguan 2026'!$EU$6:$EU$25,0)),"-")</f>
        <v>cabai rawit 01173013</v>
      </c>
      <c r="C263" s="10">
        <f>IFERROR(INDEX('Perhitungan IPH Mingguan 2026'!$C$6:$C$25,MATCH(LARGE('Perhitungan IPH Mingguan 2026'!$EU$6:$EU$25,2),'Perhitungan IPH Mingguan 2026'!$EU$6:$EU$25,0)),"")</f>
        <v>1.7701732362870599E-2</v>
      </c>
      <c r="D263" s="25">
        <f>IFERROR(INDEX('Perhitungan IPH Mingguan 2026'!$CW$6:$CW$25,MATCH(LARGE('Perhitungan IPH Mingguan 2026'!$EU$6:$EU$25,2),'Perhitungan IPH Mingguan 2026'!$EU$6:$EU$25,0)),"")</f>
        <v>-22.603342128408091</v>
      </c>
      <c r="E263" s="10">
        <f>IFERROR(INDEX('Perhitungan IPH Mingguan 2026'!$CX$6:$CX$25,MATCH(LARGE('Perhitungan IPH Mingguan 2026'!$EU$6:$EU$25,2),'Perhitungan IPH Mingguan 2026'!$EU$6:$EU$25,0)),"")</f>
        <v>-0.40011831286347793</v>
      </c>
      <c r="F263" s="9" t="str">
        <f>IF(ISNUMBER(E263),IF(E263&gt;0,"Penyumbang KENAIKAN IPH","Penyumbang PENURUNAN IPH"),"-")</f>
        <v>Penyumbang PENURUNAN IPH</v>
      </c>
    </row>
    <row r="264" spans="1:6" ht="15" customHeight="1" x14ac:dyDescent="0.35">
      <c r="A264" s="8">
        <v>3</v>
      </c>
      <c r="B264" s="9" t="str">
        <f>IFERROR(INDEX('Perhitungan IPH Mingguan 2026'!$B$6:$B$25,MATCH(LARGE('Perhitungan IPH Mingguan 2026'!$EU$6:$EU$25,3),'Perhitungan IPH Mingguan 2026'!$EU$6:$EU$25,0)),"-")</f>
        <v>beras 1111001</v>
      </c>
      <c r="C264" s="10">
        <f>IFERROR(INDEX('Perhitungan IPH Mingguan 2026'!$C$6:$C$25,MATCH(LARGE('Perhitungan IPH Mingguan 2026'!$EU$6:$EU$25,3),'Perhitungan IPH Mingguan 2026'!$EU$6:$EU$25,0)),"")</f>
        <v>0.12508905675934601</v>
      </c>
      <c r="D264" s="25">
        <f>IFERROR(INDEX('Perhitungan IPH Mingguan 2026'!$CW$6:$CW$25,MATCH(LARGE('Perhitungan IPH Mingguan 2026'!$EU$6:$EU$25,3),'Perhitungan IPH Mingguan 2026'!$EU$6:$EU$25,0)),"")</f>
        <v>-0.18101887768296307</v>
      </c>
      <c r="E264" s="10">
        <f>IFERROR(INDEX('Perhitungan IPH Mingguan 2026'!$CX$6:$CX$25,MATCH(LARGE('Perhitungan IPH Mingguan 2026'!$EU$6:$EU$25,3),'Perhitungan IPH Mingguan 2026'!$EU$6:$EU$25,0)),"")</f>
        <v>-2.264348066499728E-2</v>
      </c>
      <c r="F264" s="9" t="str">
        <f>IF(ISNUMBER(E264),IF(E264&gt;0,"Penyumbang KENAIKAN IPH","Penyumbang PENURUNAN IPH"),"-")</f>
        <v>Penyumbang PENURUNAN IPH</v>
      </c>
    </row>
    <row r="265" spans="1:6" ht="15" customHeight="1" x14ac:dyDescent="0.35">
      <c r="A265" s="8">
        <v>4</v>
      </c>
      <c r="B265" s="9" t="str">
        <f>IFERROR(INDEX('Perhitungan IPH Mingguan 2026'!$B$6:$B$25,MATCH(LARGE('Perhitungan IPH Mingguan 2026'!$EU$6:$EU$25,4),'Perhitungan IPH Mingguan 2026'!$EU$6:$EU$25,0)),"-")</f>
        <v>ikan kembung 01131028</v>
      </c>
      <c r="C265" s="10">
        <f>IFERROR(INDEX('Perhitungan IPH Mingguan 2026'!$C$6:$C$25,MATCH(LARGE('Perhitungan IPH Mingguan 2026'!$EU$6:$EU$25,4),'Perhitungan IPH Mingguan 2026'!$EU$6:$EU$25,0)),"")</f>
        <v>2.0771540916134899E-2</v>
      </c>
      <c r="D265" s="25">
        <f>IFERROR(INDEX('Perhitungan IPH Mingguan 2026'!$CW$6:$CW$25,MATCH(LARGE('Perhitungan IPH Mingguan 2026'!$EU$6:$EU$25,4),'Perhitungan IPH Mingguan 2026'!$EU$6:$EU$25,0)),"")</f>
        <v>0</v>
      </c>
      <c r="E265" s="10">
        <f>IFERROR(INDEX('Perhitungan IPH Mingguan 2026'!$CX$6:$CX$25,MATCH(LARGE('Perhitungan IPH Mingguan 2026'!$EU$6:$EU$25,4),'Perhitungan IPH Mingguan 2026'!$EU$6:$EU$25,0)),"")</f>
        <v>0</v>
      </c>
      <c r="F265" s="9" t="str">
        <f>IF(ISNUMBER(E265),IF(E265&gt;0,"Penyumbang KENAIKAN IPH","Penyumbang PENURUNAN IPH"),"-")</f>
        <v>Penyumbang PENURUNAN IPH</v>
      </c>
    </row>
    <row r="266" spans="1:6" ht="15" customHeight="1" x14ac:dyDescent="0.35">
      <c r="A266" s="8">
        <v>5</v>
      </c>
      <c r="B266" s="9" t="str">
        <f>IFERROR(INDEX('Perhitungan IPH Mingguan 2026'!$B$6:$B$25,MATCH(LARGE('Perhitungan IPH Mingguan 2026'!$EU$6:$EU$25,5),'Perhitungan IPH Mingguan 2026'!$EU$6:$EU$25,0)),"-")</f>
        <v>telur ayam ras 01147002</v>
      </c>
      <c r="C266" s="10">
        <f>IFERROR(INDEX('Perhitungan IPH Mingguan 2026'!$C$6:$C$25,MATCH(LARGE('Perhitungan IPH Mingguan 2026'!$EU$6:$EU$25,5),'Perhitungan IPH Mingguan 2026'!$EU$6:$EU$25,0)),"")</f>
        <v>2.9877791079459301E-2</v>
      </c>
      <c r="D266" s="25">
        <f>IFERROR(INDEX('Perhitungan IPH Mingguan 2026'!$CW$6:$CW$25,MATCH(LARGE('Perhitungan IPH Mingguan 2026'!$EU$6:$EU$25,5),'Perhitungan IPH Mingguan 2026'!$EU$6:$EU$25,0)),"")</f>
        <v>-3.6958817317845831</v>
      </c>
      <c r="E266" s="10">
        <f>IFERROR(INDEX('Perhitungan IPH Mingguan 2026'!$CX$6:$CX$25,MATCH(LARGE('Perhitungan IPH Mingguan 2026'!$EU$6:$EU$25,5),'Perhitungan IPH Mingguan 2026'!$EU$6:$EU$25,0)),"")</f>
        <v>-0.11042478223665</v>
      </c>
      <c r="F266" s="9" t="str">
        <f>IF(ISNUMBER(E266),IF(E266&gt;0,"Penyumbang KENAIKAN IPH","Penyumbang PENURUNAN IPH"),"-")</f>
        <v>Penyumbang PENURUNAN IPH</v>
      </c>
    </row>
    <row r="268" spans="1:6" ht="15" customHeight="1" x14ac:dyDescent="0.35">
      <c r="A268" s="2" t="s">
        <v>248</v>
      </c>
      <c r="B268" s="2"/>
      <c r="C268" s="2"/>
      <c r="D268" s="2"/>
      <c r="E268" s="2"/>
      <c r="F268" s="2"/>
    </row>
    <row r="269" spans="1:6" ht="21.75" customHeight="1" x14ac:dyDescent="0.35">
      <c r="A269" s="6" t="s">
        <v>211</v>
      </c>
      <c r="B269" s="6" t="s">
        <v>212</v>
      </c>
      <c r="C269" s="6" t="s">
        <v>139</v>
      </c>
      <c r="D269" s="6" t="s">
        <v>213</v>
      </c>
      <c r="E269" s="6" t="s">
        <v>214</v>
      </c>
      <c r="F269" s="6" t="s">
        <v>215</v>
      </c>
    </row>
    <row r="270" spans="1:6" ht="15" customHeight="1" x14ac:dyDescent="0.35">
      <c r="A270" s="8">
        <v>1</v>
      </c>
      <c r="B270" s="9" t="str">
        <f>IFERROR(INDEX('Perhitungan IPH Mingguan 2026'!$B$6:$B$25,MATCH(LARGE('Perhitungan IPH Mingguan 2026'!$EV$6:$EV$25,1),'Perhitungan IPH Mingguan 2026'!$EV$6:$EV$25,0)),"-")</f>
        <v>cabai rawit 01173013</v>
      </c>
      <c r="C270" s="10">
        <f>IFERROR(INDEX('Perhitungan IPH Mingguan 2026'!$C$6:$C$25,MATCH(LARGE('Perhitungan IPH Mingguan 2026'!$EV$6:$EV$25,1),'Perhitungan IPH Mingguan 2026'!$EV$6:$EV$25,0)),"")</f>
        <v>1.7701732362870599E-2</v>
      </c>
      <c r="D270" s="25">
        <f>IFERROR(INDEX('Perhitungan IPH Mingguan 2026'!$CZ$6:$CZ$25,MATCH(LARGE('Perhitungan IPH Mingguan 2026'!$EV$6:$EV$25,1),'Perhitungan IPH Mingguan 2026'!$EV$6:$EV$25,0)),"")</f>
        <v>-27.528583992963938</v>
      </c>
      <c r="E270" s="10">
        <f>IFERROR(INDEX('Perhitungan IPH Mingguan 2026'!$DA$6:$DA$25,MATCH(LARGE('Perhitungan IPH Mingguan 2026'!$EV$6:$EV$25,1),'Perhitungan IPH Mingguan 2026'!$EV$6:$EV$25,0)),"")</f>
        <v>-0.48730362617225131</v>
      </c>
      <c r="F270" s="9" t="str">
        <f>IF(ISNUMBER(E270),IF(E270&gt;0,"Penyumbang KENAIKAN IPH","Penyumbang PENURUNAN IPH"),"-")</f>
        <v>Penyumbang PENURUNAN IPH</v>
      </c>
    </row>
    <row r="271" spans="1:6" ht="15" customHeight="1" x14ac:dyDescent="0.35">
      <c r="A271" s="8">
        <v>2</v>
      </c>
      <c r="B271" s="9" t="str">
        <f>IFERROR(INDEX('Perhitungan IPH Mingguan 2026'!$B$6:$B$25,MATCH(LARGE('Perhitungan IPH Mingguan 2026'!$EV$6:$EV$25,2),'Perhitungan IPH Mingguan 2026'!$EV$6:$EV$25,0)),"-")</f>
        <v>daging ayam ras 1124003</v>
      </c>
      <c r="C271" s="10">
        <f>IFERROR(INDEX('Perhitungan IPH Mingguan 2026'!$C$6:$C$25,MATCH(LARGE('Perhitungan IPH Mingguan 2026'!$EV$6:$EV$25,2),'Perhitungan IPH Mingguan 2026'!$EV$6:$EV$25,0)),"")</f>
        <v>4.7910777785027697E-2</v>
      </c>
      <c r="D271" s="25">
        <f>IFERROR(INDEX('Perhitungan IPH Mingguan 2026'!$CZ$6:$CZ$25,MATCH(LARGE('Perhitungan IPH Mingguan 2026'!$EV$6:$EV$25,2),'Perhitungan IPH Mingguan 2026'!$EV$6:$EV$25,0)),"")</f>
        <v>10.299003322259136</v>
      </c>
      <c r="E271" s="10">
        <f>IFERROR(INDEX('Perhitungan IPH Mingguan 2026'!$DA$6:$DA$25,MATCH(LARGE('Perhitungan IPH Mingguan 2026'!$EV$6:$EV$25,2),'Perhitungan IPH Mingguan 2026'!$EV$6:$EV$25,0)),"")</f>
        <v>0.49343325958001943</v>
      </c>
      <c r="F271" s="9" t="str">
        <f>IF(ISNUMBER(E271),IF(E271&gt;0,"Penyumbang KENAIKAN IPH","Penyumbang PENURUNAN IPH"),"-")</f>
        <v>Penyumbang KENAIKAN IPH</v>
      </c>
    </row>
    <row r="272" spans="1:6" ht="15" customHeight="1" x14ac:dyDescent="0.35">
      <c r="A272" s="8">
        <v>3</v>
      </c>
      <c r="B272" s="9" t="str">
        <f>IFERROR(INDEX('Perhitungan IPH Mingguan 2026'!$B$6:$B$25,MATCH(LARGE('Perhitungan IPH Mingguan 2026'!$EV$6:$EV$25,3),'Perhitungan IPH Mingguan 2026'!$EV$6:$EV$25,0)),"-")</f>
        <v>beras 1111001</v>
      </c>
      <c r="C272" s="10">
        <f>IFERROR(INDEX('Perhitungan IPH Mingguan 2026'!$C$6:$C$25,MATCH(LARGE('Perhitungan IPH Mingguan 2026'!$EV$6:$EV$25,3),'Perhitungan IPH Mingguan 2026'!$EV$6:$EV$25,0)),"")</f>
        <v>0.12508905675934601</v>
      </c>
      <c r="D272" s="25">
        <f>IFERROR(INDEX('Perhitungan IPH Mingguan 2026'!$CZ$6:$CZ$25,MATCH(LARGE('Perhitungan IPH Mingguan 2026'!$EV$6:$EV$25,3),'Perhitungan IPH Mingguan 2026'!$EV$6:$EV$25,0)),"")</f>
        <v>-0.18101887768296307</v>
      </c>
      <c r="E272" s="10">
        <f>IFERROR(INDEX('Perhitungan IPH Mingguan 2026'!$DA$6:$DA$25,MATCH(LARGE('Perhitungan IPH Mingguan 2026'!$EV$6:$EV$25,3),'Perhitungan IPH Mingguan 2026'!$EV$6:$EV$25,0)),"")</f>
        <v>-2.264348066499728E-2</v>
      </c>
      <c r="F272" s="9" t="str">
        <f>IF(ISNUMBER(E272),IF(E272&gt;0,"Penyumbang KENAIKAN IPH","Penyumbang PENURUNAN IPH"),"-")</f>
        <v>Penyumbang PENURUNAN IPH</v>
      </c>
    </row>
    <row r="273" spans="1:6" ht="15" customHeight="1" x14ac:dyDescent="0.35">
      <c r="A273" s="8">
        <v>4</v>
      </c>
      <c r="B273" s="9" t="str">
        <f>IFERROR(INDEX('Perhitungan IPH Mingguan 2026'!$B$6:$B$25,MATCH(LARGE('Perhitungan IPH Mingguan 2026'!$EV$6:$EV$25,4),'Perhitungan IPH Mingguan 2026'!$EV$6:$EV$25,0)),"-")</f>
        <v>telur ayam ras 01147002</v>
      </c>
      <c r="C273" s="10">
        <f>IFERROR(INDEX('Perhitungan IPH Mingguan 2026'!$C$6:$C$25,MATCH(LARGE('Perhitungan IPH Mingguan 2026'!$EV$6:$EV$25,4),'Perhitungan IPH Mingguan 2026'!$EV$6:$EV$25,0)),"")</f>
        <v>2.9877791079459301E-2</v>
      </c>
      <c r="D273" s="25">
        <f>IFERROR(INDEX('Perhitungan IPH Mingguan 2026'!$CZ$6:$CZ$25,MATCH(LARGE('Perhitungan IPH Mingguan 2026'!$EV$6:$EV$25,4),'Perhitungan IPH Mingguan 2026'!$EV$6:$EV$25,0)),"")</f>
        <v>-2.4287222808870119</v>
      </c>
      <c r="E273" s="10">
        <f>IFERROR(INDEX('Perhitungan IPH Mingguan 2026'!$DA$6:$DA$25,MATCH(LARGE('Perhitungan IPH Mingguan 2026'!$EV$6:$EV$25,4),'Perhitungan IPH Mingguan 2026'!$EV$6:$EV$25,0)),"")</f>
        <v>-7.2564856898370014E-2</v>
      </c>
      <c r="F273" s="9" t="str">
        <f>IF(ISNUMBER(E273),IF(E273&gt;0,"Penyumbang KENAIKAN IPH","Penyumbang PENURUNAN IPH"),"-")</f>
        <v>Penyumbang PENURUNAN IPH</v>
      </c>
    </row>
    <row r="274" spans="1:6" ht="15" customHeight="1" x14ac:dyDescent="0.35">
      <c r="A274" s="8">
        <v>5</v>
      </c>
      <c r="B274" s="9" t="str">
        <f>IFERROR(INDEX('Perhitungan IPH Mingguan 2026'!$B$6:$B$25,MATCH(LARGE('Perhitungan IPH Mingguan 2026'!$EV$6:$EV$25,5),'Perhitungan IPH Mingguan 2026'!$EV$6:$EV$25,0)),"-")</f>
        <v>ikan kembung 01131028</v>
      </c>
      <c r="C274" s="10">
        <f>IFERROR(INDEX('Perhitungan IPH Mingguan 2026'!$C$6:$C$25,MATCH(LARGE('Perhitungan IPH Mingguan 2026'!$EV$6:$EV$25,5),'Perhitungan IPH Mingguan 2026'!$EV$6:$EV$25,0)),"")</f>
        <v>2.0771540916134899E-2</v>
      </c>
      <c r="D274" s="25">
        <f>IFERROR(INDEX('Perhitungan IPH Mingguan 2026'!$CZ$6:$CZ$25,MATCH(LARGE('Perhitungan IPH Mingguan 2026'!$EV$6:$EV$25,5),'Perhitungan IPH Mingguan 2026'!$EV$6:$EV$25,0)),"")</f>
        <v>0</v>
      </c>
      <c r="E274" s="10">
        <f>IFERROR(INDEX('Perhitungan IPH Mingguan 2026'!$DA$6:$DA$25,MATCH(LARGE('Perhitungan IPH Mingguan 2026'!$EV$6:$EV$25,5),'Perhitungan IPH Mingguan 2026'!$EV$6:$EV$25,0)),"")</f>
        <v>0</v>
      </c>
      <c r="F274" s="9" t="str">
        <f>IF(ISNUMBER(E274),IF(E274&gt;0,"Penyumbang KENAIKAN IPH","Penyumbang PENURUNAN IPH"),"-")</f>
        <v>Penyumbang PENURUNAN IPH</v>
      </c>
    </row>
    <row r="276" spans="1:6" ht="15" customHeight="1" x14ac:dyDescent="0.35">
      <c r="A276" s="2" t="s">
        <v>249</v>
      </c>
      <c r="B276" s="2"/>
      <c r="C276" s="2"/>
      <c r="D276" s="2"/>
      <c r="E276" s="2"/>
      <c r="F276" s="2"/>
    </row>
    <row r="277" spans="1:6" ht="21.75" customHeight="1" x14ac:dyDescent="0.35">
      <c r="A277" s="6" t="s">
        <v>211</v>
      </c>
      <c r="B277" s="6" t="s">
        <v>212</v>
      </c>
      <c r="C277" s="6" t="s">
        <v>139</v>
      </c>
      <c r="D277" s="6" t="s">
        <v>213</v>
      </c>
      <c r="E277" s="6" t="s">
        <v>214</v>
      </c>
      <c r="F277" s="6" t="s">
        <v>215</v>
      </c>
    </row>
    <row r="278" spans="1:6" ht="15" customHeight="1" x14ac:dyDescent="0.35">
      <c r="A278" s="8">
        <v>1</v>
      </c>
      <c r="B278" s="9" t="str">
        <f>IFERROR(INDEX('Perhitungan IPH Mingguan 2026'!$B$6:$B$25,MATCH(LARGE('Perhitungan IPH Mingguan 2026'!$EW$6:$EW$25,1),'Perhitungan IPH Mingguan 2026'!$EW$6:$EW$25,0)),"-")</f>
        <v>beras 1111001</v>
      </c>
      <c r="C278" s="10">
        <f>IFERROR(INDEX('Perhitungan IPH Mingguan 2026'!$C$6:$C$25,MATCH(LARGE('Perhitungan IPH Mingguan 2026'!$EW$6:$EW$25,1),'Perhitungan IPH Mingguan 2026'!$EW$6:$EW$25,0)),"")</f>
        <v>0.12508905675934601</v>
      </c>
      <c r="D278" s="25">
        <f>IFERROR(INDEX('Perhitungan IPH Mingguan 2026'!$DC$6:$DC$25,MATCH(LARGE('Perhitungan IPH Mingguan 2026'!$EW$6:$EW$25,1),'Perhitungan IPH Mingguan 2026'!$EW$6:$EW$25,0)),"")</f>
        <v>0</v>
      </c>
      <c r="E278" s="10">
        <f>IFERROR(INDEX('Perhitungan IPH Mingguan 2026'!$DD$6:$DD$25,MATCH(LARGE('Perhitungan IPH Mingguan 2026'!$EW$6:$EW$25,1),'Perhitungan IPH Mingguan 2026'!$EW$6:$EW$25,0)),"")</f>
        <v>0</v>
      </c>
      <c r="F278" s="9" t="str">
        <f>IF(ISNUMBER(E278),IF(E278&gt;0,"Penyumbang KENAIKAN IPH","Penyumbang PENURUNAN IPH"),"-")</f>
        <v>Penyumbang PENURUNAN IPH</v>
      </c>
    </row>
    <row r="279" spans="1:6" ht="15" customHeight="1" x14ac:dyDescent="0.35">
      <c r="A279" s="8">
        <v>2</v>
      </c>
      <c r="B279" s="9" t="str">
        <f>IFERROR(INDEX('Perhitungan IPH Mingguan 2026'!$B$6:$B$25,MATCH(LARGE('Perhitungan IPH Mingguan 2026'!$EW$6:$EW$25,2),'Perhitungan IPH Mingguan 2026'!$EW$6:$EW$25,0)),"-")</f>
        <v>beras 1111001</v>
      </c>
      <c r="C279" s="10">
        <f>IFERROR(INDEX('Perhitungan IPH Mingguan 2026'!$C$6:$C$25,MATCH(LARGE('Perhitungan IPH Mingguan 2026'!$EW$6:$EW$25,2),'Perhitungan IPH Mingguan 2026'!$EW$6:$EW$25,0)),"")</f>
        <v>0.12508905675934601</v>
      </c>
      <c r="D279" s="25">
        <f>IFERROR(INDEX('Perhitungan IPH Mingguan 2026'!$DC$6:$DC$25,MATCH(LARGE('Perhitungan IPH Mingguan 2026'!$EW$6:$EW$25,2),'Perhitungan IPH Mingguan 2026'!$EW$6:$EW$25,0)),"")</f>
        <v>0</v>
      </c>
      <c r="E279" s="10">
        <f>IFERROR(INDEX('Perhitungan IPH Mingguan 2026'!$DD$6:$DD$25,MATCH(LARGE('Perhitungan IPH Mingguan 2026'!$EW$6:$EW$25,2),'Perhitungan IPH Mingguan 2026'!$EW$6:$EW$25,0)),"")</f>
        <v>0</v>
      </c>
      <c r="F279" s="9" t="str">
        <f>IF(ISNUMBER(E279),IF(E279&gt;0,"Penyumbang KENAIKAN IPH","Penyumbang PENURUNAN IPH"),"-")</f>
        <v>Penyumbang PENURUNAN IPH</v>
      </c>
    </row>
    <row r="280" spans="1:6" ht="15" customHeight="1" x14ac:dyDescent="0.35">
      <c r="A280" s="8">
        <v>3</v>
      </c>
      <c r="B280" s="9" t="str">
        <f>IFERROR(INDEX('Perhitungan IPH Mingguan 2026'!$B$6:$B$25,MATCH(LARGE('Perhitungan IPH Mingguan 2026'!$EW$6:$EW$25,3),'Perhitungan IPH Mingguan 2026'!$EW$6:$EW$25,0)),"-")</f>
        <v>beras 1111001</v>
      </c>
      <c r="C280" s="10">
        <f>IFERROR(INDEX('Perhitungan IPH Mingguan 2026'!$C$6:$C$25,MATCH(LARGE('Perhitungan IPH Mingguan 2026'!$EW$6:$EW$25,3),'Perhitungan IPH Mingguan 2026'!$EW$6:$EW$25,0)),"")</f>
        <v>0.12508905675934601</v>
      </c>
      <c r="D280" s="25">
        <f>IFERROR(INDEX('Perhitungan IPH Mingguan 2026'!$DC$6:$DC$25,MATCH(LARGE('Perhitungan IPH Mingguan 2026'!$EW$6:$EW$25,3),'Perhitungan IPH Mingguan 2026'!$EW$6:$EW$25,0)),"")</f>
        <v>0</v>
      </c>
      <c r="E280" s="10">
        <f>IFERROR(INDEX('Perhitungan IPH Mingguan 2026'!$DD$6:$DD$25,MATCH(LARGE('Perhitungan IPH Mingguan 2026'!$EW$6:$EW$25,3),'Perhitungan IPH Mingguan 2026'!$EW$6:$EW$25,0)),"")</f>
        <v>0</v>
      </c>
      <c r="F280" s="9" t="str">
        <f>IF(ISNUMBER(E280),IF(E280&gt;0,"Penyumbang KENAIKAN IPH","Penyumbang PENURUNAN IPH"),"-")</f>
        <v>Penyumbang PENURUNAN IPH</v>
      </c>
    </row>
    <row r="281" spans="1:6" ht="15" customHeight="1" x14ac:dyDescent="0.35">
      <c r="A281" s="8">
        <v>4</v>
      </c>
      <c r="B281" s="9" t="str">
        <f>IFERROR(INDEX('Perhitungan IPH Mingguan 2026'!$B$6:$B$25,MATCH(LARGE('Perhitungan IPH Mingguan 2026'!$EW$6:$EW$25,4),'Perhitungan IPH Mingguan 2026'!$EW$6:$EW$25,0)),"-")</f>
        <v>beras 1111001</v>
      </c>
      <c r="C281" s="10">
        <f>IFERROR(INDEX('Perhitungan IPH Mingguan 2026'!$C$6:$C$25,MATCH(LARGE('Perhitungan IPH Mingguan 2026'!$EW$6:$EW$25,4),'Perhitungan IPH Mingguan 2026'!$EW$6:$EW$25,0)),"")</f>
        <v>0.12508905675934601</v>
      </c>
      <c r="D281" s="25">
        <f>IFERROR(INDEX('Perhitungan IPH Mingguan 2026'!$DC$6:$DC$25,MATCH(LARGE('Perhitungan IPH Mingguan 2026'!$EW$6:$EW$25,4),'Perhitungan IPH Mingguan 2026'!$EW$6:$EW$25,0)),"")</f>
        <v>0</v>
      </c>
      <c r="E281" s="10">
        <f>IFERROR(INDEX('Perhitungan IPH Mingguan 2026'!$DD$6:$DD$25,MATCH(LARGE('Perhitungan IPH Mingguan 2026'!$EW$6:$EW$25,4),'Perhitungan IPH Mingguan 2026'!$EW$6:$EW$25,0)),"")</f>
        <v>0</v>
      </c>
      <c r="F281" s="9" t="str">
        <f>IF(ISNUMBER(E281),IF(E281&gt;0,"Penyumbang KENAIKAN IPH","Penyumbang PENURUNAN IPH"),"-")</f>
        <v>Penyumbang PENURUNAN IPH</v>
      </c>
    </row>
    <row r="282" spans="1:6" ht="15" customHeight="1" x14ac:dyDescent="0.35">
      <c r="A282" s="8">
        <v>5</v>
      </c>
      <c r="B282" s="9" t="str">
        <f>IFERROR(INDEX('Perhitungan IPH Mingguan 2026'!$B$6:$B$25,MATCH(LARGE('Perhitungan IPH Mingguan 2026'!$EW$6:$EW$25,5),'Perhitungan IPH Mingguan 2026'!$EW$6:$EW$25,0)),"-")</f>
        <v>beras 1111001</v>
      </c>
      <c r="C282" s="10">
        <f>IFERROR(INDEX('Perhitungan IPH Mingguan 2026'!$C$6:$C$25,MATCH(LARGE('Perhitungan IPH Mingguan 2026'!$EW$6:$EW$25,5),'Perhitungan IPH Mingguan 2026'!$EW$6:$EW$25,0)),"")</f>
        <v>0.12508905675934601</v>
      </c>
      <c r="D282" s="25">
        <f>IFERROR(INDEX('Perhitungan IPH Mingguan 2026'!$DC$6:$DC$25,MATCH(LARGE('Perhitungan IPH Mingguan 2026'!$EW$6:$EW$25,5),'Perhitungan IPH Mingguan 2026'!$EW$6:$EW$25,0)),"")</f>
        <v>0</v>
      </c>
      <c r="E282" s="10">
        <f>IFERROR(INDEX('Perhitungan IPH Mingguan 2026'!$DD$6:$DD$25,MATCH(LARGE('Perhitungan IPH Mingguan 2026'!$EW$6:$EW$25,5),'Perhitungan IPH Mingguan 2026'!$EW$6:$EW$25,0)),"")</f>
        <v>0</v>
      </c>
      <c r="F282" s="9" t="str">
        <f>IF(ISNUMBER(E282),IF(E282&gt;0,"Penyumbang KENAIKAN IPH","Penyumbang PENURUNAN IPH"),"-")</f>
        <v>Penyumbang PENURUNAN IPH</v>
      </c>
    </row>
    <row r="284" spans="1:6" ht="15" customHeight="1" x14ac:dyDescent="0.35">
      <c r="A284" s="2" t="s">
        <v>250</v>
      </c>
      <c r="B284" s="2"/>
      <c r="C284" s="2"/>
      <c r="D284" s="2"/>
      <c r="E284" s="2"/>
      <c r="F284" s="2"/>
    </row>
    <row r="285" spans="1:6" ht="21.75" customHeight="1" x14ac:dyDescent="0.35">
      <c r="A285" s="6" t="s">
        <v>211</v>
      </c>
      <c r="B285" s="6" t="s">
        <v>212</v>
      </c>
      <c r="C285" s="6" t="s">
        <v>139</v>
      </c>
      <c r="D285" s="6" t="s">
        <v>213</v>
      </c>
      <c r="E285" s="6" t="s">
        <v>214</v>
      </c>
      <c r="F285" s="6" t="s">
        <v>215</v>
      </c>
    </row>
    <row r="286" spans="1:6" ht="15" customHeight="1" x14ac:dyDescent="0.35">
      <c r="A286" s="8">
        <v>1</v>
      </c>
      <c r="B286" s="9" t="str">
        <f>IFERROR(INDEX('Perhitungan IPH Mingguan 2026'!$B$6:$B$25,MATCH(LARGE('Perhitungan IPH Mingguan 2026'!$EX$6:$EX$25,1),'Perhitungan IPH Mingguan 2026'!$EX$6:$EX$25,0)),"-")</f>
        <v>bawang merah 1174006</v>
      </c>
      <c r="C286" s="10">
        <f>IFERROR(INDEX('Perhitungan IPH Mingguan 2026'!$C$6:$C$25,MATCH(LARGE('Perhitungan IPH Mingguan 2026'!$EX$6:$EX$25,1),'Perhitungan IPH Mingguan 2026'!$EX$6:$EX$25,0)),"")</f>
        <v>1.94434650422287E-2</v>
      </c>
      <c r="D286" s="25">
        <f>IFERROR(INDEX('Perhitungan IPH Mingguan 2026'!$DF$6:$DF$25,MATCH(LARGE('Perhitungan IPH Mingguan 2026'!$EX$6:$EX$25,1),'Perhitungan IPH Mingguan 2026'!$EX$6:$EX$25,0)),"")</f>
        <v>-13.31658291457286</v>
      </c>
      <c r="E286" s="10">
        <f>IFERROR(INDEX('Perhitungan IPH Mingguan 2026'!$DG$6:$DG$25,MATCH(LARGE('Perhitungan IPH Mingguan 2026'!$EX$6:$EX$25,1),'Perhitungan IPH Mingguan 2026'!$EX$6:$EX$25,0)),"")</f>
        <v>-0.25892051438143737</v>
      </c>
      <c r="F286" s="9" t="str">
        <f>IF(ISNUMBER(E286),IF(E286&gt;0,"Penyumbang KENAIKAN IPH","Penyumbang PENURUNAN IPH"),"-")</f>
        <v>Penyumbang PENURUNAN IPH</v>
      </c>
    </row>
    <row r="287" spans="1:6" ht="15" customHeight="1" x14ac:dyDescent="0.35">
      <c r="A287" s="8">
        <v>2</v>
      </c>
      <c r="B287" s="9" t="str">
        <f>IFERROR(INDEX('Perhitungan IPH Mingguan 2026'!$B$6:$B$25,MATCH(LARGE('Perhitungan IPH Mingguan 2026'!$EX$6:$EX$25,2),'Perhitungan IPH Mingguan 2026'!$EX$6:$EX$25,0)),"-")</f>
        <v>cabai rawit 01173013</v>
      </c>
      <c r="C287" s="10">
        <f>IFERROR(INDEX('Perhitungan IPH Mingguan 2026'!$C$6:$C$25,MATCH(LARGE('Perhitungan IPH Mingguan 2026'!$EX$6:$EX$25,2),'Perhitungan IPH Mingguan 2026'!$EX$6:$EX$25,0)),"")</f>
        <v>1.7701732362870599E-2</v>
      </c>
      <c r="D287" s="25">
        <f>IFERROR(INDEX('Perhitungan IPH Mingguan 2026'!$DF$6:$DF$25,MATCH(LARGE('Perhitungan IPH Mingguan 2026'!$EX$6:$EX$25,2),'Perhitungan IPH Mingguan 2026'!$EX$6:$EX$25,0)),"")</f>
        <v>-9.0009891196834761</v>
      </c>
      <c r="E287" s="10">
        <f>IFERROR(INDEX('Perhitungan IPH Mingguan 2026'!$DG$6:$DG$25,MATCH(LARGE('Perhitungan IPH Mingguan 2026'!$EX$6:$EX$25,2),'Perhitungan IPH Mingguan 2026'!$EX$6:$EX$25,0)),"")</f>
        <v>-0.15933310039774715</v>
      </c>
      <c r="F287" s="9" t="str">
        <f>IF(ISNUMBER(E287),IF(E287&gt;0,"Penyumbang KENAIKAN IPH","Penyumbang PENURUNAN IPH"),"-")</f>
        <v>Penyumbang PENURUNAN IPH</v>
      </c>
    </row>
    <row r="288" spans="1:6" ht="15" customHeight="1" x14ac:dyDescent="0.35">
      <c r="A288" s="8">
        <v>3</v>
      </c>
      <c r="B288" s="9" t="str">
        <f>IFERROR(INDEX('Perhitungan IPH Mingguan 2026'!$B$6:$B$25,MATCH(LARGE('Perhitungan IPH Mingguan 2026'!$EX$6:$EX$25,3),'Perhitungan IPH Mingguan 2026'!$EX$6:$EX$25,0)),"-")</f>
        <v>beras 1111001</v>
      </c>
      <c r="C288" s="10">
        <f>IFERROR(INDEX('Perhitungan IPH Mingguan 2026'!$C$6:$C$25,MATCH(LARGE('Perhitungan IPH Mingguan 2026'!$EX$6:$EX$25,3),'Perhitungan IPH Mingguan 2026'!$EX$6:$EX$25,0)),"")</f>
        <v>0.12508905675934601</v>
      </c>
      <c r="D288" s="25">
        <f>IFERROR(INDEX('Perhitungan IPH Mingguan 2026'!$DF$6:$DF$25,MATCH(LARGE('Perhitungan IPH Mingguan 2026'!$EX$6:$EX$25,3),'Perhitungan IPH Mingguan 2026'!$EX$6:$EX$25,0)),"")</f>
        <v>0</v>
      </c>
      <c r="E288" s="10">
        <f>IFERROR(INDEX('Perhitungan IPH Mingguan 2026'!$DG$6:$DG$25,MATCH(LARGE('Perhitungan IPH Mingguan 2026'!$EX$6:$EX$25,3),'Perhitungan IPH Mingguan 2026'!$EX$6:$EX$25,0)),"")</f>
        <v>0</v>
      </c>
      <c r="F288" s="9" t="str">
        <f>IF(ISNUMBER(E288),IF(E288&gt;0,"Penyumbang KENAIKAN IPH","Penyumbang PENURUNAN IPH"),"-")</f>
        <v>Penyumbang PENURUNAN IPH</v>
      </c>
    </row>
    <row r="289" spans="1:6" ht="15" customHeight="1" x14ac:dyDescent="0.35">
      <c r="A289" s="8">
        <v>4</v>
      </c>
      <c r="B289" s="9" t="str">
        <f>IFERROR(INDEX('Perhitungan IPH Mingguan 2026'!$B$6:$B$25,MATCH(LARGE('Perhitungan IPH Mingguan 2026'!$EX$6:$EX$25,4),'Perhitungan IPH Mingguan 2026'!$EX$6:$EX$25,0)),"-")</f>
        <v>daging ayam ras 1124003</v>
      </c>
      <c r="C289" s="10">
        <f>IFERROR(INDEX('Perhitungan IPH Mingguan 2026'!$C$6:$C$25,MATCH(LARGE('Perhitungan IPH Mingguan 2026'!$EX$6:$EX$25,4),'Perhitungan IPH Mingguan 2026'!$EX$6:$EX$25,0)),"")</f>
        <v>4.7910777785027697E-2</v>
      </c>
      <c r="D289" s="25">
        <f>IFERROR(INDEX('Perhitungan IPH Mingguan 2026'!$DF$6:$DF$25,MATCH(LARGE('Perhitungan IPH Mingguan 2026'!$EX$6:$EX$25,4),'Perhitungan IPH Mingguan 2026'!$EX$6:$EX$25,0)),"")</f>
        <v>10.45197740112995</v>
      </c>
      <c r="E289" s="10">
        <f>IFERROR(INDEX('Perhitungan IPH Mingguan 2026'!$DG$6:$DG$25,MATCH(LARGE('Perhitungan IPH Mingguan 2026'!$EX$6:$EX$25,4),'Perhitungan IPH Mingguan 2026'!$EX$6:$EX$25,0)),"")</f>
        <v>0.50076236667966834</v>
      </c>
      <c r="F289" s="9" t="str">
        <f>IF(ISNUMBER(E289),IF(E289&gt;0,"Penyumbang KENAIKAN IPH","Penyumbang PENURUNAN IPH"),"-")</f>
        <v>Penyumbang KENAIKAN IPH</v>
      </c>
    </row>
    <row r="290" spans="1:6" ht="15" customHeight="1" x14ac:dyDescent="0.35">
      <c r="A290" s="8">
        <v>5</v>
      </c>
      <c r="B290" s="9" t="str">
        <f>IFERROR(INDEX('Perhitungan IPH Mingguan 2026'!$B$6:$B$25,MATCH(LARGE('Perhitungan IPH Mingguan 2026'!$EX$6:$EX$25,5),'Perhitungan IPH Mingguan 2026'!$EX$6:$EX$25,0)),"-")</f>
        <v>cabai merah 01173012</v>
      </c>
      <c r="C290" s="10">
        <f>IFERROR(INDEX('Perhitungan IPH Mingguan 2026'!$C$6:$C$25,MATCH(LARGE('Perhitungan IPH Mingguan 2026'!$EX$6:$EX$25,5),'Perhitungan IPH Mingguan 2026'!$EX$6:$EX$25,0)),"")</f>
        <v>1.10208839376634E-2</v>
      </c>
      <c r="D290" s="25">
        <f>IFERROR(INDEX('Perhitungan IPH Mingguan 2026'!$DF$6:$DF$25,MATCH(LARGE('Perhitungan IPH Mingguan 2026'!$EX$6:$EX$25,5),'Perhitungan IPH Mingguan 2026'!$EX$6:$EX$25,0)),"")</f>
        <v>0</v>
      </c>
      <c r="E290" s="10">
        <f>IFERROR(INDEX('Perhitungan IPH Mingguan 2026'!$DG$6:$DG$25,MATCH(LARGE('Perhitungan IPH Mingguan 2026'!$EX$6:$EX$25,5),'Perhitungan IPH Mingguan 2026'!$EX$6:$EX$25,0)),"")</f>
        <v>0</v>
      </c>
      <c r="F290" s="9" t="str">
        <f>IF(ISNUMBER(E290),IF(E290&gt;0,"Penyumbang KENAIKAN IPH","Penyumbang PENURUNAN IPH"),"-")</f>
        <v>Penyumbang PENURUNAN IPH</v>
      </c>
    </row>
    <row r="292" spans="1:6" ht="15" customHeight="1" x14ac:dyDescent="0.35">
      <c r="A292" s="2" t="s">
        <v>251</v>
      </c>
      <c r="B292" s="2"/>
      <c r="C292" s="2"/>
      <c r="D292" s="2"/>
      <c r="E292" s="2"/>
      <c r="F292" s="2"/>
    </row>
    <row r="293" spans="1:6" ht="21.75" customHeight="1" x14ac:dyDescent="0.35">
      <c r="A293" s="6" t="s">
        <v>211</v>
      </c>
      <c r="B293" s="6" t="s">
        <v>212</v>
      </c>
      <c r="C293" s="6" t="s">
        <v>139</v>
      </c>
      <c r="D293" s="6" t="s">
        <v>213</v>
      </c>
      <c r="E293" s="6" t="s">
        <v>214</v>
      </c>
      <c r="F293" s="6" t="s">
        <v>215</v>
      </c>
    </row>
    <row r="294" spans="1:6" ht="15" customHeight="1" x14ac:dyDescent="0.35">
      <c r="A294" s="8">
        <v>1</v>
      </c>
      <c r="B294" s="9" t="str">
        <f>IFERROR(INDEX('Perhitungan IPH Mingguan 2026'!$B$6:$B$25,MATCH(LARGE('Perhitungan IPH Mingguan 2026'!$EY$6:$EY$25,1),'Perhitungan IPH Mingguan 2026'!$EY$6:$EY$25,0)),"-")</f>
        <v>cabai rawit 01173013</v>
      </c>
      <c r="C294" s="10">
        <f>IFERROR(INDEX('Perhitungan IPH Mingguan 2026'!$C$6:$C$25,MATCH(LARGE('Perhitungan IPH Mingguan 2026'!$EY$6:$EY$25,1),'Perhitungan IPH Mingguan 2026'!$EY$6:$EY$25,0)),"")</f>
        <v>1.7701732362870599E-2</v>
      </c>
      <c r="D294" s="25">
        <f>IFERROR(INDEX('Perhitungan IPH Mingguan 2026'!$DI$6:$DI$25,MATCH(LARGE('Perhitungan IPH Mingguan 2026'!$EY$6:$EY$25,1),'Perhitungan IPH Mingguan 2026'!$EY$6:$EY$25,0)),"")</f>
        <v>-5.5885262116716063</v>
      </c>
      <c r="E294" s="10">
        <f>IFERROR(INDEX('Perhitungan IPH Mingguan 2026'!$DJ$6:$DJ$25,MATCH(LARGE('Perhitungan IPH Mingguan 2026'!$EY$6:$EY$25,1),'Perhitungan IPH Mingguan 2026'!$EY$6:$EY$25,0)),"")</f>
        <v>-9.8926595301897902E-2</v>
      </c>
      <c r="F294" s="9" t="str">
        <f>IF(ISNUMBER(E294),IF(E294&gt;0,"Penyumbang KENAIKAN IPH","Penyumbang PENURUNAN IPH"),"-")</f>
        <v>Penyumbang PENURUNAN IPH</v>
      </c>
    </row>
    <row r="295" spans="1:6" ht="15" customHeight="1" x14ac:dyDescent="0.35">
      <c r="A295" s="8">
        <v>2</v>
      </c>
      <c r="B295" s="9" t="str">
        <f>IFERROR(INDEX('Perhitungan IPH Mingguan 2026'!$B$6:$B$25,MATCH(LARGE('Perhitungan IPH Mingguan 2026'!$EY$6:$EY$25,2),'Perhitungan IPH Mingguan 2026'!$EY$6:$EY$25,0)),"-")</f>
        <v>bawang merah 1174006</v>
      </c>
      <c r="C295" s="10">
        <f>IFERROR(INDEX('Perhitungan IPH Mingguan 2026'!$C$6:$C$25,MATCH(LARGE('Perhitungan IPH Mingguan 2026'!$EY$6:$EY$25,2),'Perhitungan IPH Mingguan 2026'!$EY$6:$EY$25,0)),"")</f>
        <v>1.94434650422287E-2</v>
      </c>
      <c r="D295" s="25">
        <f>IFERROR(INDEX('Perhitungan IPH Mingguan 2026'!$DI$6:$DI$25,MATCH(LARGE('Perhitungan IPH Mingguan 2026'!$EY$6:$EY$25,2),'Perhitungan IPH Mingguan 2026'!$EY$6:$EY$25,0)),"")</f>
        <v>-13.31658291457286</v>
      </c>
      <c r="E295" s="10">
        <f>IFERROR(INDEX('Perhitungan IPH Mingguan 2026'!$DJ$6:$DJ$25,MATCH(LARGE('Perhitungan IPH Mingguan 2026'!$EY$6:$EY$25,2),'Perhitungan IPH Mingguan 2026'!$EY$6:$EY$25,0)),"")</f>
        <v>-0.25892051438143737</v>
      </c>
      <c r="F295" s="9" t="str">
        <f>IF(ISNUMBER(E295),IF(E295&gt;0,"Penyumbang KENAIKAN IPH","Penyumbang PENURUNAN IPH"),"-")</f>
        <v>Penyumbang PENURUNAN IPH</v>
      </c>
    </row>
    <row r="296" spans="1:6" ht="15" customHeight="1" x14ac:dyDescent="0.35">
      <c r="A296" s="8">
        <v>3</v>
      </c>
      <c r="B296" s="9" t="str">
        <f>IFERROR(INDEX('Perhitungan IPH Mingguan 2026'!$B$6:$B$25,MATCH(LARGE('Perhitungan IPH Mingguan 2026'!$EY$6:$EY$25,3),'Perhitungan IPH Mingguan 2026'!$EY$6:$EY$25,0)),"-")</f>
        <v>cabai merah 01173012</v>
      </c>
      <c r="C296" s="10">
        <f>IFERROR(INDEX('Perhitungan IPH Mingguan 2026'!$C$6:$C$25,MATCH(LARGE('Perhitungan IPH Mingguan 2026'!$EY$6:$EY$25,3),'Perhitungan IPH Mingguan 2026'!$EY$6:$EY$25,0)),"")</f>
        <v>1.10208839376634E-2</v>
      </c>
      <c r="D296" s="25">
        <f>IFERROR(INDEX('Perhitungan IPH Mingguan 2026'!$DI$6:$DI$25,MATCH(LARGE('Perhitungan IPH Mingguan 2026'!$EY$6:$EY$25,3),'Perhitungan IPH Mingguan 2026'!$EY$6:$EY$25,0)),"")</f>
        <v>-5.1724137931034484</v>
      </c>
      <c r="E296" s="10">
        <f>IFERROR(INDEX('Perhitungan IPH Mingguan 2026'!$DJ$6:$DJ$25,MATCH(LARGE('Perhitungan IPH Mingguan 2026'!$EY$6:$EY$25,3),'Perhitungan IPH Mingguan 2026'!$EY$6:$EY$25,0)),"")</f>
        <v>-5.7004572091362421E-2</v>
      </c>
      <c r="F296" s="9" t="str">
        <f>IF(ISNUMBER(E296),IF(E296&gt;0,"Penyumbang KENAIKAN IPH","Penyumbang PENURUNAN IPH"),"-")</f>
        <v>Penyumbang PENURUNAN IPH</v>
      </c>
    </row>
    <row r="297" spans="1:6" ht="15" customHeight="1" x14ac:dyDescent="0.35">
      <c r="A297" s="8">
        <v>4</v>
      </c>
      <c r="B297" s="9" t="str">
        <f>IFERROR(INDEX('Perhitungan IPH Mingguan 2026'!$B$6:$B$25,MATCH(LARGE('Perhitungan IPH Mingguan 2026'!$EY$6:$EY$25,4),'Perhitungan IPH Mingguan 2026'!$EY$6:$EY$25,0)),"-")</f>
        <v>beras 1111001</v>
      </c>
      <c r="C297" s="10">
        <f>IFERROR(INDEX('Perhitungan IPH Mingguan 2026'!$C$6:$C$25,MATCH(LARGE('Perhitungan IPH Mingguan 2026'!$EY$6:$EY$25,4),'Perhitungan IPH Mingguan 2026'!$EY$6:$EY$25,0)),"")</f>
        <v>0.12508905675934601</v>
      </c>
      <c r="D297" s="25">
        <f>IFERROR(INDEX('Perhitungan IPH Mingguan 2026'!$DI$6:$DI$25,MATCH(LARGE('Perhitungan IPH Mingguan 2026'!$EY$6:$EY$25,4),'Perhitungan IPH Mingguan 2026'!$EY$6:$EY$25,0)),"")</f>
        <v>0</v>
      </c>
      <c r="E297" s="10">
        <f>IFERROR(INDEX('Perhitungan IPH Mingguan 2026'!$DJ$6:$DJ$25,MATCH(LARGE('Perhitungan IPH Mingguan 2026'!$EY$6:$EY$25,4),'Perhitungan IPH Mingguan 2026'!$EY$6:$EY$25,0)),"")</f>
        <v>0</v>
      </c>
      <c r="F297" s="9" t="str">
        <f>IF(ISNUMBER(E297),IF(E297&gt;0,"Penyumbang KENAIKAN IPH","Penyumbang PENURUNAN IPH"),"-")</f>
        <v>Penyumbang PENURUNAN IPH</v>
      </c>
    </row>
    <row r="298" spans="1:6" ht="15" customHeight="1" x14ac:dyDescent="0.35">
      <c r="A298" s="8">
        <v>5</v>
      </c>
      <c r="B298" s="9" t="str">
        <f>IFERROR(INDEX('Perhitungan IPH Mingguan 2026'!$B$6:$B$25,MATCH(LARGE('Perhitungan IPH Mingguan 2026'!$EY$6:$EY$25,5),'Perhitungan IPH Mingguan 2026'!$EY$6:$EY$25,0)),"-")</f>
        <v>daging ayam ras 1124003</v>
      </c>
      <c r="C298" s="10">
        <f>IFERROR(INDEX('Perhitungan IPH Mingguan 2026'!$C$6:$C$25,MATCH(LARGE('Perhitungan IPH Mingguan 2026'!$EY$6:$EY$25,5),'Perhitungan IPH Mingguan 2026'!$EY$6:$EY$25,0)),"")</f>
        <v>4.7910777785027697E-2</v>
      </c>
      <c r="D298" s="25">
        <f>IFERROR(INDEX('Perhitungan IPH Mingguan 2026'!$DI$6:$DI$25,MATCH(LARGE('Perhitungan IPH Mingguan 2026'!$EY$6:$EY$25,5),'Perhitungan IPH Mingguan 2026'!$EY$6:$EY$25,0)),"")</f>
        <v>15.324858757062154</v>
      </c>
      <c r="E298" s="10">
        <f>IFERROR(INDEX('Perhitungan IPH Mingguan 2026'!$DJ$6:$DJ$25,MATCH(LARGE('Perhitungan IPH Mingguan 2026'!$EY$6:$EY$25,5),'Perhitungan IPH Mingguan 2026'!$EY$6:$EY$25,0)),"")</f>
        <v>0.73422590249654063</v>
      </c>
      <c r="F298" s="9" t="str">
        <f>IF(ISNUMBER(E298),IF(E298&gt;0,"Penyumbang KENAIKAN IPH","Penyumbang PENURUNAN IPH"),"-")</f>
        <v>Penyumbang KENAIKAN IPH</v>
      </c>
    </row>
    <row r="300" spans="1:6" ht="15" customHeight="1" x14ac:dyDescent="0.35">
      <c r="A300" s="2" t="s">
        <v>252</v>
      </c>
      <c r="B300" s="2"/>
      <c r="C300" s="2"/>
      <c r="D300" s="2"/>
      <c r="E300" s="2"/>
      <c r="F300" s="2"/>
    </row>
    <row r="301" spans="1:6" ht="21.75" customHeight="1" x14ac:dyDescent="0.35">
      <c r="A301" s="6" t="s">
        <v>211</v>
      </c>
      <c r="B301" s="6" t="s">
        <v>212</v>
      </c>
      <c r="C301" s="6" t="s">
        <v>139</v>
      </c>
      <c r="D301" s="6" t="s">
        <v>213</v>
      </c>
      <c r="E301" s="6" t="s">
        <v>214</v>
      </c>
      <c r="F301" s="6" t="s">
        <v>215</v>
      </c>
    </row>
    <row r="302" spans="1:6" ht="15" customHeight="1" x14ac:dyDescent="0.35">
      <c r="A302" s="8">
        <v>1</v>
      </c>
      <c r="B302" s="9" t="str">
        <f>IFERROR(INDEX('Perhitungan IPH Mingguan 2026'!$B$6:$B$25,MATCH(LARGE('Perhitungan IPH Mingguan 2026'!$EZ$6:$EZ$25,1),'Perhitungan IPH Mingguan 2026'!$EZ$6:$EZ$25,0)),"-")</f>
        <v>cabai rawit 01173013</v>
      </c>
      <c r="C302" s="10">
        <f>IFERROR(INDEX('Perhitungan IPH Mingguan 2026'!$C$6:$C$25,MATCH(LARGE('Perhitungan IPH Mingguan 2026'!$EZ$6:$EZ$25,1),'Perhitungan IPH Mingguan 2026'!$EZ$6:$EZ$25,0)),"")</f>
        <v>1.7701732362870599E-2</v>
      </c>
      <c r="D302" s="25">
        <f>IFERROR(INDEX('Perhitungan IPH Mingguan 2026'!$DL$6:$DL$25,MATCH(LARGE('Perhitungan IPH Mingguan 2026'!$EZ$6:$EZ$25,1),'Perhitungan IPH Mingguan 2026'!$EZ$6:$EZ$25,0)),"")</f>
        <v>-2.7448071216617156</v>
      </c>
      <c r="E302" s="10">
        <f>IFERROR(INDEX('Perhitungan IPH Mingguan 2026'!$DM$6:$DM$25,MATCH(LARGE('Perhitungan IPH Mingguan 2026'!$EZ$6:$EZ$25,1),'Perhitungan IPH Mingguan 2026'!$EZ$6:$EZ$25,0)),"")</f>
        <v>-4.8587841055356892E-2</v>
      </c>
      <c r="F302" s="9" t="str">
        <f>IF(ISNUMBER(E302),IF(E302&gt;0,"Penyumbang KENAIKAN IPH","Penyumbang PENURUNAN IPH"),"-")</f>
        <v>Penyumbang PENURUNAN IPH</v>
      </c>
    </row>
    <row r="303" spans="1:6" ht="15" customHeight="1" x14ac:dyDescent="0.35">
      <c r="A303" s="8">
        <v>2</v>
      </c>
      <c r="B303" s="9" t="str">
        <f>IFERROR(INDEX('Perhitungan IPH Mingguan 2026'!$B$6:$B$25,MATCH(LARGE('Perhitungan IPH Mingguan 2026'!$EZ$6:$EZ$25,2),'Perhitungan IPH Mingguan 2026'!$EZ$6:$EZ$25,0)),"-")</f>
        <v>bawang merah 1174006</v>
      </c>
      <c r="C303" s="10">
        <f>IFERROR(INDEX('Perhitungan IPH Mingguan 2026'!$C$6:$C$25,MATCH(LARGE('Perhitungan IPH Mingguan 2026'!$EZ$6:$EZ$25,2),'Perhitungan IPH Mingguan 2026'!$EZ$6:$EZ$25,0)),"")</f>
        <v>1.94434650422287E-2</v>
      </c>
      <c r="D303" s="25">
        <f>IFERROR(INDEX('Perhitungan IPH Mingguan 2026'!$DL$6:$DL$25,MATCH(LARGE('Perhitungan IPH Mingguan 2026'!$EZ$6:$EZ$25,2),'Perhitungan IPH Mingguan 2026'!$EZ$6:$EZ$25,0)),"")</f>
        <v>-13.31658291457286</v>
      </c>
      <c r="E303" s="10">
        <f>IFERROR(INDEX('Perhitungan IPH Mingguan 2026'!$DM$6:$DM$25,MATCH(LARGE('Perhitungan IPH Mingguan 2026'!$EZ$6:$EZ$25,2),'Perhitungan IPH Mingguan 2026'!$EZ$6:$EZ$25,0)),"")</f>
        <v>-0.25892051438143737</v>
      </c>
      <c r="F303" s="9" t="str">
        <f>IF(ISNUMBER(E303),IF(E303&gt;0,"Penyumbang KENAIKAN IPH","Penyumbang PENURUNAN IPH"),"-")</f>
        <v>Penyumbang PENURUNAN IPH</v>
      </c>
    </row>
    <row r="304" spans="1:6" ht="15" customHeight="1" x14ac:dyDescent="0.35">
      <c r="A304" s="8">
        <v>3</v>
      </c>
      <c r="B304" s="9" t="str">
        <f>IFERROR(INDEX('Perhitungan IPH Mingguan 2026'!$B$6:$B$25,MATCH(LARGE('Perhitungan IPH Mingguan 2026'!$EZ$6:$EZ$25,3),'Perhitungan IPH Mingguan 2026'!$EZ$6:$EZ$25,0)),"-")</f>
        <v>cabai merah 01173012</v>
      </c>
      <c r="C304" s="10">
        <f>IFERROR(INDEX('Perhitungan IPH Mingguan 2026'!$C$6:$C$25,MATCH(LARGE('Perhitungan IPH Mingguan 2026'!$EZ$6:$EZ$25,3),'Perhitungan IPH Mingguan 2026'!$EZ$6:$EZ$25,0)),"")</f>
        <v>1.10208839376634E-2</v>
      </c>
      <c r="D304" s="25">
        <f>IFERROR(INDEX('Perhitungan IPH Mingguan 2026'!$DL$6:$DL$25,MATCH(LARGE('Perhitungan IPH Mingguan 2026'!$EZ$6:$EZ$25,3),'Perhitungan IPH Mingguan 2026'!$EZ$6:$EZ$25,0)),"")</f>
        <v>-6.8965517241379306</v>
      </c>
      <c r="E304" s="10">
        <f>IFERROR(INDEX('Perhitungan IPH Mingguan 2026'!$DM$6:$DM$25,MATCH(LARGE('Perhitungan IPH Mingguan 2026'!$EZ$6:$EZ$25,3),'Perhitungan IPH Mingguan 2026'!$EZ$6:$EZ$25,0)),"")</f>
        <v>-7.6006096121816552E-2</v>
      </c>
      <c r="F304" s="9" t="str">
        <f>IF(ISNUMBER(E304),IF(E304&gt;0,"Penyumbang KENAIKAN IPH","Penyumbang PENURUNAN IPH"),"-")</f>
        <v>Penyumbang PENURUNAN IPH</v>
      </c>
    </row>
    <row r="305" spans="1:6" ht="15" customHeight="1" x14ac:dyDescent="0.35">
      <c r="A305" s="8">
        <v>4</v>
      </c>
      <c r="B305" s="9" t="str">
        <f>IFERROR(INDEX('Perhitungan IPH Mingguan 2026'!$B$6:$B$25,MATCH(LARGE('Perhitungan IPH Mingguan 2026'!$EZ$6:$EZ$25,4),'Perhitungan IPH Mingguan 2026'!$EZ$6:$EZ$25,0)),"-")</f>
        <v>beras 1111001</v>
      </c>
      <c r="C305" s="10">
        <f>IFERROR(INDEX('Perhitungan IPH Mingguan 2026'!$C$6:$C$25,MATCH(LARGE('Perhitungan IPH Mingguan 2026'!$EZ$6:$EZ$25,4),'Perhitungan IPH Mingguan 2026'!$EZ$6:$EZ$25,0)),"")</f>
        <v>0.12508905675934601</v>
      </c>
      <c r="D305" s="25">
        <f>IFERROR(INDEX('Perhitungan IPH Mingguan 2026'!$DL$6:$DL$25,MATCH(LARGE('Perhitungan IPH Mingguan 2026'!$EZ$6:$EZ$25,4),'Perhitungan IPH Mingguan 2026'!$EZ$6:$EZ$25,0)),"")</f>
        <v>9.7150259067357525E-2</v>
      </c>
      <c r="E305" s="10">
        <f>IFERROR(INDEX('Perhitungan IPH Mingguan 2026'!$DM$6:$DM$25,MATCH(LARGE('Perhitungan IPH Mingguan 2026'!$EZ$6:$EZ$25,4),'Perhitungan IPH Mingguan 2026'!$EZ$6:$EZ$25,0)),"")</f>
        <v>1.2152434270661854E-2</v>
      </c>
      <c r="F305" s="9" t="str">
        <f>IF(ISNUMBER(E305),IF(E305&gt;0,"Penyumbang KENAIKAN IPH","Penyumbang PENURUNAN IPH"),"-")</f>
        <v>Penyumbang KENAIKAN IPH</v>
      </c>
    </row>
    <row r="306" spans="1:6" ht="15" customHeight="1" x14ac:dyDescent="0.35">
      <c r="A306" s="8">
        <v>5</v>
      </c>
      <c r="B306" s="9" t="str">
        <f>IFERROR(INDEX('Perhitungan IPH Mingguan 2026'!$B$6:$B$25,MATCH(LARGE('Perhitungan IPH Mingguan 2026'!$EZ$6:$EZ$25,5),'Perhitungan IPH Mingguan 2026'!$EZ$6:$EZ$25,0)),"-")</f>
        <v>telur ayam ras 01147002</v>
      </c>
      <c r="C306" s="10">
        <f>IFERROR(INDEX('Perhitungan IPH Mingguan 2026'!$C$6:$C$25,MATCH(LARGE('Perhitungan IPH Mingguan 2026'!$EZ$6:$EZ$25,5),'Perhitungan IPH Mingguan 2026'!$EZ$6:$EZ$25,0)),"")</f>
        <v>2.9877791079459301E-2</v>
      </c>
      <c r="D306" s="25">
        <f>IFERROR(INDEX('Perhitungan IPH Mingguan 2026'!$DL$6:$DL$25,MATCH(LARGE('Perhitungan IPH Mingguan 2026'!$EZ$6:$EZ$25,5),'Perhitungan IPH Mingguan 2026'!$EZ$6:$EZ$25,0)),"")</f>
        <v>-4.7755491881569162E-2</v>
      </c>
      <c r="E306" s="10">
        <f>IFERROR(INDEX('Perhitungan IPH Mingguan 2026'!$DM$6:$DM$25,MATCH(LARGE('Perhitungan IPH Mingguan 2026'!$EZ$6:$EZ$25,5),'Perhitungan IPH Mingguan 2026'!$EZ$6:$EZ$25,0)),"")</f>
        <v>-1.4268286093343382E-3</v>
      </c>
      <c r="F306" s="9" t="str">
        <f>IF(ISNUMBER(E306),IF(E306&gt;0,"Penyumbang KENAIKAN IPH","Penyumbang PENURUNAN IPH"),"-")</f>
        <v>Penyumbang PENURUNAN IPH</v>
      </c>
    </row>
    <row r="309" spans="1:6" ht="15" customHeight="1" x14ac:dyDescent="0.35">
      <c r="A309" s="2" t="s">
        <v>253</v>
      </c>
      <c r="B309" s="2"/>
      <c r="C309" s="2"/>
      <c r="D309" s="2"/>
      <c r="E309" s="2"/>
      <c r="F309" s="2"/>
    </row>
    <row r="310" spans="1:6" ht="23" x14ac:dyDescent="0.35">
      <c r="A310" s="7" t="s">
        <v>211</v>
      </c>
      <c r="B310" s="7" t="s">
        <v>212</v>
      </c>
      <c r="C310" s="7" t="s">
        <v>139</v>
      </c>
      <c r="D310" s="7" t="s">
        <v>213</v>
      </c>
      <c r="E310" s="7" t="s">
        <v>214</v>
      </c>
      <c r="F310" s="7" t="s">
        <v>215</v>
      </c>
    </row>
    <row r="311" spans="1:6" x14ac:dyDescent="0.35">
      <c r="A311" s="12">
        <v>1</v>
      </c>
      <c r="B311" s="13" t="str">
        <f>IFERROR(INDEX('Perhitungan IPH Mingguan 2026'!$B$6:$B$25,MATCH(LARGE('Perhitungan IPH Mingguan 2026'!$FQ$6:$FQ$25,1),'Perhitungan IPH Mingguan 2026'!$FQ$6:$FQ$25,0)),"-")</f>
        <v>daging ayam ras 1124003</v>
      </c>
      <c r="C311" s="14">
        <f>IFERROR(INDEX('Perhitungan IPH Mingguan 2026'!$C$6:$C$25,MATCH(LARGE('Perhitungan IPH Mingguan 2026'!$FQ$6:$FQ$25,1),'Perhitungan IPH Mingguan 2026'!$FQ$6:$FQ$25,0)),"")</f>
        <v>4.7910777785027697E-2</v>
      </c>
      <c r="D311" s="26">
        <f>IFERROR(INDEX('Perhitungan IPH Mingguan 2026'!$DO$6:$DO$25,MATCH(LARGE('Perhitungan IPH Mingguan 2026'!$FQ$6:$FQ$25,1),'Perhitungan IPH Mingguan 2026'!$FQ$6:$FQ$25,0)),"")</f>
        <v>3.514376996805102</v>
      </c>
      <c r="E311" s="14">
        <f>IFERROR(INDEX('Perhitungan IPH Mingguan 2026'!$DP$6:$DP$25,MATCH(LARGE('Perhitungan IPH Mingguan 2026'!$FQ$6:$FQ$25,1),'Perhitungan IPH Mingguan 2026'!$FQ$6:$FQ$25,0)),"")</f>
        <v>0.16837653534674224</v>
      </c>
      <c r="F311" s="13" t="str">
        <f>IF(ISNUMBER(E311),IF(E311&gt;0,"Penyumbang KENAIKAN IPH","Penyumbang PENURUNAN IPH"),"-")</f>
        <v>Penyumbang KENAIKAN IPH</v>
      </c>
    </row>
    <row r="312" spans="1:6" x14ac:dyDescent="0.35">
      <c r="A312" s="12">
        <v>2</v>
      </c>
      <c r="B312" s="13" t="str">
        <f>IFERROR(INDEX('Perhitungan IPH Mingguan 2026'!$B$6:$B$25,MATCH(LARGE('Perhitungan IPH Mingguan 2026'!$FQ$6:$FQ$25,2),'Perhitungan IPH Mingguan 2026'!$FQ$6:$FQ$25,0)),"-")</f>
        <v>telur ayam ras 01147002</v>
      </c>
      <c r="C312" s="14">
        <f>IFERROR(INDEX('Perhitungan IPH Mingguan 2026'!$C$6:$C$25,MATCH(LARGE('Perhitungan IPH Mingguan 2026'!$FQ$6:$FQ$25,2),'Perhitungan IPH Mingguan 2026'!$FQ$6:$FQ$25,0)),"")</f>
        <v>2.9877791079459301E-2</v>
      </c>
      <c r="D312" s="26">
        <f>IFERROR(INDEX('Perhitungan IPH Mingguan 2026'!$DO$6:$DO$25,MATCH(LARGE('Perhitungan IPH Mingguan 2026'!$FQ$6:$FQ$25,2),'Perhitungan IPH Mingguan 2026'!$FQ$6:$FQ$25,0)),"")</f>
        <v>3.4999999999999982</v>
      </c>
      <c r="E312" s="14">
        <f>IFERROR(INDEX('Perhitungan IPH Mingguan 2026'!$DP$6:$DP$25,MATCH(LARGE('Perhitungan IPH Mingguan 2026'!$FQ$6:$FQ$25,2),'Perhitungan IPH Mingguan 2026'!$FQ$6:$FQ$25,0)),"")</f>
        <v>0.1045722687781075</v>
      </c>
      <c r="F312" s="13" t="str">
        <f>IF(ISNUMBER(E312),IF(E312&gt;0,"Penyumbang KENAIKAN IPH","Penyumbang PENURUNAN IPH"),"-")</f>
        <v>Penyumbang KENAIKAN IPH</v>
      </c>
    </row>
    <row r="313" spans="1:6" x14ac:dyDescent="0.35">
      <c r="A313" s="12">
        <v>3</v>
      </c>
      <c r="B313" s="13" t="str">
        <f>IFERROR(INDEX('Perhitungan IPH Mingguan 2026'!$B$6:$B$25,MATCH(LARGE('Perhitungan IPH Mingguan 2026'!$FQ$6:$FQ$25,3),'Perhitungan IPH Mingguan 2026'!$FQ$6:$FQ$25,0)),"-")</f>
        <v>cabai rawit 01173013</v>
      </c>
      <c r="C313" s="14">
        <f>IFERROR(INDEX('Perhitungan IPH Mingguan 2026'!$C$6:$C$25,MATCH(LARGE('Perhitungan IPH Mingguan 2026'!$FQ$6:$FQ$25,3),'Perhitungan IPH Mingguan 2026'!$FQ$6:$FQ$25,0)),"")</f>
        <v>1.7701732362870599E-2</v>
      </c>
      <c r="D313" s="26">
        <f>IFERROR(INDEX('Perhitungan IPH Mingguan 2026'!$DO$6:$DO$25,MATCH(LARGE('Perhitungan IPH Mingguan 2026'!$FQ$6:$FQ$25,3),'Perhitungan IPH Mingguan 2026'!$FQ$6:$FQ$25,0)),"")</f>
        <v>4.7361299052774042</v>
      </c>
      <c r="E313" s="14">
        <f>IFERROR(INDEX('Perhitungan IPH Mingguan 2026'!$DP$6:$DP$25,MATCH(LARGE('Perhitungan IPH Mingguan 2026'!$FQ$6:$FQ$25,3),'Perhitungan IPH Mingguan 2026'!$FQ$6:$FQ$25,0)),"")</f>
        <v>8.3837704019008294E-2</v>
      </c>
      <c r="F313" s="13" t="str">
        <f>IF(ISNUMBER(E313),IF(E313&gt;0,"Penyumbang KENAIKAN IPH","Penyumbang PENURUNAN IPH"),"-")</f>
        <v>Penyumbang KENAIKAN IPH</v>
      </c>
    </row>
    <row r="314" spans="1:6" x14ac:dyDescent="0.35">
      <c r="A314" s="12">
        <v>4</v>
      </c>
      <c r="B314" s="13" t="str">
        <f>IFERROR(INDEX('Perhitungan IPH Mingguan 2026'!$B$6:$B$25,MATCH(LARGE('Perhitungan IPH Mingguan 2026'!$FQ$6:$FQ$25,4),'Perhitungan IPH Mingguan 2026'!$FQ$6:$FQ$25,0)),"-")</f>
        <v>cabai merah 01173012</v>
      </c>
      <c r="C314" s="14">
        <f>IFERROR(INDEX('Perhitungan IPH Mingguan 2026'!$C$6:$C$25,MATCH(LARGE('Perhitungan IPH Mingguan 2026'!$FQ$6:$FQ$25,4),'Perhitungan IPH Mingguan 2026'!$FQ$6:$FQ$25,0)),"")</f>
        <v>1.10208839376634E-2</v>
      </c>
      <c r="D314" s="26">
        <f>IFERROR(INDEX('Perhitungan IPH Mingguan 2026'!$DO$6:$DO$25,MATCH(LARGE('Perhitungan IPH Mingguan 2026'!$FQ$6:$FQ$25,4),'Perhitungan IPH Mingguan 2026'!$FQ$6:$FQ$25,0)),"")</f>
        <v>-4.330708661417324</v>
      </c>
      <c r="E314" s="14">
        <f>IFERROR(INDEX('Perhitungan IPH Mingguan 2026'!$DP$6:$DP$25,MATCH(LARGE('Perhitungan IPH Mingguan 2026'!$FQ$6:$FQ$25,4),'Perhitungan IPH Mingguan 2026'!$FQ$6:$FQ$25,0)),"")</f>
        <v>-4.7728237525313952E-2</v>
      </c>
      <c r="F314" s="13" t="str">
        <f>IF(ISNUMBER(E314),IF(E314&gt;0,"Penyumbang KENAIKAN IPH","Penyumbang PENURUNAN IPH"),"-")</f>
        <v>Penyumbang PENURUNAN IPH</v>
      </c>
    </row>
    <row r="315" spans="1:6" x14ac:dyDescent="0.35">
      <c r="A315" s="12">
        <v>5</v>
      </c>
      <c r="B315" s="13" t="str">
        <f>IFERROR(INDEX('Perhitungan IPH Mingguan 2026'!$B$6:$B$25,MATCH(LARGE('Perhitungan IPH Mingguan 2026'!$FQ$6:$FQ$25,5),'Perhitungan IPH Mingguan 2026'!$FQ$6:$FQ$25,0)),"-")</f>
        <v>bawang merah 1174006</v>
      </c>
      <c r="C315" s="14">
        <f>IFERROR(INDEX('Perhitungan IPH Mingguan 2026'!$C$6:$C$25,MATCH(LARGE('Perhitungan IPH Mingguan 2026'!$FQ$6:$FQ$25,5),'Perhitungan IPH Mingguan 2026'!$FQ$6:$FQ$25,0)),"")</f>
        <v>1.94434650422287E-2</v>
      </c>
      <c r="D315" s="26">
        <f>IFERROR(INDEX('Perhitungan IPH Mingguan 2026'!$DO$6:$DO$25,MATCH(LARGE('Perhitungan IPH Mingguan 2026'!$FQ$6:$FQ$25,5),'Perhitungan IPH Mingguan 2026'!$FQ$6:$FQ$25,0)),"")</f>
        <v>-0.7352941176470601</v>
      </c>
      <c r="E315" s="14">
        <f>IFERROR(INDEX('Perhitungan IPH Mingguan 2026'!$DP$6:$DP$25,MATCH(LARGE('Perhitungan IPH Mingguan 2026'!$FQ$6:$FQ$25,5),'Perhitungan IPH Mingguan 2026'!$FQ$6:$FQ$25,0)),"")</f>
        <v>-1.4296665472227009E-2</v>
      </c>
      <c r="F315" s="13" t="str">
        <f>IF(ISNUMBER(E315),IF(E315&gt;0,"Penyumbang KENAIKAN IPH","Penyumbang PENURUNAN IPH"),"-")</f>
        <v>Penyumbang PENURUNAN IPH</v>
      </c>
    </row>
    <row r="317" spans="1:6" ht="15" customHeight="1" x14ac:dyDescent="0.35">
      <c r="A317" s="2" t="s">
        <v>254</v>
      </c>
      <c r="B317" s="2"/>
      <c r="C317" s="2"/>
      <c r="D317" s="2"/>
      <c r="E317" s="2"/>
      <c r="F317" s="2"/>
    </row>
    <row r="318" spans="1:6" ht="23" x14ac:dyDescent="0.35">
      <c r="A318" s="7" t="s">
        <v>211</v>
      </c>
      <c r="B318" s="7" t="s">
        <v>212</v>
      </c>
      <c r="C318" s="7" t="s">
        <v>139</v>
      </c>
      <c r="D318" s="7" t="s">
        <v>213</v>
      </c>
      <c r="E318" s="7" t="s">
        <v>214</v>
      </c>
      <c r="F318" s="7" t="s">
        <v>215</v>
      </c>
    </row>
    <row r="319" spans="1:6" x14ac:dyDescent="0.35">
      <c r="A319" s="12">
        <v>1</v>
      </c>
      <c r="B319" s="13" t="str">
        <f>IFERROR(INDEX('Perhitungan IPH Mingguan 2026'!$B$6:$B$25,MATCH(LARGE('Perhitungan IPH Mingguan 2026'!$FR$6:$FR$25,1),'Perhitungan IPH Mingguan 2026'!$FR$6:$FR$25,0)),"-")</f>
        <v>beras 1111001</v>
      </c>
      <c r="C319" s="14">
        <f>IFERROR(INDEX('Perhitungan IPH Mingguan 2026'!$C$6:$C$25,MATCH(LARGE('Perhitungan IPH Mingguan 2026'!$FR$6:$FR$25,1),'Perhitungan IPH Mingguan 2026'!$FR$6:$FR$25,0)),"")</f>
        <v>0.12508905675934601</v>
      </c>
      <c r="D319" s="26" t="str">
        <f>IFERROR(INDEX('Perhitungan IPH Mingguan 2026'!$DR$6:$DR$25,MATCH(LARGE('Perhitungan IPH Mingguan 2026'!$FR$6:$FR$25,1),'Perhitungan IPH Mingguan 2026'!$FR$6:$FR$25,0)),"")</f>
        <v>n/a</v>
      </c>
      <c r="E319" s="14" t="str">
        <f>IFERROR(INDEX('Perhitungan IPH Mingguan 2026'!$DS$6:$DS$25,MATCH(LARGE('Perhitungan IPH Mingguan 2026'!$FR$6:$FR$25,1),'Perhitungan IPH Mingguan 2026'!$FR$6:$FR$25,0)),"")</f>
        <v>n/a</v>
      </c>
      <c r="F319" s="13" t="str">
        <f>IF(ISNUMBER(E319),IF(E319&gt;0,"Penyumbang KENAIKAN IPH","Penyumbang PENURUNAN IPH"),"-")</f>
        <v>-</v>
      </c>
    </row>
    <row r="320" spans="1:6" x14ac:dyDescent="0.35">
      <c r="A320" s="12">
        <v>2</v>
      </c>
      <c r="B320" s="13" t="str">
        <f>IFERROR(INDEX('Perhitungan IPH Mingguan 2026'!$B$6:$B$25,MATCH(LARGE('Perhitungan IPH Mingguan 2026'!$FR$6:$FR$25,2),'Perhitungan IPH Mingguan 2026'!$FR$6:$FR$25,0)),"-")</f>
        <v>beras 1111001</v>
      </c>
      <c r="C320" s="14">
        <f>IFERROR(INDEX('Perhitungan IPH Mingguan 2026'!$C$6:$C$25,MATCH(LARGE('Perhitungan IPH Mingguan 2026'!$FR$6:$FR$25,2),'Perhitungan IPH Mingguan 2026'!$FR$6:$FR$25,0)),"")</f>
        <v>0.12508905675934601</v>
      </c>
      <c r="D320" s="26" t="str">
        <f>IFERROR(INDEX('Perhitungan IPH Mingguan 2026'!$DR$6:$DR$25,MATCH(LARGE('Perhitungan IPH Mingguan 2026'!$FR$6:$FR$25,2),'Perhitungan IPH Mingguan 2026'!$FR$6:$FR$25,0)),"")</f>
        <v>n/a</v>
      </c>
      <c r="E320" s="14" t="str">
        <f>IFERROR(INDEX('Perhitungan IPH Mingguan 2026'!$DS$6:$DS$25,MATCH(LARGE('Perhitungan IPH Mingguan 2026'!$FR$6:$FR$25,2),'Perhitungan IPH Mingguan 2026'!$FR$6:$FR$25,0)),"")</f>
        <v>n/a</v>
      </c>
      <c r="F320" s="13" t="str">
        <f>IF(ISNUMBER(E320),IF(E320&gt;0,"Penyumbang KENAIKAN IPH","Penyumbang PENURUNAN IPH"),"-")</f>
        <v>-</v>
      </c>
    </row>
    <row r="321" spans="1:6" x14ac:dyDescent="0.35">
      <c r="A321" s="12">
        <v>3</v>
      </c>
      <c r="B321" s="13" t="str">
        <f>IFERROR(INDEX('Perhitungan IPH Mingguan 2026'!$B$6:$B$25,MATCH(LARGE('Perhitungan IPH Mingguan 2026'!$FR$6:$FR$25,3),'Perhitungan IPH Mingguan 2026'!$FR$6:$FR$25,0)),"-")</f>
        <v>beras 1111001</v>
      </c>
      <c r="C321" s="14">
        <f>IFERROR(INDEX('Perhitungan IPH Mingguan 2026'!$C$6:$C$25,MATCH(LARGE('Perhitungan IPH Mingguan 2026'!$FR$6:$FR$25,3),'Perhitungan IPH Mingguan 2026'!$FR$6:$FR$25,0)),"")</f>
        <v>0.12508905675934601</v>
      </c>
      <c r="D321" s="26" t="str">
        <f>IFERROR(INDEX('Perhitungan IPH Mingguan 2026'!$DR$6:$DR$25,MATCH(LARGE('Perhitungan IPH Mingguan 2026'!$FR$6:$FR$25,3),'Perhitungan IPH Mingguan 2026'!$FR$6:$FR$25,0)),"")</f>
        <v>n/a</v>
      </c>
      <c r="E321" s="14" t="str">
        <f>IFERROR(INDEX('Perhitungan IPH Mingguan 2026'!$DS$6:$DS$25,MATCH(LARGE('Perhitungan IPH Mingguan 2026'!$FR$6:$FR$25,3),'Perhitungan IPH Mingguan 2026'!$FR$6:$FR$25,0)),"")</f>
        <v>n/a</v>
      </c>
      <c r="F321" s="13" t="str">
        <f>IF(ISNUMBER(E321),IF(E321&gt;0,"Penyumbang KENAIKAN IPH","Penyumbang PENURUNAN IPH"),"-")</f>
        <v>-</v>
      </c>
    </row>
    <row r="322" spans="1:6" x14ac:dyDescent="0.35">
      <c r="A322" s="12">
        <v>4</v>
      </c>
      <c r="B322" s="13" t="str">
        <f>IFERROR(INDEX('Perhitungan IPH Mingguan 2026'!$B$6:$B$25,MATCH(LARGE('Perhitungan IPH Mingguan 2026'!$FR$6:$FR$25,4),'Perhitungan IPH Mingguan 2026'!$FR$6:$FR$25,0)),"-")</f>
        <v>beras 1111001</v>
      </c>
      <c r="C322" s="14">
        <f>IFERROR(INDEX('Perhitungan IPH Mingguan 2026'!$C$6:$C$25,MATCH(LARGE('Perhitungan IPH Mingguan 2026'!$FR$6:$FR$25,4),'Perhitungan IPH Mingguan 2026'!$FR$6:$FR$25,0)),"")</f>
        <v>0.12508905675934601</v>
      </c>
      <c r="D322" s="26" t="str">
        <f>IFERROR(INDEX('Perhitungan IPH Mingguan 2026'!$DR$6:$DR$25,MATCH(LARGE('Perhitungan IPH Mingguan 2026'!$FR$6:$FR$25,4),'Perhitungan IPH Mingguan 2026'!$FR$6:$FR$25,0)),"")</f>
        <v>n/a</v>
      </c>
      <c r="E322" s="14" t="str">
        <f>IFERROR(INDEX('Perhitungan IPH Mingguan 2026'!$DS$6:$DS$25,MATCH(LARGE('Perhitungan IPH Mingguan 2026'!$FR$6:$FR$25,4),'Perhitungan IPH Mingguan 2026'!$FR$6:$FR$25,0)),"")</f>
        <v>n/a</v>
      </c>
      <c r="F322" s="13" t="str">
        <f>IF(ISNUMBER(E322),IF(E322&gt;0,"Penyumbang KENAIKAN IPH","Penyumbang PENURUNAN IPH"),"-")</f>
        <v>-</v>
      </c>
    </row>
    <row r="323" spans="1:6" x14ac:dyDescent="0.35">
      <c r="A323" s="12">
        <v>5</v>
      </c>
      <c r="B323" s="13" t="str">
        <f>IFERROR(INDEX('Perhitungan IPH Mingguan 2026'!$B$6:$B$25,MATCH(LARGE('Perhitungan IPH Mingguan 2026'!$FR$6:$FR$25,5),'Perhitungan IPH Mingguan 2026'!$FR$6:$FR$25,0)),"-")</f>
        <v>beras 1111001</v>
      </c>
      <c r="C323" s="14">
        <f>IFERROR(INDEX('Perhitungan IPH Mingguan 2026'!$C$6:$C$25,MATCH(LARGE('Perhitungan IPH Mingguan 2026'!$FR$6:$FR$25,5),'Perhitungan IPH Mingguan 2026'!$FR$6:$FR$25,0)),"")</f>
        <v>0.12508905675934601</v>
      </c>
      <c r="D323" s="26" t="str">
        <f>IFERROR(INDEX('Perhitungan IPH Mingguan 2026'!$DR$6:$DR$25,MATCH(LARGE('Perhitungan IPH Mingguan 2026'!$FR$6:$FR$25,5),'Perhitungan IPH Mingguan 2026'!$FR$6:$FR$25,0)),"")</f>
        <v>n/a</v>
      </c>
      <c r="E323" s="14" t="str">
        <f>IFERROR(INDEX('Perhitungan IPH Mingguan 2026'!$DS$6:$DS$25,MATCH(LARGE('Perhitungan IPH Mingguan 2026'!$FR$6:$FR$25,5),'Perhitungan IPH Mingguan 2026'!$FR$6:$FR$25,0)),"")</f>
        <v>n/a</v>
      </c>
      <c r="F323" s="13" t="str">
        <f>IF(ISNUMBER(E323),IF(E323&gt;0,"Penyumbang KENAIKAN IPH","Penyumbang PENURUNAN IPH"),"-")</f>
        <v>-</v>
      </c>
    </row>
    <row r="325" spans="1:6" ht="15" customHeight="1" x14ac:dyDescent="0.35">
      <c r="A325" s="2" t="s">
        <v>255</v>
      </c>
      <c r="B325" s="2"/>
      <c r="C325" s="2"/>
      <c r="D325" s="2"/>
      <c r="E325" s="2"/>
      <c r="F325" s="2"/>
    </row>
    <row r="326" spans="1:6" ht="23" x14ac:dyDescent="0.35">
      <c r="A326" s="7" t="s">
        <v>211</v>
      </c>
      <c r="B326" s="7" t="s">
        <v>212</v>
      </c>
      <c r="C326" s="7" t="s">
        <v>139</v>
      </c>
      <c r="D326" s="7" t="s">
        <v>213</v>
      </c>
      <c r="E326" s="7" t="s">
        <v>214</v>
      </c>
      <c r="F326" s="7" t="s">
        <v>215</v>
      </c>
    </row>
    <row r="327" spans="1:6" x14ac:dyDescent="0.35">
      <c r="A327" s="12">
        <v>1</v>
      </c>
      <c r="B327" s="13" t="str">
        <f>IFERROR(INDEX('Perhitungan IPH Mingguan 2026'!$B$6:$B$25,MATCH(LARGE('Perhitungan IPH Mingguan 2026'!$FS$6:$FS$25,1),'Perhitungan IPH Mingguan 2026'!$FS$6:$FS$25,0)),"-")</f>
        <v>beras 1111001</v>
      </c>
      <c r="C327" s="14">
        <f>IFERROR(INDEX('Perhitungan IPH Mingguan 2026'!$C$6:$C$25,MATCH(LARGE('Perhitungan IPH Mingguan 2026'!$FS$6:$FS$25,1),'Perhitungan IPH Mingguan 2026'!$FS$6:$FS$25,0)),"")</f>
        <v>0.12508905675934601</v>
      </c>
      <c r="D327" s="26" t="str">
        <f>IFERROR(INDEX('Perhitungan IPH Mingguan 2026'!$DU$6:$DU$25,MATCH(LARGE('Perhitungan IPH Mingguan 2026'!$FS$6:$FS$25,1),'Perhitungan IPH Mingguan 2026'!$FS$6:$FS$25,0)),"")</f>
        <v>n/a</v>
      </c>
      <c r="E327" s="14" t="str">
        <f>IFERROR(INDEX('Perhitungan IPH Mingguan 2026'!$DV$6:$DV$25,MATCH(LARGE('Perhitungan IPH Mingguan 2026'!$FS$6:$FS$25,1),'Perhitungan IPH Mingguan 2026'!$FS$6:$FS$25,0)),"")</f>
        <v>n/a</v>
      </c>
      <c r="F327" s="13" t="str">
        <f>IF(ISNUMBER(E327),IF(E327&gt;0,"Penyumbang KENAIKAN IPH","Penyumbang PENURUNAN IPH"),"-")</f>
        <v>-</v>
      </c>
    </row>
    <row r="328" spans="1:6" x14ac:dyDescent="0.35">
      <c r="A328" s="12">
        <v>2</v>
      </c>
      <c r="B328" s="13" t="str">
        <f>IFERROR(INDEX('Perhitungan IPH Mingguan 2026'!$B$6:$B$25,MATCH(LARGE('Perhitungan IPH Mingguan 2026'!$FS$6:$FS$25,2),'Perhitungan IPH Mingguan 2026'!$FS$6:$FS$25,0)),"-")</f>
        <v>beras 1111001</v>
      </c>
      <c r="C328" s="14">
        <f>IFERROR(INDEX('Perhitungan IPH Mingguan 2026'!$C$6:$C$25,MATCH(LARGE('Perhitungan IPH Mingguan 2026'!$FS$6:$FS$25,2),'Perhitungan IPH Mingguan 2026'!$FS$6:$FS$25,0)),"")</f>
        <v>0.12508905675934601</v>
      </c>
      <c r="D328" s="26" t="str">
        <f>IFERROR(INDEX('Perhitungan IPH Mingguan 2026'!$DU$6:$DU$25,MATCH(LARGE('Perhitungan IPH Mingguan 2026'!$FS$6:$FS$25,2),'Perhitungan IPH Mingguan 2026'!$FS$6:$FS$25,0)),"")</f>
        <v>n/a</v>
      </c>
      <c r="E328" s="14" t="str">
        <f>IFERROR(INDEX('Perhitungan IPH Mingguan 2026'!$DV$6:$DV$25,MATCH(LARGE('Perhitungan IPH Mingguan 2026'!$FS$6:$FS$25,2),'Perhitungan IPH Mingguan 2026'!$FS$6:$FS$25,0)),"")</f>
        <v>n/a</v>
      </c>
      <c r="F328" s="13" t="str">
        <f>IF(ISNUMBER(E328),IF(E328&gt;0,"Penyumbang KENAIKAN IPH","Penyumbang PENURUNAN IPH"),"-")</f>
        <v>-</v>
      </c>
    </row>
    <row r="329" spans="1:6" x14ac:dyDescent="0.35">
      <c r="A329" s="12">
        <v>3</v>
      </c>
      <c r="B329" s="13" t="str">
        <f>IFERROR(INDEX('Perhitungan IPH Mingguan 2026'!$B$6:$B$25,MATCH(LARGE('Perhitungan IPH Mingguan 2026'!$FS$6:$FS$25,3),'Perhitungan IPH Mingguan 2026'!$FS$6:$FS$25,0)),"-")</f>
        <v>beras 1111001</v>
      </c>
      <c r="C329" s="14">
        <f>IFERROR(INDEX('Perhitungan IPH Mingguan 2026'!$C$6:$C$25,MATCH(LARGE('Perhitungan IPH Mingguan 2026'!$FS$6:$FS$25,3),'Perhitungan IPH Mingguan 2026'!$FS$6:$FS$25,0)),"")</f>
        <v>0.12508905675934601</v>
      </c>
      <c r="D329" s="26" t="str">
        <f>IFERROR(INDEX('Perhitungan IPH Mingguan 2026'!$DU$6:$DU$25,MATCH(LARGE('Perhitungan IPH Mingguan 2026'!$FS$6:$FS$25,3),'Perhitungan IPH Mingguan 2026'!$FS$6:$FS$25,0)),"")</f>
        <v>n/a</v>
      </c>
      <c r="E329" s="14" t="str">
        <f>IFERROR(INDEX('Perhitungan IPH Mingguan 2026'!$DV$6:$DV$25,MATCH(LARGE('Perhitungan IPH Mingguan 2026'!$FS$6:$FS$25,3),'Perhitungan IPH Mingguan 2026'!$FS$6:$FS$25,0)),"")</f>
        <v>n/a</v>
      </c>
      <c r="F329" s="13" t="str">
        <f>IF(ISNUMBER(E329),IF(E329&gt;0,"Penyumbang KENAIKAN IPH","Penyumbang PENURUNAN IPH"),"-")</f>
        <v>-</v>
      </c>
    </row>
    <row r="330" spans="1:6" x14ac:dyDescent="0.35">
      <c r="A330" s="12">
        <v>4</v>
      </c>
      <c r="B330" s="13" t="str">
        <f>IFERROR(INDEX('Perhitungan IPH Mingguan 2026'!$B$6:$B$25,MATCH(LARGE('Perhitungan IPH Mingguan 2026'!$FS$6:$FS$25,4),'Perhitungan IPH Mingguan 2026'!$FS$6:$FS$25,0)),"-")</f>
        <v>beras 1111001</v>
      </c>
      <c r="C330" s="14">
        <f>IFERROR(INDEX('Perhitungan IPH Mingguan 2026'!$C$6:$C$25,MATCH(LARGE('Perhitungan IPH Mingguan 2026'!$FS$6:$FS$25,4),'Perhitungan IPH Mingguan 2026'!$FS$6:$FS$25,0)),"")</f>
        <v>0.12508905675934601</v>
      </c>
      <c r="D330" s="26" t="str">
        <f>IFERROR(INDEX('Perhitungan IPH Mingguan 2026'!$DU$6:$DU$25,MATCH(LARGE('Perhitungan IPH Mingguan 2026'!$FS$6:$FS$25,4),'Perhitungan IPH Mingguan 2026'!$FS$6:$FS$25,0)),"")</f>
        <v>n/a</v>
      </c>
      <c r="E330" s="14" t="str">
        <f>IFERROR(INDEX('Perhitungan IPH Mingguan 2026'!$DV$6:$DV$25,MATCH(LARGE('Perhitungan IPH Mingguan 2026'!$FS$6:$FS$25,4),'Perhitungan IPH Mingguan 2026'!$FS$6:$FS$25,0)),"")</f>
        <v>n/a</v>
      </c>
      <c r="F330" s="13" t="str">
        <f>IF(ISNUMBER(E330),IF(E330&gt;0,"Penyumbang KENAIKAN IPH","Penyumbang PENURUNAN IPH"),"-")</f>
        <v>-</v>
      </c>
    </row>
    <row r="331" spans="1:6" x14ac:dyDescent="0.35">
      <c r="A331" s="12">
        <v>5</v>
      </c>
      <c r="B331" s="13" t="str">
        <f>IFERROR(INDEX('Perhitungan IPH Mingguan 2026'!$B$6:$B$25,MATCH(LARGE('Perhitungan IPH Mingguan 2026'!$FS$6:$FS$25,5),'Perhitungan IPH Mingguan 2026'!$FS$6:$FS$25,0)),"-")</f>
        <v>beras 1111001</v>
      </c>
      <c r="C331" s="14">
        <f>IFERROR(INDEX('Perhitungan IPH Mingguan 2026'!$C$6:$C$25,MATCH(LARGE('Perhitungan IPH Mingguan 2026'!$FS$6:$FS$25,5),'Perhitungan IPH Mingguan 2026'!$FS$6:$FS$25,0)),"")</f>
        <v>0.12508905675934601</v>
      </c>
      <c r="D331" s="26" t="str">
        <f>IFERROR(INDEX('Perhitungan IPH Mingguan 2026'!$DU$6:$DU$25,MATCH(LARGE('Perhitungan IPH Mingguan 2026'!$FS$6:$FS$25,5),'Perhitungan IPH Mingguan 2026'!$FS$6:$FS$25,0)),"")</f>
        <v>n/a</v>
      </c>
      <c r="E331" s="14" t="str">
        <f>IFERROR(INDEX('Perhitungan IPH Mingguan 2026'!$DV$6:$DV$25,MATCH(LARGE('Perhitungan IPH Mingguan 2026'!$FS$6:$FS$25,5),'Perhitungan IPH Mingguan 2026'!$FS$6:$FS$25,0)),"")</f>
        <v>n/a</v>
      </c>
      <c r="F331" s="13" t="str">
        <f>IF(ISNUMBER(E331),IF(E331&gt;0,"Penyumbang KENAIKAN IPH","Penyumbang PENURUNAN IPH"),"-")</f>
        <v>-</v>
      </c>
    </row>
    <row r="333" spans="1:6" ht="15" customHeight="1" x14ac:dyDescent="0.35">
      <c r="A333" s="2" t="s">
        <v>256</v>
      </c>
      <c r="B333" s="2"/>
      <c r="C333" s="2"/>
      <c r="D333" s="2"/>
      <c r="E333" s="2"/>
      <c r="F333" s="2"/>
    </row>
    <row r="334" spans="1:6" ht="23" x14ac:dyDescent="0.35">
      <c r="A334" s="7" t="s">
        <v>211</v>
      </c>
      <c r="B334" s="7" t="s">
        <v>212</v>
      </c>
      <c r="C334" s="7" t="s">
        <v>139</v>
      </c>
      <c r="D334" s="7" t="s">
        <v>213</v>
      </c>
      <c r="E334" s="7" t="s">
        <v>214</v>
      </c>
      <c r="F334" s="7" t="s">
        <v>215</v>
      </c>
    </row>
    <row r="335" spans="1:6" x14ac:dyDescent="0.35">
      <c r="A335" s="12">
        <v>1</v>
      </c>
      <c r="B335" s="13" t="str">
        <f>IFERROR(INDEX('Perhitungan IPH Mingguan 2026'!$B$6:$B$25,MATCH(LARGE('Perhitungan IPH Mingguan 2026'!$FT$6:$FT$25,1),'Perhitungan IPH Mingguan 2026'!$FT$6:$FT$25,0)),"-")</f>
        <v>beras 1111001</v>
      </c>
      <c r="C335" s="14">
        <f>IFERROR(INDEX('Perhitungan IPH Mingguan 2026'!$C$6:$C$25,MATCH(LARGE('Perhitungan IPH Mingguan 2026'!$FT$6:$FT$25,1),'Perhitungan IPH Mingguan 2026'!$FT$6:$FT$25,0)),"")</f>
        <v>0.12508905675934601</v>
      </c>
      <c r="D335" s="26" t="str">
        <f>IFERROR(INDEX('Perhitungan IPH Mingguan 2026'!$DX$6:$DX$25,MATCH(LARGE('Perhitungan IPH Mingguan 2026'!$FT$6:$FT$25,1),'Perhitungan IPH Mingguan 2026'!$FT$6:$FT$25,0)),"")</f>
        <v>n/a</v>
      </c>
      <c r="E335" s="14" t="str">
        <f>IFERROR(INDEX('Perhitungan IPH Mingguan 2026'!$DY$6:$DY$25,MATCH(LARGE('Perhitungan IPH Mingguan 2026'!$FT$6:$FT$25,1),'Perhitungan IPH Mingguan 2026'!$FT$6:$FT$25,0)),"")</f>
        <v>n/a</v>
      </c>
      <c r="F335" s="13" t="str">
        <f>IF(ISNUMBER(E335),IF(E335&gt;0,"Penyumbang KENAIKAN IPH","Penyumbang PENURUNAN IPH"),"-")</f>
        <v>-</v>
      </c>
    </row>
    <row r="336" spans="1:6" x14ac:dyDescent="0.35">
      <c r="A336" s="12">
        <v>2</v>
      </c>
      <c r="B336" s="13" t="str">
        <f>IFERROR(INDEX('Perhitungan IPH Mingguan 2026'!$B$6:$B$25,MATCH(LARGE('Perhitungan IPH Mingguan 2026'!$FT$6:$FT$25,2),'Perhitungan IPH Mingguan 2026'!$FT$6:$FT$25,0)),"-")</f>
        <v>beras 1111001</v>
      </c>
      <c r="C336" s="14">
        <f>IFERROR(INDEX('Perhitungan IPH Mingguan 2026'!$C$6:$C$25,MATCH(LARGE('Perhitungan IPH Mingguan 2026'!$FT$6:$FT$25,2),'Perhitungan IPH Mingguan 2026'!$FT$6:$FT$25,0)),"")</f>
        <v>0.12508905675934601</v>
      </c>
      <c r="D336" s="26" t="str">
        <f>IFERROR(INDEX('Perhitungan IPH Mingguan 2026'!$DX$6:$DX$25,MATCH(LARGE('Perhitungan IPH Mingguan 2026'!$FT$6:$FT$25,2),'Perhitungan IPH Mingguan 2026'!$FT$6:$FT$25,0)),"")</f>
        <v>n/a</v>
      </c>
      <c r="E336" s="14" t="str">
        <f>IFERROR(INDEX('Perhitungan IPH Mingguan 2026'!$DY$6:$DY$25,MATCH(LARGE('Perhitungan IPH Mingguan 2026'!$FT$6:$FT$25,2),'Perhitungan IPH Mingguan 2026'!$FT$6:$FT$25,0)),"")</f>
        <v>n/a</v>
      </c>
      <c r="F336" s="13" t="str">
        <f>IF(ISNUMBER(E336),IF(E336&gt;0,"Penyumbang KENAIKAN IPH","Penyumbang PENURUNAN IPH"),"-")</f>
        <v>-</v>
      </c>
    </row>
    <row r="337" spans="1:6" x14ac:dyDescent="0.35">
      <c r="A337" s="12">
        <v>3</v>
      </c>
      <c r="B337" s="13" t="str">
        <f>IFERROR(INDEX('Perhitungan IPH Mingguan 2026'!$B$6:$B$25,MATCH(LARGE('Perhitungan IPH Mingguan 2026'!$FT$6:$FT$25,3),'Perhitungan IPH Mingguan 2026'!$FT$6:$FT$25,0)),"-")</f>
        <v>beras 1111001</v>
      </c>
      <c r="C337" s="14">
        <f>IFERROR(INDEX('Perhitungan IPH Mingguan 2026'!$C$6:$C$25,MATCH(LARGE('Perhitungan IPH Mingguan 2026'!$FT$6:$FT$25,3),'Perhitungan IPH Mingguan 2026'!$FT$6:$FT$25,0)),"")</f>
        <v>0.12508905675934601</v>
      </c>
      <c r="D337" s="26" t="str">
        <f>IFERROR(INDEX('Perhitungan IPH Mingguan 2026'!$DX$6:$DX$25,MATCH(LARGE('Perhitungan IPH Mingguan 2026'!$FT$6:$FT$25,3),'Perhitungan IPH Mingguan 2026'!$FT$6:$FT$25,0)),"")</f>
        <v>n/a</v>
      </c>
      <c r="E337" s="14" t="str">
        <f>IFERROR(INDEX('Perhitungan IPH Mingguan 2026'!$DY$6:$DY$25,MATCH(LARGE('Perhitungan IPH Mingguan 2026'!$FT$6:$FT$25,3),'Perhitungan IPH Mingguan 2026'!$FT$6:$FT$25,0)),"")</f>
        <v>n/a</v>
      </c>
      <c r="F337" s="13" t="str">
        <f>IF(ISNUMBER(E337),IF(E337&gt;0,"Penyumbang KENAIKAN IPH","Penyumbang PENURUNAN IPH"),"-")</f>
        <v>-</v>
      </c>
    </row>
    <row r="338" spans="1:6" x14ac:dyDescent="0.35">
      <c r="A338" s="12">
        <v>4</v>
      </c>
      <c r="B338" s="13" t="str">
        <f>IFERROR(INDEX('Perhitungan IPH Mingguan 2026'!$B$6:$B$25,MATCH(LARGE('Perhitungan IPH Mingguan 2026'!$FT$6:$FT$25,4),'Perhitungan IPH Mingguan 2026'!$FT$6:$FT$25,0)),"-")</f>
        <v>beras 1111001</v>
      </c>
      <c r="C338" s="14">
        <f>IFERROR(INDEX('Perhitungan IPH Mingguan 2026'!$C$6:$C$25,MATCH(LARGE('Perhitungan IPH Mingguan 2026'!$FT$6:$FT$25,4),'Perhitungan IPH Mingguan 2026'!$FT$6:$FT$25,0)),"")</f>
        <v>0.12508905675934601</v>
      </c>
      <c r="D338" s="26" t="str">
        <f>IFERROR(INDEX('Perhitungan IPH Mingguan 2026'!$DX$6:$DX$25,MATCH(LARGE('Perhitungan IPH Mingguan 2026'!$FT$6:$FT$25,4),'Perhitungan IPH Mingguan 2026'!$FT$6:$FT$25,0)),"")</f>
        <v>n/a</v>
      </c>
      <c r="E338" s="14" t="str">
        <f>IFERROR(INDEX('Perhitungan IPH Mingguan 2026'!$DY$6:$DY$25,MATCH(LARGE('Perhitungan IPH Mingguan 2026'!$FT$6:$FT$25,4),'Perhitungan IPH Mingguan 2026'!$FT$6:$FT$25,0)),"")</f>
        <v>n/a</v>
      </c>
      <c r="F338" s="13" t="str">
        <f>IF(ISNUMBER(E338),IF(E338&gt;0,"Penyumbang KENAIKAN IPH","Penyumbang PENURUNAN IPH"),"-")</f>
        <v>-</v>
      </c>
    </row>
    <row r="339" spans="1:6" x14ac:dyDescent="0.35">
      <c r="A339" s="12">
        <v>5</v>
      </c>
      <c r="B339" s="13" t="str">
        <f>IFERROR(INDEX('Perhitungan IPH Mingguan 2026'!$B$6:$B$25,MATCH(LARGE('Perhitungan IPH Mingguan 2026'!$FT$6:$FT$25,5),'Perhitungan IPH Mingguan 2026'!$FT$6:$FT$25,0)),"-")</f>
        <v>beras 1111001</v>
      </c>
      <c r="C339" s="14">
        <f>IFERROR(INDEX('Perhitungan IPH Mingguan 2026'!$C$6:$C$25,MATCH(LARGE('Perhitungan IPH Mingguan 2026'!$FT$6:$FT$25,5),'Perhitungan IPH Mingguan 2026'!$FT$6:$FT$25,0)),"")</f>
        <v>0.12508905675934601</v>
      </c>
      <c r="D339" s="26" t="str">
        <f>IFERROR(INDEX('Perhitungan IPH Mingguan 2026'!$DX$6:$DX$25,MATCH(LARGE('Perhitungan IPH Mingguan 2026'!$FT$6:$FT$25,5),'Perhitungan IPH Mingguan 2026'!$FT$6:$FT$25,0)),"")</f>
        <v>n/a</v>
      </c>
      <c r="E339" s="14" t="str">
        <f>IFERROR(INDEX('Perhitungan IPH Mingguan 2026'!$DY$6:$DY$25,MATCH(LARGE('Perhitungan IPH Mingguan 2026'!$FT$6:$FT$25,5),'Perhitungan IPH Mingguan 2026'!$FT$6:$FT$25,0)),"")</f>
        <v>n/a</v>
      </c>
      <c r="F339" s="13" t="str">
        <f>IF(ISNUMBER(E339),IF(E339&gt;0,"Penyumbang KENAIKAN IPH","Penyumbang PENURUNAN IPH"),"-")</f>
        <v>-</v>
      </c>
    </row>
    <row r="341" spans="1:6" ht="15" customHeight="1" x14ac:dyDescent="0.35">
      <c r="A341" s="2" t="s">
        <v>257</v>
      </c>
      <c r="B341" s="2"/>
      <c r="C341" s="2"/>
      <c r="D341" s="2"/>
      <c r="E341" s="2"/>
      <c r="F341" s="2"/>
    </row>
    <row r="342" spans="1:6" ht="23" x14ac:dyDescent="0.35">
      <c r="A342" s="7" t="s">
        <v>211</v>
      </c>
      <c r="B342" s="7" t="s">
        <v>212</v>
      </c>
      <c r="C342" s="7" t="s">
        <v>139</v>
      </c>
      <c r="D342" s="7" t="s">
        <v>213</v>
      </c>
      <c r="E342" s="7" t="s">
        <v>214</v>
      </c>
      <c r="F342" s="7" t="s">
        <v>215</v>
      </c>
    </row>
    <row r="343" spans="1:6" x14ac:dyDescent="0.35">
      <c r="A343" s="12">
        <v>1</v>
      </c>
      <c r="B343" s="13" t="str">
        <f>IFERROR(INDEX('Perhitungan IPH Mingguan 2026'!$B$6:$B$25,MATCH(LARGE('Perhitungan IPH Mingguan 2026'!$FU$6:$FU$25,1),'Perhitungan IPH Mingguan 2026'!$FU$6:$FU$25,0)),"-")</f>
        <v>beras 1111001</v>
      </c>
      <c r="C343" s="14">
        <f>IFERROR(INDEX('Perhitungan IPH Mingguan 2026'!$C$6:$C$25,MATCH(LARGE('Perhitungan IPH Mingguan 2026'!$FU$6:$FU$25,1),'Perhitungan IPH Mingguan 2026'!$FU$6:$FU$25,0)),"")</f>
        <v>0.12508905675934601</v>
      </c>
      <c r="D343" s="26" t="str">
        <f>IFERROR(INDEX('Perhitungan IPH Mingguan 2026'!$EA$6:$EA$25,MATCH(LARGE('Perhitungan IPH Mingguan 2026'!$FU$6:$FU$25,1),'Perhitungan IPH Mingguan 2026'!$FU$6:$FU$25,0)),"")</f>
        <v>n/a</v>
      </c>
      <c r="E343" s="14" t="str">
        <f>IFERROR(INDEX('Perhitungan IPH Mingguan 2026'!$EB$6:$EB$25,MATCH(LARGE('Perhitungan IPH Mingguan 2026'!$FU$6:$FU$25,1),'Perhitungan IPH Mingguan 2026'!$FU$6:$FU$25,0)),"")</f>
        <v>n/a</v>
      </c>
      <c r="F343" s="13" t="str">
        <f>IF(ISNUMBER(E343),IF(E343&gt;0,"Penyumbang KENAIKAN IPH","Penyumbang PENURUNAN IPH"),"-")</f>
        <v>-</v>
      </c>
    </row>
    <row r="344" spans="1:6" x14ac:dyDescent="0.35">
      <c r="A344" s="12">
        <v>2</v>
      </c>
      <c r="B344" s="13" t="str">
        <f>IFERROR(INDEX('Perhitungan IPH Mingguan 2026'!$B$6:$B$25,MATCH(LARGE('Perhitungan IPH Mingguan 2026'!$FU$6:$FU$25,2),'Perhitungan IPH Mingguan 2026'!$FU$6:$FU$25,0)),"-")</f>
        <v>beras 1111001</v>
      </c>
      <c r="C344" s="14">
        <f>IFERROR(INDEX('Perhitungan IPH Mingguan 2026'!$C$6:$C$25,MATCH(LARGE('Perhitungan IPH Mingguan 2026'!$FU$6:$FU$25,2),'Perhitungan IPH Mingguan 2026'!$FU$6:$FU$25,0)),"")</f>
        <v>0.12508905675934601</v>
      </c>
      <c r="D344" s="26" t="str">
        <f>IFERROR(INDEX('Perhitungan IPH Mingguan 2026'!$EA$6:$EA$25,MATCH(LARGE('Perhitungan IPH Mingguan 2026'!$FU$6:$FU$25,2),'Perhitungan IPH Mingguan 2026'!$FU$6:$FU$25,0)),"")</f>
        <v>n/a</v>
      </c>
      <c r="E344" s="14" t="str">
        <f>IFERROR(INDEX('Perhitungan IPH Mingguan 2026'!$EB$6:$EB$25,MATCH(LARGE('Perhitungan IPH Mingguan 2026'!$FU$6:$FU$25,2),'Perhitungan IPH Mingguan 2026'!$FU$6:$FU$25,0)),"")</f>
        <v>n/a</v>
      </c>
      <c r="F344" s="13" t="str">
        <f>IF(ISNUMBER(E344),IF(E344&gt;0,"Penyumbang KENAIKAN IPH","Penyumbang PENURUNAN IPH"),"-")</f>
        <v>-</v>
      </c>
    </row>
    <row r="345" spans="1:6" x14ac:dyDescent="0.35">
      <c r="A345" s="12">
        <v>3</v>
      </c>
      <c r="B345" s="13" t="str">
        <f>IFERROR(INDEX('Perhitungan IPH Mingguan 2026'!$B$6:$B$25,MATCH(LARGE('Perhitungan IPH Mingguan 2026'!$FU$6:$FU$25,3),'Perhitungan IPH Mingguan 2026'!$FU$6:$FU$25,0)),"-")</f>
        <v>beras 1111001</v>
      </c>
      <c r="C345" s="14">
        <f>IFERROR(INDEX('Perhitungan IPH Mingguan 2026'!$C$6:$C$25,MATCH(LARGE('Perhitungan IPH Mingguan 2026'!$FU$6:$FU$25,3),'Perhitungan IPH Mingguan 2026'!$FU$6:$FU$25,0)),"")</f>
        <v>0.12508905675934601</v>
      </c>
      <c r="D345" s="26" t="str">
        <f>IFERROR(INDEX('Perhitungan IPH Mingguan 2026'!$EA$6:$EA$25,MATCH(LARGE('Perhitungan IPH Mingguan 2026'!$FU$6:$FU$25,3),'Perhitungan IPH Mingguan 2026'!$FU$6:$FU$25,0)),"")</f>
        <v>n/a</v>
      </c>
      <c r="E345" s="14" t="str">
        <f>IFERROR(INDEX('Perhitungan IPH Mingguan 2026'!$EB$6:$EB$25,MATCH(LARGE('Perhitungan IPH Mingguan 2026'!$FU$6:$FU$25,3),'Perhitungan IPH Mingguan 2026'!$FU$6:$FU$25,0)),"")</f>
        <v>n/a</v>
      </c>
      <c r="F345" s="13" t="str">
        <f>IF(ISNUMBER(E345),IF(E345&gt;0,"Penyumbang KENAIKAN IPH","Penyumbang PENURUNAN IPH"),"-")</f>
        <v>-</v>
      </c>
    </row>
    <row r="346" spans="1:6" x14ac:dyDescent="0.35">
      <c r="A346" s="12">
        <v>4</v>
      </c>
      <c r="B346" s="13" t="str">
        <f>IFERROR(INDEX('Perhitungan IPH Mingguan 2026'!$B$6:$B$25,MATCH(LARGE('Perhitungan IPH Mingguan 2026'!$FU$6:$FU$25,4),'Perhitungan IPH Mingguan 2026'!$FU$6:$FU$25,0)),"-")</f>
        <v>beras 1111001</v>
      </c>
      <c r="C346" s="14">
        <f>IFERROR(INDEX('Perhitungan IPH Mingguan 2026'!$C$6:$C$25,MATCH(LARGE('Perhitungan IPH Mingguan 2026'!$FU$6:$FU$25,4),'Perhitungan IPH Mingguan 2026'!$FU$6:$FU$25,0)),"")</f>
        <v>0.12508905675934601</v>
      </c>
      <c r="D346" s="26" t="str">
        <f>IFERROR(INDEX('Perhitungan IPH Mingguan 2026'!$EA$6:$EA$25,MATCH(LARGE('Perhitungan IPH Mingguan 2026'!$FU$6:$FU$25,4),'Perhitungan IPH Mingguan 2026'!$FU$6:$FU$25,0)),"")</f>
        <v>n/a</v>
      </c>
      <c r="E346" s="14" t="str">
        <f>IFERROR(INDEX('Perhitungan IPH Mingguan 2026'!$EB$6:$EB$25,MATCH(LARGE('Perhitungan IPH Mingguan 2026'!$FU$6:$FU$25,4),'Perhitungan IPH Mingguan 2026'!$FU$6:$FU$25,0)),"")</f>
        <v>n/a</v>
      </c>
      <c r="F346" s="13" t="str">
        <f>IF(ISNUMBER(E346),IF(E346&gt;0,"Penyumbang KENAIKAN IPH","Penyumbang PENURUNAN IPH"),"-")</f>
        <v>-</v>
      </c>
    </row>
    <row r="347" spans="1:6" x14ac:dyDescent="0.35">
      <c r="A347" s="12">
        <v>5</v>
      </c>
      <c r="B347" s="13" t="str">
        <f>IFERROR(INDEX('Perhitungan IPH Mingguan 2026'!$B$6:$B$25,MATCH(LARGE('Perhitungan IPH Mingguan 2026'!$FU$6:$FU$25,5),'Perhitungan IPH Mingguan 2026'!$FU$6:$FU$25,0)),"-")</f>
        <v>beras 1111001</v>
      </c>
      <c r="C347" s="14">
        <f>IFERROR(INDEX('Perhitungan IPH Mingguan 2026'!$C$6:$C$25,MATCH(LARGE('Perhitungan IPH Mingguan 2026'!$FU$6:$FU$25,5),'Perhitungan IPH Mingguan 2026'!$FU$6:$FU$25,0)),"")</f>
        <v>0.12508905675934601</v>
      </c>
      <c r="D347" s="26" t="str">
        <f>IFERROR(INDEX('Perhitungan IPH Mingguan 2026'!$EA$6:$EA$25,MATCH(LARGE('Perhitungan IPH Mingguan 2026'!$FU$6:$FU$25,5),'Perhitungan IPH Mingguan 2026'!$FU$6:$FU$25,0)),"")</f>
        <v>n/a</v>
      </c>
      <c r="E347" s="14" t="str">
        <f>IFERROR(INDEX('Perhitungan IPH Mingguan 2026'!$EB$6:$EB$25,MATCH(LARGE('Perhitungan IPH Mingguan 2026'!$FU$6:$FU$25,5),'Perhitungan IPH Mingguan 2026'!$FU$6:$FU$25,0)),"")</f>
        <v>n/a</v>
      </c>
      <c r="F347" s="13" t="str">
        <f>IF(ISNUMBER(E347),IF(E347&gt;0,"Penyumbang KENAIKAN IPH","Penyumbang PENURUNAN IPH"),"-")</f>
        <v>-</v>
      </c>
    </row>
  </sheetData>
  <mergeCells count="45">
    <mergeCell ref="A341:F341"/>
    <mergeCell ref="A309:F309"/>
    <mergeCell ref="A317:F317"/>
    <mergeCell ref="A325:F325"/>
    <mergeCell ref="A333:F333"/>
    <mergeCell ref="A268:F268"/>
    <mergeCell ref="A276:F276"/>
    <mergeCell ref="A284:F284"/>
    <mergeCell ref="A292:F292"/>
    <mergeCell ref="A300:F300"/>
    <mergeCell ref="A228:F228"/>
    <mergeCell ref="A236:F236"/>
    <mergeCell ref="A244:F244"/>
    <mergeCell ref="A252:F252"/>
    <mergeCell ref="A260:F260"/>
    <mergeCell ref="A188:F188"/>
    <mergeCell ref="A196:F196"/>
    <mergeCell ref="A204:F204"/>
    <mergeCell ref="A212:F212"/>
    <mergeCell ref="A220:F220"/>
    <mergeCell ref="A148:F148"/>
    <mergeCell ref="A156:F156"/>
    <mergeCell ref="A164:F164"/>
    <mergeCell ref="A172:F172"/>
    <mergeCell ref="A180:F180"/>
    <mergeCell ref="A108:F108"/>
    <mergeCell ref="A116:F116"/>
    <mergeCell ref="A124:F124"/>
    <mergeCell ref="A132:F132"/>
    <mergeCell ref="A140:F140"/>
    <mergeCell ref="A68:F68"/>
    <mergeCell ref="A76:F76"/>
    <mergeCell ref="A84:F84"/>
    <mergeCell ref="A92:F92"/>
    <mergeCell ref="A100:F100"/>
    <mergeCell ref="A28:F28"/>
    <mergeCell ref="A36:F36"/>
    <mergeCell ref="A44:F44"/>
    <mergeCell ref="A52:F52"/>
    <mergeCell ref="A60:F60"/>
    <mergeCell ref="A1:F1"/>
    <mergeCell ref="A2:F2"/>
    <mergeCell ref="A4:F4"/>
    <mergeCell ref="A12:F12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showGridLines="0" zoomScaleNormal="100" workbookViewId="0"/>
  </sheetViews>
  <sheetFormatPr defaultColWidth="8.6328125" defaultRowHeight="14.5" x14ac:dyDescent="0.35"/>
  <cols>
    <col min="1" max="1" width="130" customWidth="1"/>
  </cols>
  <sheetData>
    <row r="1" spans="1:6" ht="15.75" customHeight="1" x14ac:dyDescent="0.35">
      <c r="A1" s="27" t="s">
        <v>258</v>
      </c>
    </row>
    <row r="2" spans="1:6" ht="15" customHeight="1" x14ac:dyDescent="0.35">
      <c r="A2" s="28" t="s">
        <v>259</v>
      </c>
    </row>
    <row r="4" spans="1:6" ht="15" customHeight="1" x14ac:dyDescent="0.35">
      <c r="A4" s="29" t="s">
        <v>260</v>
      </c>
    </row>
    <row r="5" spans="1:6" ht="90" customHeight="1" x14ac:dyDescent="0.35">
      <c r="A5" s="1" t="s">
        <v>261</v>
      </c>
      <c r="B5" s="1"/>
      <c r="C5" s="1"/>
      <c r="D5" s="1"/>
      <c r="E5" s="1"/>
      <c r="F5" s="1"/>
    </row>
    <row r="7" spans="1:6" ht="15" customHeight="1" x14ac:dyDescent="0.35">
      <c r="A7" s="29" t="s">
        <v>262</v>
      </c>
    </row>
    <row r="8" spans="1:6" ht="75" customHeight="1" x14ac:dyDescent="0.35">
      <c r="A8" s="1" t="s">
        <v>263</v>
      </c>
      <c r="B8" s="1"/>
      <c r="C8" s="1"/>
      <c r="D8" s="1"/>
      <c r="E8" s="1"/>
      <c r="F8" s="1"/>
    </row>
    <row r="10" spans="1:6" ht="15" customHeight="1" x14ac:dyDescent="0.35">
      <c r="A10" s="29" t="s">
        <v>264</v>
      </c>
    </row>
    <row r="11" spans="1:6" ht="60" customHeight="1" x14ac:dyDescent="0.35">
      <c r="A11" s="1" t="s">
        <v>265</v>
      </c>
      <c r="B11" s="1"/>
      <c r="C11" s="1"/>
      <c r="D11" s="1"/>
      <c r="E11" s="1"/>
      <c r="F11" s="1"/>
    </row>
    <row r="13" spans="1:6" ht="15" customHeight="1" x14ac:dyDescent="0.35">
      <c r="A13" s="29" t="s">
        <v>266</v>
      </c>
    </row>
    <row r="14" spans="1:6" ht="60" customHeight="1" x14ac:dyDescent="0.35">
      <c r="A14" s="1" t="s">
        <v>267</v>
      </c>
      <c r="B14" s="1"/>
      <c r="C14" s="1"/>
      <c r="D14" s="1"/>
      <c r="E14" s="1"/>
      <c r="F14" s="1"/>
    </row>
    <row r="15" spans="1:6" ht="60" customHeight="1" x14ac:dyDescent="0.35">
      <c r="A15" s="1" t="s">
        <v>268</v>
      </c>
      <c r="B15" s="1"/>
      <c r="C15" s="1"/>
      <c r="D15" s="1"/>
      <c r="E15" s="1"/>
      <c r="F15" s="1"/>
    </row>
    <row r="16" spans="1:6" ht="60" customHeight="1" x14ac:dyDescent="0.35">
      <c r="A16" s="1" t="s">
        <v>269</v>
      </c>
      <c r="B16" s="1"/>
      <c r="C16" s="1"/>
      <c r="D16" s="1"/>
      <c r="E16" s="1"/>
      <c r="F16" s="1"/>
    </row>
    <row r="17" spans="1:6" ht="60" customHeight="1" x14ac:dyDescent="0.35">
      <c r="A17" s="1" t="s">
        <v>270</v>
      </c>
      <c r="B17" s="1"/>
      <c r="C17" s="1"/>
      <c r="D17" s="1"/>
      <c r="E17" s="1"/>
      <c r="F17" s="1"/>
    </row>
    <row r="18" spans="1:6" ht="60" customHeight="1" x14ac:dyDescent="0.35">
      <c r="A18" s="1" t="s">
        <v>271</v>
      </c>
      <c r="B18" s="1"/>
      <c r="C18" s="1"/>
      <c r="D18" s="1"/>
      <c r="E18" s="1"/>
      <c r="F18" s="1"/>
    </row>
    <row r="19" spans="1:6" ht="60" customHeight="1" x14ac:dyDescent="0.35">
      <c r="A19" s="1" t="s">
        <v>272</v>
      </c>
      <c r="B19" s="1"/>
      <c r="C19" s="1"/>
      <c r="D19" s="1"/>
      <c r="E19" s="1"/>
      <c r="F19" s="1"/>
    </row>
  </sheetData>
  <mergeCells count="9">
    <mergeCell ref="A16:F16"/>
    <mergeCell ref="A17:F17"/>
    <mergeCell ref="A18:F18"/>
    <mergeCell ref="A19:F19"/>
    <mergeCell ref="A5:F5"/>
    <mergeCell ref="A8:F8"/>
    <mergeCell ref="A11:F11"/>
    <mergeCell ref="A14:F14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32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2" width="26" customWidth="1"/>
    <col min="3" max="3" width="30" customWidth="1"/>
    <col min="4" max="56" width="11" customWidth="1"/>
  </cols>
  <sheetData>
    <row r="1" spans="1:56" ht="26.25" customHeight="1" x14ac:dyDescent="0.35">
      <c r="A1" s="5" t="s">
        <v>273</v>
      </c>
      <c r="B1" s="5"/>
      <c r="C1" s="5"/>
      <c r="D1" s="5"/>
    </row>
    <row r="2" spans="1:56" ht="18.75" customHeight="1" x14ac:dyDescent="0.35">
      <c r="A2" s="4" t="s">
        <v>274</v>
      </c>
      <c r="B2" s="4"/>
      <c r="C2" s="4"/>
      <c r="D2" s="4"/>
    </row>
    <row r="4" spans="1:56" ht="30" customHeight="1" x14ac:dyDescent="0.35">
      <c r="A4" s="15" t="s">
        <v>138</v>
      </c>
      <c r="B4" s="15" t="s">
        <v>275</v>
      </c>
      <c r="C4" s="15" t="s">
        <v>276</v>
      </c>
      <c r="D4" s="30" t="s">
        <v>277</v>
      </c>
      <c r="E4" s="30" t="s">
        <v>278</v>
      </c>
      <c r="F4" s="30" t="s">
        <v>279</v>
      </c>
      <c r="G4" s="30" t="s">
        <v>280</v>
      </c>
      <c r="H4" s="30" t="s">
        <v>281</v>
      </c>
      <c r="I4" s="30" t="s">
        <v>282</v>
      </c>
      <c r="J4" s="30" t="s">
        <v>283</v>
      </c>
      <c r="K4" s="30" t="s">
        <v>284</v>
      </c>
      <c r="L4" s="31" t="s">
        <v>285</v>
      </c>
      <c r="M4" s="31" t="s">
        <v>286</v>
      </c>
      <c r="N4" s="31" t="s">
        <v>287</v>
      </c>
      <c r="O4" s="31" t="s">
        <v>288</v>
      </c>
      <c r="P4" s="31" t="s">
        <v>289</v>
      </c>
      <c r="Q4" s="31" t="s">
        <v>290</v>
      </c>
      <c r="R4" s="31" t="s">
        <v>291</v>
      </c>
      <c r="S4" s="31" t="s">
        <v>292</v>
      </c>
      <c r="T4" s="31" t="s">
        <v>293</v>
      </c>
      <c r="U4" s="31" t="s">
        <v>294</v>
      </c>
      <c r="V4" s="31" t="s">
        <v>295</v>
      </c>
      <c r="W4" s="31" t="s">
        <v>296</v>
      </c>
      <c r="X4" s="31" t="s">
        <v>297</v>
      </c>
      <c r="Y4" s="31" t="s">
        <v>298</v>
      </c>
      <c r="Z4" s="31" t="s">
        <v>299</v>
      </c>
      <c r="AA4" s="31" t="s">
        <v>300</v>
      </c>
      <c r="AB4" s="31" t="s">
        <v>301</v>
      </c>
      <c r="AC4" s="31" t="s">
        <v>302</v>
      </c>
      <c r="AD4" s="31" t="s">
        <v>303</v>
      </c>
      <c r="AE4" s="31" t="s">
        <v>304</v>
      </c>
      <c r="AF4" s="31" t="s">
        <v>305</v>
      </c>
      <c r="AG4" s="31" t="s">
        <v>306</v>
      </c>
      <c r="AH4" s="31" t="s">
        <v>307</v>
      </c>
      <c r="AI4" s="31" t="s">
        <v>308</v>
      </c>
      <c r="AJ4" s="31" t="s">
        <v>309</v>
      </c>
      <c r="AK4" s="31" t="s">
        <v>310</v>
      </c>
      <c r="AL4" s="31" t="s">
        <v>311</v>
      </c>
      <c r="AM4" s="31" t="s">
        <v>312</v>
      </c>
      <c r="AN4" s="31" t="s">
        <v>313</v>
      </c>
      <c r="AO4" s="31" t="s">
        <v>314</v>
      </c>
      <c r="AP4" s="31" t="s">
        <v>315</v>
      </c>
      <c r="AQ4" s="31" t="s">
        <v>316</v>
      </c>
      <c r="AR4" s="31" t="s">
        <v>317</v>
      </c>
      <c r="AS4" s="31" t="s">
        <v>318</v>
      </c>
      <c r="AT4" s="31" t="s">
        <v>319</v>
      </c>
      <c r="AU4" s="31" t="s">
        <v>320</v>
      </c>
      <c r="AV4" s="31" t="s">
        <v>321</v>
      </c>
      <c r="AW4" s="31" t="s">
        <v>322</v>
      </c>
      <c r="AX4" s="31" t="s">
        <v>323</v>
      </c>
      <c r="AY4" s="30" t="s">
        <v>324</v>
      </c>
      <c r="AZ4" s="31" t="s">
        <v>325</v>
      </c>
      <c r="BA4" s="31" t="s">
        <v>326</v>
      </c>
      <c r="BB4" s="31" t="s">
        <v>327</v>
      </c>
      <c r="BC4" s="31" t="s">
        <v>328</v>
      </c>
      <c r="BD4" s="31" t="s">
        <v>329</v>
      </c>
    </row>
    <row r="5" spans="1:56" ht="13.5" customHeight="1" x14ac:dyDescent="0.35">
      <c r="A5" s="9" t="s">
        <v>187</v>
      </c>
      <c r="B5" s="9" t="s">
        <v>330</v>
      </c>
      <c r="C5" s="32"/>
      <c r="D5" s="18">
        <f>'Data Des 2025'!AF5</f>
        <v>12500</v>
      </c>
      <c r="E5" s="18">
        <f>'Data Jan 2026'!AE5</f>
        <v>12500</v>
      </c>
      <c r="F5" s="18">
        <f>'Data Feb 2026'!AB5</f>
        <v>12500</v>
      </c>
      <c r="G5" s="18">
        <f>'Data Mar 2026'!AE5</f>
        <v>12500</v>
      </c>
      <c r="H5" s="18">
        <f>'Data Apr 2026'!AE5</f>
        <v>12928.571428571429</v>
      </c>
      <c r="I5" s="18">
        <f>'Data Mei 2026'!AD5</f>
        <v>13400</v>
      </c>
      <c r="J5" s="18">
        <f>'Data Jun 2026'!AE5</f>
        <v>12535</v>
      </c>
      <c r="K5" s="18">
        <f>'Data Jul 2026'!AF5</f>
        <v>12500</v>
      </c>
      <c r="L5" s="18">
        <f>'Data Jan 2026'!Z5</f>
        <v>12500</v>
      </c>
      <c r="M5" s="18">
        <f>'Data Jan 2026'!AA5</f>
        <v>12500</v>
      </c>
      <c r="N5" s="18">
        <f>'Data Jan 2026'!AB5</f>
        <v>12500</v>
      </c>
      <c r="O5" s="18">
        <f>'Data Jan 2026'!AC5</f>
        <v>12500</v>
      </c>
      <c r="P5" s="18">
        <f>'Data Jan 2026'!AD5</f>
        <v>12500</v>
      </c>
      <c r="Q5" s="18">
        <f>'Data Feb 2026'!X5</f>
        <v>12500</v>
      </c>
      <c r="R5" s="18">
        <f>'Data Feb 2026'!Y5</f>
        <v>12500</v>
      </c>
      <c r="S5" s="18">
        <f>'Data Feb 2026'!Z5</f>
        <v>12500</v>
      </c>
      <c r="T5" s="18">
        <f>'Data Feb 2026'!AA5</f>
        <v>12500</v>
      </c>
      <c r="U5" s="18">
        <f>'Data Mar 2026'!Z5</f>
        <v>12500</v>
      </c>
      <c r="V5" s="18">
        <f>'Data Mar 2026'!AA5</f>
        <v>12500</v>
      </c>
      <c r="W5" s="18">
        <f>'Data Mar 2026'!AB5</f>
        <v>12500</v>
      </c>
      <c r="X5" s="18">
        <f>'Data Mar 2026'!AC5</f>
        <v>12500</v>
      </c>
      <c r="Y5" s="18">
        <f>'Data Mar 2026'!AD5</f>
        <v>12500</v>
      </c>
      <c r="Z5" s="18">
        <f>'Data Apr 2026'!Z5</f>
        <v>12500</v>
      </c>
      <c r="AA5" s="18">
        <f>'Data Apr 2026'!AA5</f>
        <v>12500</v>
      </c>
      <c r="AB5" s="18">
        <f>'Data Apr 2026'!AB5</f>
        <v>12500</v>
      </c>
      <c r="AC5" s="18">
        <f>'Data Apr 2026'!AC5</f>
        <v>13500</v>
      </c>
      <c r="AD5" s="18">
        <f>'Data Apr 2026'!AD5</f>
        <v>13500</v>
      </c>
      <c r="AE5" s="18" t="str">
        <f>'Data Mei 2026'!Y5</f>
        <v/>
      </c>
      <c r="AF5" s="18">
        <f>'Data Mei 2026'!Z5</f>
        <v>13500</v>
      </c>
      <c r="AG5" s="18">
        <f>'Data Mei 2026'!AA5</f>
        <v>13450</v>
      </c>
      <c r="AH5" s="18">
        <f>'Data Mei 2026'!AB5</f>
        <v>13430</v>
      </c>
      <c r="AI5" s="18">
        <f>'Data Mei 2026'!AC5</f>
        <v>13133.333333333334</v>
      </c>
      <c r="AJ5" s="18">
        <f>'Data Jun 2026'!Z5</f>
        <v>12700</v>
      </c>
      <c r="AK5" s="18">
        <f>'Data Jun 2026'!AA5</f>
        <v>12480</v>
      </c>
      <c r="AL5" s="18">
        <f>'Data Jun 2026'!AB5</f>
        <v>12500</v>
      </c>
      <c r="AM5" s="18">
        <f>'Data Jun 2026'!AC5</f>
        <v>12500</v>
      </c>
      <c r="AN5" s="18">
        <f>'Data Jun 2026'!AD5</f>
        <v>12500</v>
      </c>
      <c r="AO5" s="18">
        <f>'Data Jul 2026'!AA5</f>
        <v>12500</v>
      </c>
      <c r="AP5" s="18">
        <f>'Data Jul 2026'!AB5</f>
        <v>12500</v>
      </c>
      <c r="AQ5" s="18">
        <f>'Data Jul 2026'!AC5</f>
        <v>12500</v>
      </c>
      <c r="AR5" s="18">
        <f>'Data Jul 2026'!AD5</f>
        <v>12500</v>
      </c>
      <c r="AS5" s="18">
        <f>'Data Jul 2026'!AE5</f>
        <v>12500</v>
      </c>
      <c r="AT5" s="18">
        <f>'Data Agu 2026'!X5</f>
        <v>12500</v>
      </c>
      <c r="AU5" s="18">
        <f>'Data Agu 2026'!Y5</f>
        <v>12500</v>
      </c>
      <c r="AV5" s="18">
        <f>'Data Agu 2026'!Z5</f>
        <v>12500</v>
      </c>
      <c r="AW5" s="18">
        <f>'Data Agu 2026'!AA5</f>
        <v>12518.75</v>
      </c>
      <c r="AX5" s="18" t="str">
        <f>'Data Agu 2026'!AB5</f>
        <v/>
      </c>
      <c r="AY5" s="18">
        <f>'Data Agu 2026'!AC5</f>
        <v>12504.166666666666</v>
      </c>
      <c r="AZ5" s="18">
        <f>'Data Sep 2026'!AA5</f>
        <v>12525</v>
      </c>
      <c r="BA5" s="18" t="str">
        <f>'Data Sep 2026'!AB5</f>
        <v/>
      </c>
      <c r="BB5" s="18" t="str">
        <f>'Data Sep 2026'!AC5</f>
        <v/>
      </c>
      <c r="BC5" s="18" t="str">
        <f>'Data Sep 2026'!AD5</f>
        <v/>
      </c>
      <c r="BD5" s="18" t="str">
        <f>'Data Sep 2026'!AE5</f>
        <v/>
      </c>
    </row>
    <row r="6" spans="1:56" ht="13.5" customHeight="1" x14ac:dyDescent="0.35">
      <c r="A6" s="9" t="s">
        <v>187</v>
      </c>
      <c r="B6" s="9" t="s">
        <v>331</v>
      </c>
      <c r="C6" s="32"/>
      <c r="D6" s="18">
        <f>'Data Des 2025'!AF6</f>
        <v>14000</v>
      </c>
      <c r="E6" s="18">
        <f>'Data Jan 2026'!AE6</f>
        <v>14000</v>
      </c>
      <c r="F6" s="18">
        <f>'Data Feb 2026'!AB6</f>
        <v>14000</v>
      </c>
      <c r="G6" s="18">
        <f>'Data Mar 2026'!AE6</f>
        <v>14000</v>
      </c>
      <c r="H6" s="18">
        <f>'Data Apr 2026'!AE6</f>
        <v>14385.714285714286</v>
      </c>
      <c r="I6" s="18">
        <f>'Data Mei 2026'!AD6</f>
        <v>14823.4375</v>
      </c>
      <c r="J6" s="18">
        <f>'Data Jun 2026'!AE6</f>
        <v>14300</v>
      </c>
      <c r="K6" s="18">
        <f>'Data Jul 2026'!AF6</f>
        <v>14300</v>
      </c>
      <c r="L6" s="18">
        <f>'Data Jan 2026'!Z6</f>
        <v>14000</v>
      </c>
      <c r="M6" s="18">
        <f>'Data Jan 2026'!AA6</f>
        <v>14000</v>
      </c>
      <c r="N6" s="18">
        <f>'Data Jan 2026'!AB6</f>
        <v>14000</v>
      </c>
      <c r="O6" s="18">
        <f>'Data Jan 2026'!AC6</f>
        <v>14000</v>
      </c>
      <c r="P6" s="18">
        <f>'Data Jan 2026'!AD6</f>
        <v>14000</v>
      </c>
      <c r="Q6" s="18">
        <f>'Data Feb 2026'!X6</f>
        <v>14000</v>
      </c>
      <c r="R6" s="18">
        <f>'Data Feb 2026'!Y6</f>
        <v>14000</v>
      </c>
      <c r="S6" s="18">
        <f>'Data Feb 2026'!Z6</f>
        <v>14000</v>
      </c>
      <c r="T6" s="18">
        <f>'Data Feb 2026'!AA6</f>
        <v>14000</v>
      </c>
      <c r="U6" s="18">
        <f>'Data Mar 2026'!Z6</f>
        <v>14000</v>
      </c>
      <c r="V6" s="18">
        <f>'Data Mar 2026'!AA6</f>
        <v>14000</v>
      </c>
      <c r="W6" s="18">
        <f>'Data Mar 2026'!AB6</f>
        <v>14000</v>
      </c>
      <c r="X6" s="18">
        <f>'Data Mar 2026'!AC6</f>
        <v>14000</v>
      </c>
      <c r="Y6" s="18">
        <f>'Data Mar 2026'!AD6</f>
        <v>14000</v>
      </c>
      <c r="Z6" s="18">
        <f>'Data Apr 2026'!Z6</f>
        <v>14000</v>
      </c>
      <c r="AA6" s="18">
        <f>'Data Apr 2026'!AA6</f>
        <v>14000</v>
      </c>
      <c r="AB6" s="18">
        <f>'Data Apr 2026'!AB6</f>
        <v>14000</v>
      </c>
      <c r="AC6" s="18">
        <f>'Data Apr 2026'!AC6</f>
        <v>14900</v>
      </c>
      <c r="AD6" s="18">
        <f>'Data Apr 2026'!AD6</f>
        <v>14900</v>
      </c>
      <c r="AE6" s="18" t="str">
        <f>'Data Mei 2026'!Y6</f>
        <v/>
      </c>
      <c r="AF6" s="18">
        <f>'Data Mei 2026'!Z6</f>
        <v>14900</v>
      </c>
      <c r="AG6" s="18">
        <f>'Data Mei 2026'!AA6</f>
        <v>14875</v>
      </c>
      <c r="AH6" s="18">
        <f>'Data Mei 2026'!AB6</f>
        <v>14830</v>
      </c>
      <c r="AI6" s="18">
        <f>'Data Mei 2026'!AC6</f>
        <v>14633.333333333334</v>
      </c>
      <c r="AJ6" s="18">
        <f>'Data Jun 2026'!Z6</f>
        <v>14300</v>
      </c>
      <c r="AK6" s="18">
        <f>'Data Jun 2026'!AA6</f>
        <v>14300</v>
      </c>
      <c r="AL6" s="18">
        <f>'Data Jun 2026'!AB6</f>
        <v>14300</v>
      </c>
      <c r="AM6" s="18">
        <f>'Data Jun 2026'!AC6</f>
        <v>14300</v>
      </c>
      <c r="AN6" s="18">
        <f>'Data Jun 2026'!AD6</f>
        <v>14300</v>
      </c>
      <c r="AO6" s="18">
        <f>'Data Jul 2026'!AA6</f>
        <v>14300</v>
      </c>
      <c r="AP6" s="18">
        <f>'Data Jul 2026'!AB6</f>
        <v>14300</v>
      </c>
      <c r="AQ6" s="18">
        <f>'Data Jul 2026'!AC6</f>
        <v>14300</v>
      </c>
      <c r="AR6" s="18">
        <f>'Data Jul 2026'!AD6</f>
        <v>14300</v>
      </c>
      <c r="AS6" s="18">
        <f>'Data Jul 2026'!AE6</f>
        <v>14300</v>
      </c>
      <c r="AT6" s="18">
        <f>'Data Agu 2026'!X6</f>
        <v>14300</v>
      </c>
      <c r="AU6" s="18">
        <f>'Data Agu 2026'!Y6</f>
        <v>14300</v>
      </c>
      <c r="AV6" s="18">
        <f>'Data Agu 2026'!Z6</f>
        <v>14300</v>
      </c>
      <c r="AW6" s="18">
        <f>'Data Agu 2026'!AA6</f>
        <v>14318.75</v>
      </c>
      <c r="AX6" s="18" t="str">
        <f>'Data Agu 2026'!AB6</f>
        <v/>
      </c>
      <c r="AY6" s="18">
        <f>'Data Agu 2026'!AC6</f>
        <v>14304.166666666666</v>
      </c>
      <c r="AZ6" s="18">
        <f>'Data Sep 2026'!AA6</f>
        <v>14325</v>
      </c>
      <c r="BA6" s="18" t="str">
        <f>'Data Sep 2026'!AB6</f>
        <v/>
      </c>
      <c r="BB6" s="18" t="str">
        <f>'Data Sep 2026'!AC6</f>
        <v/>
      </c>
      <c r="BC6" s="18" t="str">
        <f>'Data Sep 2026'!AD6</f>
        <v/>
      </c>
      <c r="BD6" s="18" t="str">
        <f>'Data Sep 2026'!AE6</f>
        <v/>
      </c>
    </row>
    <row r="7" spans="1:56" ht="13.5" customHeight="1" x14ac:dyDescent="0.35">
      <c r="A7" s="9" t="s">
        <v>187</v>
      </c>
      <c r="B7" s="9" t="s">
        <v>332</v>
      </c>
      <c r="C7" s="32"/>
      <c r="D7" s="18">
        <f>'Data Des 2025'!AF7</f>
        <v>12500</v>
      </c>
      <c r="E7" s="18">
        <f>'Data Jan 2026'!AE7</f>
        <v>12500</v>
      </c>
      <c r="F7" s="18">
        <f>'Data Feb 2026'!AB7</f>
        <v>12500</v>
      </c>
      <c r="G7" s="18">
        <f>'Data Mar 2026'!AE7</f>
        <v>12500</v>
      </c>
      <c r="H7" s="18">
        <f>'Data Apr 2026'!AE7</f>
        <v>12500</v>
      </c>
      <c r="I7" s="18">
        <f>'Data Mei 2026'!AD7</f>
        <v>12393.75</v>
      </c>
      <c r="J7" s="18">
        <f>'Data Jun 2026'!AE7</f>
        <v>11835</v>
      </c>
      <c r="K7" s="18">
        <f>'Data Jul 2026'!AF7</f>
        <v>11800</v>
      </c>
      <c r="L7" s="18">
        <f>'Data Jan 2026'!Z7</f>
        <v>12500</v>
      </c>
      <c r="M7" s="18">
        <f>'Data Jan 2026'!AA7</f>
        <v>12500</v>
      </c>
      <c r="N7" s="18">
        <f>'Data Jan 2026'!AB7</f>
        <v>12500</v>
      </c>
      <c r="O7" s="18">
        <f>'Data Jan 2026'!AC7</f>
        <v>12500</v>
      </c>
      <c r="P7" s="18">
        <f>'Data Jan 2026'!AD7</f>
        <v>12500</v>
      </c>
      <c r="Q7" s="18">
        <f>'Data Feb 2026'!X7</f>
        <v>12500</v>
      </c>
      <c r="R7" s="18">
        <f>'Data Feb 2026'!Y7</f>
        <v>12500</v>
      </c>
      <c r="S7" s="18">
        <f>'Data Feb 2026'!Z7</f>
        <v>12500</v>
      </c>
      <c r="T7" s="18">
        <f>'Data Feb 2026'!AA7</f>
        <v>12500</v>
      </c>
      <c r="U7" s="18">
        <f>'Data Mar 2026'!Z7</f>
        <v>12500</v>
      </c>
      <c r="V7" s="18">
        <f>'Data Mar 2026'!AA7</f>
        <v>12500</v>
      </c>
      <c r="W7" s="18">
        <f>'Data Mar 2026'!AB7</f>
        <v>12500</v>
      </c>
      <c r="X7" s="18">
        <f>'Data Mar 2026'!AC7</f>
        <v>12500</v>
      </c>
      <c r="Y7" s="18">
        <f>'Data Mar 2026'!AD7</f>
        <v>12500</v>
      </c>
      <c r="Z7" s="18">
        <f>'Data Apr 2026'!Z7</f>
        <v>12500</v>
      </c>
      <c r="AA7" s="18">
        <f>'Data Apr 2026'!AA7</f>
        <v>12500</v>
      </c>
      <c r="AB7" s="18">
        <f>'Data Apr 2026'!AB7</f>
        <v>12500</v>
      </c>
      <c r="AC7" s="18">
        <f>'Data Apr 2026'!AC7</f>
        <v>12500</v>
      </c>
      <c r="AD7" s="18">
        <f>'Data Apr 2026'!AD7</f>
        <v>12500</v>
      </c>
      <c r="AE7" s="18" t="str">
        <f>'Data Mei 2026'!Y7</f>
        <v/>
      </c>
      <c r="AF7" s="18">
        <f>'Data Mei 2026'!Z7</f>
        <v>12500</v>
      </c>
      <c r="AG7" s="18">
        <f>'Data Mei 2026'!AA7</f>
        <v>12500</v>
      </c>
      <c r="AH7" s="18">
        <f>'Data Mei 2026'!AB7</f>
        <v>12500</v>
      </c>
      <c r="AI7" s="18">
        <f>'Data Mei 2026'!AC7</f>
        <v>11933.333333333334</v>
      </c>
      <c r="AJ7" s="18">
        <f>'Data Jun 2026'!Z7</f>
        <v>11800</v>
      </c>
      <c r="AK7" s="18">
        <f>'Data Jun 2026'!AA7</f>
        <v>11800</v>
      </c>
      <c r="AL7" s="18">
        <f>'Data Jun 2026'!AB7</f>
        <v>11975</v>
      </c>
      <c r="AM7" s="18">
        <f>'Data Jun 2026'!AC7</f>
        <v>11800</v>
      </c>
      <c r="AN7" s="18">
        <f>'Data Jun 2026'!AD7</f>
        <v>11800</v>
      </c>
      <c r="AO7" s="18">
        <f>'Data Jul 2026'!AA7</f>
        <v>11800</v>
      </c>
      <c r="AP7" s="18">
        <f>'Data Jul 2026'!AB7</f>
        <v>11800</v>
      </c>
      <c r="AQ7" s="18">
        <f>'Data Jul 2026'!AC7</f>
        <v>11800</v>
      </c>
      <c r="AR7" s="18">
        <f>'Data Jul 2026'!AD7</f>
        <v>11800</v>
      </c>
      <c r="AS7" s="18">
        <f>'Data Jul 2026'!AE7</f>
        <v>11800</v>
      </c>
      <c r="AT7" s="18">
        <f>'Data Agu 2026'!X7</f>
        <v>11800</v>
      </c>
      <c r="AU7" s="18">
        <f>'Data Agu 2026'!Y7</f>
        <v>11800</v>
      </c>
      <c r="AV7" s="18">
        <f>'Data Agu 2026'!Z7</f>
        <v>11800</v>
      </c>
      <c r="AW7" s="18">
        <f>'Data Agu 2026'!AA7</f>
        <v>11800</v>
      </c>
      <c r="AX7" s="18" t="str">
        <f>'Data Agu 2026'!AB7</f>
        <v/>
      </c>
      <c r="AY7" s="18">
        <f>'Data Agu 2026'!AC7</f>
        <v>11800</v>
      </c>
      <c r="AZ7" s="18">
        <f>'Data Sep 2026'!AA7</f>
        <v>11800</v>
      </c>
      <c r="BA7" s="18" t="str">
        <f>'Data Sep 2026'!AB7</f>
        <v/>
      </c>
      <c r="BB7" s="18" t="str">
        <f>'Data Sep 2026'!AC7</f>
        <v/>
      </c>
      <c r="BC7" s="18" t="str">
        <f>'Data Sep 2026'!AD7</f>
        <v/>
      </c>
      <c r="BD7" s="18" t="str">
        <f>'Data Sep 2026'!AE7</f>
        <v/>
      </c>
    </row>
    <row r="8" spans="1:56" ht="13.5" customHeight="1" x14ac:dyDescent="0.35">
      <c r="A8" s="9" t="s">
        <v>188</v>
      </c>
      <c r="B8" s="9" t="s">
        <v>333</v>
      </c>
      <c r="C8" s="32"/>
      <c r="D8" s="18">
        <f>'Data Des 2025'!AF17</f>
        <v>11000</v>
      </c>
      <c r="E8" s="18">
        <f>'Data Jan 2026'!AE17</f>
        <v>11000</v>
      </c>
      <c r="F8" s="18">
        <f>'Data Feb 2026'!AB17</f>
        <v>11000</v>
      </c>
      <c r="G8" s="18">
        <f>'Data Mar 2026'!AE17</f>
        <v>11000</v>
      </c>
      <c r="H8" s="18">
        <f>'Data Apr 2026'!AE17</f>
        <v>11000</v>
      </c>
      <c r="I8" s="18">
        <f>'Data Mei 2026'!AD17</f>
        <v>11000</v>
      </c>
      <c r="J8" s="18">
        <f>'Data Jun 2026'!AE17</f>
        <v>11000</v>
      </c>
      <c r="K8" s="18">
        <f>'Data Jul 2026'!AF17</f>
        <v>11000</v>
      </c>
      <c r="L8" s="18">
        <f>'Data Jan 2026'!Z17</f>
        <v>11000</v>
      </c>
      <c r="M8" s="18">
        <f>'Data Jan 2026'!AA17</f>
        <v>11000</v>
      </c>
      <c r="N8" s="18">
        <f>'Data Jan 2026'!AB17</f>
        <v>11000</v>
      </c>
      <c r="O8" s="18">
        <f>'Data Jan 2026'!AC17</f>
        <v>11000</v>
      </c>
      <c r="P8" s="18">
        <f>'Data Jan 2026'!AD17</f>
        <v>11000</v>
      </c>
      <c r="Q8" s="18">
        <f>'Data Feb 2026'!X17</f>
        <v>11000</v>
      </c>
      <c r="R8" s="18">
        <f>'Data Feb 2026'!Y17</f>
        <v>11000</v>
      </c>
      <c r="S8" s="18">
        <f>'Data Feb 2026'!Z17</f>
        <v>11000</v>
      </c>
      <c r="T8" s="18">
        <f>'Data Feb 2026'!AA17</f>
        <v>11000</v>
      </c>
      <c r="U8" s="18">
        <f>'Data Mar 2026'!Z17</f>
        <v>11000</v>
      </c>
      <c r="V8" s="18">
        <f>'Data Mar 2026'!AA17</f>
        <v>11000</v>
      </c>
      <c r="W8" s="18">
        <f>'Data Mar 2026'!AB17</f>
        <v>11000</v>
      </c>
      <c r="X8" s="18">
        <f>'Data Mar 2026'!AC17</f>
        <v>11000</v>
      </c>
      <c r="Y8" s="18">
        <f>'Data Mar 2026'!AD17</f>
        <v>11000</v>
      </c>
      <c r="Z8" s="18">
        <f>'Data Apr 2026'!Z17</f>
        <v>11000</v>
      </c>
      <c r="AA8" s="18">
        <f>'Data Apr 2026'!AA17</f>
        <v>11000</v>
      </c>
      <c r="AB8" s="18">
        <f>'Data Apr 2026'!AB17</f>
        <v>11000</v>
      </c>
      <c r="AC8" s="18">
        <f>'Data Apr 2026'!AC17</f>
        <v>11000</v>
      </c>
      <c r="AD8" s="18">
        <f>'Data Apr 2026'!AD17</f>
        <v>11000</v>
      </c>
      <c r="AE8" s="18" t="str">
        <f>'Data Mei 2026'!Y17</f>
        <v/>
      </c>
      <c r="AF8" s="18">
        <f>'Data Mei 2026'!Z17</f>
        <v>11000</v>
      </c>
      <c r="AG8" s="18">
        <f>'Data Mei 2026'!AA17</f>
        <v>11000</v>
      </c>
      <c r="AH8" s="18">
        <f>'Data Mei 2026'!AB17</f>
        <v>11000</v>
      </c>
      <c r="AI8" s="18">
        <f>'Data Mei 2026'!AC17</f>
        <v>11000</v>
      </c>
      <c r="AJ8" s="18">
        <f>'Data Jun 2026'!Z17</f>
        <v>11000</v>
      </c>
      <c r="AK8" s="18">
        <f>'Data Jun 2026'!AA17</f>
        <v>11000</v>
      </c>
      <c r="AL8" s="18">
        <f>'Data Jun 2026'!AB17</f>
        <v>11000</v>
      </c>
      <c r="AM8" s="18">
        <f>'Data Jun 2026'!AC17</f>
        <v>11000</v>
      </c>
      <c r="AN8" s="18">
        <f>'Data Jun 2026'!AD17</f>
        <v>11000</v>
      </c>
      <c r="AO8" s="18">
        <f>'Data Jul 2026'!AA17</f>
        <v>11000</v>
      </c>
      <c r="AP8" s="18">
        <f>'Data Jul 2026'!AB17</f>
        <v>11000</v>
      </c>
      <c r="AQ8" s="18">
        <f>'Data Jul 2026'!AC17</f>
        <v>11000</v>
      </c>
      <c r="AR8" s="18">
        <f>'Data Jul 2026'!AD17</f>
        <v>11000</v>
      </c>
      <c r="AS8" s="18">
        <f>'Data Jul 2026'!AE17</f>
        <v>11000</v>
      </c>
      <c r="AT8" s="18">
        <f>'Data Agu 2026'!X17</f>
        <v>11000</v>
      </c>
      <c r="AU8" s="18">
        <f>'Data Agu 2026'!Y17</f>
        <v>11000</v>
      </c>
      <c r="AV8" s="18">
        <f>'Data Agu 2026'!Z17</f>
        <v>11000</v>
      </c>
      <c r="AW8" s="18">
        <f>'Data Agu 2026'!AA17</f>
        <v>11000</v>
      </c>
      <c r="AX8" s="18" t="str">
        <f>'Data Agu 2026'!AB17</f>
        <v/>
      </c>
      <c r="AY8" s="18">
        <f>'Data Agu 2026'!AC17</f>
        <v>11000</v>
      </c>
      <c r="AZ8" s="18">
        <f>'Data Sep 2026'!AA17</f>
        <v>11000</v>
      </c>
      <c r="BA8" s="18" t="str">
        <f>'Data Sep 2026'!AB17</f>
        <v/>
      </c>
      <c r="BB8" s="18" t="str">
        <f>'Data Sep 2026'!AC17</f>
        <v/>
      </c>
      <c r="BC8" s="18" t="str">
        <f>'Data Sep 2026'!AD17</f>
        <v/>
      </c>
      <c r="BD8" s="18" t="str">
        <f>'Data Sep 2026'!AE17</f>
        <v/>
      </c>
    </row>
    <row r="9" spans="1:56" ht="13.5" customHeight="1" x14ac:dyDescent="0.35">
      <c r="A9" s="9" t="s">
        <v>189</v>
      </c>
      <c r="B9" s="9" t="s">
        <v>334</v>
      </c>
      <c r="C9" s="32"/>
      <c r="D9" s="18">
        <f>'Data Des 2025'!AF34</f>
        <v>6000</v>
      </c>
      <c r="E9" s="18">
        <f>'Data Jan 2026'!AE34</f>
        <v>6000</v>
      </c>
      <c r="F9" s="18">
        <f>'Data Feb 2026'!AB34</f>
        <v>6000</v>
      </c>
      <c r="G9" s="18">
        <f>'Data Mar 2026'!AE34</f>
        <v>6000</v>
      </c>
      <c r="H9" s="18">
        <f>'Data Apr 2026'!AE34</f>
        <v>6000</v>
      </c>
      <c r="I9" s="18">
        <f>'Data Mei 2026'!AD34</f>
        <v>6000</v>
      </c>
      <c r="J9" s="18">
        <f>'Data Jun 2026'!AE34</f>
        <v>6000</v>
      </c>
      <c r="K9" s="18">
        <f>'Data Jul 2026'!AF34</f>
        <v>6000</v>
      </c>
      <c r="L9" s="18">
        <f>'Data Jan 2026'!Z34</f>
        <v>6000</v>
      </c>
      <c r="M9" s="18">
        <f>'Data Jan 2026'!AA34</f>
        <v>6000</v>
      </c>
      <c r="N9" s="18">
        <f>'Data Jan 2026'!AB34</f>
        <v>6000</v>
      </c>
      <c r="O9" s="18">
        <f>'Data Jan 2026'!AC34</f>
        <v>6000</v>
      </c>
      <c r="P9" s="18">
        <f>'Data Jan 2026'!AD34</f>
        <v>6000</v>
      </c>
      <c r="Q9" s="18">
        <f>'Data Feb 2026'!X34</f>
        <v>6000</v>
      </c>
      <c r="R9" s="18">
        <f>'Data Feb 2026'!Y34</f>
        <v>6000</v>
      </c>
      <c r="S9" s="18">
        <f>'Data Feb 2026'!Z34</f>
        <v>6000</v>
      </c>
      <c r="T9" s="18">
        <f>'Data Feb 2026'!AA34</f>
        <v>6000</v>
      </c>
      <c r="U9" s="18">
        <f>'Data Mar 2026'!Z34</f>
        <v>6000</v>
      </c>
      <c r="V9" s="18">
        <f>'Data Mar 2026'!AA34</f>
        <v>6000</v>
      </c>
      <c r="W9" s="18">
        <f>'Data Mar 2026'!AB34</f>
        <v>6000</v>
      </c>
      <c r="X9" s="18">
        <f>'Data Mar 2026'!AC34</f>
        <v>6000</v>
      </c>
      <c r="Y9" s="18">
        <f>'Data Mar 2026'!AD34</f>
        <v>6000</v>
      </c>
      <c r="Z9" s="18">
        <f>'Data Apr 2026'!Z34</f>
        <v>6000</v>
      </c>
      <c r="AA9" s="18">
        <f>'Data Apr 2026'!AA34</f>
        <v>6000</v>
      </c>
      <c r="AB9" s="18">
        <f>'Data Apr 2026'!AB34</f>
        <v>6000</v>
      </c>
      <c r="AC9" s="18">
        <f>'Data Apr 2026'!AC34</f>
        <v>6000</v>
      </c>
      <c r="AD9" s="18">
        <f>'Data Apr 2026'!AD34</f>
        <v>6000</v>
      </c>
      <c r="AE9" s="18" t="str">
        <f>'Data Mei 2026'!Y34</f>
        <v/>
      </c>
      <c r="AF9" s="18">
        <f>'Data Mei 2026'!Z34</f>
        <v>6000</v>
      </c>
      <c r="AG9" s="18">
        <f>'Data Mei 2026'!AA34</f>
        <v>6000</v>
      </c>
      <c r="AH9" s="18">
        <f>'Data Mei 2026'!AB34</f>
        <v>6000</v>
      </c>
      <c r="AI9" s="18">
        <f>'Data Mei 2026'!AC34</f>
        <v>6000</v>
      </c>
      <c r="AJ9" s="18">
        <f>'Data Jun 2026'!Z34</f>
        <v>6000</v>
      </c>
      <c r="AK9" s="18">
        <f>'Data Jun 2026'!AA34</f>
        <v>6000</v>
      </c>
      <c r="AL9" s="18">
        <f>'Data Jun 2026'!AB34</f>
        <v>6000</v>
      </c>
      <c r="AM9" s="18">
        <f>'Data Jun 2026'!AC34</f>
        <v>6000</v>
      </c>
      <c r="AN9" s="18">
        <f>'Data Jun 2026'!AD34</f>
        <v>6000</v>
      </c>
      <c r="AO9" s="18">
        <f>'Data Jul 2026'!AA34</f>
        <v>6000</v>
      </c>
      <c r="AP9" s="18">
        <f>'Data Jul 2026'!AB34</f>
        <v>6000</v>
      </c>
      <c r="AQ9" s="18">
        <f>'Data Jul 2026'!AC34</f>
        <v>6000</v>
      </c>
      <c r="AR9" s="18">
        <f>'Data Jul 2026'!AD34</f>
        <v>6000</v>
      </c>
      <c r="AS9" s="18">
        <f>'Data Jul 2026'!AE34</f>
        <v>6000</v>
      </c>
      <c r="AT9" s="18">
        <f>'Data Agu 2026'!X34</f>
        <v>6000</v>
      </c>
      <c r="AU9" s="18">
        <f>'Data Agu 2026'!Y34</f>
        <v>6000</v>
      </c>
      <c r="AV9" s="18">
        <f>'Data Agu 2026'!Z34</f>
        <v>6000</v>
      </c>
      <c r="AW9" s="18">
        <f>'Data Agu 2026'!AA34</f>
        <v>6000</v>
      </c>
      <c r="AX9" s="18" t="str">
        <f>'Data Agu 2026'!AB34</f>
        <v/>
      </c>
      <c r="AY9" s="18">
        <f>'Data Agu 2026'!AC34</f>
        <v>6000</v>
      </c>
      <c r="AZ9" s="18">
        <f>'Data Sep 2026'!AA34</f>
        <v>6000</v>
      </c>
      <c r="BA9" s="18" t="str">
        <f>'Data Sep 2026'!AB34</f>
        <v/>
      </c>
      <c r="BB9" s="18" t="str">
        <f>'Data Sep 2026'!AC34</f>
        <v/>
      </c>
      <c r="BC9" s="18" t="str">
        <f>'Data Sep 2026'!AD34</f>
        <v/>
      </c>
      <c r="BD9" s="18" t="str">
        <f>'Data Sep 2026'!AE34</f>
        <v/>
      </c>
    </row>
    <row r="10" spans="1:56" ht="13.5" customHeight="1" x14ac:dyDescent="0.35">
      <c r="A10" s="9" t="s">
        <v>190</v>
      </c>
      <c r="B10" s="9" t="s">
        <v>335</v>
      </c>
      <c r="C10" s="32"/>
      <c r="D10" s="18">
        <f>'Data Des 2025'!AF18</f>
        <v>25452.380952380954</v>
      </c>
      <c r="E10" s="18">
        <f>'Data Jan 2026'!AE18</f>
        <v>26000</v>
      </c>
      <c r="F10" s="18">
        <f>'Data Feb 2026'!AB18</f>
        <v>30611.111111111109</v>
      </c>
      <c r="G10" s="18">
        <f>'Data Mar 2026'!AE18</f>
        <v>38250</v>
      </c>
      <c r="H10" s="18">
        <f>'Data Apr 2026'!AE18</f>
        <v>32857.142857142855</v>
      </c>
      <c r="I10" s="18">
        <f>'Data Mei 2026'!AD18</f>
        <v>32937.5</v>
      </c>
      <c r="J10" s="18">
        <f>'Data Jun 2026'!AE18</f>
        <v>30100</v>
      </c>
      <c r="K10" s="18">
        <f>'Data Jul 2026'!AF18</f>
        <v>30782.608695652172</v>
      </c>
      <c r="L10" s="18">
        <f>'Data Jan 2026'!Z18</f>
        <v>26000</v>
      </c>
      <c r="M10" s="18">
        <f>'Data Jan 2026'!AA18</f>
        <v>26000</v>
      </c>
      <c r="N10" s="18">
        <f>'Data Jan 2026'!AB18</f>
        <v>26000</v>
      </c>
      <c r="O10" s="18">
        <f>'Data Jan 2026'!AC18</f>
        <v>26000</v>
      </c>
      <c r="P10" s="18">
        <f>'Data Jan 2026'!AD18</f>
        <v>26000</v>
      </c>
      <c r="Q10" s="18">
        <f>'Data Feb 2026'!X18</f>
        <v>28200</v>
      </c>
      <c r="R10" s="18">
        <f>'Data Feb 2026'!Y18</f>
        <v>26400</v>
      </c>
      <c r="S10" s="18">
        <f>'Data Feb 2026'!Z18</f>
        <v>35000</v>
      </c>
      <c r="T10" s="18">
        <f>'Data Feb 2026'!AA18</f>
        <v>34600</v>
      </c>
      <c r="U10" s="18">
        <f>'Data Mar 2026'!Z18</f>
        <v>37000</v>
      </c>
      <c r="V10" s="18">
        <f>'Data Mar 2026'!AA18</f>
        <v>37600</v>
      </c>
      <c r="W10" s="18">
        <f>'Data Mar 2026'!AB18</f>
        <v>40000</v>
      </c>
      <c r="X10" s="18">
        <f>'Data Mar 2026'!AC18</f>
        <v>40000</v>
      </c>
      <c r="Y10" s="18">
        <f>'Data Mar 2026'!AD18</f>
        <v>36000</v>
      </c>
      <c r="Z10" s="18">
        <f>'Data Apr 2026'!Z18</f>
        <v>35000</v>
      </c>
      <c r="AA10" s="18">
        <f>'Data Apr 2026'!AA18</f>
        <v>32400</v>
      </c>
      <c r="AB10" s="18">
        <f>'Data Apr 2026'!AB18</f>
        <v>33000</v>
      </c>
      <c r="AC10" s="18">
        <f>'Data Apr 2026'!AC18</f>
        <v>32600</v>
      </c>
      <c r="AD10" s="18">
        <f>'Data Apr 2026'!AD18</f>
        <v>32500</v>
      </c>
      <c r="AE10" s="18" t="str">
        <f>'Data Mei 2026'!Y18</f>
        <v/>
      </c>
      <c r="AF10" s="18">
        <f>'Data Mei 2026'!Z18</f>
        <v>34000</v>
      </c>
      <c r="AG10" s="18">
        <f>'Data Mei 2026'!AA18</f>
        <v>33666.666666666664</v>
      </c>
      <c r="AH10" s="18">
        <f>'Data Mei 2026'!AB18</f>
        <v>32000</v>
      </c>
      <c r="AI10" s="18">
        <f>'Data Mei 2026'!AC18</f>
        <v>32000</v>
      </c>
      <c r="AJ10" s="18">
        <f>'Data Jun 2026'!Z18</f>
        <v>31750</v>
      </c>
      <c r="AK10" s="18">
        <f>'Data Jun 2026'!AA18</f>
        <v>29200</v>
      </c>
      <c r="AL10" s="18">
        <f>'Data Jun 2026'!AB18</f>
        <v>29750</v>
      </c>
      <c r="AM10" s="18">
        <f>'Data Jun 2026'!AC18</f>
        <v>30000</v>
      </c>
      <c r="AN10" s="18">
        <f>'Data Jun 2026'!AD18</f>
        <v>30000</v>
      </c>
      <c r="AO10" s="18">
        <f>'Data Jul 2026'!AA18</f>
        <v>30000</v>
      </c>
      <c r="AP10" s="18">
        <f>'Data Jul 2026'!AB18</f>
        <v>30000</v>
      </c>
      <c r="AQ10" s="18">
        <f>'Data Jul 2026'!AC18</f>
        <v>30000</v>
      </c>
      <c r="AR10" s="18">
        <f>'Data Jul 2026'!AD18</f>
        <v>30400</v>
      </c>
      <c r="AS10" s="18">
        <f>'Data Jul 2026'!AE18</f>
        <v>33200</v>
      </c>
      <c r="AT10" s="18">
        <f>'Data Agu 2026'!X18</f>
        <v>34000</v>
      </c>
      <c r="AU10" s="18">
        <f>'Data Agu 2026'!Y18</f>
        <v>34000</v>
      </c>
      <c r="AV10" s="18">
        <f>'Data Agu 2026'!Z18</f>
        <v>35500</v>
      </c>
      <c r="AW10" s="18">
        <f>'Data Agu 2026'!AA18</f>
        <v>36000</v>
      </c>
      <c r="AX10" s="18" t="str">
        <f>'Data Agu 2026'!AB18</f>
        <v/>
      </c>
      <c r="AY10" s="18">
        <f>'Data Agu 2026'!AC18</f>
        <v>34777.777777777781</v>
      </c>
      <c r="AZ10" s="18">
        <f>'Data Sep 2026'!AA18</f>
        <v>36000</v>
      </c>
      <c r="BA10" s="18" t="str">
        <f>'Data Sep 2026'!AB18</f>
        <v/>
      </c>
      <c r="BB10" s="18" t="str">
        <f>'Data Sep 2026'!AC18</f>
        <v/>
      </c>
      <c r="BC10" s="18" t="str">
        <f>'Data Sep 2026'!AD18</f>
        <v/>
      </c>
      <c r="BD10" s="18" t="str">
        <f>'Data Sep 2026'!AE18</f>
        <v/>
      </c>
    </row>
    <row r="11" spans="1:56" ht="13.5" customHeight="1" x14ac:dyDescent="0.35">
      <c r="A11" s="9" t="s">
        <v>191</v>
      </c>
      <c r="B11" s="9" t="s">
        <v>336</v>
      </c>
      <c r="C11" s="32"/>
      <c r="D11" s="18">
        <f>'Data Des 2025'!AF14</f>
        <v>15000</v>
      </c>
      <c r="E11" s="18">
        <f>'Data Jan 2026'!AE14</f>
        <v>15000</v>
      </c>
      <c r="F11" s="18">
        <f>'Data Feb 2026'!AB14</f>
        <v>15833.333333333334</v>
      </c>
      <c r="G11" s="18">
        <f>'Data Mar 2026'!AE14</f>
        <v>18385</v>
      </c>
      <c r="H11" s="18">
        <f>'Data Apr 2026'!AE14</f>
        <v>19328.571428571428</v>
      </c>
      <c r="I11" s="18">
        <f>'Data Mei 2026'!AD14</f>
        <v>18675</v>
      </c>
      <c r="J11" s="18">
        <f>'Data Jun 2026'!AE14</f>
        <v>18450</v>
      </c>
      <c r="K11" s="18">
        <f>'Data Jul 2026'!AF14</f>
        <v>18450</v>
      </c>
      <c r="L11" s="18">
        <f>'Data Jan 2026'!Z14</f>
        <v>15000</v>
      </c>
      <c r="M11" s="18">
        <f>'Data Jan 2026'!AA14</f>
        <v>15000</v>
      </c>
      <c r="N11" s="18">
        <f>'Data Jan 2026'!AB14</f>
        <v>15000</v>
      </c>
      <c r="O11" s="18">
        <f>'Data Jan 2026'!AC14</f>
        <v>15000</v>
      </c>
      <c r="P11" s="18">
        <f>'Data Jan 2026'!AD14</f>
        <v>15000</v>
      </c>
      <c r="Q11" s="18">
        <f>'Data Feb 2026'!X14</f>
        <v>15500</v>
      </c>
      <c r="R11" s="18">
        <f>'Data Feb 2026'!Y14</f>
        <v>15000</v>
      </c>
      <c r="S11" s="18">
        <f>'Data Feb 2026'!Z14</f>
        <v>16666.666666666668</v>
      </c>
      <c r="T11" s="18">
        <f>'Data Feb 2026'!AA14</f>
        <v>16500</v>
      </c>
      <c r="U11" s="18">
        <f>'Data Mar 2026'!Z14</f>
        <v>17500</v>
      </c>
      <c r="V11" s="18">
        <f>'Data Mar 2026'!AA14</f>
        <v>17600</v>
      </c>
      <c r="W11" s="18">
        <f>'Data Mar 2026'!AB14</f>
        <v>19090</v>
      </c>
      <c r="X11" s="18">
        <f>'Data Mar 2026'!AC14</f>
        <v>19350</v>
      </c>
      <c r="Y11" s="18">
        <f>'Data Mar 2026'!AD14</f>
        <v>19350</v>
      </c>
      <c r="Z11" s="18">
        <f>'Data Apr 2026'!Z14</f>
        <v>19350</v>
      </c>
      <c r="AA11" s="18">
        <f>'Data Apr 2026'!AA14</f>
        <v>19350</v>
      </c>
      <c r="AB11" s="18">
        <f>'Data Apr 2026'!AB14</f>
        <v>19350</v>
      </c>
      <c r="AC11" s="18">
        <f>'Data Apr 2026'!AC14</f>
        <v>19350</v>
      </c>
      <c r="AD11" s="18">
        <f>'Data Apr 2026'!AD14</f>
        <v>19237.5</v>
      </c>
      <c r="AE11" s="18" t="str">
        <f>'Data Mei 2026'!Y14</f>
        <v/>
      </c>
      <c r="AF11" s="18">
        <f>'Data Mei 2026'!Z14</f>
        <v>18900</v>
      </c>
      <c r="AG11" s="18">
        <f>'Data Mei 2026'!AA14</f>
        <v>18900</v>
      </c>
      <c r="AH11" s="18">
        <f>'Data Mei 2026'!AB14</f>
        <v>18450</v>
      </c>
      <c r="AI11" s="18">
        <f>'Data Mei 2026'!AC14</f>
        <v>18450</v>
      </c>
      <c r="AJ11" s="18">
        <f>'Data Jun 2026'!Z14</f>
        <v>18450</v>
      </c>
      <c r="AK11" s="18">
        <f>'Data Jun 2026'!AA14</f>
        <v>18450</v>
      </c>
      <c r="AL11" s="18">
        <f>'Data Jun 2026'!AB14</f>
        <v>18450</v>
      </c>
      <c r="AM11" s="18">
        <f>'Data Jun 2026'!AC14</f>
        <v>18450</v>
      </c>
      <c r="AN11" s="18">
        <f>'Data Jun 2026'!AD14</f>
        <v>18450</v>
      </c>
      <c r="AO11" s="18">
        <f>'Data Jul 2026'!AA14</f>
        <v>18450</v>
      </c>
      <c r="AP11" s="18">
        <f>'Data Jul 2026'!AB14</f>
        <v>18450</v>
      </c>
      <c r="AQ11" s="18">
        <f>'Data Jul 2026'!AC14</f>
        <v>18450</v>
      </c>
      <c r="AR11" s="18">
        <f>'Data Jul 2026'!AD14</f>
        <v>18450</v>
      </c>
      <c r="AS11" s="18">
        <f>'Data Jul 2026'!AE14</f>
        <v>18450</v>
      </c>
      <c r="AT11" s="18">
        <f>'Data Agu 2026'!X14</f>
        <v>18450</v>
      </c>
      <c r="AU11" s="18">
        <f>'Data Agu 2026'!Y14</f>
        <v>18450</v>
      </c>
      <c r="AV11" s="18">
        <f>'Data Agu 2026'!Z14</f>
        <v>18450</v>
      </c>
      <c r="AW11" s="18">
        <f>'Data Agu 2026'!AA14</f>
        <v>18450</v>
      </c>
      <c r="AX11" s="18" t="str">
        <f>'Data Agu 2026'!AB14</f>
        <v/>
      </c>
      <c r="AY11" s="18">
        <f>'Data Agu 2026'!AC14</f>
        <v>18450</v>
      </c>
      <c r="AZ11" s="18">
        <f>'Data Sep 2026'!AA14</f>
        <v>18450</v>
      </c>
      <c r="BA11" s="18" t="str">
        <f>'Data Sep 2026'!AB14</f>
        <v/>
      </c>
      <c r="BB11" s="18" t="str">
        <f>'Data Sep 2026'!AC14</f>
        <v/>
      </c>
      <c r="BC11" s="18" t="str">
        <f>'Data Sep 2026'!AD14</f>
        <v/>
      </c>
      <c r="BD11" s="18" t="str">
        <f>'Data Sep 2026'!AE14</f>
        <v/>
      </c>
    </row>
    <row r="12" spans="1:56" ht="13.5" customHeight="1" x14ac:dyDescent="0.35">
      <c r="A12" s="9" t="s">
        <v>191</v>
      </c>
      <c r="B12" s="9" t="s">
        <v>337</v>
      </c>
      <c r="C12" s="32"/>
      <c r="D12" s="18">
        <f>'Data Des 2025'!AF15</f>
        <v>18000</v>
      </c>
      <c r="E12" s="18">
        <f>'Data Jan 2026'!AE15</f>
        <v>18000</v>
      </c>
      <c r="F12" s="18">
        <f>'Data Feb 2026'!AB15</f>
        <v>18666.666666666668</v>
      </c>
      <c r="G12" s="18">
        <f>'Data Mar 2026'!AE15</f>
        <v>21000</v>
      </c>
      <c r="H12" s="18">
        <f>'Data Apr 2026'!AE15</f>
        <v>22000</v>
      </c>
      <c r="I12" s="18">
        <f>'Data Mei 2026'!AD15</f>
        <v>23000</v>
      </c>
      <c r="J12" s="18">
        <f>'Data Jun 2026'!AE15</f>
        <v>23000</v>
      </c>
      <c r="K12" s="18">
        <f>'Data Jul 2026'!AF15</f>
        <v>23000</v>
      </c>
      <c r="L12" s="18">
        <f>'Data Jan 2026'!Z15</f>
        <v>18000</v>
      </c>
      <c r="M12" s="18">
        <f>'Data Jan 2026'!AA15</f>
        <v>18000</v>
      </c>
      <c r="N12" s="18">
        <f>'Data Jan 2026'!AB15</f>
        <v>18000</v>
      </c>
      <c r="O12" s="18">
        <f>'Data Jan 2026'!AC15</f>
        <v>18000</v>
      </c>
      <c r="P12" s="18">
        <f>'Data Jan 2026'!AD15</f>
        <v>18000</v>
      </c>
      <c r="Q12" s="18">
        <f>'Data Feb 2026'!X15</f>
        <v>18400</v>
      </c>
      <c r="R12" s="18">
        <f>'Data Feb 2026'!Y15</f>
        <v>18000</v>
      </c>
      <c r="S12" s="18">
        <f>'Data Feb 2026'!Z15</f>
        <v>19333.333333333332</v>
      </c>
      <c r="T12" s="18">
        <f>'Data Feb 2026'!AA15</f>
        <v>19200</v>
      </c>
      <c r="U12" s="18">
        <f>'Data Mar 2026'!Z15</f>
        <v>20000</v>
      </c>
      <c r="V12" s="18">
        <f>'Data Mar 2026'!AA15</f>
        <v>20000</v>
      </c>
      <c r="W12" s="18">
        <f>'Data Mar 2026'!AB15</f>
        <v>22000</v>
      </c>
      <c r="X12" s="18">
        <f>'Data Mar 2026'!AC15</f>
        <v>22000</v>
      </c>
      <c r="Y12" s="18">
        <f>'Data Mar 2026'!AD15</f>
        <v>22000</v>
      </c>
      <c r="Z12" s="18">
        <f>'Data Apr 2026'!Z15</f>
        <v>22000</v>
      </c>
      <c r="AA12" s="18">
        <f>'Data Apr 2026'!AA15</f>
        <v>22000</v>
      </c>
      <c r="AB12" s="18">
        <f>'Data Apr 2026'!AB15</f>
        <v>22000</v>
      </c>
      <c r="AC12" s="18">
        <f>'Data Apr 2026'!AC15</f>
        <v>22000</v>
      </c>
      <c r="AD12" s="18">
        <f>'Data Apr 2026'!AD15</f>
        <v>22000</v>
      </c>
      <c r="AE12" s="18" t="str">
        <f>'Data Mei 2026'!Y15</f>
        <v/>
      </c>
      <c r="AF12" s="18">
        <f>'Data Mei 2026'!Z15</f>
        <v>23000</v>
      </c>
      <c r="AG12" s="18">
        <f>'Data Mei 2026'!AA15</f>
        <v>23000</v>
      </c>
      <c r="AH12" s="18">
        <f>'Data Mei 2026'!AB15</f>
        <v>23000</v>
      </c>
      <c r="AI12" s="18">
        <f>'Data Mei 2026'!AC15</f>
        <v>23000</v>
      </c>
      <c r="AJ12" s="18">
        <f>'Data Jun 2026'!Z15</f>
        <v>23000</v>
      </c>
      <c r="AK12" s="18">
        <f>'Data Jun 2026'!AA15</f>
        <v>23000</v>
      </c>
      <c r="AL12" s="18">
        <f>'Data Jun 2026'!AB15</f>
        <v>23000</v>
      </c>
      <c r="AM12" s="18">
        <f>'Data Jun 2026'!AC15</f>
        <v>23000</v>
      </c>
      <c r="AN12" s="18">
        <f>'Data Jun 2026'!AD15</f>
        <v>23000</v>
      </c>
      <c r="AO12" s="18">
        <f>'Data Jul 2026'!AA15</f>
        <v>23000</v>
      </c>
      <c r="AP12" s="18">
        <f>'Data Jul 2026'!AB15</f>
        <v>23000</v>
      </c>
      <c r="AQ12" s="18">
        <f>'Data Jul 2026'!AC15</f>
        <v>23000</v>
      </c>
      <c r="AR12" s="18">
        <f>'Data Jul 2026'!AD15</f>
        <v>23000</v>
      </c>
      <c r="AS12" s="18">
        <f>'Data Jul 2026'!AE15</f>
        <v>23000</v>
      </c>
      <c r="AT12" s="18">
        <f>'Data Agu 2026'!X15</f>
        <v>23000</v>
      </c>
      <c r="AU12" s="18">
        <f>'Data Agu 2026'!Y15</f>
        <v>23000</v>
      </c>
      <c r="AV12" s="18">
        <f>'Data Agu 2026'!Z15</f>
        <v>23000</v>
      </c>
      <c r="AW12" s="18">
        <f>'Data Agu 2026'!AA15</f>
        <v>23000</v>
      </c>
      <c r="AX12" s="18" t="str">
        <f>'Data Agu 2026'!AB15</f>
        <v/>
      </c>
      <c r="AY12" s="18">
        <f>'Data Agu 2026'!AC15</f>
        <v>23000</v>
      </c>
      <c r="AZ12" s="18">
        <f>'Data Sep 2026'!AA15</f>
        <v>23000</v>
      </c>
      <c r="BA12" s="18" t="str">
        <f>'Data Sep 2026'!AB15</f>
        <v/>
      </c>
      <c r="BB12" s="18" t="str">
        <f>'Data Sep 2026'!AC15</f>
        <v/>
      </c>
      <c r="BC12" s="18" t="str">
        <f>'Data Sep 2026'!AD15</f>
        <v/>
      </c>
      <c r="BD12" s="18" t="str">
        <f>'Data Sep 2026'!AE15</f>
        <v/>
      </c>
    </row>
    <row r="13" spans="1:56" ht="13.5" customHeight="1" x14ac:dyDescent="0.35">
      <c r="A13" s="9" t="s">
        <v>191</v>
      </c>
      <c r="B13" s="9" t="s">
        <v>338</v>
      </c>
      <c r="C13" s="32"/>
      <c r="D13" s="18">
        <f>'Data Des 2025'!AF16</f>
        <v>15700</v>
      </c>
      <c r="E13" s="18">
        <f>'Data Jan 2026'!AE16</f>
        <v>15700</v>
      </c>
      <c r="F13" s="18">
        <f>'Data Feb 2026'!AB16</f>
        <v>15700</v>
      </c>
      <c r="G13" s="18">
        <f>'Data Mar 2026'!AE16</f>
        <v>15700</v>
      </c>
      <c r="H13" s="18">
        <f>'Data Apr 2026'!AE16</f>
        <v>15700</v>
      </c>
      <c r="I13" s="18">
        <f>'Data Mei 2026'!AD16</f>
        <v>15600</v>
      </c>
      <c r="J13" s="18">
        <f>'Data Jun 2026'!AE16</f>
        <v>15500</v>
      </c>
      <c r="K13" s="18">
        <f>'Data Jul 2026'!AF16</f>
        <v>15500</v>
      </c>
      <c r="L13" s="18">
        <f>'Data Jan 2026'!Z16</f>
        <v>15700</v>
      </c>
      <c r="M13" s="18">
        <f>'Data Jan 2026'!AA16</f>
        <v>15700</v>
      </c>
      <c r="N13" s="18">
        <f>'Data Jan 2026'!AB16</f>
        <v>15700</v>
      </c>
      <c r="O13" s="18">
        <f>'Data Jan 2026'!AC16</f>
        <v>15700</v>
      </c>
      <c r="P13" s="18">
        <f>'Data Jan 2026'!AD16</f>
        <v>15700</v>
      </c>
      <c r="Q13" s="18">
        <f>'Data Feb 2026'!X16</f>
        <v>15700</v>
      </c>
      <c r="R13" s="18">
        <f>'Data Feb 2026'!Y16</f>
        <v>15700</v>
      </c>
      <c r="S13" s="18">
        <f>'Data Feb 2026'!Z16</f>
        <v>15700</v>
      </c>
      <c r="T13" s="18">
        <f>'Data Feb 2026'!AA16</f>
        <v>15700</v>
      </c>
      <c r="U13" s="18">
        <f>'Data Mar 2026'!Z16</f>
        <v>15700</v>
      </c>
      <c r="V13" s="18">
        <f>'Data Mar 2026'!AA16</f>
        <v>15700</v>
      </c>
      <c r="W13" s="18">
        <f>'Data Mar 2026'!AB16</f>
        <v>15700</v>
      </c>
      <c r="X13" s="18">
        <f>'Data Mar 2026'!AC16</f>
        <v>15700</v>
      </c>
      <c r="Y13" s="18">
        <f>'Data Mar 2026'!AD16</f>
        <v>15700</v>
      </c>
      <c r="Z13" s="18">
        <f>'Data Apr 2026'!Z16</f>
        <v>15700</v>
      </c>
      <c r="AA13" s="18">
        <f>'Data Apr 2026'!AA16</f>
        <v>15700</v>
      </c>
      <c r="AB13" s="18">
        <f>'Data Apr 2026'!AB16</f>
        <v>15700</v>
      </c>
      <c r="AC13" s="18">
        <f>'Data Apr 2026'!AC16</f>
        <v>15700</v>
      </c>
      <c r="AD13" s="18">
        <f>'Data Apr 2026'!AD16</f>
        <v>15700</v>
      </c>
      <c r="AE13" s="18" t="str">
        <f>'Data Mei 2026'!Y16</f>
        <v/>
      </c>
      <c r="AF13" s="18">
        <f>'Data Mei 2026'!Z16</f>
        <v>15700</v>
      </c>
      <c r="AG13" s="18">
        <f>'Data Mei 2026'!AA16</f>
        <v>15700</v>
      </c>
      <c r="AH13" s="18">
        <f>'Data Mei 2026'!AB16</f>
        <v>15500</v>
      </c>
      <c r="AI13" s="18">
        <f>'Data Mei 2026'!AC16</f>
        <v>15500</v>
      </c>
      <c r="AJ13" s="18">
        <f>'Data Jun 2026'!Z16</f>
        <v>15500</v>
      </c>
      <c r="AK13" s="18">
        <f>'Data Jun 2026'!AA16</f>
        <v>15500</v>
      </c>
      <c r="AL13" s="18">
        <f>'Data Jun 2026'!AB16</f>
        <v>15500</v>
      </c>
      <c r="AM13" s="18">
        <f>'Data Jun 2026'!AC16</f>
        <v>15500</v>
      </c>
      <c r="AN13" s="18">
        <f>'Data Jun 2026'!AD16</f>
        <v>15500</v>
      </c>
      <c r="AO13" s="18">
        <f>'Data Jul 2026'!AA16</f>
        <v>15500</v>
      </c>
      <c r="AP13" s="18">
        <f>'Data Jul 2026'!AB16</f>
        <v>15500</v>
      </c>
      <c r="AQ13" s="18">
        <f>'Data Jul 2026'!AC16</f>
        <v>15500</v>
      </c>
      <c r="AR13" s="18">
        <f>'Data Jul 2026'!AD16</f>
        <v>15500</v>
      </c>
      <c r="AS13" s="18">
        <f>'Data Jul 2026'!AE16</f>
        <v>15500</v>
      </c>
      <c r="AT13" s="18">
        <f>'Data Agu 2026'!X16</f>
        <v>15500</v>
      </c>
      <c r="AU13" s="18">
        <f>'Data Agu 2026'!Y16</f>
        <v>15500</v>
      </c>
      <c r="AV13" s="18">
        <f>'Data Agu 2026'!Z16</f>
        <v>15500</v>
      </c>
      <c r="AW13" s="18">
        <f>'Data Agu 2026'!AA16</f>
        <v>15500</v>
      </c>
      <c r="AX13" s="18" t="str">
        <f>'Data Agu 2026'!AB16</f>
        <v/>
      </c>
      <c r="AY13" s="18">
        <f>'Data Agu 2026'!AC16</f>
        <v>15500</v>
      </c>
      <c r="AZ13" s="18">
        <f>'Data Sep 2026'!AA16</f>
        <v>15500</v>
      </c>
      <c r="BA13" s="18" t="str">
        <f>'Data Sep 2026'!AB16</f>
        <v/>
      </c>
      <c r="BB13" s="18" t="str">
        <f>'Data Sep 2026'!AC16</f>
        <v/>
      </c>
      <c r="BC13" s="18" t="str">
        <f>'Data Sep 2026'!AD16</f>
        <v/>
      </c>
      <c r="BD13" s="18" t="str">
        <f>'Data Sep 2026'!AE16</f>
        <v/>
      </c>
    </row>
    <row r="14" spans="1:56" ht="13.5" customHeight="1" x14ac:dyDescent="0.35">
      <c r="A14" s="9" t="s">
        <v>192</v>
      </c>
      <c r="B14" s="9" t="s">
        <v>339</v>
      </c>
      <c r="C14" s="33" t="s">
        <v>340</v>
      </c>
      <c r="D14" s="18">
        <f>'Data Des 2025'!AF35</f>
        <v>60000</v>
      </c>
      <c r="E14" s="18">
        <f>'Data Jan 2026'!AE35</f>
        <v>64000</v>
      </c>
      <c r="F14" s="18">
        <f>'Data Feb 2026'!AB35</f>
        <v>70000</v>
      </c>
      <c r="G14" s="18">
        <f>'Data Mar 2026'!AE35</f>
        <v>70000</v>
      </c>
      <c r="H14" s="18">
        <f>'Data Apr 2026'!AE35</f>
        <v>70000</v>
      </c>
      <c r="I14" s="18">
        <f>'Data Mei 2026'!AD35</f>
        <v>70000</v>
      </c>
      <c r="J14" s="18">
        <f>'Data Jun 2026'!AE35</f>
        <v>70000</v>
      </c>
      <c r="K14" s="18">
        <f>'Data Jul 2026'!AF35</f>
        <v>70000</v>
      </c>
      <c r="L14" s="18">
        <f>'Data Jan 2026'!Z35</f>
        <v>60000</v>
      </c>
      <c r="M14" s="18">
        <f>'Data Jan 2026'!AA35</f>
        <v>60000</v>
      </c>
      <c r="N14" s="18">
        <f>'Data Jan 2026'!AB35</f>
        <v>60000</v>
      </c>
      <c r="O14" s="18">
        <f>'Data Jan 2026'!AC35</f>
        <v>66000</v>
      </c>
      <c r="P14" s="18">
        <f>'Data Jan 2026'!AD35</f>
        <v>70000</v>
      </c>
      <c r="Q14" s="18">
        <f>'Data Feb 2026'!X35</f>
        <v>70000</v>
      </c>
      <c r="R14" s="18">
        <f>'Data Feb 2026'!Y35</f>
        <v>70000</v>
      </c>
      <c r="S14" s="18">
        <f>'Data Feb 2026'!Z35</f>
        <v>70000</v>
      </c>
      <c r="T14" s="18">
        <f>'Data Feb 2026'!AA35</f>
        <v>70000</v>
      </c>
      <c r="U14" s="18">
        <f>'Data Mar 2026'!Z35</f>
        <v>70000</v>
      </c>
      <c r="V14" s="18">
        <f>'Data Mar 2026'!AA35</f>
        <v>70000</v>
      </c>
      <c r="W14" s="18">
        <f>'Data Mar 2026'!AB35</f>
        <v>70000</v>
      </c>
      <c r="X14" s="18">
        <f>'Data Mar 2026'!AC35</f>
        <v>70000</v>
      </c>
      <c r="Y14" s="18">
        <f>'Data Mar 2026'!AD35</f>
        <v>70000</v>
      </c>
      <c r="Z14" s="18">
        <f>'Data Apr 2026'!Z35</f>
        <v>70000</v>
      </c>
      <c r="AA14" s="18">
        <f>'Data Apr 2026'!AA35</f>
        <v>70000</v>
      </c>
      <c r="AB14" s="18">
        <f>'Data Apr 2026'!AB35</f>
        <v>70000</v>
      </c>
      <c r="AC14" s="18">
        <f>'Data Apr 2026'!AC35</f>
        <v>70000</v>
      </c>
      <c r="AD14" s="18">
        <f>'Data Apr 2026'!AD35</f>
        <v>70000</v>
      </c>
      <c r="AE14" s="18" t="str">
        <f>'Data Mei 2026'!Y35</f>
        <v/>
      </c>
      <c r="AF14" s="18">
        <f>'Data Mei 2026'!Z35</f>
        <v>70000</v>
      </c>
      <c r="AG14" s="18">
        <f>'Data Mei 2026'!AA35</f>
        <v>70000</v>
      </c>
      <c r="AH14" s="18">
        <f>'Data Mei 2026'!AB35</f>
        <v>70000</v>
      </c>
      <c r="AI14" s="18">
        <f>'Data Mei 2026'!AC35</f>
        <v>70000</v>
      </c>
      <c r="AJ14" s="18">
        <f>'Data Jun 2026'!Z35</f>
        <v>70000</v>
      </c>
      <c r="AK14" s="18">
        <f>'Data Jun 2026'!AA35</f>
        <v>70000</v>
      </c>
      <c r="AL14" s="18">
        <f>'Data Jun 2026'!AB35</f>
        <v>70000</v>
      </c>
      <c r="AM14" s="18">
        <f>'Data Jun 2026'!AC35</f>
        <v>70000</v>
      </c>
      <c r="AN14" s="18">
        <f>'Data Jun 2026'!AD35</f>
        <v>70000</v>
      </c>
      <c r="AO14" s="18">
        <f>'Data Jul 2026'!AA35</f>
        <v>70000</v>
      </c>
      <c r="AP14" s="18">
        <f>'Data Jul 2026'!AB35</f>
        <v>70000</v>
      </c>
      <c r="AQ14" s="18">
        <f>'Data Jul 2026'!AC35</f>
        <v>70000</v>
      </c>
      <c r="AR14" s="18">
        <f>'Data Jul 2026'!AD35</f>
        <v>70000</v>
      </c>
      <c r="AS14" s="18">
        <f>'Data Jul 2026'!AE35</f>
        <v>70000</v>
      </c>
      <c r="AT14" s="18">
        <f>'Data Agu 2026'!X35</f>
        <v>70000</v>
      </c>
      <c r="AU14" s="18">
        <f>'Data Agu 2026'!Y35</f>
        <v>70000</v>
      </c>
      <c r="AV14" s="18">
        <f>'Data Agu 2026'!Z35</f>
        <v>70000</v>
      </c>
      <c r="AW14" s="18">
        <f>'Data Agu 2026'!AA35</f>
        <v>70000</v>
      </c>
      <c r="AX14" s="18" t="str">
        <f>'Data Agu 2026'!AB35</f>
        <v/>
      </c>
      <c r="AY14" s="18">
        <f>'Data Agu 2026'!AC35</f>
        <v>70000</v>
      </c>
      <c r="AZ14" s="18">
        <f>'Data Sep 2026'!AA35</f>
        <v>70000</v>
      </c>
      <c r="BA14" s="18" t="str">
        <f>'Data Sep 2026'!AB35</f>
        <v/>
      </c>
      <c r="BB14" s="18" t="str">
        <f>'Data Sep 2026'!AC35</f>
        <v/>
      </c>
      <c r="BC14" s="18" t="str">
        <f>'Data Sep 2026'!AD35</f>
        <v/>
      </c>
      <c r="BD14" s="18" t="str">
        <f>'Data Sep 2026'!AE35</f>
        <v/>
      </c>
    </row>
    <row r="15" spans="1:56" ht="13.5" customHeight="1" x14ac:dyDescent="0.35">
      <c r="A15" s="9" t="s">
        <v>193</v>
      </c>
      <c r="B15" s="9" t="s">
        <v>341</v>
      </c>
      <c r="C15" s="33" t="s">
        <v>342</v>
      </c>
      <c r="D15" s="18">
        <f>'Data Des 2025'!AF36</f>
        <v>11380.952380952382</v>
      </c>
      <c r="E15" s="18">
        <f>'Data Jan 2026'!AE36</f>
        <v>11000</v>
      </c>
      <c r="F15" s="18">
        <f>'Data Feb 2026'!AB36</f>
        <v>11333.333333333334</v>
      </c>
      <c r="G15" s="18">
        <f>'Data Mar 2026'!AE36</f>
        <v>12000</v>
      </c>
      <c r="H15" s="18">
        <f>'Data Apr 2026'!AE36</f>
        <v>12000</v>
      </c>
      <c r="I15" s="18">
        <f>'Data Mei 2026'!AD36</f>
        <v>12000</v>
      </c>
      <c r="J15" s="18">
        <f>'Data Jun 2026'!AE36</f>
        <v>12000</v>
      </c>
      <c r="K15" s="18">
        <f>'Data Jul 2026'!AF36</f>
        <v>12000</v>
      </c>
      <c r="L15" s="18">
        <f>'Data Jan 2026'!Z36</f>
        <v>11000</v>
      </c>
      <c r="M15" s="18">
        <f>'Data Jan 2026'!AA36</f>
        <v>11000</v>
      </c>
      <c r="N15" s="18">
        <f>'Data Jan 2026'!AB36</f>
        <v>11000</v>
      </c>
      <c r="O15" s="18">
        <f>'Data Jan 2026'!AC36</f>
        <v>11000</v>
      </c>
      <c r="P15" s="18">
        <f>'Data Jan 2026'!AD36</f>
        <v>11000</v>
      </c>
      <c r="Q15" s="18">
        <f>'Data Feb 2026'!X36</f>
        <v>11200</v>
      </c>
      <c r="R15" s="18">
        <f>'Data Feb 2026'!Y36</f>
        <v>11000</v>
      </c>
      <c r="S15" s="18">
        <f>'Data Feb 2026'!Z36</f>
        <v>11666.666666666666</v>
      </c>
      <c r="T15" s="18">
        <f>'Data Feb 2026'!AA36</f>
        <v>11600</v>
      </c>
      <c r="U15" s="18">
        <f>'Data Mar 2026'!Z36</f>
        <v>12000</v>
      </c>
      <c r="V15" s="18">
        <f>'Data Mar 2026'!AA36</f>
        <v>12000</v>
      </c>
      <c r="W15" s="18">
        <f>'Data Mar 2026'!AB36</f>
        <v>12000</v>
      </c>
      <c r="X15" s="18">
        <f>'Data Mar 2026'!AC36</f>
        <v>12000</v>
      </c>
      <c r="Y15" s="18">
        <f>'Data Mar 2026'!AD36</f>
        <v>12000</v>
      </c>
      <c r="Z15" s="18">
        <f>'Data Apr 2026'!Z36</f>
        <v>12000</v>
      </c>
      <c r="AA15" s="18">
        <f>'Data Apr 2026'!AA36</f>
        <v>12000</v>
      </c>
      <c r="AB15" s="18">
        <f>'Data Apr 2026'!AB36</f>
        <v>12000</v>
      </c>
      <c r="AC15" s="18">
        <f>'Data Apr 2026'!AC36</f>
        <v>12000</v>
      </c>
      <c r="AD15" s="18">
        <f>'Data Apr 2026'!AD36</f>
        <v>12000</v>
      </c>
      <c r="AE15" s="18" t="str">
        <f>'Data Mei 2026'!Y36</f>
        <v/>
      </c>
      <c r="AF15" s="18">
        <f>'Data Mei 2026'!Z36</f>
        <v>12000</v>
      </c>
      <c r="AG15" s="18">
        <f>'Data Mei 2026'!AA36</f>
        <v>12000</v>
      </c>
      <c r="AH15" s="18">
        <f>'Data Mei 2026'!AB36</f>
        <v>12000</v>
      </c>
      <c r="AI15" s="18">
        <f>'Data Mei 2026'!AC36</f>
        <v>12000</v>
      </c>
      <c r="AJ15" s="18">
        <f>'Data Jun 2026'!Z36</f>
        <v>12000</v>
      </c>
      <c r="AK15" s="18">
        <f>'Data Jun 2026'!AA36</f>
        <v>12000</v>
      </c>
      <c r="AL15" s="18">
        <f>'Data Jun 2026'!AB36</f>
        <v>12000</v>
      </c>
      <c r="AM15" s="18">
        <f>'Data Jun 2026'!AC36</f>
        <v>12000</v>
      </c>
      <c r="AN15" s="18">
        <f>'Data Jun 2026'!AD36</f>
        <v>12000</v>
      </c>
      <c r="AO15" s="18">
        <f>'Data Jul 2026'!AA36</f>
        <v>12000</v>
      </c>
      <c r="AP15" s="18">
        <f>'Data Jul 2026'!AB36</f>
        <v>12000</v>
      </c>
      <c r="AQ15" s="18">
        <f>'Data Jul 2026'!AC36</f>
        <v>12000</v>
      </c>
      <c r="AR15" s="18">
        <f>'Data Jul 2026'!AD36</f>
        <v>12000</v>
      </c>
      <c r="AS15" s="18">
        <f>'Data Jul 2026'!AE36</f>
        <v>12000</v>
      </c>
      <c r="AT15" s="18">
        <f>'Data Agu 2026'!X36</f>
        <v>12000</v>
      </c>
      <c r="AU15" s="18">
        <f>'Data Agu 2026'!Y36</f>
        <v>12000</v>
      </c>
      <c r="AV15" s="18">
        <f>'Data Agu 2026'!Z36</f>
        <v>12000</v>
      </c>
      <c r="AW15" s="18">
        <f>'Data Agu 2026'!AA36</f>
        <v>12000</v>
      </c>
      <c r="AX15" s="18" t="str">
        <f>'Data Agu 2026'!AB36</f>
        <v/>
      </c>
      <c r="AY15" s="18">
        <f>'Data Agu 2026'!AC36</f>
        <v>12000</v>
      </c>
      <c r="AZ15" s="18">
        <f>'Data Sep 2026'!AA36</f>
        <v>12000</v>
      </c>
      <c r="BA15" s="18" t="str">
        <f>'Data Sep 2026'!AB36</f>
        <v/>
      </c>
      <c r="BB15" s="18" t="str">
        <f>'Data Sep 2026'!AC36</f>
        <v/>
      </c>
      <c r="BC15" s="18" t="str">
        <f>'Data Sep 2026'!AD36</f>
        <v/>
      </c>
      <c r="BD15" s="18" t="str">
        <f>'Data Sep 2026'!AE36</f>
        <v/>
      </c>
    </row>
    <row r="16" spans="1:56" ht="13.5" customHeight="1" x14ac:dyDescent="0.35">
      <c r="A16" s="9" t="s">
        <v>194</v>
      </c>
      <c r="B16" s="9" t="s">
        <v>343</v>
      </c>
      <c r="C16" s="32"/>
      <c r="D16" s="18">
        <f>'Data Des 2025'!AF11</f>
        <v>27666.666666666668</v>
      </c>
      <c r="E16" s="18">
        <f>'Data Jan 2026'!AE11</f>
        <v>30000</v>
      </c>
      <c r="F16" s="18">
        <f>'Data Feb 2026'!AB11</f>
        <v>51833.333333333336</v>
      </c>
      <c r="G16" s="18">
        <f>'Data Mar 2026'!AE11</f>
        <v>79500</v>
      </c>
      <c r="H16" s="18">
        <f>'Data Apr 2026'!AE11</f>
        <v>53666.666666666664</v>
      </c>
      <c r="I16" s="18">
        <f>'Data Mei 2026'!AD11</f>
        <v>71875</v>
      </c>
      <c r="J16" s="18">
        <f>'Data Jun 2026'!AE11</f>
        <v>56850</v>
      </c>
      <c r="K16" s="18">
        <f>'Data Jul 2026'!AF11</f>
        <v>43956.521739130432</v>
      </c>
      <c r="L16" s="18">
        <f>'Data Jan 2026'!Z11</f>
        <v>30000</v>
      </c>
      <c r="M16" s="18">
        <f>'Data Jan 2026'!AA11</f>
        <v>30000</v>
      </c>
      <c r="N16" s="18">
        <f>'Data Jan 2026'!AB11</f>
        <v>30000</v>
      </c>
      <c r="O16" s="18">
        <f>'Data Jan 2026'!AC11</f>
        <v>30000</v>
      </c>
      <c r="P16" s="18">
        <f>'Data Jan 2026'!AD11</f>
        <v>30000</v>
      </c>
      <c r="Q16" s="18">
        <f>'Data Feb 2026'!X11</f>
        <v>41800</v>
      </c>
      <c r="R16" s="18">
        <f>'Data Feb 2026'!Y11</f>
        <v>33200</v>
      </c>
      <c r="S16" s="18">
        <f>'Data Feb 2026'!Z11</f>
        <v>71000</v>
      </c>
      <c r="T16" s="18">
        <f>'Data Feb 2026'!AA11</f>
        <v>69000</v>
      </c>
      <c r="U16" s="18">
        <f>'Data Mar 2026'!Z11</f>
        <v>86000</v>
      </c>
      <c r="V16" s="18">
        <f>'Data Mar 2026'!AA11</f>
        <v>84000</v>
      </c>
      <c r="W16" s="18">
        <f>'Data Mar 2026'!AB11</f>
        <v>85200</v>
      </c>
      <c r="X16" s="18">
        <f>'Data Mar 2026'!AC11</f>
        <v>60000</v>
      </c>
      <c r="Y16" s="18">
        <f>'Data Mar 2026'!AD11</f>
        <v>67000</v>
      </c>
      <c r="Z16" s="18">
        <f>'Data Apr 2026'!Z11</f>
        <v>67500</v>
      </c>
      <c r="AA16" s="18">
        <f>'Data Apr 2026'!AA11</f>
        <v>61200</v>
      </c>
      <c r="AB16" s="18">
        <f>'Data Apr 2026'!AB11</f>
        <v>54000</v>
      </c>
      <c r="AC16" s="18">
        <f>'Data Apr 2026'!AC11</f>
        <v>49200</v>
      </c>
      <c r="AD16" s="18">
        <f>'Data Apr 2026'!AD11</f>
        <v>42500</v>
      </c>
      <c r="AE16" s="18" t="str">
        <f>'Data Mei 2026'!Y11</f>
        <v/>
      </c>
      <c r="AF16" s="18">
        <f>'Data Mei 2026'!Z11</f>
        <v>65000</v>
      </c>
      <c r="AG16" s="18">
        <f>'Data Mei 2026'!AA11</f>
        <v>73333.333333333328</v>
      </c>
      <c r="AH16" s="18">
        <f>'Data Mei 2026'!AB11</f>
        <v>77600</v>
      </c>
      <c r="AI16" s="18">
        <f>'Data Mei 2026'!AC11</f>
        <v>72333.333333333328</v>
      </c>
      <c r="AJ16" s="18">
        <f>'Data Jun 2026'!Z11</f>
        <v>63750</v>
      </c>
      <c r="AK16" s="18">
        <f>'Data Jun 2026'!AA11</f>
        <v>61600</v>
      </c>
      <c r="AL16" s="18">
        <f>'Data Jun 2026'!AB11</f>
        <v>57250</v>
      </c>
      <c r="AM16" s="18">
        <f>'Data Jun 2026'!AC11</f>
        <v>50000</v>
      </c>
      <c r="AN16" s="18">
        <f>'Data Jun 2026'!AD11</f>
        <v>47500</v>
      </c>
      <c r="AO16" s="18">
        <f>'Data Jul 2026'!AA11</f>
        <v>45000</v>
      </c>
      <c r="AP16" s="18">
        <f>'Data Jul 2026'!AB11</f>
        <v>45000</v>
      </c>
      <c r="AQ16" s="18">
        <f>'Data Jul 2026'!AC11</f>
        <v>45000</v>
      </c>
      <c r="AR16" s="18">
        <f>'Data Jul 2026'!AD11</f>
        <v>44000</v>
      </c>
      <c r="AS16" s="18">
        <f>'Data Jul 2026'!AE11</f>
        <v>41200</v>
      </c>
      <c r="AT16" s="18">
        <f>'Data Agu 2026'!X11</f>
        <v>40400</v>
      </c>
      <c r="AU16" s="18">
        <f>'Data Agu 2026'!Y11</f>
        <v>40000</v>
      </c>
      <c r="AV16" s="18">
        <f>'Data Agu 2026'!Z11</f>
        <v>41500</v>
      </c>
      <c r="AW16" s="18">
        <f>'Data Agu 2026'!AA11</f>
        <v>42750</v>
      </c>
      <c r="AX16" s="18" t="str">
        <f>'Data Agu 2026'!AB11</f>
        <v/>
      </c>
      <c r="AY16" s="18">
        <f>'Data Agu 2026'!AC11</f>
        <v>41055.555555555555</v>
      </c>
      <c r="AZ16" s="18">
        <f>'Data Sep 2026'!AA11</f>
        <v>43000</v>
      </c>
      <c r="BA16" s="18" t="str">
        <f>'Data Sep 2026'!AB11</f>
        <v/>
      </c>
      <c r="BB16" s="18" t="str">
        <f>'Data Sep 2026'!AC11</f>
        <v/>
      </c>
      <c r="BC16" s="18" t="str">
        <f>'Data Sep 2026'!AD11</f>
        <v/>
      </c>
      <c r="BD16" s="18" t="str">
        <f>'Data Sep 2026'!AE11</f>
        <v/>
      </c>
    </row>
    <row r="17" spans="1:56" ht="13.5" customHeight="1" x14ac:dyDescent="0.35">
      <c r="A17" s="9" t="s">
        <v>195</v>
      </c>
      <c r="B17" s="9" t="s">
        <v>344</v>
      </c>
      <c r="C17" s="32"/>
      <c r="D17" s="18">
        <f>'Data Des 2025'!AF19</f>
        <v>25047.619047619046</v>
      </c>
      <c r="E17" s="18">
        <f>'Data Jan 2026'!AE19</f>
        <v>25000</v>
      </c>
      <c r="F17" s="18">
        <f>'Data Feb 2026'!AB19</f>
        <v>26222.222222222223</v>
      </c>
      <c r="G17" s="18">
        <f>'Data Mar 2026'!AE19</f>
        <v>27950</v>
      </c>
      <c r="H17" s="18">
        <f>'Data Apr 2026'!AE19</f>
        <v>25690.476190476191</v>
      </c>
      <c r="I17" s="18">
        <f>'Data Mei 2026'!AD19</f>
        <v>24656.25</v>
      </c>
      <c r="J17" s="18">
        <f>'Data Jun 2026'!AE19</f>
        <v>23675</v>
      </c>
      <c r="K17" s="18">
        <f>'Data Jul 2026'!AF19</f>
        <v>22760.869565217392</v>
      </c>
      <c r="L17" s="18">
        <f>'Data Jan 2026'!Z19</f>
        <v>25000</v>
      </c>
      <c r="M17" s="18">
        <f>'Data Jan 2026'!AA19</f>
        <v>25000</v>
      </c>
      <c r="N17" s="18">
        <f>'Data Jan 2026'!AB19</f>
        <v>25000</v>
      </c>
      <c r="O17" s="18">
        <f>'Data Jan 2026'!AC19</f>
        <v>25000</v>
      </c>
      <c r="P17" s="18">
        <f>'Data Jan 2026'!AD19</f>
        <v>25000</v>
      </c>
      <c r="Q17" s="18">
        <f>'Data Feb 2026'!X19</f>
        <v>25600</v>
      </c>
      <c r="R17" s="18">
        <f>'Data Feb 2026'!Y19</f>
        <v>25200</v>
      </c>
      <c r="S17" s="18">
        <f>'Data Feb 2026'!Z19</f>
        <v>27333.333333333332</v>
      </c>
      <c r="T17" s="18">
        <f>'Data Feb 2026'!AA19</f>
        <v>27200</v>
      </c>
      <c r="U17" s="18">
        <f>'Data Mar 2026'!Z19</f>
        <v>28000</v>
      </c>
      <c r="V17" s="18">
        <f>'Data Mar 2026'!AA19</f>
        <v>28100</v>
      </c>
      <c r="W17" s="18">
        <f>'Data Mar 2026'!AB19</f>
        <v>28000</v>
      </c>
      <c r="X17" s="18">
        <f>'Data Mar 2026'!AC19</f>
        <v>27833.333333333332</v>
      </c>
      <c r="Y17" s="18">
        <f>'Data Mar 2026'!AD19</f>
        <v>27500</v>
      </c>
      <c r="Z17" s="18">
        <f>'Data Apr 2026'!Z19</f>
        <v>26500</v>
      </c>
      <c r="AA17" s="18">
        <f>'Data Apr 2026'!AA19</f>
        <v>25800</v>
      </c>
      <c r="AB17" s="18">
        <f>'Data Apr 2026'!AB19</f>
        <v>25900</v>
      </c>
      <c r="AC17" s="18">
        <f>'Data Apr 2026'!AC19</f>
        <v>25600</v>
      </c>
      <c r="AD17" s="18">
        <f>'Data Apr 2026'!AD19</f>
        <v>25000</v>
      </c>
      <c r="AE17" s="18" t="str">
        <f>'Data Mei 2026'!Y19</f>
        <v/>
      </c>
      <c r="AF17" s="18">
        <f>'Data Mei 2026'!Z19</f>
        <v>25000</v>
      </c>
      <c r="AG17" s="18">
        <f>'Data Mei 2026'!AA19</f>
        <v>24833.333333333332</v>
      </c>
      <c r="AH17" s="18">
        <f>'Data Mei 2026'!AB19</f>
        <v>24000</v>
      </c>
      <c r="AI17" s="18">
        <f>'Data Mei 2026'!AC19</f>
        <v>25000</v>
      </c>
      <c r="AJ17" s="18">
        <f>'Data Jun 2026'!Z19</f>
        <v>24000</v>
      </c>
      <c r="AK17" s="18">
        <f>'Data Jun 2026'!AA19</f>
        <v>24200</v>
      </c>
      <c r="AL17" s="18">
        <f>'Data Jun 2026'!AB19</f>
        <v>23875</v>
      </c>
      <c r="AM17" s="18">
        <f>'Data Jun 2026'!AC19</f>
        <v>23000</v>
      </c>
      <c r="AN17" s="18">
        <f>'Data Jun 2026'!AD19</f>
        <v>23000</v>
      </c>
      <c r="AO17" s="18">
        <f>'Data Jul 2026'!AA19</f>
        <v>23000</v>
      </c>
      <c r="AP17" s="18">
        <f>'Data Jul 2026'!AB19</f>
        <v>22500</v>
      </c>
      <c r="AQ17" s="18">
        <f>'Data Jul 2026'!AC19</f>
        <v>22500</v>
      </c>
      <c r="AR17" s="18">
        <f>'Data Jul 2026'!AD19</f>
        <v>22800</v>
      </c>
      <c r="AS17" s="18">
        <f>'Data Jul 2026'!AE19</f>
        <v>23100</v>
      </c>
      <c r="AT17" s="18">
        <f>'Data Agu 2026'!X19</f>
        <v>22200</v>
      </c>
      <c r="AU17" s="18">
        <f>'Data Agu 2026'!Y19</f>
        <v>22000</v>
      </c>
      <c r="AV17" s="18">
        <f>'Data Agu 2026'!Z19</f>
        <v>22000</v>
      </c>
      <c r="AW17" s="18">
        <f>'Data Agu 2026'!AA19</f>
        <v>22750</v>
      </c>
      <c r="AX17" s="18" t="str">
        <f>'Data Agu 2026'!AB19</f>
        <v/>
      </c>
      <c r="AY17" s="18">
        <f>'Data Agu 2026'!AC19</f>
        <v>22222.222222222223</v>
      </c>
      <c r="AZ17" s="18">
        <f>'Data Sep 2026'!AA19</f>
        <v>23000</v>
      </c>
      <c r="BA17" s="18" t="str">
        <f>'Data Sep 2026'!AB19</f>
        <v/>
      </c>
      <c r="BB17" s="18" t="str">
        <f>'Data Sep 2026'!AC19</f>
        <v/>
      </c>
      <c r="BC17" s="18" t="str">
        <f>'Data Sep 2026'!AD19</f>
        <v/>
      </c>
      <c r="BD17" s="18" t="str">
        <f>'Data Sep 2026'!AE19</f>
        <v/>
      </c>
    </row>
    <row r="18" spans="1:56" ht="13.5" customHeight="1" x14ac:dyDescent="0.35">
      <c r="A18" s="9" t="s">
        <v>196</v>
      </c>
      <c r="B18" s="9" t="s">
        <v>345</v>
      </c>
      <c r="C18" s="32"/>
      <c r="D18" s="18">
        <f>'Data Des 2025'!AF13</f>
        <v>15000</v>
      </c>
      <c r="E18" s="18">
        <f>'Data Jan 2026'!AE13</f>
        <v>15000</v>
      </c>
      <c r="F18" s="18">
        <f>'Data Feb 2026'!AB13</f>
        <v>15500</v>
      </c>
      <c r="G18" s="18">
        <f>'Data Mar 2026'!AE13</f>
        <v>17045</v>
      </c>
      <c r="H18" s="18">
        <f>'Data Apr 2026'!AE13</f>
        <v>17261.904761904763</v>
      </c>
      <c r="I18" s="18">
        <f>'Data Mei 2026'!AD13</f>
        <v>16500</v>
      </c>
      <c r="J18" s="18">
        <f>'Data Jun 2026'!AE13</f>
        <v>16500</v>
      </c>
      <c r="K18" s="18">
        <f>'Data Jul 2026'!AF13</f>
        <v>16500</v>
      </c>
      <c r="L18" s="18">
        <f>'Data Jan 2026'!Z13</f>
        <v>15000</v>
      </c>
      <c r="M18" s="18">
        <f>'Data Jan 2026'!AA13</f>
        <v>15000</v>
      </c>
      <c r="N18" s="18">
        <f>'Data Jan 2026'!AB13</f>
        <v>15000</v>
      </c>
      <c r="O18" s="18">
        <f>'Data Jan 2026'!AC13</f>
        <v>15000</v>
      </c>
      <c r="P18" s="18">
        <f>'Data Jan 2026'!AD13</f>
        <v>15000</v>
      </c>
      <c r="Q18" s="18">
        <f>'Data Feb 2026'!X13</f>
        <v>15300</v>
      </c>
      <c r="R18" s="18">
        <f>'Data Feb 2026'!Y13</f>
        <v>15000</v>
      </c>
      <c r="S18" s="18">
        <f>'Data Feb 2026'!Z13</f>
        <v>16000</v>
      </c>
      <c r="T18" s="18">
        <f>'Data Feb 2026'!AA13</f>
        <v>15900</v>
      </c>
      <c r="U18" s="18">
        <f>'Data Mar 2026'!Z13</f>
        <v>16500</v>
      </c>
      <c r="V18" s="18">
        <f>'Data Mar 2026'!AA13</f>
        <v>16800</v>
      </c>
      <c r="W18" s="18">
        <f>'Data Mar 2026'!AB13</f>
        <v>17500</v>
      </c>
      <c r="X18" s="18">
        <f>'Data Mar 2026'!AC13</f>
        <v>17433.333333333332</v>
      </c>
      <c r="Y18" s="18">
        <f>'Data Mar 2026'!AD13</f>
        <v>17300</v>
      </c>
      <c r="Z18" s="18">
        <f>'Data Apr 2026'!Z13</f>
        <v>17300</v>
      </c>
      <c r="AA18" s="18">
        <f>'Data Apr 2026'!AA13</f>
        <v>17300</v>
      </c>
      <c r="AB18" s="18">
        <f>'Data Apr 2026'!AB13</f>
        <v>17300</v>
      </c>
      <c r="AC18" s="18">
        <f>'Data Apr 2026'!AC13</f>
        <v>17300</v>
      </c>
      <c r="AD18" s="18">
        <f>'Data Apr 2026'!AD13</f>
        <v>17100</v>
      </c>
      <c r="AE18" s="18" t="str">
        <f>'Data Mei 2026'!Y13</f>
        <v/>
      </c>
      <c r="AF18" s="18">
        <f>'Data Mei 2026'!Z13</f>
        <v>16500</v>
      </c>
      <c r="AG18" s="18">
        <f>'Data Mei 2026'!AA13</f>
        <v>16500</v>
      </c>
      <c r="AH18" s="18">
        <f>'Data Mei 2026'!AB13</f>
        <v>16500</v>
      </c>
      <c r="AI18" s="18">
        <f>'Data Mei 2026'!AC13</f>
        <v>16500</v>
      </c>
      <c r="AJ18" s="18">
        <f>'Data Jun 2026'!Z13</f>
        <v>16500</v>
      </c>
      <c r="AK18" s="18">
        <f>'Data Jun 2026'!AA13</f>
        <v>16500</v>
      </c>
      <c r="AL18" s="18">
        <f>'Data Jun 2026'!AB13</f>
        <v>16500</v>
      </c>
      <c r="AM18" s="18">
        <f>'Data Jun 2026'!AC13</f>
        <v>16500</v>
      </c>
      <c r="AN18" s="18">
        <f>'Data Jun 2026'!AD13</f>
        <v>16500</v>
      </c>
      <c r="AO18" s="18">
        <f>'Data Jul 2026'!AA13</f>
        <v>16500</v>
      </c>
      <c r="AP18" s="18">
        <f>'Data Jul 2026'!AB13</f>
        <v>16500</v>
      </c>
      <c r="AQ18" s="18">
        <f>'Data Jul 2026'!AC13</f>
        <v>16500</v>
      </c>
      <c r="AR18" s="18">
        <f>'Data Jul 2026'!AD13</f>
        <v>16500</v>
      </c>
      <c r="AS18" s="18">
        <f>'Data Jul 2026'!AE13</f>
        <v>16500</v>
      </c>
      <c r="AT18" s="18">
        <f>'Data Agu 2026'!X13</f>
        <v>16500</v>
      </c>
      <c r="AU18" s="18">
        <f>'Data Agu 2026'!Y13</f>
        <v>16500</v>
      </c>
      <c r="AV18" s="18">
        <f>'Data Agu 2026'!Z13</f>
        <v>16500</v>
      </c>
      <c r="AW18" s="18">
        <f>'Data Agu 2026'!AA13</f>
        <v>16500</v>
      </c>
      <c r="AX18" s="18" t="str">
        <f>'Data Agu 2026'!AB13</f>
        <v/>
      </c>
      <c r="AY18" s="18">
        <f>'Data Agu 2026'!AC13</f>
        <v>16500</v>
      </c>
      <c r="AZ18" s="18">
        <f>'Data Sep 2026'!AA13</f>
        <v>16500</v>
      </c>
      <c r="BA18" s="18" t="str">
        <f>'Data Sep 2026'!AB13</f>
        <v/>
      </c>
      <c r="BB18" s="18" t="str">
        <f>'Data Sep 2026'!AC13</f>
        <v/>
      </c>
      <c r="BC18" s="18" t="str">
        <f>'Data Sep 2026'!AD13</f>
        <v/>
      </c>
      <c r="BD18" s="18" t="str">
        <f>'Data Sep 2026'!AE13</f>
        <v/>
      </c>
    </row>
    <row r="19" spans="1:56" ht="13.5" customHeight="1" x14ac:dyDescent="0.35">
      <c r="A19" s="9" t="s">
        <v>197</v>
      </c>
      <c r="B19" s="9" t="s">
        <v>346</v>
      </c>
      <c r="C19" s="33" t="s">
        <v>347</v>
      </c>
      <c r="D19" s="18">
        <f>'Data Des 2025'!AF24</f>
        <v>28000</v>
      </c>
      <c r="E19" s="18">
        <f>'Data Jan 2026'!AE24</f>
        <v>28000</v>
      </c>
      <c r="F19" s="18">
        <f>'Data Feb 2026'!AB24</f>
        <v>30333.333333333332</v>
      </c>
      <c r="G19" s="18">
        <f>'Data Mar 2026'!AE24</f>
        <v>39250</v>
      </c>
      <c r="H19" s="18">
        <f>'Data Apr 2026'!AE24</f>
        <v>45000</v>
      </c>
      <c r="I19" s="18">
        <f>'Data Mei 2026'!AD24</f>
        <v>45000</v>
      </c>
      <c r="J19" s="18">
        <f>'Data Jun 2026'!AE24</f>
        <v>45000</v>
      </c>
      <c r="K19" s="18">
        <f>'Data Jul 2026'!AF24</f>
        <v>45000</v>
      </c>
      <c r="L19" s="18">
        <f>'Data Jan 2026'!Z24</f>
        <v>28000</v>
      </c>
      <c r="M19" s="18">
        <f>'Data Jan 2026'!AA24</f>
        <v>28000</v>
      </c>
      <c r="N19" s="18">
        <f>'Data Jan 2026'!AB24</f>
        <v>28000</v>
      </c>
      <c r="O19" s="18">
        <f>'Data Jan 2026'!AC24</f>
        <v>28000</v>
      </c>
      <c r="P19" s="18">
        <f>'Data Jan 2026'!AD24</f>
        <v>28000</v>
      </c>
      <c r="Q19" s="18">
        <f>'Data Feb 2026'!X24</f>
        <v>29400</v>
      </c>
      <c r="R19" s="18">
        <f>'Data Feb 2026'!Y24</f>
        <v>28000</v>
      </c>
      <c r="S19" s="18">
        <f>'Data Feb 2026'!Z24</f>
        <v>32666.666666666668</v>
      </c>
      <c r="T19" s="18">
        <f>'Data Feb 2026'!AA24</f>
        <v>32200</v>
      </c>
      <c r="U19" s="18">
        <f>'Data Mar 2026'!Z24</f>
        <v>35000</v>
      </c>
      <c r="V19" s="18">
        <f>'Data Mar 2026'!AA24</f>
        <v>35000</v>
      </c>
      <c r="W19" s="18">
        <f>'Data Mar 2026'!AB24</f>
        <v>42000</v>
      </c>
      <c r="X19" s="18">
        <f>'Data Mar 2026'!AC24</f>
        <v>45000</v>
      </c>
      <c r="Y19" s="18">
        <f>'Data Mar 2026'!AD24</f>
        <v>45000</v>
      </c>
      <c r="Z19" s="18">
        <f>'Data Apr 2026'!Z24</f>
        <v>45000</v>
      </c>
      <c r="AA19" s="18">
        <f>'Data Apr 2026'!AA24</f>
        <v>45000</v>
      </c>
      <c r="AB19" s="18">
        <f>'Data Apr 2026'!AB24</f>
        <v>45000</v>
      </c>
      <c r="AC19" s="18">
        <f>'Data Apr 2026'!AC24</f>
        <v>45000</v>
      </c>
      <c r="AD19" s="18">
        <f>'Data Apr 2026'!AD24</f>
        <v>45000</v>
      </c>
      <c r="AE19" s="18" t="str">
        <f>'Data Mei 2026'!Y24</f>
        <v/>
      </c>
      <c r="AF19" s="18">
        <f>'Data Mei 2026'!Z24</f>
        <v>45000</v>
      </c>
      <c r="AG19" s="18">
        <f>'Data Mei 2026'!AA24</f>
        <v>45000</v>
      </c>
      <c r="AH19" s="18">
        <f>'Data Mei 2026'!AB24</f>
        <v>45000</v>
      </c>
      <c r="AI19" s="18">
        <f>'Data Mei 2026'!AC24</f>
        <v>45000</v>
      </c>
      <c r="AJ19" s="18">
        <f>'Data Jun 2026'!Z24</f>
        <v>45000</v>
      </c>
      <c r="AK19" s="18">
        <f>'Data Jun 2026'!AA24</f>
        <v>45000</v>
      </c>
      <c r="AL19" s="18">
        <f>'Data Jun 2026'!AB24</f>
        <v>45000</v>
      </c>
      <c r="AM19" s="18">
        <f>'Data Jun 2026'!AC24</f>
        <v>45000</v>
      </c>
      <c r="AN19" s="18">
        <f>'Data Jun 2026'!AD24</f>
        <v>45000</v>
      </c>
      <c r="AO19" s="18">
        <f>'Data Jul 2026'!AA24</f>
        <v>45000</v>
      </c>
      <c r="AP19" s="18">
        <f>'Data Jul 2026'!AB24</f>
        <v>45000</v>
      </c>
      <c r="AQ19" s="18">
        <f>'Data Jul 2026'!AC24</f>
        <v>45000</v>
      </c>
      <c r="AR19" s="18">
        <f>'Data Jul 2026'!AD24</f>
        <v>45000</v>
      </c>
      <c r="AS19" s="18">
        <f>'Data Jul 2026'!AE24</f>
        <v>45000</v>
      </c>
      <c r="AT19" s="18">
        <f>'Data Agu 2026'!X24</f>
        <v>45000</v>
      </c>
      <c r="AU19" s="18">
        <f>'Data Agu 2026'!Y24</f>
        <v>45000</v>
      </c>
      <c r="AV19" s="18">
        <f>'Data Agu 2026'!Z24</f>
        <v>45000</v>
      </c>
      <c r="AW19" s="18">
        <f>'Data Agu 2026'!AA24</f>
        <v>45000</v>
      </c>
      <c r="AX19" s="18" t="str">
        <f>'Data Agu 2026'!AB24</f>
        <v/>
      </c>
      <c r="AY19" s="18">
        <f>'Data Agu 2026'!AC24</f>
        <v>45000</v>
      </c>
      <c r="AZ19" s="18">
        <f>'Data Sep 2026'!AA24</f>
        <v>45000</v>
      </c>
      <c r="BA19" s="18" t="str">
        <f>'Data Sep 2026'!AB24</f>
        <v/>
      </c>
      <c r="BB19" s="18" t="str">
        <f>'Data Sep 2026'!AC24</f>
        <v/>
      </c>
      <c r="BC19" s="18" t="str">
        <f>'Data Sep 2026'!AD24</f>
        <v/>
      </c>
      <c r="BD19" s="18" t="str">
        <f>'Data Sep 2026'!AE24</f>
        <v/>
      </c>
    </row>
    <row r="20" spans="1:56" ht="13.5" customHeight="1" x14ac:dyDescent="0.35">
      <c r="A20" s="9" t="s">
        <v>198</v>
      </c>
      <c r="B20" s="9" t="s">
        <v>348</v>
      </c>
      <c r="C20" s="33" t="s">
        <v>349</v>
      </c>
      <c r="D20" s="18">
        <f>'Data Des 2025'!AF32</f>
        <v>42000</v>
      </c>
      <c r="E20" s="18">
        <f>'Data Jan 2026'!AE32</f>
        <v>42000</v>
      </c>
      <c r="F20" s="18">
        <f>'Data Feb 2026'!AB32</f>
        <v>42000</v>
      </c>
      <c r="G20" s="18">
        <f>'Data Mar 2026'!AE32</f>
        <v>42000</v>
      </c>
      <c r="H20" s="18">
        <f>'Data Apr 2026'!AE32</f>
        <v>42000</v>
      </c>
      <c r="I20" s="18">
        <f>'Data Mei 2026'!AD32</f>
        <v>42000</v>
      </c>
      <c r="J20" s="18">
        <f>'Data Jun 2026'!AE32</f>
        <v>42000</v>
      </c>
      <c r="K20" s="18">
        <f>'Data Jul 2026'!AF32</f>
        <v>42000</v>
      </c>
      <c r="L20" s="18">
        <f>'Data Jan 2026'!Z32</f>
        <v>42000</v>
      </c>
      <c r="M20" s="18">
        <f>'Data Jan 2026'!AA32</f>
        <v>42000</v>
      </c>
      <c r="N20" s="18">
        <f>'Data Jan 2026'!AB32</f>
        <v>42000</v>
      </c>
      <c r="O20" s="18">
        <f>'Data Jan 2026'!AC32</f>
        <v>42000</v>
      </c>
      <c r="P20" s="18">
        <f>'Data Jan 2026'!AD32</f>
        <v>42000</v>
      </c>
      <c r="Q20" s="18">
        <f>'Data Feb 2026'!X32</f>
        <v>42000</v>
      </c>
      <c r="R20" s="18">
        <f>'Data Feb 2026'!Y32</f>
        <v>42000</v>
      </c>
      <c r="S20" s="18">
        <f>'Data Feb 2026'!Z32</f>
        <v>42000</v>
      </c>
      <c r="T20" s="18">
        <f>'Data Feb 2026'!AA32</f>
        <v>42000</v>
      </c>
      <c r="U20" s="18">
        <f>'Data Mar 2026'!Z32</f>
        <v>42000</v>
      </c>
      <c r="V20" s="18">
        <f>'Data Mar 2026'!AA32</f>
        <v>42000</v>
      </c>
      <c r="W20" s="18">
        <f>'Data Mar 2026'!AB32</f>
        <v>42000</v>
      </c>
      <c r="X20" s="18">
        <f>'Data Mar 2026'!AC32</f>
        <v>42000</v>
      </c>
      <c r="Y20" s="18">
        <f>'Data Mar 2026'!AD32</f>
        <v>42000</v>
      </c>
      <c r="Z20" s="18">
        <f>'Data Apr 2026'!Z32</f>
        <v>42000</v>
      </c>
      <c r="AA20" s="18">
        <f>'Data Apr 2026'!AA32</f>
        <v>42000</v>
      </c>
      <c r="AB20" s="18">
        <f>'Data Apr 2026'!AB32</f>
        <v>42000</v>
      </c>
      <c r="AC20" s="18">
        <f>'Data Apr 2026'!AC32</f>
        <v>42000</v>
      </c>
      <c r="AD20" s="18">
        <f>'Data Apr 2026'!AD32</f>
        <v>42000</v>
      </c>
      <c r="AE20" s="18" t="str">
        <f>'Data Mei 2026'!Y32</f>
        <v/>
      </c>
      <c r="AF20" s="18">
        <f>'Data Mei 2026'!Z32</f>
        <v>42000</v>
      </c>
      <c r="AG20" s="18">
        <f>'Data Mei 2026'!AA32</f>
        <v>42000</v>
      </c>
      <c r="AH20" s="18">
        <f>'Data Mei 2026'!AB32</f>
        <v>42000</v>
      </c>
      <c r="AI20" s="18">
        <f>'Data Mei 2026'!AC32</f>
        <v>42000</v>
      </c>
      <c r="AJ20" s="18">
        <f>'Data Jun 2026'!Z32</f>
        <v>42000</v>
      </c>
      <c r="AK20" s="18">
        <f>'Data Jun 2026'!AA32</f>
        <v>42000</v>
      </c>
      <c r="AL20" s="18">
        <f>'Data Jun 2026'!AB32</f>
        <v>42000</v>
      </c>
      <c r="AM20" s="18">
        <f>'Data Jun 2026'!AC32</f>
        <v>42000</v>
      </c>
      <c r="AN20" s="18">
        <f>'Data Jun 2026'!AD32</f>
        <v>42000</v>
      </c>
      <c r="AO20" s="18">
        <f>'Data Jul 2026'!AA32</f>
        <v>42000</v>
      </c>
      <c r="AP20" s="18">
        <f>'Data Jul 2026'!AB32</f>
        <v>42000</v>
      </c>
      <c r="AQ20" s="18">
        <f>'Data Jul 2026'!AC32</f>
        <v>42000</v>
      </c>
      <c r="AR20" s="18">
        <f>'Data Jul 2026'!AD32</f>
        <v>42000</v>
      </c>
      <c r="AS20" s="18">
        <f>'Data Jul 2026'!AE32</f>
        <v>42000</v>
      </c>
      <c r="AT20" s="18">
        <f>'Data Agu 2026'!X32</f>
        <v>42000</v>
      </c>
      <c r="AU20" s="18">
        <f>'Data Agu 2026'!Y32</f>
        <v>42000</v>
      </c>
      <c r="AV20" s="18">
        <f>'Data Agu 2026'!Z32</f>
        <v>42000</v>
      </c>
      <c r="AW20" s="18">
        <f>'Data Agu 2026'!AA32</f>
        <v>42000</v>
      </c>
      <c r="AX20" s="18" t="str">
        <f>'Data Agu 2026'!AB32</f>
        <v/>
      </c>
      <c r="AY20" s="18">
        <f>'Data Agu 2026'!AC32</f>
        <v>42000</v>
      </c>
      <c r="AZ20" s="18">
        <f>'Data Sep 2026'!AA32</f>
        <v>42000</v>
      </c>
      <c r="BA20" s="18" t="str">
        <f>'Data Sep 2026'!AB32</f>
        <v/>
      </c>
      <c r="BB20" s="18" t="str">
        <f>'Data Sep 2026'!AC32</f>
        <v/>
      </c>
      <c r="BC20" s="18" t="str">
        <f>'Data Sep 2026'!AD32</f>
        <v/>
      </c>
      <c r="BD20" s="18" t="str">
        <f>'Data Sep 2026'!AE32</f>
        <v/>
      </c>
    </row>
    <row r="21" spans="1:56" ht="13.5" customHeight="1" x14ac:dyDescent="0.35">
      <c r="A21" s="9" t="s">
        <v>199</v>
      </c>
      <c r="B21" s="9" t="s">
        <v>350</v>
      </c>
      <c r="C21" s="32"/>
      <c r="D21" s="18">
        <f>'Data Des 2025'!AF12</f>
        <v>26714.285714285714</v>
      </c>
      <c r="E21" s="18">
        <f>'Data Jan 2026'!AE12</f>
        <v>28000</v>
      </c>
      <c r="F21" s="18">
        <f>'Data Feb 2026'!AB12</f>
        <v>29333.333333333332</v>
      </c>
      <c r="G21" s="18">
        <f>'Data Mar 2026'!AE12</f>
        <v>30300</v>
      </c>
      <c r="H21" s="18">
        <f>'Data Apr 2026'!AE12</f>
        <v>29809.523809523809</v>
      </c>
      <c r="I21" s="18">
        <f>'Data Mei 2026'!AD12</f>
        <v>37062.5</v>
      </c>
      <c r="J21" s="18">
        <f>'Data Jun 2026'!AE12</f>
        <v>36550</v>
      </c>
      <c r="K21" s="18">
        <f>'Data Jul 2026'!AF12</f>
        <v>34608.695652173912</v>
      </c>
      <c r="L21" s="18">
        <f>'Data Jan 2026'!Z12</f>
        <v>28000</v>
      </c>
      <c r="M21" s="18">
        <f>'Data Jan 2026'!AA12</f>
        <v>28000</v>
      </c>
      <c r="N21" s="18">
        <f>'Data Jan 2026'!AB12</f>
        <v>28000</v>
      </c>
      <c r="O21" s="18">
        <f>'Data Jan 2026'!AC12</f>
        <v>28000</v>
      </c>
      <c r="P21" s="18">
        <f>'Data Jan 2026'!AD12</f>
        <v>28000</v>
      </c>
      <c r="Q21" s="18">
        <f>'Data Feb 2026'!X12</f>
        <v>28400</v>
      </c>
      <c r="R21" s="18">
        <f>'Data Feb 2026'!Y12</f>
        <v>29200</v>
      </c>
      <c r="S21" s="18">
        <f>'Data Feb 2026'!Z12</f>
        <v>30000</v>
      </c>
      <c r="T21" s="18">
        <f>'Data Feb 2026'!AA12</f>
        <v>30000</v>
      </c>
      <c r="U21" s="18">
        <f>'Data Mar 2026'!Z12</f>
        <v>30000</v>
      </c>
      <c r="V21" s="18">
        <f>'Data Mar 2026'!AA12</f>
        <v>31200</v>
      </c>
      <c r="W21" s="18">
        <f>'Data Mar 2026'!AB12</f>
        <v>30000</v>
      </c>
      <c r="X21" s="18">
        <f>'Data Mar 2026'!AC12</f>
        <v>30000</v>
      </c>
      <c r="Y21" s="18">
        <f>'Data Mar 2026'!AD12</f>
        <v>30000</v>
      </c>
      <c r="Z21" s="18">
        <f>'Data Apr 2026'!Z12</f>
        <v>28000</v>
      </c>
      <c r="AA21" s="18">
        <f>'Data Apr 2026'!AA12</f>
        <v>30000</v>
      </c>
      <c r="AB21" s="18">
        <f>'Data Apr 2026'!AB12</f>
        <v>28000</v>
      </c>
      <c r="AC21" s="18">
        <f>'Data Apr 2026'!AC12</f>
        <v>29600</v>
      </c>
      <c r="AD21" s="18">
        <f>'Data Apr 2026'!AD12</f>
        <v>33000</v>
      </c>
      <c r="AE21" s="18" t="str">
        <f>'Data Mei 2026'!Y12</f>
        <v/>
      </c>
      <c r="AF21" s="18">
        <f>'Data Mei 2026'!Z12</f>
        <v>37000</v>
      </c>
      <c r="AG21" s="18">
        <f>'Data Mei 2026'!AA12</f>
        <v>36000</v>
      </c>
      <c r="AH21" s="18">
        <f>'Data Mei 2026'!AB12</f>
        <v>37600</v>
      </c>
      <c r="AI21" s="18">
        <f>'Data Mei 2026'!AC12</f>
        <v>37333.333333333336</v>
      </c>
      <c r="AJ21" s="18">
        <f>'Data Jun 2026'!Z12</f>
        <v>35000</v>
      </c>
      <c r="AK21" s="18">
        <f>'Data Jun 2026'!AA12</f>
        <v>36400</v>
      </c>
      <c r="AL21" s="18">
        <f>'Data Jun 2026'!AB12</f>
        <v>39500</v>
      </c>
      <c r="AM21" s="18">
        <f>'Data Jun 2026'!AC12</f>
        <v>36000</v>
      </c>
      <c r="AN21" s="18">
        <f>'Data Jun 2026'!AD12</f>
        <v>35500</v>
      </c>
      <c r="AO21" s="18">
        <f>'Data Jul 2026'!AA12</f>
        <v>35000</v>
      </c>
      <c r="AP21" s="18">
        <f>'Data Jul 2026'!AB12</f>
        <v>35000</v>
      </c>
      <c r="AQ21" s="18">
        <f>'Data Jul 2026'!AC12</f>
        <v>35000</v>
      </c>
      <c r="AR21" s="18">
        <f>'Data Jul 2026'!AD12</f>
        <v>35000</v>
      </c>
      <c r="AS21" s="18">
        <f>'Data Jul 2026'!AE12</f>
        <v>33200</v>
      </c>
      <c r="AT21" s="18">
        <f>'Data Agu 2026'!X12</f>
        <v>30800</v>
      </c>
      <c r="AU21" s="18">
        <f>'Data Agu 2026'!Y12</f>
        <v>30000</v>
      </c>
      <c r="AV21" s="18">
        <f>'Data Agu 2026'!Z12</f>
        <v>30000</v>
      </c>
      <c r="AW21" s="18">
        <f>'Data Agu 2026'!AA12</f>
        <v>30000</v>
      </c>
      <c r="AX21" s="18" t="str">
        <f>'Data Agu 2026'!AB12</f>
        <v/>
      </c>
      <c r="AY21" s="18">
        <f>'Data Agu 2026'!AC12</f>
        <v>30222.222222222223</v>
      </c>
      <c r="AZ21" s="18">
        <f>'Data Sep 2026'!AA12</f>
        <v>30000</v>
      </c>
      <c r="BA21" s="18" t="str">
        <f>'Data Sep 2026'!AB12</f>
        <v/>
      </c>
      <c r="BB21" s="18" t="str">
        <f>'Data Sep 2026'!AC12</f>
        <v/>
      </c>
      <c r="BC21" s="18" t="str">
        <f>'Data Sep 2026'!AD12</f>
        <v/>
      </c>
      <c r="BD21" s="18" t="str">
        <f>'Data Sep 2026'!AE12</f>
        <v/>
      </c>
    </row>
    <row r="22" spans="1:56" ht="13.5" customHeight="1" x14ac:dyDescent="0.35">
      <c r="A22" s="9" t="s">
        <v>200</v>
      </c>
      <c r="B22" s="9" t="s">
        <v>351</v>
      </c>
      <c r="C22" s="32"/>
      <c r="D22" s="18">
        <f>'Data Des 2025'!AF27</f>
        <v>23380.952380952382</v>
      </c>
      <c r="E22" s="18">
        <f>'Data Jan 2026'!AE27</f>
        <v>24000</v>
      </c>
      <c r="F22" s="18">
        <f>'Data Feb 2026'!AB27</f>
        <v>26333.333333333332</v>
      </c>
      <c r="G22" s="18">
        <f>'Data Mar 2026'!AE27</f>
        <v>29650</v>
      </c>
      <c r="H22" s="18">
        <f>'Data Apr 2026'!AE27</f>
        <v>28000</v>
      </c>
      <c r="I22" s="18">
        <f>'Data Mei 2026'!AD27</f>
        <v>28125</v>
      </c>
      <c r="J22" s="18">
        <f>'Data Jun 2026'!AE27</f>
        <v>31400</v>
      </c>
      <c r="K22" s="18">
        <f>'Data Jul 2026'!AF27</f>
        <v>34608.695652173912</v>
      </c>
      <c r="L22" s="18">
        <f>'Data Jan 2026'!Z27</f>
        <v>24000</v>
      </c>
      <c r="M22" s="18">
        <f>'Data Jan 2026'!AA27</f>
        <v>24000</v>
      </c>
      <c r="N22" s="18">
        <f>'Data Jan 2026'!AB27</f>
        <v>24000</v>
      </c>
      <c r="O22" s="18">
        <f>'Data Jan 2026'!AC27</f>
        <v>24000</v>
      </c>
      <c r="P22" s="18">
        <f>'Data Jan 2026'!AD27</f>
        <v>24000</v>
      </c>
      <c r="Q22" s="18">
        <f>'Data Feb 2026'!X27</f>
        <v>25200</v>
      </c>
      <c r="R22" s="18">
        <f>'Data Feb 2026'!Y27</f>
        <v>24600</v>
      </c>
      <c r="S22" s="18">
        <f>'Data Feb 2026'!Z27</f>
        <v>28333.333333333332</v>
      </c>
      <c r="T22" s="18">
        <f>'Data Feb 2026'!AA27</f>
        <v>28000</v>
      </c>
      <c r="U22" s="18">
        <f>'Data Mar 2026'!Z27</f>
        <v>29800</v>
      </c>
      <c r="V22" s="18">
        <f>'Data Mar 2026'!AA27</f>
        <v>29400</v>
      </c>
      <c r="W22" s="18">
        <f>'Data Mar 2026'!AB27</f>
        <v>29400</v>
      </c>
      <c r="X22" s="18">
        <f>'Data Mar 2026'!AC27</f>
        <v>30000</v>
      </c>
      <c r="Y22" s="18">
        <f>'Data Mar 2026'!AD27</f>
        <v>30000</v>
      </c>
      <c r="Z22" s="18">
        <f>'Data Apr 2026'!Z27</f>
        <v>28000</v>
      </c>
      <c r="AA22" s="18">
        <f>'Data Apr 2026'!AA27</f>
        <v>29200</v>
      </c>
      <c r="AB22" s="18">
        <f>'Data Apr 2026'!AB27</f>
        <v>28000</v>
      </c>
      <c r="AC22" s="18">
        <f>'Data Apr 2026'!AC27</f>
        <v>27600</v>
      </c>
      <c r="AD22" s="18">
        <f>'Data Apr 2026'!AD27</f>
        <v>27000</v>
      </c>
      <c r="AE22" s="18" t="str">
        <f>'Data Mei 2026'!Y27</f>
        <v/>
      </c>
      <c r="AF22" s="18">
        <f>'Data Mei 2026'!Z27</f>
        <v>29000</v>
      </c>
      <c r="AG22" s="18">
        <f>'Data Mei 2026'!AA27</f>
        <v>28666.666666666668</v>
      </c>
      <c r="AH22" s="18">
        <f>'Data Mei 2026'!AB27</f>
        <v>27600</v>
      </c>
      <c r="AI22" s="18">
        <f>'Data Mei 2026'!AC27</f>
        <v>27000</v>
      </c>
      <c r="AJ22" s="18">
        <f>'Data Jun 2026'!Z27</f>
        <v>26250</v>
      </c>
      <c r="AK22" s="18">
        <f>'Data Jun 2026'!AA27</f>
        <v>27600</v>
      </c>
      <c r="AL22" s="18">
        <f>'Data Jun 2026'!AB27</f>
        <v>35000</v>
      </c>
      <c r="AM22" s="18">
        <f>'Data Jun 2026'!AC27</f>
        <v>35000</v>
      </c>
      <c r="AN22" s="18">
        <f>'Data Jun 2026'!AD27</f>
        <v>35000</v>
      </c>
      <c r="AO22" s="18">
        <f>'Data Jul 2026'!AA27</f>
        <v>35000</v>
      </c>
      <c r="AP22" s="18">
        <f>'Data Jul 2026'!AB27</f>
        <v>35000</v>
      </c>
      <c r="AQ22" s="18">
        <f>'Data Jul 2026'!AC27</f>
        <v>35000</v>
      </c>
      <c r="AR22" s="18">
        <f>'Data Jul 2026'!AD27</f>
        <v>35000</v>
      </c>
      <c r="AS22" s="18">
        <f>'Data Jul 2026'!AE27</f>
        <v>33200</v>
      </c>
      <c r="AT22" s="18">
        <f>'Data Agu 2026'!X27</f>
        <v>30800</v>
      </c>
      <c r="AU22" s="18">
        <f>'Data Agu 2026'!Y27</f>
        <v>30000</v>
      </c>
      <c r="AV22" s="18">
        <f>'Data Agu 2026'!Z27</f>
        <v>30000</v>
      </c>
      <c r="AW22" s="18">
        <f>'Data Agu 2026'!AA27</f>
        <v>30000</v>
      </c>
      <c r="AX22" s="18" t="str">
        <f>'Data Agu 2026'!AB27</f>
        <v/>
      </c>
      <c r="AY22" s="18">
        <f>'Data Agu 2026'!AC27</f>
        <v>30222.222222222223</v>
      </c>
      <c r="AZ22" s="18">
        <f>'Data Sep 2026'!AA27</f>
        <v>30000</v>
      </c>
      <c r="BA22" s="18" t="str">
        <f>'Data Sep 2026'!AB27</f>
        <v/>
      </c>
      <c r="BB22" s="18" t="str">
        <f>'Data Sep 2026'!AC27</f>
        <v/>
      </c>
      <c r="BC22" s="18" t="str">
        <f>'Data Sep 2026'!AD27</f>
        <v/>
      </c>
      <c r="BD22" s="18" t="str">
        <f>'Data Sep 2026'!AE27</f>
        <v/>
      </c>
    </row>
    <row r="23" spans="1:56" ht="13.5" customHeight="1" x14ac:dyDescent="0.35">
      <c r="A23" s="9" t="s">
        <v>200</v>
      </c>
      <c r="B23" s="9" t="s">
        <v>352</v>
      </c>
      <c r="C23" s="32"/>
      <c r="D23" s="18">
        <f>'Data Des 2025'!AF28</f>
        <v>30000</v>
      </c>
      <c r="E23" s="18">
        <f>'Data Jan 2026'!AE28</f>
        <v>30000</v>
      </c>
      <c r="F23" s="18">
        <f>'Data Feb 2026'!AB28</f>
        <v>31666.666666666668</v>
      </c>
      <c r="G23" s="18">
        <f>'Data Mar 2026'!AE28</f>
        <v>36050</v>
      </c>
      <c r="H23" s="18">
        <f>'Data Apr 2026'!AE28</f>
        <v>38000</v>
      </c>
      <c r="I23" s="18">
        <f>'Data Mei 2026'!AD28</f>
        <v>38000</v>
      </c>
      <c r="J23" s="18">
        <f>'Data Jun 2026'!AE28</f>
        <v>36650</v>
      </c>
      <c r="K23" s="18">
        <f>'Data Jul 2026'!AF28</f>
        <v>38000</v>
      </c>
      <c r="L23" s="18">
        <f>'Data Jan 2026'!Z28</f>
        <v>30000</v>
      </c>
      <c r="M23" s="18">
        <f>'Data Jan 2026'!AA28</f>
        <v>30000</v>
      </c>
      <c r="N23" s="18">
        <f>'Data Jan 2026'!AB28</f>
        <v>30000</v>
      </c>
      <c r="O23" s="18">
        <f>'Data Jan 2026'!AC28</f>
        <v>30000</v>
      </c>
      <c r="P23" s="18">
        <f>'Data Jan 2026'!AD28</f>
        <v>30000</v>
      </c>
      <c r="Q23" s="18">
        <f>'Data Feb 2026'!X28</f>
        <v>31000</v>
      </c>
      <c r="R23" s="18">
        <f>'Data Feb 2026'!Y28</f>
        <v>30000</v>
      </c>
      <c r="S23" s="18">
        <f>'Data Feb 2026'!Z28</f>
        <v>33333.333333333336</v>
      </c>
      <c r="T23" s="18">
        <f>'Data Feb 2026'!AA28</f>
        <v>33000</v>
      </c>
      <c r="U23" s="18">
        <f>'Data Mar 2026'!Z28</f>
        <v>35000</v>
      </c>
      <c r="V23" s="18">
        <f>'Data Mar 2026'!AA28</f>
        <v>35000</v>
      </c>
      <c r="W23" s="18">
        <f>'Data Mar 2026'!AB28</f>
        <v>36200</v>
      </c>
      <c r="X23" s="18">
        <f>'Data Mar 2026'!AC28</f>
        <v>38000</v>
      </c>
      <c r="Y23" s="18">
        <f>'Data Mar 2026'!AD28</f>
        <v>38000</v>
      </c>
      <c r="Z23" s="18">
        <f>'Data Apr 2026'!Z28</f>
        <v>38000</v>
      </c>
      <c r="AA23" s="18">
        <f>'Data Apr 2026'!AA28</f>
        <v>38000</v>
      </c>
      <c r="AB23" s="18">
        <f>'Data Apr 2026'!AB28</f>
        <v>38000</v>
      </c>
      <c r="AC23" s="18">
        <f>'Data Apr 2026'!AC28</f>
        <v>38000</v>
      </c>
      <c r="AD23" s="18">
        <f>'Data Apr 2026'!AD28</f>
        <v>38000</v>
      </c>
      <c r="AE23" s="18" t="str">
        <f>'Data Mei 2026'!Y28</f>
        <v/>
      </c>
      <c r="AF23" s="18">
        <f>'Data Mei 2026'!Z28</f>
        <v>38000</v>
      </c>
      <c r="AG23" s="18">
        <f>'Data Mei 2026'!AA28</f>
        <v>38000</v>
      </c>
      <c r="AH23" s="18">
        <f>'Data Mei 2026'!AB28</f>
        <v>38000</v>
      </c>
      <c r="AI23" s="18">
        <f>'Data Mei 2026'!AC28</f>
        <v>38000</v>
      </c>
      <c r="AJ23" s="18">
        <f>'Data Jun 2026'!Z28</f>
        <v>38000</v>
      </c>
      <c r="AK23" s="18">
        <f>'Data Jun 2026'!AA28</f>
        <v>36600</v>
      </c>
      <c r="AL23" s="18">
        <f>'Data Jun 2026'!AB28</f>
        <v>36000</v>
      </c>
      <c r="AM23" s="18">
        <f>'Data Jun 2026'!AC28</f>
        <v>36000</v>
      </c>
      <c r="AN23" s="18">
        <f>'Data Jun 2026'!AD28</f>
        <v>37000</v>
      </c>
      <c r="AO23" s="18">
        <f>'Data Jul 2026'!AA28</f>
        <v>38000</v>
      </c>
      <c r="AP23" s="18">
        <f>'Data Jul 2026'!AB28</f>
        <v>38000</v>
      </c>
      <c r="AQ23" s="18">
        <f>'Data Jul 2026'!AC28</f>
        <v>38000</v>
      </c>
      <c r="AR23" s="18">
        <f>'Data Jul 2026'!AD28</f>
        <v>38000</v>
      </c>
      <c r="AS23" s="18">
        <f>'Data Jul 2026'!AE28</f>
        <v>38000</v>
      </c>
      <c r="AT23" s="18">
        <f>'Data Agu 2026'!X28</f>
        <v>38000</v>
      </c>
      <c r="AU23" s="18">
        <f>'Data Agu 2026'!Y28</f>
        <v>38000</v>
      </c>
      <c r="AV23" s="18">
        <f>'Data Agu 2026'!Z28</f>
        <v>38000</v>
      </c>
      <c r="AW23" s="18">
        <f>'Data Agu 2026'!AA28</f>
        <v>38000</v>
      </c>
      <c r="AX23" s="18" t="str">
        <f>'Data Agu 2026'!AB28</f>
        <v/>
      </c>
      <c r="AY23" s="18">
        <f>'Data Agu 2026'!AC28</f>
        <v>38000</v>
      </c>
      <c r="AZ23" s="18">
        <f>'Data Sep 2026'!AA28</f>
        <v>38000</v>
      </c>
      <c r="BA23" s="18" t="str">
        <f>'Data Sep 2026'!AB28</f>
        <v/>
      </c>
      <c r="BB23" s="18" t="str">
        <f>'Data Sep 2026'!AC28</f>
        <v/>
      </c>
      <c r="BC23" s="18" t="str">
        <f>'Data Sep 2026'!AD28</f>
        <v/>
      </c>
      <c r="BD23" s="18" t="str">
        <f>'Data Sep 2026'!AE28</f>
        <v/>
      </c>
    </row>
    <row r="24" spans="1:56" ht="13.5" customHeight="1" x14ac:dyDescent="0.35">
      <c r="A24" s="9" t="s">
        <v>201</v>
      </c>
      <c r="B24" s="9" t="s">
        <v>353</v>
      </c>
      <c r="C24" s="32"/>
      <c r="D24" s="18">
        <f>'Data Des 2025'!AF26</f>
        <v>2800</v>
      </c>
      <c r="E24" s="18">
        <f>'Data Jan 2026'!AE26</f>
        <v>2800</v>
      </c>
      <c r="F24" s="18">
        <f>'Data Feb 2026'!AB26</f>
        <v>2800</v>
      </c>
      <c r="G24" s="18">
        <f>'Data Mar 2026'!AE26</f>
        <v>2800</v>
      </c>
      <c r="H24" s="18">
        <f>'Data Apr 2026'!AE26</f>
        <v>2800</v>
      </c>
      <c r="I24" s="18">
        <f>'Data Mei 2026'!AD26</f>
        <v>2800</v>
      </c>
      <c r="J24" s="18">
        <f>'Data Jun 2026'!AE26</f>
        <v>2800</v>
      </c>
      <c r="K24" s="18">
        <f>'Data Jul 2026'!AF26</f>
        <v>2800</v>
      </c>
      <c r="L24" s="18">
        <f>'Data Jan 2026'!Z26</f>
        <v>2800</v>
      </c>
      <c r="M24" s="18">
        <f>'Data Jan 2026'!AA26</f>
        <v>2800</v>
      </c>
      <c r="N24" s="18">
        <f>'Data Jan 2026'!AB26</f>
        <v>2800</v>
      </c>
      <c r="O24" s="18">
        <f>'Data Jan 2026'!AC26</f>
        <v>2800</v>
      </c>
      <c r="P24" s="18">
        <f>'Data Jan 2026'!AD26</f>
        <v>2800</v>
      </c>
      <c r="Q24" s="18">
        <f>'Data Feb 2026'!X26</f>
        <v>2800</v>
      </c>
      <c r="R24" s="18">
        <f>'Data Feb 2026'!Y26</f>
        <v>2800</v>
      </c>
      <c r="S24" s="18">
        <f>'Data Feb 2026'!Z26</f>
        <v>2800</v>
      </c>
      <c r="T24" s="18">
        <f>'Data Feb 2026'!AA26</f>
        <v>2800</v>
      </c>
      <c r="U24" s="18">
        <f>'Data Mar 2026'!Z26</f>
        <v>2800</v>
      </c>
      <c r="V24" s="18">
        <f>'Data Mar 2026'!AA26</f>
        <v>2800</v>
      </c>
      <c r="W24" s="18">
        <f>'Data Mar 2026'!AB26</f>
        <v>2800</v>
      </c>
      <c r="X24" s="18">
        <f>'Data Mar 2026'!AC26</f>
        <v>2800</v>
      </c>
      <c r="Y24" s="18">
        <f>'Data Mar 2026'!AD26</f>
        <v>2800</v>
      </c>
      <c r="Z24" s="18">
        <f>'Data Apr 2026'!Z26</f>
        <v>2800</v>
      </c>
      <c r="AA24" s="18">
        <f>'Data Apr 2026'!AA26</f>
        <v>2800</v>
      </c>
      <c r="AB24" s="18">
        <f>'Data Apr 2026'!AB26</f>
        <v>2800</v>
      </c>
      <c r="AC24" s="18">
        <f>'Data Apr 2026'!AC26</f>
        <v>2800</v>
      </c>
      <c r="AD24" s="18">
        <f>'Data Apr 2026'!AD26</f>
        <v>2800</v>
      </c>
      <c r="AE24" s="18" t="str">
        <f>'Data Mei 2026'!Y26</f>
        <v/>
      </c>
      <c r="AF24" s="18">
        <f>'Data Mei 2026'!Z26</f>
        <v>2800</v>
      </c>
      <c r="AG24" s="18">
        <f>'Data Mei 2026'!AA26</f>
        <v>2800</v>
      </c>
      <c r="AH24" s="18">
        <f>'Data Mei 2026'!AB26</f>
        <v>2800</v>
      </c>
      <c r="AI24" s="18">
        <f>'Data Mei 2026'!AC26</f>
        <v>2800</v>
      </c>
      <c r="AJ24" s="18">
        <f>'Data Jun 2026'!Z26</f>
        <v>2800</v>
      </c>
      <c r="AK24" s="18">
        <f>'Data Jun 2026'!AA26</f>
        <v>2800</v>
      </c>
      <c r="AL24" s="18">
        <f>'Data Jun 2026'!AB26</f>
        <v>2800</v>
      </c>
      <c r="AM24" s="18">
        <f>'Data Jun 2026'!AC26</f>
        <v>2800</v>
      </c>
      <c r="AN24" s="18">
        <f>'Data Jun 2026'!AD26</f>
        <v>2800</v>
      </c>
      <c r="AO24" s="18">
        <f>'Data Jul 2026'!AA26</f>
        <v>2800</v>
      </c>
      <c r="AP24" s="18">
        <f>'Data Jul 2026'!AB26</f>
        <v>2800</v>
      </c>
      <c r="AQ24" s="18">
        <f>'Data Jul 2026'!AC26</f>
        <v>2800</v>
      </c>
      <c r="AR24" s="18">
        <f>'Data Jul 2026'!AD26</f>
        <v>2800</v>
      </c>
      <c r="AS24" s="18">
        <f>'Data Jul 2026'!AE26</f>
        <v>2800</v>
      </c>
      <c r="AT24" s="18">
        <f>'Data Agu 2026'!X26</f>
        <v>2800</v>
      </c>
      <c r="AU24" s="18">
        <f>'Data Agu 2026'!Y26</f>
        <v>2800</v>
      </c>
      <c r="AV24" s="18">
        <f>'Data Agu 2026'!Z26</f>
        <v>2800</v>
      </c>
      <c r="AW24" s="18">
        <f>'Data Agu 2026'!AA26</f>
        <v>2800</v>
      </c>
      <c r="AX24" s="18" t="str">
        <f>'Data Agu 2026'!AB26</f>
        <v/>
      </c>
      <c r="AY24" s="18">
        <f>'Data Agu 2026'!AC26</f>
        <v>2800</v>
      </c>
      <c r="AZ24" s="18">
        <f>'Data Sep 2026'!AA26</f>
        <v>2800</v>
      </c>
      <c r="BA24" s="18" t="str">
        <f>'Data Sep 2026'!AB26</f>
        <v/>
      </c>
      <c r="BB24" s="18" t="str">
        <f>'Data Sep 2026'!AC26</f>
        <v/>
      </c>
      <c r="BC24" s="18" t="str">
        <f>'Data Sep 2026'!AD26</f>
        <v/>
      </c>
      <c r="BD24" s="18" t="str">
        <f>'Data Sep 2026'!AE26</f>
        <v/>
      </c>
    </row>
    <row r="25" spans="1:56" ht="13.5" customHeight="1" x14ac:dyDescent="0.35">
      <c r="A25" s="9" t="s">
        <v>202</v>
      </c>
      <c r="B25" s="9" t="s">
        <v>354</v>
      </c>
      <c r="C25" s="33" t="s">
        <v>355</v>
      </c>
      <c r="D25" s="18">
        <f>'Data Des 2025'!AF31</f>
        <v>10500</v>
      </c>
      <c r="E25" s="18">
        <f>'Data Jan 2026'!AE31</f>
        <v>10500</v>
      </c>
      <c r="F25" s="18">
        <f>'Data Feb 2026'!AB31</f>
        <v>10500</v>
      </c>
      <c r="G25" s="18">
        <f>'Data Mar 2026'!AE31</f>
        <v>10500</v>
      </c>
      <c r="H25" s="18">
        <f>'Data Apr 2026'!AE31</f>
        <v>10500</v>
      </c>
      <c r="I25" s="18">
        <f>'Data Mei 2026'!AD31</f>
        <v>10500</v>
      </c>
      <c r="J25" s="18">
        <f>'Data Jun 2026'!AE31</f>
        <v>10500</v>
      </c>
      <c r="K25" s="18">
        <f>'Data Jul 2026'!AF31</f>
        <v>10500</v>
      </c>
      <c r="L25" s="18">
        <f>'Data Jan 2026'!Z31</f>
        <v>10500</v>
      </c>
      <c r="M25" s="18">
        <f>'Data Jan 2026'!AA31</f>
        <v>10500</v>
      </c>
      <c r="N25" s="18">
        <f>'Data Jan 2026'!AB31</f>
        <v>10500</v>
      </c>
      <c r="O25" s="18">
        <f>'Data Jan 2026'!AC31</f>
        <v>10500</v>
      </c>
      <c r="P25" s="18">
        <f>'Data Jan 2026'!AD31</f>
        <v>10500</v>
      </c>
      <c r="Q25" s="18">
        <f>'Data Feb 2026'!X31</f>
        <v>10500</v>
      </c>
      <c r="R25" s="18">
        <f>'Data Feb 2026'!Y31</f>
        <v>10500</v>
      </c>
      <c r="S25" s="18">
        <f>'Data Feb 2026'!Z31</f>
        <v>10500</v>
      </c>
      <c r="T25" s="18">
        <f>'Data Feb 2026'!AA31</f>
        <v>10500</v>
      </c>
      <c r="U25" s="18">
        <f>'Data Mar 2026'!Z31</f>
        <v>10500</v>
      </c>
      <c r="V25" s="18">
        <f>'Data Mar 2026'!AA31</f>
        <v>10500</v>
      </c>
      <c r="W25" s="18">
        <f>'Data Mar 2026'!AB31</f>
        <v>10500</v>
      </c>
      <c r="X25" s="18">
        <f>'Data Mar 2026'!AC31</f>
        <v>10500</v>
      </c>
      <c r="Y25" s="18">
        <f>'Data Mar 2026'!AD31</f>
        <v>10500</v>
      </c>
      <c r="Z25" s="18">
        <f>'Data Apr 2026'!Z31</f>
        <v>10500</v>
      </c>
      <c r="AA25" s="18">
        <f>'Data Apr 2026'!AA31</f>
        <v>10500</v>
      </c>
      <c r="AB25" s="18">
        <f>'Data Apr 2026'!AB31</f>
        <v>10500</v>
      </c>
      <c r="AC25" s="18">
        <f>'Data Apr 2026'!AC31</f>
        <v>10500</v>
      </c>
      <c r="AD25" s="18">
        <f>'Data Apr 2026'!AD31</f>
        <v>10500</v>
      </c>
      <c r="AE25" s="18" t="str">
        <f>'Data Mei 2026'!Y31</f>
        <v/>
      </c>
      <c r="AF25" s="18">
        <f>'Data Mei 2026'!Z31</f>
        <v>10500</v>
      </c>
      <c r="AG25" s="18">
        <f>'Data Mei 2026'!AA31</f>
        <v>10500</v>
      </c>
      <c r="AH25" s="18">
        <f>'Data Mei 2026'!AB31</f>
        <v>10500</v>
      </c>
      <c r="AI25" s="18">
        <f>'Data Mei 2026'!AC31</f>
        <v>10500</v>
      </c>
      <c r="AJ25" s="18">
        <f>'Data Jun 2026'!Z31</f>
        <v>10500</v>
      </c>
      <c r="AK25" s="18">
        <f>'Data Jun 2026'!AA31</f>
        <v>10500</v>
      </c>
      <c r="AL25" s="18">
        <f>'Data Jun 2026'!AB31</f>
        <v>10500</v>
      </c>
      <c r="AM25" s="18">
        <f>'Data Jun 2026'!AC31</f>
        <v>10500</v>
      </c>
      <c r="AN25" s="18">
        <f>'Data Jun 2026'!AD31</f>
        <v>10500</v>
      </c>
      <c r="AO25" s="18">
        <f>'Data Jul 2026'!AA31</f>
        <v>10500</v>
      </c>
      <c r="AP25" s="18">
        <f>'Data Jul 2026'!AB31</f>
        <v>10500</v>
      </c>
      <c r="AQ25" s="18">
        <f>'Data Jul 2026'!AC31</f>
        <v>10500</v>
      </c>
      <c r="AR25" s="18">
        <f>'Data Jul 2026'!AD31</f>
        <v>10500</v>
      </c>
      <c r="AS25" s="18">
        <f>'Data Jul 2026'!AE31</f>
        <v>10500</v>
      </c>
      <c r="AT25" s="18">
        <f>'Data Agu 2026'!X31</f>
        <v>10500</v>
      </c>
      <c r="AU25" s="18">
        <f>'Data Agu 2026'!Y31</f>
        <v>10500</v>
      </c>
      <c r="AV25" s="18">
        <f>'Data Agu 2026'!Z31</f>
        <v>10500</v>
      </c>
      <c r="AW25" s="18">
        <f>'Data Agu 2026'!AA31</f>
        <v>10500</v>
      </c>
      <c r="AX25" s="18" t="str">
        <f>'Data Agu 2026'!AB31</f>
        <v/>
      </c>
      <c r="AY25" s="18">
        <f>'Data Agu 2026'!AC31</f>
        <v>10500</v>
      </c>
      <c r="AZ25" s="18">
        <f>'Data Sep 2026'!AA31</f>
        <v>10500</v>
      </c>
      <c r="BA25" s="18" t="str">
        <f>'Data Sep 2026'!AB31</f>
        <v/>
      </c>
      <c r="BB25" s="18" t="str">
        <f>'Data Sep 2026'!AC31</f>
        <v/>
      </c>
      <c r="BC25" s="18" t="str">
        <f>'Data Sep 2026'!AD31</f>
        <v/>
      </c>
      <c r="BD25" s="18" t="str">
        <f>'Data Sep 2026'!AE31</f>
        <v/>
      </c>
    </row>
    <row r="26" spans="1:56" ht="13.5" customHeight="1" x14ac:dyDescent="0.35">
      <c r="A26" s="9" t="s">
        <v>203</v>
      </c>
      <c r="B26" s="9" t="s">
        <v>356</v>
      </c>
      <c r="C26" s="32"/>
      <c r="D26" s="18">
        <f>'Data Des 2025'!AF9</f>
        <v>25000</v>
      </c>
      <c r="E26" s="18">
        <f>'Data Jan 2026'!AE9</f>
        <v>23350</v>
      </c>
      <c r="F26" s="18">
        <f>'Data Feb 2026'!AB9</f>
        <v>23888.888888888891</v>
      </c>
      <c r="G26" s="18">
        <f>'Data Mar 2026'!AE9</f>
        <v>32100</v>
      </c>
      <c r="H26" s="18">
        <f>'Data Apr 2026'!AE9</f>
        <v>32904.761904761908</v>
      </c>
      <c r="I26" s="18">
        <f>'Data Mei 2026'!AD9</f>
        <v>40500</v>
      </c>
      <c r="J26" s="18">
        <f>'Data Jun 2026'!AE9</f>
        <v>36150</v>
      </c>
      <c r="K26" s="18">
        <f>'Data Jul 2026'!AF9</f>
        <v>30000</v>
      </c>
      <c r="L26" s="18">
        <f>'Data Jan 2026'!Z9</f>
        <v>25000</v>
      </c>
      <c r="M26" s="18">
        <f>'Data Jan 2026'!AA9</f>
        <v>25000</v>
      </c>
      <c r="N26" s="18">
        <f>'Data Jan 2026'!AB9</f>
        <v>24250</v>
      </c>
      <c r="O26" s="18">
        <f>'Data Jan 2026'!AC9</f>
        <v>22000</v>
      </c>
      <c r="P26" s="18">
        <f>'Data Jan 2026'!AD9</f>
        <v>22000</v>
      </c>
      <c r="Q26" s="18">
        <f>'Data Feb 2026'!X9</f>
        <v>22800</v>
      </c>
      <c r="R26" s="18">
        <f>'Data Feb 2026'!Y9</f>
        <v>22300</v>
      </c>
      <c r="S26" s="18">
        <f>'Data Feb 2026'!Z9</f>
        <v>25166.666666666668</v>
      </c>
      <c r="T26" s="18">
        <f>'Data Feb 2026'!AA9</f>
        <v>25800</v>
      </c>
      <c r="U26" s="18">
        <f>'Data Mar 2026'!Z9</f>
        <v>28000</v>
      </c>
      <c r="V26" s="18">
        <f>'Data Mar 2026'!AA9</f>
        <v>30400</v>
      </c>
      <c r="W26" s="18">
        <f>'Data Mar 2026'!AB9</f>
        <v>37600</v>
      </c>
      <c r="X26" s="18">
        <f>'Data Mar 2026'!AC9</f>
        <v>31666.666666666668</v>
      </c>
      <c r="Y26" s="18">
        <f>'Data Mar 2026'!AD9</f>
        <v>33500</v>
      </c>
      <c r="Z26" s="18">
        <f>'Data Apr 2026'!Z9</f>
        <v>30500</v>
      </c>
      <c r="AA26" s="18">
        <f>'Data Apr 2026'!AA9</f>
        <v>30400</v>
      </c>
      <c r="AB26" s="18">
        <f>'Data Apr 2026'!AB9</f>
        <v>32800</v>
      </c>
      <c r="AC26" s="18">
        <f>'Data Apr 2026'!AC9</f>
        <v>34000</v>
      </c>
      <c r="AD26" s="18">
        <f>'Data Apr 2026'!AD9</f>
        <v>36000</v>
      </c>
      <c r="AE26" s="18" t="str">
        <f>'Data Mei 2026'!Y9</f>
        <v/>
      </c>
      <c r="AF26" s="18">
        <f>'Data Mei 2026'!Z9</f>
        <v>35000</v>
      </c>
      <c r="AG26" s="18">
        <f>'Data Mei 2026'!AA9</f>
        <v>40666.666666666664</v>
      </c>
      <c r="AH26" s="18">
        <f>'Data Mei 2026'!AB9</f>
        <v>42600</v>
      </c>
      <c r="AI26" s="18">
        <f>'Data Mei 2026'!AC9</f>
        <v>46000</v>
      </c>
      <c r="AJ26" s="18">
        <f>'Data Jun 2026'!Z9</f>
        <v>43500</v>
      </c>
      <c r="AK26" s="18">
        <f>'Data Jun 2026'!AA9</f>
        <v>39600</v>
      </c>
      <c r="AL26" s="18">
        <f>'Data Jun 2026'!AB9</f>
        <v>32250</v>
      </c>
      <c r="AM26" s="18">
        <f>'Data Jun 2026'!AC9</f>
        <v>32000</v>
      </c>
      <c r="AN26" s="18">
        <f>'Data Jun 2026'!AD9</f>
        <v>31000</v>
      </c>
      <c r="AO26" s="18">
        <f>'Data Jul 2026'!AA9</f>
        <v>30000</v>
      </c>
      <c r="AP26" s="18">
        <f>'Data Jul 2026'!AB9</f>
        <v>30000</v>
      </c>
      <c r="AQ26" s="18">
        <f>'Data Jul 2026'!AC9</f>
        <v>30000</v>
      </c>
      <c r="AR26" s="18">
        <f>'Data Jul 2026'!AD9</f>
        <v>30000</v>
      </c>
      <c r="AS26" s="18">
        <f>'Data Jul 2026'!AE9</f>
        <v>30000</v>
      </c>
      <c r="AT26" s="18">
        <f>'Data Agu 2026'!X9</f>
        <v>30000</v>
      </c>
      <c r="AU26" s="18">
        <f>'Data Agu 2026'!Y9</f>
        <v>30000</v>
      </c>
      <c r="AV26" s="18">
        <f>'Data Agu 2026'!Z9</f>
        <v>28500</v>
      </c>
      <c r="AW26" s="18">
        <f>'Data Agu 2026'!AA9</f>
        <v>28000</v>
      </c>
      <c r="AX26" s="18" t="str">
        <f>'Data Agu 2026'!AB9</f>
        <v/>
      </c>
      <c r="AY26" s="18">
        <f>'Data Agu 2026'!AC9</f>
        <v>29222.222222222223</v>
      </c>
      <c r="AZ26" s="18">
        <f>'Data Sep 2026'!AA9</f>
        <v>28000</v>
      </c>
      <c r="BA26" s="18" t="str">
        <f>'Data Sep 2026'!AB9</f>
        <v/>
      </c>
      <c r="BB26" s="18" t="str">
        <f>'Data Sep 2026'!AC9</f>
        <v/>
      </c>
      <c r="BC26" s="18" t="str">
        <f>'Data Sep 2026'!AD9</f>
        <v/>
      </c>
      <c r="BD26" s="18" t="str">
        <f>'Data Sep 2026'!AE9</f>
        <v/>
      </c>
    </row>
    <row r="27" spans="1:56" ht="13.5" customHeight="1" x14ac:dyDescent="0.35">
      <c r="A27" s="9" t="s">
        <v>203</v>
      </c>
      <c r="B27" s="9" t="s">
        <v>357</v>
      </c>
      <c r="C27" s="32"/>
      <c r="D27" s="18">
        <f>'Data Des 2025'!AF10</f>
        <v>25666.666666666668</v>
      </c>
      <c r="E27" s="18">
        <f>'Data Jan 2026'!AE10</f>
        <v>23350</v>
      </c>
      <c r="F27" s="18">
        <f>'Data Feb 2026'!AB10</f>
        <v>23333.333333333332</v>
      </c>
      <c r="G27" s="18">
        <f>'Data Mar 2026'!AE10</f>
        <v>32850</v>
      </c>
      <c r="H27" s="18">
        <f>'Data Apr 2026'!AE10</f>
        <v>34190.476190476191</v>
      </c>
      <c r="I27" s="18">
        <f>'Data Mei 2026'!AD10</f>
        <v>45375</v>
      </c>
      <c r="J27" s="18">
        <f>'Data Jun 2026'!AE10</f>
        <v>37850</v>
      </c>
      <c r="K27" s="18">
        <f>'Data Jul 2026'!AF10</f>
        <v>28000</v>
      </c>
      <c r="L27" s="18">
        <f>'Data Jan 2026'!Z10</f>
        <v>25000</v>
      </c>
      <c r="M27" s="18">
        <f>'Data Jan 2026'!AA10</f>
        <v>25000</v>
      </c>
      <c r="N27" s="18">
        <f>'Data Jan 2026'!AB10</f>
        <v>24250</v>
      </c>
      <c r="O27" s="18">
        <f>'Data Jan 2026'!AC10</f>
        <v>22000</v>
      </c>
      <c r="P27" s="18">
        <f>'Data Jan 2026'!AD10</f>
        <v>22000</v>
      </c>
      <c r="Q27" s="18">
        <f>'Data Feb 2026'!X10</f>
        <v>22400</v>
      </c>
      <c r="R27" s="18">
        <f>'Data Feb 2026'!Y10</f>
        <v>22300</v>
      </c>
      <c r="S27" s="18">
        <f>'Data Feb 2026'!Z10</f>
        <v>23833.333333333332</v>
      </c>
      <c r="T27" s="18">
        <f>'Data Feb 2026'!AA10</f>
        <v>25000</v>
      </c>
      <c r="U27" s="18">
        <f>'Data Mar 2026'!Z10</f>
        <v>24400</v>
      </c>
      <c r="V27" s="18">
        <f>'Data Mar 2026'!AA10</f>
        <v>29200</v>
      </c>
      <c r="W27" s="18">
        <f>'Data Mar 2026'!AB10</f>
        <v>44600</v>
      </c>
      <c r="X27" s="18">
        <f>'Data Mar 2026'!AC10</f>
        <v>32666.666666666668</v>
      </c>
      <c r="Y27" s="18">
        <f>'Data Mar 2026'!AD10</f>
        <v>34000</v>
      </c>
      <c r="Z27" s="18">
        <f>'Data Apr 2026'!Z10</f>
        <v>30000</v>
      </c>
      <c r="AA27" s="18">
        <f>'Data Apr 2026'!AA10</f>
        <v>31200</v>
      </c>
      <c r="AB27" s="18">
        <f>'Data Apr 2026'!AB10</f>
        <v>32400</v>
      </c>
      <c r="AC27" s="18">
        <f>'Data Apr 2026'!AC10</f>
        <v>36000</v>
      </c>
      <c r="AD27" s="18">
        <f>'Data Apr 2026'!AD10</f>
        <v>40000</v>
      </c>
      <c r="AE27" s="18" t="str">
        <f>'Data Mei 2026'!Y10</f>
        <v/>
      </c>
      <c r="AF27" s="18">
        <f>'Data Mei 2026'!Z10</f>
        <v>40000</v>
      </c>
      <c r="AG27" s="18">
        <f>'Data Mei 2026'!AA10</f>
        <v>46666.666666666664</v>
      </c>
      <c r="AH27" s="18">
        <f>'Data Mei 2026'!AB10</f>
        <v>46800</v>
      </c>
      <c r="AI27" s="18">
        <f>'Data Mei 2026'!AC10</f>
        <v>50666.666666666664</v>
      </c>
      <c r="AJ27" s="18">
        <f>'Data Jun 2026'!Z10</f>
        <v>48500</v>
      </c>
      <c r="AK27" s="18">
        <f>'Data Jun 2026'!AA10</f>
        <v>47400</v>
      </c>
      <c r="AL27" s="18">
        <f>'Data Jun 2026'!AB10</f>
        <v>32500</v>
      </c>
      <c r="AM27" s="18">
        <f>'Data Jun 2026'!AC10</f>
        <v>28000</v>
      </c>
      <c r="AN27" s="18">
        <f>'Data Jun 2026'!AD10</f>
        <v>28000</v>
      </c>
      <c r="AO27" s="18">
        <f>'Data Jul 2026'!AA10</f>
        <v>28000</v>
      </c>
      <c r="AP27" s="18">
        <f>'Data Jul 2026'!AB10</f>
        <v>28000</v>
      </c>
      <c r="AQ27" s="18">
        <f>'Data Jul 2026'!AC10</f>
        <v>28000</v>
      </c>
      <c r="AR27" s="18">
        <f>'Data Jul 2026'!AD10</f>
        <v>28000</v>
      </c>
      <c r="AS27" s="18">
        <f>'Data Jul 2026'!AE10</f>
        <v>28000</v>
      </c>
      <c r="AT27" s="18">
        <f>'Data Agu 2026'!X10</f>
        <v>28000</v>
      </c>
      <c r="AU27" s="18">
        <f>'Data Agu 2026'!Y10</f>
        <v>28000</v>
      </c>
      <c r="AV27" s="18">
        <f>'Data Agu 2026'!Z10</f>
        <v>26500</v>
      </c>
      <c r="AW27" s="18">
        <f>'Data Agu 2026'!AA10</f>
        <v>26000</v>
      </c>
      <c r="AX27" s="18" t="str">
        <f>'Data Agu 2026'!AB10</f>
        <v/>
      </c>
      <c r="AY27" s="18">
        <f>'Data Agu 2026'!AC10</f>
        <v>27222.222222222223</v>
      </c>
      <c r="AZ27" s="18">
        <f>'Data Sep 2026'!AA10</f>
        <v>26000</v>
      </c>
      <c r="BA27" s="18" t="str">
        <f>'Data Sep 2026'!AB10</f>
        <v/>
      </c>
      <c r="BB27" s="18" t="str">
        <f>'Data Sep 2026'!AC10</f>
        <v/>
      </c>
      <c r="BC27" s="18" t="str">
        <f>'Data Sep 2026'!AD10</f>
        <v/>
      </c>
      <c r="BD27" s="18" t="str">
        <f>'Data Sep 2026'!AE10</f>
        <v/>
      </c>
    </row>
    <row r="28" spans="1:56" ht="13.5" customHeight="1" x14ac:dyDescent="0.35">
      <c r="A28" s="9" t="s">
        <v>204</v>
      </c>
      <c r="B28" s="9" t="s">
        <v>358</v>
      </c>
      <c r="C28" s="32"/>
      <c r="D28" s="18">
        <f>'Data Des 2025'!AF20</f>
        <v>110000</v>
      </c>
      <c r="E28" s="18">
        <f>'Data Jan 2026'!AE20</f>
        <v>110000</v>
      </c>
      <c r="F28" s="18">
        <f>'Data Feb 2026'!AB20</f>
        <v>110000</v>
      </c>
      <c r="G28" s="18">
        <f>'Data Mar 2026'!AE20</f>
        <v>113800</v>
      </c>
      <c r="H28" s="18">
        <f>'Data Apr 2026'!AE20</f>
        <v>114047.61904761905</v>
      </c>
      <c r="I28" s="18">
        <f>'Data Mei 2026'!AD20</f>
        <v>115000</v>
      </c>
      <c r="J28" s="18">
        <f>'Data Jun 2026'!AE20</f>
        <v>117550</v>
      </c>
      <c r="K28" s="18">
        <f>'Data Jul 2026'!AF20</f>
        <v>120000</v>
      </c>
      <c r="L28" s="18">
        <f>'Data Jan 2026'!Z20</f>
        <v>110000</v>
      </c>
      <c r="M28" s="18">
        <f>'Data Jan 2026'!AA20</f>
        <v>110000</v>
      </c>
      <c r="N28" s="18">
        <f>'Data Jan 2026'!AB20</f>
        <v>110000</v>
      </c>
      <c r="O28" s="18">
        <f>'Data Jan 2026'!AC20</f>
        <v>110000</v>
      </c>
      <c r="P28" s="18">
        <f>'Data Jan 2026'!AD20</f>
        <v>110000</v>
      </c>
      <c r="Q28" s="18">
        <f>'Data Feb 2026'!X20</f>
        <v>110000</v>
      </c>
      <c r="R28" s="18">
        <f>'Data Feb 2026'!Y20</f>
        <v>110000</v>
      </c>
      <c r="S28" s="18">
        <f>'Data Feb 2026'!Z20</f>
        <v>110000</v>
      </c>
      <c r="T28" s="18">
        <f>'Data Feb 2026'!AA20</f>
        <v>110000</v>
      </c>
      <c r="U28" s="18">
        <f>'Data Mar 2026'!Z20</f>
        <v>110000</v>
      </c>
      <c r="V28" s="18">
        <f>'Data Mar 2026'!AA20</f>
        <v>113200</v>
      </c>
      <c r="W28" s="18">
        <f>'Data Mar 2026'!AB20</f>
        <v>117000</v>
      </c>
      <c r="X28" s="18">
        <f>'Data Mar 2026'!AC20</f>
        <v>115000</v>
      </c>
      <c r="Y28" s="18">
        <f>'Data Mar 2026'!AD20</f>
        <v>115000</v>
      </c>
      <c r="Z28" s="18">
        <f>'Data Apr 2026'!Z20</f>
        <v>114000</v>
      </c>
      <c r="AA28" s="18">
        <f>'Data Apr 2026'!AA20</f>
        <v>114000</v>
      </c>
      <c r="AB28" s="18">
        <f>'Data Apr 2026'!AB20</f>
        <v>114000</v>
      </c>
      <c r="AC28" s="18">
        <f>'Data Apr 2026'!AC20</f>
        <v>114000</v>
      </c>
      <c r="AD28" s="18">
        <f>'Data Apr 2026'!AD20</f>
        <v>114250</v>
      </c>
      <c r="AE28" s="18" t="str">
        <f>'Data Mei 2026'!Y20</f>
        <v/>
      </c>
      <c r="AF28" s="18">
        <f>'Data Mei 2026'!Z20</f>
        <v>115000</v>
      </c>
      <c r="AG28" s="18">
        <f>'Data Mei 2026'!AA20</f>
        <v>115000</v>
      </c>
      <c r="AH28" s="18">
        <f>'Data Mei 2026'!AB20</f>
        <v>115000</v>
      </c>
      <c r="AI28" s="18">
        <f>'Data Mei 2026'!AC20</f>
        <v>115000</v>
      </c>
      <c r="AJ28" s="18">
        <f>'Data Jun 2026'!Z20</f>
        <v>115000</v>
      </c>
      <c r="AK28" s="18">
        <f>'Data Jun 2026'!AA20</f>
        <v>115800</v>
      </c>
      <c r="AL28" s="18">
        <f>'Data Jun 2026'!AB20</f>
        <v>118000</v>
      </c>
      <c r="AM28" s="18">
        <f>'Data Jun 2026'!AC20</f>
        <v>120000</v>
      </c>
      <c r="AN28" s="18">
        <f>'Data Jun 2026'!AD20</f>
        <v>120000</v>
      </c>
      <c r="AO28" s="18">
        <f>'Data Jul 2026'!AA20</f>
        <v>120000</v>
      </c>
      <c r="AP28" s="18">
        <f>'Data Jul 2026'!AB20</f>
        <v>120000</v>
      </c>
      <c r="AQ28" s="18">
        <f>'Data Jul 2026'!AC20</f>
        <v>120000</v>
      </c>
      <c r="AR28" s="18">
        <f>'Data Jul 2026'!AD20</f>
        <v>120000</v>
      </c>
      <c r="AS28" s="18">
        <f>'Data Jul 2026'!AE20</f>
        <v>120000</v>
      </c>
      <c r="AT28" s="18">
        <f>'Data Agu 2026'!X20</f>
        <v>120000</v>
      </c>
      <c r="AU28" s="18">
        <f>'Data Agu 2026'!Y20</f>
        <v>120000</v>
      </c>
      <c r="AV28" s="18">
        <f>'Data Agu 2026'!Z20</f>
        <v>120000</v>
      </c>
      <c r="AW28" s="18">
        <f>'Data Agu 2026'!AA20</f>
        <v>120000</v>
      </c>
      <c r="AX28" s="18" t="str">
        <f>'Data Agu 2026'!AB20</f>
        <v/>
      </c>
      <c r="AY28" s="18">
        <f>'Data Agu 2026'!AC20</f>
        <v>120000</v>
      </c>
      <c r="AZ28" s="18">
        <f>'Data Sep 2026'!AA20</f>
        <v>120000</v>
      </c>
      <c r="BA28" s="18" t="str">
        <f>'Data Sep 2026'!AB20</f>
        <v/>
      </c>
      <c r="BB28" s="18" t="str">
        <f>'Data Sep 2026'!AC20</f>
        <v/>
      </c>
      <c r="BC28" s="18" t="str">
        <f>'Data Sep 2026'!AD20</f>
        <v/>
      </c>
      <c r="BD28" s="18" t="str">
        <f>'Data Sep 2026'!AE20</f>
        <v/>
      </c>
    </row>
    <row r="29" spans="1:56" ht="13.5" customHeight="1" x14ac:dyDescent="0.35">
      <c r="A29" s="9" t="s">
        <v>204</v>
      </c>
      <c r="B29" s="9" t="s">
        <v>359</v>
      </c>
      <c r="C29" s="32"/>
      <c r="D29" s="18">
        <f>'Data Des 2025'!AF21</f>
        <v>60000</v>
      </c>
      <c r="E29" s="18">
        <f>'Data Jan 2026'!AE21</f>
        <v>60000</v>
      </c>
      <c r="F29" s="18">
        <f>'Data Feb 2026'!AB21</f>
        <v>63333.333333333336</v>
      </c>
      <c r="G29" s="18">
        <f>'Data Mar 2026'!AE21</f>
        <v>70000</v>
      </c>
      <c r="H29" s="18">
        <f>'Data Apr 2026'!AE21</f>
        <v>70000</v>
      </c>
      <c r="I29" s="18">
        <f>'Data Mei 2026'!AD21</f>
        <v>70000</v>
      </c>
      <c r="J29" s="18">
        <f>'Data Jun 2026'!AE21</f>
        <v>70000</v>
      </c>
      <c r="K29" s="18">
        <f>'Data Jul 2026'!AF21</f>
        <v>70000</v>
      </c>
      <c r="L29" s="18">
        <f>'Data Jan 2026'!Z21</f>
        <v>60000</v>
      </c>
      <c r="M29" s="18">
        <f>'Data Jan 2026'!AA21</f>
        <v>60000</v>
      </c>
      <c r="N29" s="18">
        <f>'Data Jan 2026'!AB21</f>
        <v>60000</v>
      </c>
      <c r="O29" s="18">
        <f>'Data Jan 2026'!AC21</f>
        <v>60000</v>
      </c>
      <c r="P29" s="18">
        <f>'Data Jan 2026'!AD21</f>
        <v>60000</v>
      </c>
      <c r="Q29" s="18">
        <f>'Data Feb 2026'!X21</f>
        <v>62000</v>
      </c>
      <c r="R29" s="18">
        <f>'Data Feb 2026'!Y21</f>
        <v>60000</v>
      </c>
      <c r="S29" s="18">
        <f>'Data Feb 2026'!Z21</f>
        <v>66666.666666666672</v>
      </c>
      <c r="T29" s="18">
        <f>'Data Feb 2026'!AA21</f>
        <v>66000</v>
      </c>
      <c r="U29" s="18">
        <f>'Data Mar 2026'!Z21</f>
        <v>70000</v>
      </c>
      <c r="V29" s="18">
        <f>'Data Mar 2026'!AA21</f>
        <v>70000</v>
      </c>
      <c r="W29" s="18">
        <f>'Data Mar 2026'!AB21</f>
        <v>70000</v>
      </c>
      <c r="X29" s="18">
        <f>'Data Mar 2026'!AC21</f>
        <v>70000</v>
      </c>
      <c r="Y29" s="18">
        <f>'Data Mar 2026'!AD21</f>
        <v>70000</v>
      </c>
      <c r="Z29" s="18">
        <f>'Data Apr 2026'!Z21</f>
        <v>70000</v>
      </c>
      <c r="AA29" s="18">
        <f>'Data Apr 2026'!AA21</f>
        <v>70000</v>
      </c>
      <c r="AB29" s="18">
        <f>'Data Apr 2026'!AB21</f>
        <v>70000</v>
      </c>
      <c r="AC29" s="18">
        <f>'Data Apr 2026'!AC21</f>
        <v>70000</v>
      </c>
      <c r="AD29" s="18">
        <f>'Data Apr 2026'!AD21</f>
        <v>70000</v>
      </c>
      <c r="AE29" s="18" t="str">
        <f>'Data Mei 2026'!Y21</f>
        <v/>
      </c>
      <c r="AF29" s="18">
        <f>'Data Mei 2026'!Z21</f>
        <v>70000</v>
      </c>
      <c r="AG29" s="18">
        <f>'Data Mei 2026'!AA21</f>
        <v>70000</v>
      </c>
      <c r="AH29" s="18">
        <f>'Data Mei 2026'!AB21</f>
        <v>70000</v>
      </c>
      <c r="AI29" s="18">
        <f>'Data Mei 2026'!AC21</f>
        <v>70000</v>
      </c>
      <c r="AJ29" s="18">
        <f>'Data Jun 2026'!Z21</f>
        <v>70000</v>
      </c>
      <c r="AK29" s="18">
        <f>'Data Jun 2026'!AA21</f>
        <v>70000</v>
      </c>
      <c r="AL29" s="18">
        <f>'Data Jun 2026'!AB21</f>
        <v>70000</v>
      </c>
      <c r="AM29" s="18">
        <f>'Data Jun 2026'!AC21</f>
        <v>70000</v>
      </c>
      <c r="AN29" s="18">
        <f>'Data Jun 2026'!AD21</f>
        <v>70000</v>
      </c>
      <c r="AO29" s="18">
        <f>'Data Jul 2026'!AA21</f>
        <v>70000</v>
      </c>
      <c r="AP29" s="18">
        <f>'Data Jul 2026'!AB21</f>
        <v>70000</v>
      </c>
      <c r="AQ29" s="18">
        <f>'Data Jul 2026'!AC21</f>
        <v>70000</v>
      </c>
      <c r="AR29" s="18">
        <f>'Data Jul 2026'!AD21</f>
        <v>70000</v>
      </c>
      <c r="AS29" s="18">
        <f>'Data Jul 2026'!AE21</f>
        <v>70000</v>
      </c>
      <c r="AT29" s="18">
        <f>'Data Agu 2026'!X21</f>
        <v>70000</v>
      </c>
      <c r="AU29" s="18">
        <f>'Data Agu 2026'!Y21</f>
        <v>70000</v>
      </c>
      <c r="AV29" s="18">
        <f>'Data Agu 2026'!Z21</f>
        <v>70000</v>
      </c>
      <c r="AW29" s="18">
        <f>'Data Agu 2026'!AA21</f>
        <v>70000</v>
      </c>
      <c r="AX29" s="18" t="str">
        <f>'Data Agu 2026'!AB21</f>
        <v/>
      </c>
      <c r="AY29" s="18">
        <f>'Data Agu 2026'!AC21</f>
        <v>70000</v>
      </c>
      <c r="AZ29" s="18">
        <f>'Data Sep 2026'!AA21</f>
        <v>70000</v>
      </c>
      <c r="BA29" s="18" t="str">
        <f>'Data Sep 2026'!AB21</f>
        <v/>
      </c>
      <c r="BB29" s="18" t="str">
        <f>'Data Sep 2026'!AC21</f>
        <v/>
      </c>
      <c r="BC29" s="18" t="str">
        <f>'Data Sep 2026'!AD21</f>
        <v/>
      </c>
      <c r="BD29" s="18" t="str">
        <f>'Data Sep 2026'!AE21</f>
        <v/>
      </c>
    </row>
    <row r="30" spans="1:56" ht="13.5" customHeight="1" x14ac:dyDescent="0.35">
      <c r="A30" s="9" t="s">
        <v>204</v>
      </c>
      <c r="B30" s="9" t="s">
        <v>360</v>
      </c>
      <c r="C30" s="32"/>
      <c r="D30" s="18">
        <f>'Data Des 2025'!AF22</f>
        <v>55000</v>
      </c>
      <c r="E30" s="18">
        <f>'Data Jan 2026'!AE22</f>
        <v>55000</v>
      </c>
      <c r="F30" s="18">
        <f>'Data Feb 2026'!AB22</f>
        <v>60000</v>
      </c>
      <c r="G30" s="18">
        <f>'Data Mar 2026'!AE22</f>
        <v>75000</v>
      </c>
      <c r="H30" s="18">
        <f>'Data Apr 2026'!AE22</f>
        <v>80000</v>
      </c>
      <c r="I30" s="18">
        <f>'Data Mei 2026'!AD22</f>
        <v>80000</v>
      </c>
      <c r="J30" s="18">
        <f>'Data Jun 2026'!AE22</f>
        <v>80000</v>
      </c>
      <c r="K30" s="18">
        <f>'Data Jul 2026'!AF22</f>
        <v>80000</v>
      </c>
      <c r="L30" s="18">
        <f>'Data Jan 2026'!Z22</f>
        <v>55000</v>
      </c>
      <c r="M30" s="18">
        <f>'Data Jan 2026'!AA22</f>
        <v>55000</v>
      </c>
      <c r="N30" s="18">
        <f>'Data Jan 2026'!AB22</f>
        <v>55000</v>
      </c>
      <c r="O30" s="18">
        <f>'Data Jan 2026'!AC22</f>
        <v>55000</v>
      </c>
      <c r="P30" s="18">
        <f>'Data Jan 2026'!AD22</f>
        <v>55000</v>
      </c>
      <c r="Q30" s="18">
        <f>'Data Feb 2026'!X22</f>
        <v>58000</v>
      </c>
      <c r="R30" s="18">
        <f>'Data Feb 2026'!Y22</f>
        <v>55000</v>
      </c>
      <c r="S30" s="18">
        <f>'Data Feb 2026'!Z22</f>
        <v>65000</v>
      </c>
      <c r="T30" s="18">
        <f>'Data Feb 2026'!AA22</f>
        <v>64000</v>
      </c>
      <c r="U30" s="18">
        <f>'Data Mar 2026'!Z22</f>
        <v>70000</v>
      </c>
      <c r="V30" s="18">
        <f>'Data Mar 2026'!AA22</f>
        <v>70000</v>
      </c>
      <c r="W30" s="18">
        <f>'Data Mar 2026'!AB22</f>
        <v>80000</v>
      </c>
      <c r="X30" s="18">
        <f>'Data Mar 2026'!AC22</f>
        <v>80000</v>
      </c>
      <c r="Y30" s="18">
        <f>'Data Mar 2026'!AD22</f>
        <v>80000</v>
      </c>
      <c r="Z30" s="18">
        <f>'Data Apr 2026'!Z22</f>
        <v>80000</v>
      </c>
      <c r="AA30" s="18">
        <f>'Data Apr 2026'!AA22</f>
        <v>80000</v>
      </c>
      <c r="AB30" s="18">
        <f>'Data Apr 2026'!AB22</f>
        <v>80000</v>
      </c>
      <c r="AC30" s="18">
        <f>'Data Apr 2026'!AC22</f>
        <v>80000</v>
      </c>
      <c r="AD30" s="18">
        <f>'Data Apr 2026'!AD22</f>
        <v>80000</v>
      </c>
      <c r="AE30" s="18" t="str">
        <f>'Data Mei 2026'!Y22</f>
        <v/>
      </c>
      <c r="AF30" s="18">
        <f>'Data Mei 2026'!Z22</f>
        <v>80000</v>
      </c>
      <c r="AG30" s="18">
        <f>'Data Mei 2026'!AA22</f>
        <v>80000</v>
      </c>
      <c r="AH30" s="18">
        <f>'Data Mei 2026'!AB22</f>
        <v>80000</v>
      </c>
      <c r="AI30" s="18">
        <f>'Data Mei 2026'!AC22</f>
        <v>80000</v>
      </c>
      <c r="AJ30" s="18">
        <f>'Data Jun 2026'!Z22</f>
        <v>80000</v>
      </c>
      <c r="AK30" s="18">
        <f>'Data Jun 2026'!AA22</f>
        <v>80000</v>
      </c>
      <c r="AL30" s="18">
        <f>'Data Jun 2026'!AB22</f>
        <v>80000</v>
      </c>
      <c r="AM30" s="18">
        <f>'Data Jun 2026'!AC22</f>
        <v>80000</v>
      </c>
      <c r="AN30" s="18">
        <f>'Data Jun 2026'!AD22</f>
        <v>80000</v>
      </c>
      <c r="AO30" s="18">
        <f>'Data Jul 2026'!AA22</f>
        <v>80000</v>
      </c>
      <c r="AP30" s="18">
        <f>'Data Jul 2026'!AB22</f>
        <v>80000</v>
      </c>
      <c r="AQ30" s="18">
        <f>'Data Jul 2026'!AC22</f>
        <v>80000</v>
      </c>
      <c r="AR30" s="18">
        <f>'Data Jul 2026'!AD22</f>
        <v>80000</v>
      </c>
      <c r="AS30" s="18">
        <f>'Data Jul 2026'!AE22</f>
        <v>80000</v>
      </c>
      <c r="AT30" s="18">
        <f>'Data Agu 2026'!X22</f>
        <v>80000</v>
      </c>
      <c r="AU30" s="18">
        <f>'Data Agu 2026'!Y22</f>
        <v>80000</v>
      </c>
      <c r="AV30" s="18">
        <f>'Data Agu 2026'!Z22</f>
        <v>80000</v>
      </c>
      <c r="AW30" s="18">
        <f>'Data Agu 2026'!AA22</f>
        <v>80000</v>
      </c>
      <c r="AX30" s="18" t="str">
        <f>'Data Agu 2026'!AB22</f>
        <v/>
      </c>
      <c r="AY30" s="18">
        <f>'Data Agu 2026'!AC22</f>
        <v>80000</v>
      </c>
      <c r="AZ30" s="18">
        <f>'Data Sep 2026'!AA22</f>
        <v>80000</v>
      </c>
      <c r="BA30" s="18" t="str">
        <f>'Data Sep 2026'!AB22</f>
        <v/>
      </c>
      <c r="BB30" s="18" t="str">
        <f>'Data Sep 2026'!AC22</f>
        <v/>
      </c>
      <c r="BC30" s="18" t="str">
        <f>'Data Sep 2026'!AD22</f>
        <v/>
      </c>
      <c r="BD30" s="18" t="str">
        <f>'Data Sep 2026'!AE22</f>
        <v/>
      </c>
    </row>
    <row r="31" spans="1:56" ht="13.5" customHeight="1" x14ac:dyDescent="0.35">
      <c r="A31" s="9" t="s">
        <v>205</v>
      </c>
      <c r="B31" s="9" t="s">
        <v>361</v>
      </c>
      <c r="C31" s="32"/>
      <c r="D31" s="18">
        <f>'Data Des 2025'!AF33</f>
        <v>8000</v>
      </c>
      <c r="E31" s="18">
        <f>'Data Jan 2026'!AE33</f>
        <v>8000</v>
      </c>
      <c r="F31" s="18">
        <f>'Data Feb 2026'!AB33</f>
        <v>8666.6666666666661</v>
      </c>
      <c r="G31" s="18">
        <f>'Data Mar 2026'!AE33</f>
        <v>10750</v>
      </c>
      <c r="H31" s="18">
        <f>'Data Apr 2026'!AE33</f>
        <v>11000</v>
      </c>
      <c r="I31" s="18">
        <f>'Data Mei 2026'!AD33</f>
        <v>11000</v>
      </c>
      <c r="J31" s="18">
        <f>'Data Jun 2026'!AE33</f>
        <v>11000</v>
      </c>
      <c r="K31" s="18">
        <f>'Data Jul 2026'!AF33</f>
        <v>11000</v>
      </c>
      <c r="L31" s="18">
        <f>'Data Jan 2026'!Z33</f>
        <v>8000</v>
      </c>
      <c r="M31" s="18">
        <f>'Data Jan 2026'!AA33</f>
        <v>8000</v>
      </c>
      <c r="N31" s="18">
        <f>'Data Jan 2026'!AB33</f>
        <v>8000</v>
      </c>
      <c r="O31" s="18">
        <f>'Data Jan 2026'!AC33</f>
        <v>8000</v>
      </c>
      <c r="P31" s="18">
        <f>'Data Jan 2026'!AD33</f>
        <v>8000</v>
      </c>
      <c r="Q31" s="18">
        <f>'Data Feb 2026'!X33</f>
        <v>8400</v>
      </c>
      <c r="R31" s="18">
        <f>'Data Feb 2026'!Y33</f>
        <v>8000</v>
      </c>
      <c r="S31" s="18">
        <f>'Data Feb 2026'!Z33</f>
        <v>9333.3333333333339</v>
      </c>
      <c r="T31" s="18">
        <f>'Data Feb 2026'!AA33</f>
        <v>9200</v>
      </c>
      <c r="U31" s="18">
        <f>'Data Mar 2026'!Z33</f>
        <v>10000</v>
      </c>
      <c r="V31" s="18">
        <f>'Data Mar 2026'!AA33</f>
        <v>11000</v>
      </c>
      <c r="W31" s="18">
        <f>'Data Mar 2026'!AB33</f>
        <v>11000</v>
      </c>
      <c r="X31" s="18">
        <f>'Data Mar 2026'!AC33</f>
        <v>11000</v>
      </c>
      <c r="Y31" s="18">
        <f>'Data Mar 2026'!AD33</f>
        <v>11000</v>
      </c>
      <c r="Z31" s="18">
        <f>'Data Apr 2026'!Z33</f>
        <v>11000</v>
      </c>
      <c r="AA31" s="18">
        <f>'Data Apr 2026'!AA33</f>
        <v>11000</v>
      </c>
      <c r="AB31" s="18">
        <f>'Data Apr 2026'!AB33</f>
        <v>11000</v>
      </c>
      <c r="AC31" s="18">
        <f>'Data Apr 2026'!AC33</f>
        <v>11000</v>
      </c>
      <c r="AD31" s="18">
        <f>'Data Apr 2026'!AD33</f>
        <v>11000</v>
      </c>
      <c r="AE31" s="18" t="str">
        <f>'Data Mei 2026'!Y33</f>
        <v/>
      </c>
      <c r="AF31" s="18">
        <f>'Data Mei 2026'!Z33</f>
        <v>11000</v>
      </c>
      <c r="AG31" s="18">
        <f>'Data Mei 2026'!AA33</f>
        <v>11000</v>
      </c>
      <c r="AH31" s="18">
        <f>'Data Mei 2026'!AB33</f>
        <v>11000</v>
      </c>
      <c r="AI31" s="18">
        <f>'Data Mei 2026'!AC33</f>
        <v>11000</v>
      </c>
      <c r="AJ31" s="18">
        <f>'Data Jun 2026'!Z33</f>
        <v>11000</v>
      </c>
      <c r="AK31" s="18">
        <f>'Data Jun 2026'!AA33</f>
        <v>11000</v>
      </c>
      <c r="AL31" s="18">
        <f>'Data Jun 2026'!AB33</f>
        <v>11000</v>
      </c>
      <c r="AM31" s="18">
        <f>'Data Jun 2026'!AC33</f>
        <v>11000</v>
      </c>
      <c r="AN31" s="18">
        <f>'Data Jun 2026'!AD33</f>
        <v>11000</v>
      </c>
      <c r="AO31" s="18">
        <f>'Data Jul 2026'!AA33</f>
        <v>11000</v>
      </c>
      <c r="AP31" s="18">
        <f>'Data Jul 2026'!AB33</f>
        <v>11000</v>
      </c>
      <c r="AQ31" s="18">
        <f>'Data Jul 2026'!AC33</f>
        <v>11000</v>
      </c>
      <c r="AR31" s="18">
        <f>'Data Jul 2026'!AD33</f>
        <v>11000</v>
      </c>
      <c r="AS31" s="18">
        <f>'Data Jul 2026'!AE33</f>
        <v>11000</v>
      </c>
      <c r="AT31" s="18">
        <f>'Data Agu 2026'!X33</f>
        <v>11000</v>
      </c>
      <c r="AU31" s="18">
        <f>'Data Agu 2026'!Y33</f>
        <v>11000</v>
      </c>
      <c r="AV31" s="18">
        <f>'Data Agu 2026'!Z33</f>
        <v>11000</v>
      </c>
      <c r="AW31" s="18">
        <f>'Data Agu 2026'!AA33</f>
        <v>11000</v>
      </c>
      <c r="AX31" s="18" t="str">
        <f>'Data Agu 2026'!AB33</f>
        <v/>
      </c>
      <c r="AY31" s="18">
        <f>'Data Agu 2026'!AC33</f>
        <v>11000</v>
      </c>
      <c r="AZ31" s="18">
        <f>'Data Sep 2026'!AA33</f>
        <v>11000</v>
      </c>
      <c r="BA31" s="18" t="str">
        <f>'Data Sep 2026'!AB33</f>
        <v/>
      </c>
      <c r="BB31" s="18" t="str">
        <f>'Data Sep 2026'!AC33</f>
        <v/>
      </c>
      <c r="BC31" s="18" t="str">
        <f>'Data Sep 2026'!AD33</f>
        <v/>
      </c>
      <c r="BD31" s="18" t="str">
        <f>'Data Sep 2026'!AE33</f>
        <v/>
      </c>
    </row>
    <row r="32" spans="1:56" ht="13.5" customHeight="1" x14ac:dyDescent="0.35">
      <c r="A32" s="9" t="s">
        <v>206</v>
      </c>
      <c r="B32" s="9" t="s">
        <v>362</v>
      </c>
      <c r="C32" s="32"/>
      <c r="D32" s="18">
        <f>'Data Des 2025'!AF37</f>
        <v>7428.5714285714284</v>
      </c>
      <c r="E32" s="18">
        <f>'Data Jan 2026'!AE37</f>
        <v>7000</v>
      </c>
      <c r="F32" s="18">
        <f>'Data Feb 2026'!AB37</f>
        <v>7333.333333333333</v>
      </c>
      <c r="G32" s="18">
        <f>'Data Mar 2026'!AE37</f>
        <v>8000</v>
      </c>
      <c r="H32" s="18">
        <f>'Data Apr 2026'!AE37</f>
        <v>8000</v>
      </c>
      <c r="I32" s="18">
        <f>'Data Mei 2026'!AD37</f>
        <v>8000</v>
      </c>
      <c r="J32" s="18">
        <f>'Data Jun 2026'!AE37</f>
        <v>8000</v>
      </c>
      <c r="K32" s="18">
        <f>'Data Jul 2026'!AF37</f>
        <v>8000</v>
      </c>
      <c r="L32" s="18">
        <f>'Data Jan 2026'!Z37</f>
        <v>7000</v>
      </c>
      <c r="M32" s="18">
        <f>'Data Jan 2026'!AA37</f>
        <v>7000</v>
      </c>
      <c r="N32" s="18">
        <f>'Data Jan 2026'!AB37</f>
        <v>7000</v>
      </c>
      <c r="O32" s="18">
        <f>'Data Jan 2026'!AC37</f>
        <v>7000</v>
      </c>
      <c r="P32" s="18">
        <f>'Data Jan 2026'!AD37</f>
        <v>7000</v>
      </c>
      <c r="Q32" s="18">
        <f>'Data Feb 2026'!X37</f>
        <v>7200</v>
      </c>
      <c r="R32" s="18">
        <f>'Data Feb 2026'!Y37</f>
        <v>7000</v>
      </c>
      <c r="S32" s="18">
        <f>'Data Feb 2026'!Z37</f>
        <v>7666.666666666667</v>
      </c>
      <c r="T32" s="18">
        <f>'Data Feb 2026'!AA37</f>
        <v>7600</v>
      </c>
      <c r="U32" s="18">
        <f>'Data Mar 2026'!Z37</f>
        <v>8000</v>
      </c>
      <c r="V32" s="18">
        <f>'Data Mar 2026'!AA37</f>
        <v>8000</v>
      </c>
      <c r="W32" s="18">
        <f>'Data Mar 2026'!AB37</f>
        <v>8000</v>
      </c>
      <c r="X32" s="18">
        <f>'Data Mar 2026'!AC37</f>
        <v>8000</v>
      </c>
      <c r="Y32" s="18">
        <f>'Data Mar 2026'!AD37</f>
        <v>8000</v>
      </c>
      <c r="Z32" s="18">
        <f>'Data Apr 2026'!Z37</f>
        <v>8000</v>
      </c>
      <c r="AA32" s="18">
        <f>'Data Apr 2026'!AA37</f>
        <v>8000</v>
      </c>
      <c r="AB32" s="18">
        <f>'Data Apr 2026'!AB37</f>
        <v>8000</v>
      </c>
      <c r="AC32" s="18">
        <f>'Data Apr 2026'!AC37</f>
        <v>8000</v>
      </c>
      <c r="AD32" s="18">
        <f>'Data Apr 2026'!AD37</f>
        <v>8000</v>
      </c>
      <c r="AE32" s="18" t="str">
        <f>'Data Mei 2026'!Y37</f>
        <v/>
      </c>
      <c r="AF32" s="18">
        <f>'Data Mei 2026'!Z37</f>
        <v>8000</v>
      </c>
      <c r="AG32" s="18">
        <f>'Data Mei 2026'!AA37</f>
        <v>8000</v>
      </c>
      <c r="AH32" s="18">
        <f>'Data Mei 2026'!AB37</f>
        <v>8000</v>
      </c>
      <c r="AI32" s="18">
        <f>'Data Mei 2026'!AC37</f>
        <v>8000</v>
      </c>
      <c r="AJ32" s="18">
        <f>'Data Jun 2026'!Z37</f>
        <v>8000</v>
      </c>
      <c r="AK32" s="18">
        <f>'Data Jun 2026'!AA37</f>
        <v>8000</v>
      </c>
      <c r="AL32" s="18">
        <f>'Data Jun 2026'!AB37</f>
        <v>8000</v>
      </c>
      <c r="AM32" s="18">
        <f>'Data Jun 2026'!AC37</f>
        <v>8000</v>
      </c>
      <c r="AN32" s="18">
        <f>'Data Jun 2026'!AD37</f>
        <v>8000</v>
      </c>
      <c r="AO32" s="18">
        <f>'Data Jul 2026'!AA37</f>
        <v>8000</v>
      </c>
      <c r="AP32" s="18">
        <f>'Data Jul 2026'!AB37</f>
        <v>8000</v>
      </c>
      <c r="AQ32" s="18">
        <f>'Data Jul 2026'!AC37</f>
        <v>8000</v>
      </c>
      <c r="AR32" s="18">
        <f>'Data Jul 2026'!AD37</f>
        <v>8000</v>
      </c>
      <c r="AS32" s="18">
        <f>'Data Jul 2026'!AE37</f>
        <v>8000</v>
      </c>
      <c r="AT32" s="18">
        <f>'Data Agu 2026'!X37</f>
        <v>8000</v>
      </c>
      <c r="AU32" s="18">
        <f>'Data Agu 2026'!Y37</f>
        <v>8000</v>
      </c>
      <c r="AV32" s="18">
        <f>'Data Agu 2026'!Z37</f>
        <v>8000</v>
      </c>
      <c r="AW32" s="18">
        <f>'Data Agu 2026'!AA37</f>
        <v>8000</v>
      </c>
      <c r="AX32" s="18" t="str">
        <f>'Data Agu 2026'!AB37</f>
        <v/>
      </c>
      <c r="AY32" s="18">
        <f>'Data Agu 2026'!AC37</f>
        <v>8000</v>
      </c>
      <c r="AZ32" s="18">
        <f>'Data Sep 2026'!AA37</f>
        <v>8000</v>
      </c>
      <c r="BA32" s="18" t="str">
        <f>'Data Sep 2026'!AB37</f>
        <v/>
      </c>
      <c r="BB32" s="18" t="str">
        <f>'Data Sep 2026'!AC37</f>
        <v/>
      </c>
      <c r="BC32" s="18" t="str">
        <f>'Data Sep 2026'!AD37</f>
        <v/>
      </c>
      <c r="BD32" s="18" t="str">
        <f>'Data Sep 2026'!AE37</f>
        <v/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zoomScaleNormal="100" workbookViewId="0"/>
  </sheetViews>
  <sheetFormatPr defaultColWidth="8.6328125" defaultRowHeight="14.5" x14ac:dyDescent="0.35"/>
  <cols>
    <col min="1" max="1" width="4" customWidth="1"/>
    <col min="2" max="2" width="32" customWidth="1"/>
    <col min="3" max="3" width="14" customWidth="1"/>
    <col min="4" max="4" width="18" customWidth="1"/>
    <col min="6" max="6" width="16" customWidth="1"/>
  </cols>
  <sheetData>
    <row r="1" spans="1:6" ht="15" customHeight="1" x14ac:dyDescent="0.35">
      <c r="A1" t="s">
        <v>363</v>
      </c>
    </row>
    <row r="2" spans="1:6" ht="15" customHeight="1" x14ac:dyDescent="0.35">
      <c r="A2" t="s">
        <v>364</v>
      </c>
    </row>
    <row r="4" spans="1:6" ht="15" customHeight="1" x14ac:dyDescent="0.35">
      <c r="A4" t="s">
        <v>1</v>
      </c>
      <c r="B4" t="s">
        <v>138</v>
      </c>
      <c r="C4" t="s">
        <v>365</v>
      </c>
      <c r="D4" t="s">
        <v>366</v>
      </c>
      <c r="E4" t="s">
        <v>367</v>
      </c>
      <c r="F4" t="s">
        <v>368</v>
      </c>
    </row>
    <row r="5" spans="1:6" ht="15" customHeight="1" x14ac:dyDescent="0.35">
      <c r="A5">
        <v>1</v>
      </c>
      <c r="B5" t="s">
        <v>187</v>
      </c>
      <c r="C5">
        <v>4.6855191873589099</v>
      </c>
      <c r="D5">
        <v>45768.238148984201</v>
      </c>
      <c r="E5">
        <f t="shared" ref="E5:E24" si="0">C5*D5</f>
        <v>214447.95801867751</v>
      </c>
      <c r="F5">
        <v>0.12508905675934601</v>
      </c>
    </row>
    <row r="6" spans="1:6" ht="15" customHeight="1" x14ac:dyDescent="0.35">
      <c r="A6">
        <v>2</v>
      </c>
      <c r="B6" t="s">
        <v>188</v>
      </c>
      <c r="C6">
        <v>0.32698564593301399</v>
      </c>
      <c r="D6">
        <v>2903.8995215311002</v>
      </c>
      <c r="E6">
        <f t="shared" si="0"/>
        <v>949.53346077241702</v>
      </c>
      <c r="F6">
        <v>7.9366404905036603E-3</v>
      </c>
    </row>
    <row r="7" spans="1:6" ht="15" customHeight="1" x14ac:dyDescent="0.35">
      <c r="A7">
        <v>3</v>
      </c>
      <c r="B7" t="s">
        <v>189</v>
      </c>
      <c r="C7">
        <v>1.12188439306358</v>
      </c>
      <c r="D7">
        <v>7805.1213872832404</v>
      </c>
      <c r="E7">
        <f t="shared" si="0"/>
        <v>8756.4438703598262</v>
      </c>
      <c r="F7">
        <v>2.13321576646518E-2</v>
      </c>
    </row>
    <row r="8" spans="1:6" ht="15" customHeight="1" x14ac:dyDescent="0.35">
      <c r="A8">
        <v>4</v>
      </c>
      <c r="B8" t="s">
        <v>190</v>
      </c>
      <c r="C8">
        <v>0.59571917808219299</v>
      </c>
      <c r="D8">
        <v>17529.845890411001</v>
      </c>
      <c r="E8">
        <f t="shared" si="0"/>
        <v>10442.865385743151</v>
      </c>
      <c r="F8">
        <v>4.7910777785027697E-2</v>
      </c>
    </row>
    <row r="9" spans="1:6" ht="15" customHeight="1" x14ac:dyDescent="0.35">
      <c r="A9">
        <v>5</v>
      </c>
      <c r="B9" t="s">
        <v>191</v>
      </c>
      <c r="C9">
        <v>1.1325180722891599</v>
      </c>
      <c r="D9">
        <v>16529.459036144599</v>
      </c>
      <c r="E9">
        <f t="shared" si="0"/>
        <v>18719.911083597115</v>
      </c>
      <c r="F9">
        <v>4.5176622985638501E-2</v>
      </c>
    </row>
    <row r="10" spans="1:6" ht="15" customHeight="1" x14ac:dyDescent="0.35">
      <c r="A10">
        <v>6</v>
      </c>
      <c r="B10" t="s">
        <v>192</v>
      </c>
      <c r="C10">
        <v>0.23766233766233799</v>
      </c>
      <c r="D10">
        <v>13541.6883116883</v>
      </c>
      <c r="E10">
        <f t="shared" si="0"/>
        <v>3218.3493000506005</v>
      </c>
      <c r="F10">
        <v>3.7010754321023603E-2</v>
      </c>
    </row>
    <row r="11" spans="1:6" ht="15" customHeight="1" x14ac:dyDescent="0.35">
      <c r="A11">
        <v>7</v>
      </c>
      <c r="B11" t="s">
        <v>193</v>
      </c>
      <c r="C11">
        <v>1.20151785714286</v>
      </c>
      <c r="D11">
        <v>14868.321756577499</v>
      </c>
      <c r="E11">
        <f t="shared" si="0"/>
        <v>17864.554096273561</v>
      </c>
      <c r="F11">
        <v>4.0636572858027402E-2</v>
      </c>
    </row>
    <row r="12" spans="1:6" ht="15" customHeight="1" x14ac:dyDescent="0.35">
      <c r="A12">
        <v>8</v>
      </c>
      <c r="B12" t="s">
        <v>194</v>
      </c>
      <c r="C12">
        <v>0.16470658682634701</v>
      </c>
      <c r="D12">
        <v>6476.80239520958</v>
      </c>
      <c r="E12">
        <f t="shared" si="0"/>
        <v>1066.7720160636788</v>
      </c>
      <c r="F12">
        <v>1.7701732362870599E-2</v>
      </c>
    </row>
    <row r="13" spans="1:6" ht="15" customHeight="1" x14ac:dyDescent="0.35">
      <c r="A13">
        <v>9</v>
      </c>
      <c r="B13" t="s">
        <v>195</v>
      </c>
      <c r="C13">
        <v>7.8012121212121199</v>
      </c>
      <c r="D13">
        <v>10931.842424242401</v>
      </c>
      <c r="E13">
        <f t="shared" si="0"/>
        <v>85281.621627180706</v>
      </c>
      <c r="F13">
        <v>2.9877791079459301E-2</v>
      </c>
    </row>
    <row r="14" spans="1:6" ht="15" customHeight="1" x14ac:dyDescent="0.35">
      <c r="A14">
        <v>10</v>
      </c>
      <c r="B14" t="s">
        <v>196</v>
      </c>
      <c r="C14">
        <v>5.3912837837837797</v>
      </c>
      <c r="D14">
        <v>7085.4481981981999</v>
      </c>
      <c r="E14">
        <f t="shared" si="0"/>
        <v>38199.661971785958</v>
      </c>
      <c r="F14">
        <v>1.93652206786879E-2</v>
      </c>
    </row>
    <row r="15" spans="1:6" ht="15" customHeight="1" x14ac:dyDescent="0.35">
      <c r="A15">
        <v>11</v>
      </c>
      <c r="B15" t="s">
        <v>197</v>
      </c>
      <c r="C15">
        <v>0.25</v>
      </c>
      <c r="D15">
        <v>7600</v>
      </c>
      <c r="E15">
        <f t="shared" si="0"/>
        <v>1900</v>
      </c>
      <c r="F15">
        <v>2.0771540916134899E-2</v>
      </c>
    </row>
    <row r="16" spans="1:6" ht="15" customHeight="1" x14ac:dyDescent="0.35">
      <c r="A16">
        <v>12</v>
      </c>
      <c r="B16" t="s">
        <v>198</v>
      </c>
      <c r="C16">
        <v>0.81677419354838698</v>
      </c>
      <c r="D16">
        <v>80298.709677419407</v>
      </c>
      <c r="E16">
        <f t="shared" si="0"/>
        <v>65585.913839750297</v>
      </c>
      <c r="F16">
        <v>0.21946420178649401</v>
      </c>
    </row>
    <row r="17" spans="1:6" ht="15" customHeight="1" x14ac:dyDescent="0.35">
      <c r="A17">
        <v>13</v>
      </c>
      <c r="B17" t="s">
        <v>199</v>
      </c>
      <c r="C17">
        <v>2.7422067363530802</v>
      </c>
      <c r="D17">
        <v>7114.0766550522703</v>
      </c>
      <c r="E17">
        <f t="shared" si="0"/>
        <v>19508.268926416524</v>
      </c>
      <c r="F17">
        <v>1.94434650422287E-2</v>
      </c>
    </row>
    <row r="18" spans="1:6" ht="15" customHeight="1" x14ac:dyDescent="0.35">
      <c r="A18">
        <v>14</v>
      </c>
      <c r="B18" t="s">
        <v>200</v>
      </c>
      <c r="C18">
        <v>1.8378713450292401</v>
      </c>
      <c r="D18">
        <v>4683.5555555555602</v>
      </c>
      <c r="E18">
        <f t="shared" si="0"/>
        <v>8607.7725484080675</v>
      </c>
      <c r="F18">
        <v>1.28006139283175E-2</v>
      </c>
    </row>
    <row r="19" spans="1:6" ht="15" customHeight="1" x14ac:dyDescent="0.35">
      <c r="A19">
        <v>15</v>
      </c>
      <c r="B19" t="s">
        <v>201</v>
      </c>
      <c r="C19">
        <v>3.30105900151286</v>
      </c>
      <c r="D19">
        <v>9336.61119515885</v>
      </c>
      <c r="E19">
        <f t="shared" si="0"/>
        <v>30820.704429404865</v>
      </c>
      <c r="F19">
        <v>2.5517868612932301E-2</v>
      </c>
    </row>
    <row r="20" spans="1:6" ht="15" customHeight="1" x14ac:dyDescent="0.35">
      <c r="A20">
        <v>16</v>
      </c>
      <c r="B20" t="s">
        <v>202</v>
      </c>
      <c r="C20">
        <v>0.62287234042553197</v>
      </c>
      <c r="D20">
        <v>67547.340425531904</v>
      </c>
      <c r="E20">
        <f t="shared" si="0"/>
        <v>42073.370020371207</v>
      </c>
      <c r="F20">
        <v>0.18461346650329299</v>
      </c>
    </row>
    <row r="21" spans="1:6" ht="15" customHeight="1" x14ac:dyDescent="0.35">
      <c r="A21">
        <v>17</v>
      </c>
      <c r="B21" t="s">
        <v>203</v>
      </c>
      <c r="C21">
        <v>0.18410194174757299</v>
      </c>
      <c r="D21">
        <v>4032.3786407767002</v>
      </c>
      <c r="E21">
        <f t="shared" si="0"/>
        <v>742.36873762842959</v>
      </c>
      <c r="F21">
        <v>1.10208839376634E-2</v>
      </c>
    </row>
    <row r="22" spans="1:6" ht="15" customHeight="1" x14ac:dyDescent="0.35">
      <c r="A22">
        <v>18</v>
      </c>
      <c r="B22" t="s">
        <v>204</v>
      </c>
      <c r="C22">
        <v>0.20257028112449799</v>
      </c>
      <c r="D22">
        <v>21905.702811244999</v>
      </c>
      <c r="E22">
        <f t="shared" si="0"/>
        <v>4437.4443767036055</v>
      </c>
      <c r="F22">
        <v>5.98704213474298E-2</v>
      </c>
    </row>
    <row r="23" spans="1:6" ht="15" customHeight="1" x14ac:dyDescent="0.35">
      <c r="A23">
        <v>19</v>
      </c>
      <c r="B23" t="s">
        <v>205</v>
      </c>
      <c r="C23">
        <v>0.70207502930832499</v>
      </c>
      <c r="D23">
        <v>7421.1019929659997</v>
      </c>
      <c r="E23">
        <f t="shared" si="0"/>
        <v>5210.1703992116736</v>
      </c>
      <c r="F23">
        <v>2.0282595222329398E-2</v>
      </c>
    </row>
    <row r="24" spans="1:6" ht="15" customHeight="1" x14ac:dyDescent="0.35">
      <c r="A24">
        <v>20</v>
      </c>
      <c r="B24" t="s">
        <v>206</v>
      </c>
      <c r="C24">
        <v>0.86665254237288103</v>
      </c>
      <c r="D24">
        <v>12505.084745762701</v>
      </c>
      <c r="E24">
        <f t="shared" si="0"/>
        <v>10837.563487503578</v>
      </c>
      <c r="F24">
        <v>3.4177615717940098E-2</v>
      </c>
    </row>
    <row r="25" spans="1:6" ht="15" customHeight="1" x14ac:dyDescent="0.35">
      <c r="B25" t="s">
        <v>369</v>
      </c>
      <c r="F25">
        <f>SUM(F5:F24)</f>
        <v>0.99999999999999967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8"/>
  <sheetViews>
    <sheetView zoomScaleNormal="100" workbookViewId="0"/>
  </sheetViews>
  <sheetFormatPr defaultColWidth="8.6328125" defaultRowHeight="14.5" x14ac:dyDescent="0.35"/>
  <cols>
    <col min="1" max="1" width="4" customWidth="1"/>
    <col min="2" max="2" width="30" customWidth="1"/>
    <col min="3" max="3" width="4" customWidth="1"/>
    <col min="4" max="4" width="9" customWidth="1"/>
    <col min="27" max="27" width="14" customWidth="1"/>
  </cols>
  <sheetData>
    <row r="1" spans="1:32" ht="15" customHeight="1" x14ac:dyDescent="0.35">
      <c r="A1" t="s">
        <v>370</v>
      </c>
    </row>
    <row r="2" spans="1:32" ht="15" customHeight="1" x14ac:dyDescent="0.35">
      <c r="A2" t="s">
        <v>371</v>
      </c>
    </row>
    <row r="4" spans="1:32" ht="15" customHeight="1" x14ac:dyDescent="0.35">
      <c r="A4" t="s">
        <v>1</v>
      </c>
      <c r="B4" t="s">
        <v>372</v>
      </c>
      <c r="C4" t="s">
        <v>373</v>
      </c>
      <c r="D4" t="s">
        <v>374</v>
      </c>
      <c r="E4" t="s">
        <v>375</v>
      </c>
      <c r="F4" t="s">
        <v>376</v>
      </c>
      <c r="G4" t="s">
        <v>377</v>
      </c>
      <c r="H4" t="s">
        <v>378</v>
      </c>
      <c r="I4" t="s">
        <v>379</v>
      </c>
      <c r="J4" t="s">
        <v>380</v>
      </c>
      <c r="K4" t="s">
        <v>381</v>
      </c>
      <c r="L4" t="s">
        <v>382</v>
      </c>
      <c r="M4" t="s">
        <v>383</v>
      </c>
      <c r="N4" t="s">
        <v>384</v>
      </c>
      <c r="O4" t="s">
        <v>385</v>
      </c>
      <c r="P4" t="s">
        <v>386</v>
      </c>
      <c r="Q4" t="s">
        <v>387</v>
      </c>
      <c r="R4" t="s">
        <v>388</v>
      </c>
      <c r="S4" t="s">
        <v>389</v>
      </c>
      <c r="T4" t="s">
        <v>390</v>
      </c>
      <c r="U4" t="s">
        <v>391</v>
      </c>
      <c r="V4" t="s">
        <v>392</v>
      </c>
      <c r="W4" t="s">
        <v>393</v>
      </c>
      <c r="X4" t="s">
        <v>394</v>
      </c>
      <c r="Y4" t="s">
        <v>395</v>
      </c>
      <c r="Z4" t="s">
        <v>396</v>
      </c>
      <c r="AA4" t="s">
        <v>397</v>
      </c>
      <c r="AB4" t="s">
        <v>398</v>
      </c>
      <c r="AC4" t="s">
        <v>399</v>
      </c>
      <c r="AD4" t="s">
        <v>400</v>
      </c>
      <c r="AE4" t="s">
        <v>401</v>
      </c>
      <c r="AF4" t="s">
        <v>402</v>
      </c>
    </row>
    <row r="5" spans="1:32" ht="15" customHeight="1" x14ac:dyDescent="0.35">
      <c r="A5">
        <v>1</v>
      </c>
      <c r="B5" t="s">
        <v>330</v>
      </c>
      <c r="C5" t="s">
        <v>403</v>
      </c>
      <c r="D5">
        <v>12500</v>
      </c>
      <c r="E5">
        <v>12500</v>
      </c>
      <c r="F5">
        <v>12500</v>
      </c>
      <c r="G5">
        <v>12500</v>
      </c>
      <c r="H5">
        <v>12500</v>
      </c>
      <c r="I5">
        <v>12500</v>
      </c>
      <c r="J5">
        <v>12500</v>
      </c>
      <c r="K5">
        <v>12500</v>
      </c>
      <c r="L5">
        <v>12500</v>
      </c>
      <c r="M5">
        <v>12500</v>
      </c>
      <c r="N5">
        <v>12500</v>
      </c>
      <c r="O5">
        <v>12500</v>
      </c>
      <c r="P5">
        <v>12500</v>
      </c>
      <c r="Q5">
        <v>12500</v>
      </c>
      <c r="R5">
        <v>12500</v>
      </c>
      <c r="S5">
        <v>12500</v>
      </c>
      <c r="T5">
        <v>12500</v>
      </c>
      <c r="U5">
        <v>12500</v>
      </c>
      <c r="V5">
        <v>0</v>
      </c>
      <c r="W5">
        <v>0</v>
      </c>
      <c r="X5">
        <v>12500</v>
      </c>
      <c r="Y5">
        <v>12500</v>
      </c>
      <c r="Z5">
        <v>12500</v>
      </c>
      <c r="AA5">
        <f t="shared" ref="AA5:AA48" si="0">IFERROR(AVERAGEIF(D5:H5,"&lt;&gt;0"),"")</f>
        <v>12500</v>
      </c>
      <c r="AB5">
        <f t="shared" ref="AB5:AB48" si="1">IFERROR(AVERAGEIF(I5:M5,"&lt;&gt;0"),"")</f>
        <v>12500</v>
      </c>
      <c r="AC5">
        <f t="shared" ref="AC5:AC48" si="2">IFERROR(AVERAGEIF(N5:R5,"&lt;&gt;0"),"")</f>
        <v>12500</v>
      </c>
      <c r="AD5">
        <f t="shared" ref="AD5:AD48" si="3">IFERROR(AVERAGEIF(S5:W5,"&lt;&gt;0"),"")</f>
        <v>12500</v>
      </c>
      <c r="AE5">
        <f t="shared" ref="AE5:AE48" si="4">IFERROR(AVERAGEIF(X5:Z5,"&lt;&gt;0"),"")</f>
        <v>12500</v>
      </c>
      <c r="AF5">
        <f t="shared" ref="AF5:AF48" si="5">IFERROR(AVERAGEIF(D5:Z5,"&lt;&gt;0"),"")</f>
        <v>12500</v>
      </c>
    </row>
    <row r="6" spans="1:32" ht="15" customHeight="1" x14ac:dyDescent="0.35">
      <c r="A6">
        <v>2</v>
      </c>
      <c r="B6" t="s">
        <v>331</v>
      </c>
      <c r="C6" t="s">
        <v>403</v>
      </c>
      <c r="D6">
        <v>14000</v>
      </c>
      <c r="E6">
        <v>14000</v>
      </c>
      <c r="F6">
        <v>14000</v>
      </c>
      <c r="G6">
        <v>14000</v>
      </c>
      <c r="H6">
        <v>14000</v>
      </c>
      <c r="I6">
        <v>14000</v>
      </c>
      <c r="J6">
        <v>14000</v>
      </c>
      <c r="K6">
        <v>14000</v>
      </c>
      <c r="L6">
        <v>14000</v>
      </c>
      <c r="M6">
        <v>14000</v>
      </c>
      <c r="N6">
        <v>14000</v>
      </c>
      <c r="O6">
        <v>14000</v>
      </c>
      <c r="P6">
        <v>14000</v>
      </c>
      <c r="Q6">
        <v>14000</v>
      </c>
      <c r="R6">
        <v>14000</v>
      </c>
      <c r="S6">
        <v>14000</v>
      </c>
      <c r="T6">
        <v>14000</v>
      </c>
      <c r="U6">
        <v>14000</v>
      </c>
      <c r="V6">
        <v>0</v>
      </c>
      <c r="W6">
        <v>0</v>
      </c>
      <c r="X6">
        <v>14000</v>
      </c>
      <c r="Y6">
        <v>14000</v>
      </c>
      <c r="Z6">
        <v>14000</v>
      </c>
      <c r="AA6">
        <f t="shared" si="0"/>
        <v>14000</v>
      </c>
      <c r="AB6">
        <f t="shared" si="1"/>
        <v>14000</v>
      </c>
      <c r="AC6">
        <f t="shared" si="2"/>
        <v>14000</v>
      </c>
      <c r="AD6">
        <f t="shared" si="3"/>
        <v>14000</v>
      </c>
      <c r="AE6">
        <f t="shared" si="4"/>
        <v>14000</v>
      </c>
      <c r="AF6">
        <f t="shared" si="5"/>
        <v>14000</v>
      </c>
    </row>
    <row r="7" spans="1:32" ht="15" customHeight="1" x14ac:dyDescent="0.35">
      <c r="A7">
        <v>3</v>
      </c>
      <c r="B7" t="s">
        <v>332</v>
      </c>
      <c r="C7" t="s">
        <v>403</v>
      </c>
      <c r="D7">
        <v>12500</v>
      </c>
      <c r="E7">
        <v>12500</v>
      </c>
      <c r="F7">
        <v>12500</v>
      </c>
      <c r="G7">
        <v>12500</v>
      </c>
      <c r="H7">
        <v>12500</v>
      </c>
      <c r="I7">
        <v>12500</v>
      </c>
      <c r="J7">
        <v>12500</v>
      </c>
      <c r="K7">
        <v>12500</v>
      </c>
      <c r="L7">
        <v>12500</v>
      </c>
      <c r="M7">
        <v>12500</v>
      </c>
      <c r="N7">
        <v>12500</v>
      </c>
      <c r="O7">
        <v>12500</v>
      </c>
      <c r="P7">
        <v>12500</v>
      </c>
      <c r="Q7">
        <v>12500</v>
      </c>
      <c r="R7">
        <v>12500</v>
      </c>
      <c r="S7">
        <v>12500</v>
      </c>
      <c r="T7">
        <v>12500</v>
      </c>
      <c r="U7">
        <v>12500</v>
      </c>
      <c r="V7">
        <v>0</v>
      </c>
      <c r="W7">
        <v>0</v>
      </c>
      <c r="X7">
        <v>12500</v>
      </c>
      <c r="Y7">
        <v>12500</v>
      </c>
      <c r="Z7">
        <v>12500</v>
      </c>
      <c r="AA7">
        <f t="shared" si="0"/>
        <v>12500</v>
      </c>
      <c r="AB7">
        <f t="shared" si="1"/>
        <v>12500</v>
      </c>
      <c r="AC7">
        <f t="shared" si="2"/>
        <v>12500</v>
      </c>
      <c r="AD7">
        <f t="shared" si="3"/>
        <v>12500</v>
      </c>
      <c r="AE7">
        <f t="shared" si="4"/>
        <v>12500</v>
      </c>
      <c r="AF7">
        <f t="shared" si="5"/>
        <v>12500</v>
      </c>
    </row>
    <row r="8" spans="1:32" ht="15" customHeight="1" x14ac:dyDescent="0.35">
      <c r="A8">
        <v>4</v>
      </c>
      <c r="B8" t="s">
        <v>404</v>
      </c>
      <c r="C8" t="s">
        <v>403</v>
      </c>
      <c r="D8">
        <v>11000</v>
      </c>
      <c r="E8">
        <v>11000</v>
      </c>
      <c r="F8">
        <v>11000</v>
      </c>
      <c r="G8">
        <v>11000</v>
      </c>
      <c r="H8">
        <v>11000</v>
      </c>
      <c r="I8">
        <v>11000</v>
      </c>
      <c r="J8">
        <v>11000</v>
      </c>
      <c r="K8">
        <v>11000</v>
      </c>
      <c r="L8">
        <v>11000</v>
      </c>
      <c r="M8">
        <v>11000</v>
      </c>
      <c r="N8">
        <v>11000</v>
      </c>
      <c r="O8">
        <v>11000</v>
      </c>
      <c r="P8">
        <v>11000</v>
      </c>
      <c r="Q8">
        <v>11000</v>
      </c>
      <c r="R8">
        <v>11000</v>
      </c>
      <c r="S8">
        <v>11000</v>
      </c>
      <c r="T8">
        <v>11000</v>
      </c>
      <c r="U8">
        <v>11000</v>
      </c>
      <c r="V8">
        <v>0</v>
      </c>
      <c r="W8">
        <v>0</v>
      </c>
      <c r="X8">
        <v>11000</v>
      </c>
      <c r="Y8">
        <v>11000</v>
      </c>
      <c r="Z8">
        <v>11000</v>
      </c>
      <c r="AA8">
        <f t="shared" si="0"/>
        <v>11000</v>
      </c>
      <c r="AB8">
        <f t="shared" si="1"/>
        <v>11000</v>
      </c>
      <c r="AC8">
        <f t="shared" si="2"/>
        <v>11000</v>
      </c>
      <c r="AD8">
        <f t="shared" si="3"/>
        <v>11000</v>
      </c>
      <c r="AE8">
        <f t="shared" si="4"/>
        <v>11000</v>
      </c>
      <c r="AF8">
        <f t="shared" si="5"/>
        <v>11000</v>
      </c>
    </row>
    <row r="9" spans="1:32" ht="15" customHeight="1" x14ac:dyDescent="0.35">
      <c r="A9">
        <v>5</v>
      </c>
      <c r="B9" t="s">
        <v>356</v>
      </c>
      <c r="C9" t="s">
        <v>403</v>
      </c>
      <c r="D9">
        <v>25000</v>
      </c>
      <c r="E9">
        <v>25000</v>
      </c>
      <c r="F9">
        <v>25000</v>
      </c>
      <c r="G9">
        <v>25000</v>
      </c>
      <c r="H9">
        <v>25000</v>
      </c>
      <c r="I9">
        <v>25000</v>
      </c>
      <c r="J9">
        <v>25000</v>
      </c>
      <c r="K9">
        <v>25000</v>
      </c>
      <c r="L9">
        <v>25000</v>
      </c>
      <c r="M9">
        <v>25000</v>
      </c>
      <c r="N9">
        <v>25000</v>
      </c>
      <c r="O9">
        <v>25000</v>
      </c>
      <c r="P9">
        <v>25000</v>
      </c>
      <c r="Q9">
        <v>25000</v>
      </c>
      <c r="R9">
        <v>25000</v>
      </c>
      <c r="S9">
        <v>25000</v>
      </c>
      <c r="T9">
        <v>25000</v>
      </c>
      <c r="U9">
        <v>25000</v>
      </c>
      <c r="V9">
        <v>0</v>
      </c>
      <c r="W9">
        <v>0</v>
      </c>
      <c r="X9">
        <v>25000</v>
      </c>
      <c r="Y9">
        <v>25000</v>
      </c>
      <c r="Z9">
        <v>25000</v>
      </c>
      <c r="AA9">
        <f t="shared" si="0"/>
        <v>25000</v>
      </c>
      <c r="AB9">
        <f t="shared" si="1"/>
        <v>25000</v>
      </c>
      <c r="AC9">
        <f t="shared" si="2"/>
        <v>25000</v>
      </c>
      <c r="AD9">
        <f t="shared" si="3"/>
        <v>25000</v>
      </c>
      <c r="AE9">
        <f t="shared" si="4"/>
        <v>25000</v>
      </c>
      <c r="AF9">
        <f t="shared" si="5"/>
        <v>25000</v>
      </c>
    </row>
    <row r="10" spans="1:32" ht="15" customHeight="1" x14ac:dyDescent="0.35">
      <c r="A10">
        <v>6</v>
      </c>
      <c r="B10" t="s">
        <v>357</v>
      </c>
      <c r="C10" t="s">
        <v>403</v>
      </c>
      <c r="D10">
        <v>26000</v>
      </c>
      <c r="E10">
        <v>26000</v>
      </c>
      <c r="F10">
        <v>27000</v>
      </c>
      <c r="G10">
        <v>27000</v>
      </c>
      <c r="H10">
        <v>27000</v>
      </c>
      <c r="I10">
        <v>27000</v>
      </c>
      <c r="J10">
        <v>27000</v>
      </c>
      <c r="K10">
        <v>27000</v>
      </c>
      <c r="L10">
        <v>25000</v>
      </c>
      <c r="M10">
        <v>25000</v>
      </c>
      <c r="N10">
        <v>25000</v>
      </c>
      <c r="O10">
        <v>25000</v>
      </c>
      <c r="P10">
        <v>25000</v>
      </c>
      <c r="Q10">
        <v>25000</v>
      </c>
      <c r="R10">
        <v>25000</v>
      </c>
      <c r="S10">
        <v>25000</v>
      </c>
      <c r="T10">
        <v>25000</v>
      </c>
      <c r="U10">
        <v>25000</v>
      </c>
      <c r="V10">
        <v>0</v>
      </c>
      <c r="W10">
        <v>0</v>
      </c>
      <c r="X10">
        <v>25000</v>
      </c>
      <c r="Y10">
        <v>25000</v>
      </c>
      <c r="Z10">
        <v>25000</v>
      </c>
      <c r="AA10">
        <f t="shared" si="0"/>
        <v>26600</v>
      </c>
      <c r="AB10">
        <f t="shared" si="1"/>
        <v>26200</v>
      </c>
      <c r="AC10">
        <f t="shared" si="2"/>
        <v>25000</v>
      </c>
      <c r="AD10">
        <f t="shared" si="3"/>
        <v>25000</v>
      </c>
      <c r="AE10">
        <f t="shared" si="4"/>
        <v>25000</v>
      </c>
      <c r="AF10">
        <f t="shared" si="5"/>
        <v>25666.666666666668</v>
      </c>
    </row>
    <row r="11" spans="1:32" ht="15" customHeight="1" x14ac:dyDescent="0.35">
      <c r="A11">
        <v>7</v>
      </c>
      <c r="B11" t="s">
        <v>343</v>
      </c>
      <c r="C11" t="s">
        <v>403</v>
      </c>
      <c r="D11">
        <v>24000</v>
      </c>
      <c r="E11">
        <v>24000</v>
      </c>
      <c r="F11">
        <v>25000</v>
      </c>
      <c r="G11">
        <v>26000</v>
      </c>
      <c r="H11">
        <v>29000</v>
      </c>
      <c r="I11">
        <v>29000</v>
      </c>
      <c r="J11">
        <v>29000</v>
      </c>
      <c r="K11">
        <v>29000</v>
      </c>
      <c r="L11">
        <v>28000</v>
      </c>
      <c r="M11">
        <v>27000</v>
      </c>
      <c r="N11">
        <v>27000</v>
      </c>
      <c r="O11">
        <v>26000</v>
      </c>
      <c r="P11">
        <v>26000</v>
      </c>
      <c r="Q11">
        <v>26000</v>
      </c>
      <c r="R11">
        <v>28000</v>
      </c>
      <c r="S11">
        <v>28000</v>
      </c>
      <c r="T11">
        <v>30000</v>
      </c>
      <c r="U11">
        <v>30000</v>
      </c>
      <c r="V11">
        <v>0</v>
      </c>
      <c r="W11">
        <v>0</v>
      </c>
      <c r="X11">
        <v>30000</v>
      </c>
      <c r="Y11">
        <v>30000</v>
      </c>
      <c r="Z11">
        <v>30000</v>
      </c>
      <c r="AA11">
        <f t="shared" si="0"/>
        <v>25600</v>
      </c>
      <c r="AB11">
        <f t="shared" si="1"/>
        <v>28400</v>
      </c>
      <c r="AC11">
        <f t="shared" si="2"/>
        <v>26600</v>
      </c>
      <c r="AD11">
        <f t="shared" si="3"/>
        <v>29333.333333333332</v>
      </c>
      <c r="AE11">
        <f t="shared" si="4"/>
        <v>30000</v>
      </c>
      <c r="AF11">
        <f t="shared" si="5"/>
        <v>27666.666666666668</v>
      </c>
    </row>
    <row r="12" spans="1:32" ht="15" customHeight="1" x14ac:dyDescent="0.35">
      <c r="A12">
        <v>8</v>
      </c>
      <c r="B12" t="s">
        <v>350</v>
      </c>
      <c r="C12" t="s">
        <v>403</v>
      </c>
      <c r="D12">
        <v>26000</v>
      </c>
      <c r="E12">
        <v>26000</v>
      </c>
      <c r="F12">
        <v>26000</v>
      </c>
      <c r="G12">
        <v>27000</v>
      </c>
      <c r="H12">
        <v>27000</v>
      </c>
      <c r="I12">
        <v>27000</v>
      </c>
      <c r="J12">
        <v>27000</v>
      </c>
      <c r="K12">
        <v>27000</v>
      </c>
      <c r="L12">
        <v>26000</v>
      </c>
      <c r="M12">
        <v>26000</v>
      </c>
      <c r="N12">
        <v>26000</v>
      </c>
      <c r="O12">
        <v>26000</v>
      </c>
      <c r="P12">
        <v>26000</v>
      </c>
      <c r="Q12">
        <v>26000</v>
      </c>
      <c r="R12">
        <v>26000</v>
      </c>
      <c r="S12">
        <v>26000</v>
      </c>
      <c r="T12">
        <v>28000</v>
      </c>
      <c r="U12">
        <v>28000</v>
      </c>
      <c r="V12">
        <v>0</v>
      </c>
      <c r="W12">
        <v>0</v>
      </c>
      <c r="X12">
        <v>28000</v>
      </c>
      <c r="Y12">
        <v>28000</v>
      </c>
      <c r="Z12">
        <v>28000</v>
      </c>
      <c r="AA12">
        <f t="shared" si="0"/>
        <v>26400</v>
      </c>
      <c r="AB12">
        <f t="shared" si="1"/>
        <v>26600</v>
      </c>
      <c r="AC12">
        <f t="shared" si="2"/>
        <v>26000</v>
      </c>
      <c r="AD12">
        <f t="shared" si="3"/>
        <v>27333.333333333332</v>
      </c>
      <c r="AE12">
        <f t="shared" si="4"/>
        <v>28000</v>
      </c>
      <c r="AF12">
        <f t="shared" si="5"/>
        <v>26714.285714285714</v>
      </c>
    </row>
    <row r="13" spans="1:32" ht="15" customHeight="1" x14ac:dyDescent="0.35">
      <c r="A13">
        <v>9</v>
      </c>
      <c r="B13" t="s">
        <v>345</v>
      </c>
      <c r="C13" t="s">
        <v>403</v>
      </c>
      <c r="D13">
        <v>15000</v>
      </c>
      <c r="E13">
        <v>15000</v>
      </c>
      <c r="F13">
        <v>15000</v>
      </c>
      <c r="G13">
        <v>15000</v>
      </c>
      <c r="H13">
        <v>15000</v>
      </c>
      <c r="I13">
        <v>15000</v>
      </c>
      <c r="J13">
        <v>15000</v>
      </c>
      <c r="K13">
        <v>15000</v>
      </c>
      <c r="L13">
        <v>15000</v>
      </c>
      <c r="M13">
        <v>15000</v>
      </c>
      <c r="N13">
        <v>15000</v>
      </c>
      <c r="O13">
        <v>15000</v>
      </c>
      <c r="P13">
        <v>15000</v>
      </c>
      <c r="Q13">
        <v>15000</v>
      </c>
      <c r="R13">
        <v>15000</v>
      </c>
      <c r="S13">
        <v>15000</v>
      </c>
      <c r="T13">
        <v>15000</v>
      </c>
      <c r="U13">
        <v>15000</v>
      </c>
      <c r="V13">
        <v>0</v>
      </c>
      <c r="W13">
        <v>0</v>
      </c>
      <c r="X13">
        <v>15000</v>
      </c>
      <c r="Y13">
        <v>15000</v>
      </c>
      <c r="Z13">
        <v>15000</v>
      </c>
      <c r="AA13">
        <f t="shared" si="0"/>
        <v>15000</v>
      </c>
      <c r="AB13">
        <f t="shared" si="1"/>
        <v>15000</v>
      </c>
      <c r="AC13">
        <f t="shared" si="2"/>
        <v>15000</v>
      </c>
      <c r="AD13">
        <f t="shared" si="3"/>
        <v>15000</v>
      </c>
      <c r="AE13">
        <f t="shared" si="4"/>
        <v>15000</v>
      </c>
      <c r="AF13">
        <f t="shared" si="5"/>
        <v>15000</v>
      </c>
    </row>
    <row r="14" spans="1:32" ht="15" customHeight="1" x14ac:dyDescent="0.35">
      <c r="A14">
        <v>10</v>
      </c>
      <c r="B14" t="s">
        <v>336</v>
      </c>
      <c r="C14" t="s">
        <v>403</v>
      </c>
      <c r="D14">
        <v>15000</v>
      </c>
      <c r="E14">
        <v>15000</v>
      </c>
      <c r="F14">
        <v>15000</v>
      </c>
      <c r="G14">
        <v>15000</v>
      </c>
      <c r="H14">
        <v>15000</v>
      </c>
      <c r="I14">
        <v>15000</v>
      </c>
      <c r="J14">
        <v>15000</v>
      </c>
      <c r="K14">
        <v>15000</v>
      </c>
      <c r="L14">
        <v>15000</v>
      </c>
      <c r="M14">
        <v>15000</v>
      </c>
      <c r="N14">
        <v>15000</v>
      </c>
      <c r="O14">
        <v>15000</v>
      </c>
      <c r="P14">
        <v>15000</v>
      </c>
      <c r="Q14">
        <v>15000</v>
      </c>
      <c r="R14">
        <v>15000</v>
      </c>
      <c r="S14">
        <v>15000</v>
      </c>
      <c r="T14">
        <v>15000</v>
      </c>
      <c r="U14">
        <v>15000</v>
      </c>
      <c r="V14">
        <v>0</v>
      </c>
      <c r="W14">
        <v>0</v>
      </c>
      <c r="X14">
        <v>15000</v>
      </c>
      <c r="Y14">
        <v>15000</v>
      </c>
      <c r="Z14">
        <v>15000</v>
      </c>
      <c r="AA14">
        <f t="shared" si="0"/>
        <v>15000</v>
      </c>
      <c r="AB14">
        <f t="shared" si="1"/>
        <v>15000</v>
      </c>
      <c r="AC14">
        <f t="shared" si="2"/>
        <v>15000</v>
      </c>
      <c r="AD14">
        <f t="shared" si="3"/>
        <v>15000</v>
      </c>
      <c r="AE14">
        <f t="shared" si="4"/>
        <v>15000</v>
      </c>
      <c r="AF14">
        <f t="shared" si="5"/>
        <v>15000</v>
      </c>
    </row>
    <row r="15" spans="1:32" ht="15" customHeight="1" x14ac:dyDescent="0.35">
      <c r="A15">
        <v>11</v>
      </c>
      <c r="B15" t="s">
        <v>337</v>
      </c>
      <c r="C15" t="s">
        <v>403</v>
      </c>
      <c r="D15">
        <v>18000</v>
      </c>
      <c r="E15">
        <v>18000</v>
      </c>
      <c r="F15">
        <v>18000</v>
      </c>
      <c r="G15">
        <v>18000</v>
      </c>
      <c r="H15">
        <v>18000</v>
      </c>
      <c r="I15">
        <v>18000</v>
      </c>
      <c r="J15">
        <v>18000</v>
      </c>
      <c r="K15">
        <v>18000</v>
      </c>
      <c r="L15">
        <v>18000</v>
      </c>
      <c r="M15">
        <v>18000</v>
      </c>
      <c r="N15">
        <v>18000</v>
      </c>
      <c r="O15">
        <v>18000</v>
      </c>
      <c r="P15">
        <v>18000</v>
      </c>
      <c r="Q15">
        <v>18000</v>
      </c>
      <c r="R15">
        <v>18000</v>
      </c>
      <c r="S15">
        <v>18000</v>
      </c>
      <c r="T15">
        <v>18000</v>
      </c>
      <c r="U15">
        <v>18000</v>
      </c>
      <c r="V15">
        <v>0</v>
      </c>
      <c r="W15">
        <v>0</v>
      </c>
      <c r="X15">
        <v>18000</v>
      </c>
      <c r="Y15">
        <v>18000</v>
      </c>
      <c r="Z15">
        <v>18000</v>
      </c>
      <c r="AA15">
        <f t="shared" si="0"/>
        <v>18000</v>
      </c>
      <c r="AB15">
        <f t="shared" si="1"/>
        <v>18000</v>
      </c>
      <c r="AC15">
        <f t="shared" si="2"/>
        <v>18000</v>
      </c>
      <c r="AD15">
        <f t="shared" si="3"/>
        <v>18000</v>
      </c>
      <c r="AE15">
        <f t="shared" si="4"/>
        <v>18000</v>
      </c>
      <c r="AF15">
        <f t="shared" si="5"/>
        <v>18000</v>
      </c>
    </row>
    <row r="16" spans="1:32" ht="15" customHeight="1" x14ac:dyDescent="0.35">
      <c r="A16">
        <v>12</v>
      </c>
      <c r="B16" t="s">
        <v>338</v>
      </c>
      <c r="C16" t="s">
        <v>403</v>
      </c>
      <c r="D16">
        <v>15700</v>
      </c>
      <c r="E16">
        <v>15700</v>
      </c>
      <c r="F16">
        <v>15700</v>
      </c>
      <c r="G16">
        <v>15700</v>
      </c>
      <c r="H16">
        <v>15700</v>
      </c>
      <c r="I16">
        <v>15700</v>
      </c>
      <c r="J16">
        <v>15700</v>
      </c>
      <c r="K16">
        <v>15700</v>
      </c>
      <c r="L16">
        <v>15700</v>
      </c>
      <c r="M16">
        <v>15700</v>
      </c>
      <c r="N16">
        <v>15700</v>
      </c>
      <c r="O16">
        <v>15700</v>
      </c>
      <c r="P16">
        <v>15700</v>
      </c>
      <c r="Q16">
        <v>15700</v>
      </c>
      <c r="R16">
        <v>15700</v>
      </c>
      <c r="S16">
        <v>15700</v>
      </c>
      <c r="T16">
        <v>15700</v>
      </c>
      <c r="U16">
        <v>15700</v>
      </c>
      <c r="V16">
        <v>0</v>
      </c>
      <c r="W16">
        <v>0</v>
      </c>
      <c r="X16">
        <v>15700</v>
      </c>
      <c r="Y16">
        <v>15700</v>
      </c>
      <c r="Z16">
        <v>15700</v>
      </c>
      <c r="AA16">
        <f t="shared" si="0"/>
        <v>15700</v>
      </c>
      <c r="AB16">
        <f t="shared" si="1"/>
        <v>15700</v>
      </c>
      <c r="AC16">
        <f t="shared" si="2"/>
        <v>15700</v>
      </c>
      <c r="AD16">
        <f t="shared" si="3"/>
        <v>15700</v>
      </c>
      <c r="AE16">
        <f t="shared" si="4"/>
        <v>15700</v>
      </c>
      <c r="AF16">
        <f t="shared" si="5"/>
        <v>15700</v>
      </c>
    </row>
    <row r="17" spans="1:32" ht="15" customHeight="1" x14ac:dyDescent="0.35">
      <c r="A17">
        <v>13</v>
      </c>
      <c r="B17" t="s">
        <v>333</v>
      </c>
      <c r="C17" t="s">
        <v>403</v>
      </c>
      <c r="D17">
        <v>11000</v>
      </c>
      <c r="E17">
        <v>11000</v>
      </c>
      <c r="F17">
        <v>11000</v>
      </c>
      <c r="G17">
        <v>11000</v>
      </c>
      <c r="H17">
        <v>11000</v>
      </c>
      <c r="I17">
        <v>11000</v>
      </c>
      <c r="J17">
        <v>11000</v>
      </c>
      <c r="K17">
        <v>11000</v>
      </c>
      <c r="L17">
        <v>11000</v>
      </c>
      <c r="M17">
        <v>11000</v>
      </c>
      <c r="N17">
        <v>11000</v>
      </c>
      <c r="O17">
        <v>11000</v>
      </c>
      <c r="P17">
        <v>11000</v>
      </c>
      <c r="Q17">
        <v>11000</v>
      </c>
      <c r="R17">
        <v>11000</v>
      </c>
      <c r="S17">
        <v>11000</v>
      </c>
      <c r="T17">
        <v>11000</v>
      </c>
      <c r="U17">
        <v>11000</v>
      </c>
      <c r="V17">
        <v>0</v>
      </c>
      <c r="W17">
        <v>0</v>
      </c>
      <c r="X17">
        <v>11000</v>
      </c>
      <c r="Y17">
        <v>11000</v>
      </c>
      <c r="Z17">
        <v>11000</v>
      </c>
      <c r="AA17">
        <f t="shared" si="0"/>
        <v>11000</v>
      </c>
      <c r="AB17">
        <f t="shared" si="1"/>
        <v>11000</v>
      </c>
      <c r="AC17">
        <f t="shared" si="2"/>
        <v>11000</v>
      </c>
      <c r="AD17">
        <f t="shared" si="3"/>
        <v>11000</v>
      </c>
      <c r="AE17">
        <f t="shared" si="4"/>
        <v>11000</v>
      </c>
      <c r="AF17">
        <f t="shared" si="5"/>
        <v>11000</v>
      </c>
    </row>
    <row r="18" spans="1:32" ht="15" customHeight="1" x14ac:dyDescent="0.35">
      <c r="A18">
        <v>14</v>
      </c>
      <c r="B18" t="s">
        <v>335</v>
      </c>
      <c r="C18" t="s">
        <v>403</v>
      </c>
      <c r="D18">
        <v>26000</v>
      </c>
      <c r="E18">
        <v>26000</v>
      </c>
      <c r="F18">
        <v>26000</v>
      </c>
      <c r="G18">
        <v>26000</v>
      </c>
      <c r="H18">
        <v>26000</v>
      </c>
      <c r="I18">
        <v>26000</v>
      </c>
      <c r="J18">
        <v>26000</v>
      </c>
      <c r="K18">
        <v>26000</v>
      </c>
      <c r="L18">
        <v>25000</v>
      </c>
      <c r="M18">
        <v>25000</v>
      </c>
      <c r="N18">
        <v>25000</v>
      </c>
      <c r="O18">
        <v>24000</v>
      </c>
      <c r="P18">
        <v>24000</v>
      </c>
      <c r="Q18">
        <v>24000</v>
      </c>
      <c r="R18">
        <v>25000</v>
      </c>
      <c r="S18">
        <v>25000</v>
      </c>
      <c r="T18">
        <v>25500</v>
      </c>
      <c r="U18">
        <v>26000</v>
      </c>
      <c r="V18">
        <v>0</v>
      </c>
      <c r="W18">
        <v>0</v>
      </c>
      <c r="X18">
        <v>26000</v>
      </c>
      <c r="Y18">
        <v>26000</v>
      </c>
      <c r="Z18">
        <v>26000</v>
      </c>
      <c r="AA18">
        <f t="shared" si="0"/>
        <v>26000</v>
      </c>
      <c r="AB18">
        <f t="shared" si="1"/>
        <v>25600</v>
      </c>
      <c r="AC18">
        <f t="shared" si="2"/>
        <v>24400</v>
      </c>
      <c r="AD18">
        <f t="shared" si="3"/>
        <v>25500</v>
      </c>
      <c r="AE18">
        <f t="shared" si="4"/>
        <v>26000</v>
      </c>
      <c r="AF18">
        <f t="shared" si="5"/>
        <v>25452.380952380954</v>
      </c>
    </row>
    <row r="19" spans="1:32" ht="15" customHeight="1" x14ac:dyDescent="0.35">
      <c r="A19">
        <v>15</v>
      </c>
      <c r="B19" t="s">
        <v>344</v>
      </c>
      <c r="C19" t="s">
        <v>403</v>
      </c>
      <c r="D19">
        <v>26000</v>
      </c>
      <c r="E19">
        <v>26000</v>
      </c>
      <c r="F19">
        <v>26000</v>
      </c>
      <c r="G19">
        <v>26000</v>
      </c>
      <c r="H19">
        <v>26000</v>
      </c>
      <c r="I19">
        <v>26000</v>
      </c>
      <c r="J19">
        <v>26000</v>
      </c>
      <c r="K19">
        <v>26000</v>
      </c>
      <c r="L19">
        <v>25000</v>
      </c>
      <c r="M19">
        <v>24000</v>
      </c>
      <c r="N19">
        <v>24000</v>
      </c>
      <c r="O19">
        <v>24000</v>
      </c>
      <c r="P19">
        <v>24000</v>
      </c>
      <c r="Q19">
        <v>24000</v>
      </c>
      <c r="R19">
        <v>24000</v>
      </c>
      <c r="S19">
        <v>24000</v>
      </c>
      <c r="T19">
        <v>25000</v>
      </c>
      <c r="U19">
        <v>25000</v>
      </c>
      <c r="V19">
        <v>0</v>
      </c>
      <c r="W19">
        <v>0</v>
      </c>
      <c r="X19">
        <v>25000</v>
      </c>
      <c r="Y19">
        <v>25000</v>
      </c>
      <c r="Z19">
        <v>25000</v>
      </c>
      <c r="AA19">
        <f t="shared" si="0"/>
        <v>26000</v>
      </c>
      <c r="AB19">
        <f t="shared" si="1"/>
        <v>25400</v>
      </c>
      <c r="AC19">
        <f t="shared" si="2"/>
        <v>24000</v>
      </c>
      <c r="AD19">
        <f t="shared" si="3"/>
        <v>24666.666666666668</v>
      </c>
      <c r="AE19">
        <f t="shared" si="4"/>
        <v>25000</v>
      </c>
      <c r="AF19">
        <f t="shared" si="5"/>
        <v>25047.619047619046</v>
      </c>
    </row>
    <row r="20" spans="1:32" ht="15" customHeight="1" x14ac:dyDescent="0.35">
      <c r="A20">
        <v>16</v>
      </c>
      <c r="B20" t="s">
        <v>358</v>
      </c>
      <c r="C20" t="s">
        <v>403</v>
      </c>
      <c r="D20">
        <v>110000</v>
      </c>
      <c r="E20">
        <v>110000</v>
      </c>
      <c r="F20">
        <v>110000</v>
      </c>
      <c r="G20">
        <v>110000</v>
      </c>
      <c r="H20">
        <v>110000</v>
      </c>
      <c r="I20">
        <v>110000</v>
      </c>
      <c r="J20">
        <v>110000</v>
      </c>
      <c r="K20">
        <v>110000</v>
      </c>
      <c r="L20">
        <v>110000</v>
      </c>
      <c r="M20">
        <v>110000</v>
      </c>
      <c r="N20">
        <v>110000</v>
      </c>
      <c r="O20">
        <v>110000</v>
      </c>
      <c r="P20">
        <v>110000</v>
      </c>
      <c r="Q20">
        <v>110000</v>
      </c>
      <c r="R20">
        <v>110000</v>
      </c>
      <c r="S20">
        <v>110000</v>
      </c>
      <c r="T20">
        <v>110000</v>
      </c>
      <c r="U20">
        <v>110000</v>
      </c>
      <c r="V20">
        <v>0</v>
      </c>
      <c r="W20">
        <v>0</v>
      </c>
      <c r="X20">
        <v>110000</v>
      </c>
      <c r="Y20">
        <v>110000</v>
      </c>
      <c r="Z20">
        <v>110000</v>
      </c>
      <c r="AA20">
        <f t="shared" si="0"/>
        <v>110000</v>
      </c>
      <c r="AB20">
        <f t="shared" si="1"/>
        <v>110000</v>
      </c>
      <c r="AC20">
        <f t="shared" si="2"/>
        <v>110000</v>
      </c>
      <c r="AD20">
        <f t="shared" si="3"/>
        <v>110000</v>
      </c>
      <c r="AE20">
        <f t="shared" si="4"/>
        <v>110000</v>
      </c>
      <c r="AF20">
        <f t="shared" si="5"/>
        <v>110000</v>
      </c>
    </row>
    <row r="21" spans="1:32" ht="15" customHeight="1" x14ac:dyDescent="0.35">
      <c r="A21">
        <v>17</v>
      </c>
      <c r="B21" t="s">
        <v>359</v>
      </c>
      <c r="C21" t="s">
        <v>403</v>
      </c>
      <c r="D21">
        <v>60000</v>
      </c>
      <c r="E21">
        <v>60000</v>
      </c>
      <c r="F21">
        <v>60000</v>
      </c>
      <c r="G21">
        <v>60000</v>
      </c>
      <c r="H21">
        <v>60000</v>
      </c>
      <c r="I21">
        <v>60000</v>
      </c>
      <c r="J21">
        <v>60000</v>
      </c>
      <c r="K21">
        <v>60000</v>
      </c>
      <c r="L21">
        <v>60000</v>
      </c>
      <c r="M21">
        <v>60000</v>
      </c>
      <c r="N21">
        <v>60000</v>
      </c>
      <c r="O21">
        <v>60000</v>
      </c>
      <c r="P21">
        <v>60000</v>
      </c>
      <c r="Q21">
        <v>60000</v>
      </c>
      <c r="R21">
        <v>60000</v>
      </c>
      <c r="S21">
        <v>60000</v>
      </c>
      <c r="T21">
        <v>60000</v>
      </c>
      <c r="U21">
        <v>60000</v>
      </c>
      <c r="V21">
        <v>0</v>
      </c>
      <c r="W21">
        <v>0</v>
      </c>
      <c r="X21">
        <v>60000</v>
      </c>
      <c r="Y21">
        <v>60000</v>
      </c>
      <c r="Z21">
        <v>60000</v>
      </c>
      <c r="AA21">
        <f t="shared" si="0"/>
        <v>60000</v>
      </c>
      <c r="AB21">
        <f t="shared" si="1"/>
        <v>60000</v>
      </c>
      <c r="AC21">
        <f t="shared" si="2"/>
        <v>60000</v>
      </c>
      <c r="AD21">
        <f t="shared" si="3"/>
        <v>60000</v>
      </c>
      <c r="AE21">
        <f t="shared" si="4"/>
        <v>60000</v>
      </c>
      <c r="AF21">
        <f t="shared" si="5"/>
        <v>60000</v>
      </c>
    </row>
    <row r="22" spans="1:32" ht="15" customHeight="1" x14ac:dyDescent="0.35">
      <c r="A22">
        <v>18</v>
      </c>
      <c r="B22" t="s">
        <v>360</v>
      </c>
      <c r="C22" t="s">
        <v>403</v>
      </c>
      <c r="D22">
        <v>55000</v>
      </c>
      <c r="E22">
        <v>55000</v>
      </c>
      <c r="F22">
        <v>55000</v>
      </c>
      <c r="G22">
        <v>55000</v>
      </c>
      <c r="H22">
        <v>55000</v>
      </c>
      <c r="I22">
        <v>55000</v>
      </c>
      <c r="J22">
        <v>55000</v>
      </c>
      <c r="K22">
        <v>55000</v>
      </c>
      <c r="L22">
        <v>55000</v>
      </c>
      <c r="M22">
        <v>55000</v>
      </c>
      <c r="N22">
        <v>55000</v>
      </c>
      <c r="O22">
        <v>55000</v>
      </c>
      <c r="P22">
        <v>55000</v>
      </c>
      <c r="Q22">
        <v>55000</v>
      </c>
      <c r="R22">
        <v>55000</v>
      </c>
      <c r="S22">
        <v>55000</v>
      </c>
      <c r="T22">
        <v>55000</v>
      </c>
      <c r="U22">
        <v>55000</v>
      </c>
      <c r="V22">
        <v>0</v>
      </c>
      <c r="W22">
        <v>0</v>
      </c>
      <c r="X22">
        <v>55000</v>
      </c>
      <c r="Y22">
        <v>55000</v>
      </c>
      <c r="Z22">
        <v>55000</v>
      </c>
      <c r="AA22">
        <f t="shared" si="0"/>
        <v>55000</v>
      </c>
      <c r="AB22">
        <f t="shared" si="1"/>
        <v>55000</v>
      </c>
      <c r="AC22">
        <f t="shared" si="2"/>
        <v>55000</v>
      </c>
      <c r="AD22">
        <f t="shared" si="3"/>
        <v>55000</v>
      </c>
      <c r="AE22">
        <f t="shared" si="4"/>
        <v>55000</v>
      </c>
      <c r="AF22">
        <f t="shared" si="5"/>
        <v>55000</v>
      </c>
    </row>
    <row r="23" spans="1:32" ht="15" customHeight="1" x14ac:dyDescent="0.35">
      <c r="A23">
        <v>19</v>
      </c>
      <c r="B23" t="s">
        <v>405</v>
      </c>
      <c r="C23" t="s">
        <v>403</v>
      </c>
      <c r="D23">
        <v>28000</v>
      </c>
      <c r="E23">
        <v>28000</v>
      </c>
      <c r="F23">
        <v>28000</v>
      </c>
      <c r="G23">
        <v>28000</v>
      </c>
      <c r="H23">
        <v>28000</v>
      </c>
      <c r="I23">
        <v>28000</v>
      </c>
      <c r="J23">
        <v>28000</v>
      </c>
      <c r="K23">
        <v>28000</v>
      </c>
      <c r="L23">
        <v>28000</v>
      </c>
      <c r="M23">
        <v>28000</v>
      </c>
      <c r="N23">
        <v>28000</v>
      </c>
      <c r="O23">
        <v>28000</v>
      </c>
      <c r="P23">
        <v>28000</v>
      </c>
      <c r="Q23">
        <v>28000</v>
      </c>
      <c r="R23">
        <v>28000</v>
      </c>
      <c r="S23">
        <v>28000</v>
      </c>
      <c r="T23">
        <v>28000</v>
      </c>
      <c r="U23">
        <v>28000</v>
      </c>
      <c r="V23">
        <v>0</v>
      </c>
      <c r="W23">
        <v>0</v>
      </c>
      <c r="X23">
        <v>28000</v>
      </c>
      <c r="Y23">
        <v>28000</v>
      </c>
      <c r="Z23">
        <v>28000</v>
      </c>
      <c r="AA23">
        <f t="shared" si="0"/>
        <v>28000</v>
      </c>
      <c r="AB23">
        <f t="shared" si="1"/>
        <v>28000</v>
      </c>
      <c r="AC23">
        <f t="shared" si="2"/>
        <v>28000</v>
      </c>
      <c r="AD23">
        <f t="shared" si="3"/>
        <v>28000</v>
      </c>
      <c r="AE23">
        <f t="shared" si="4"/>
        <v>28000</v>
      </c>
      <c r="AF23">
        <f t="shared" si="5"/>
        <v>28000</v>
      </c>
    </row>
    <row r="24" spans="1:32" ht="15" customHeight="1" x14ac:dyDescent="0.35">
      <c r="A24">
        <v>20</v>
      </c>
      <c r="B24" t="s">
        <v>346</v>
      </c>
      <c r="C24" t="s">
        <v>403</v>
      </c>
      <c r="D24">
        <v>28000</v>
      </c>
      <c r="E24">
        <v>28000</v>
      </c>
      <c r="F24">
        <v>28000</v>
      </c>
      <c r="G24">
        <v>28000</v>
      </c>
      <c r="H24">
        <v>28000</v>
      </c>
      <c r="I24">
        <v>28000</v>
      </c>
      <c r="J24">
        <v>28000</v>
      </c>
      <c r="K24">
        <v>28000</v>
      </c>
      <c r="L24">
        <v>28000</v>
      </c>
      <c r="M24">
        <v>28000</v>
      </c>
      <c r="N24">
        <v>28000</v>
      </c>
      <c r="O24">
        <v>28000</v>
      </c>
      <c r="P24">
        <v>28000</v>
      </c>
      <c r="Q24">
        <v>28000</v>
      </c>
      <c r="R24">
        <v>28000</v>
      </c>
      <c r="S24">
        <v>28000</v>
      </c>
      <c r="T24">
        <v>28000</v>
      </c>
      <c r="U24">
        <v>28000</v>
      </c>
      <c r="V24">
        <v>0</v>
      </c>
      <c r="W24">
        <v>0</v>
      </c>
      <c r="X24">
        <v>28000</v>
      </c>
      <c r="Y24">
        <v>28000</v>
      </c>
      <c r="Z24">
        <v>28000</v>
      </c>
      <c r="AA24">
        <f t="shared" si="0"/>
        <v>28000</v>
      </c>
      <c r="AB24">
        <f t="shared" si="1"/>
        <v>28000</v>
      </c>
      <c r="AC24">
        <f t="shared" si="2"/>
        <v>28000</v>
      </c>
      <c r="AD24">
        <f t="shared" si="3"/>
        <v>28000</v>
      </c>
      <c r="AE24">
        <f t="shared" si="4"/>
        <v>28000</v>
      </c>
      <c r="AF24">
        <f t="shared" si="5"/>
        <v>28000</v>
      </c>
    </row>
    <row r="25" spans="1:32" ht="15" customHeight="1" x14ac:dyDescent="0.35">
      <c r="A25">
        <v>21</v>
      </c>
      <c r="B25" t="s">
        <v>406</v>
      </c>
      <c r="C25" t="s">
        <v>403</v>
      </c>
      <c r="D25">
        <v>60000</v>
      </c>
      <c r="E25">
        <v>60000</v>
      </c>
      <c r="F25">
        <v>60000</v>
      </c>
      <c r="G25">
        <v>60000</v>
      </c>
      <c r="H25">
        <v>60000</v>
      </c>
      <c r="I25">
        <v>60000</v>
      </c>
      <c r="J25">
        <v>60000</v>
      </c>
      <c r="K25">
        <v>60000</v>
      </c>
      <c r="L25">
        <v>60000</v>
      </c>
      <c r="M25">
        <v>60000</v>
      </c>
      <c r="N25">
        <v>60000</v>
      </c>
      <c r="O25">
        <v>60000</v>
      </c>
      <c r="P25">
        <v>60000</v>
      </c>
      <c r="Q25">
        <v>60000</v>
      </c>
      <c r="R25">
        <v>60000</v>
      </c>
      <c r="S25">
        <v>60000</v>
      </c>
      <c r="T25">
        <v>60000</v>
      </c>
      <c r="U25">
        <v>60000</v>
      </c>
      <c r="V25">
        <v>0</v>
      </c>
      <c r="W25">
        <v>0</v>
      </c>
      <c r="X25">
        <v>60000</v>
      </c>
      <c r="Y25">
        <v>60000</v>
      </c>
      <c r="Z25">
        <v>60000</v>
      </c>
      <c r="AA25">
        <f t="shared" si="0"/>
        <v>60000</v>
      </c>
      <c r="AB25">
        <f t="shared" si="1"/>
        <v>60000</v>
      </c>
      <c r="AC25">
        <f t="shared" si="2"/>
        <v>60000</v>
      </c>
      <c r="AD25">
        <f t="shared" si="3"/>
        <v>60000</v>
      </c>
      <c r="AE25">
        <f t="shared" si="4"/>
        <v>60000</v>
      </c>
      <c r="AF25">
        <f t="shared" si="5"/>
        <v>60000</v>
      </c>
    </row>
    <row r="26" spans="1:32" ht="15" customHeight="1" x14ac:dyDescent="0.35">
      <c r="A26">
        <v>22</v>
      </c>
      <c r="B26" t="s">
        <v>353</v>
      </c>
      <c r="C26" t="s">
        <v>403</v>
      </c>
      <c r="D26">
        <v>2800</v>
      </c>
      <c r="E26">
        <v>2800</v>
      </c>
      <c r="F26">
        <v>2800</v>
      </c>
      <c r="G26">
        <v>2800</v>
      </c>
      <c r="H26">
        <v>2800</v>
      </c>
      <c r="I26">
        <v>2800</v>
      </c>
      <c r="J26">
        <v>2800</v>
      </c>
      <c r="K26">
        <v>2800</v>
      </c>
      <c r="L26">
        <v>2800</v>
      </c>
      <c r="M26">
        <v>2800</v>
      </c>
      <c r="N26">
        <v>2800</v>
      </c>
      <c r="O26">
        <v>2800</v>
      </c>
      <c r="P26">
        <v>2800</v>
      </c>
      <c r="Q26">
        <v>2800</v>
      </c>
      <c r="R26">
        <v>2800</v>
      </c>
      <c r="S26">
        <v>2800</v>
      </c>
      <c r="T26">
        <v>2800</v>
      </c>
      <c r="U26">
        <v>2800</v>
      </c>
      <c r="V26">
        <v>0</v>
      </c>
      <c r="W26">
        <v>0</v>
      </c>
      <c r="X26">
        <v>2800</v>
      </c>
      <c r="Y26">
        <v>2800</v>
      </c>
      <c r="Z26">
        <v>2800</v>
      </c>
      <c r="AA26">
        <f t="shared" si="0"/>
        <v>2800</v>
      </c>
      <c r="AB26">
        <f t="shared" si="1"/>
        <v>2800</v>
      </c>
      <c r="AC26">
        <f t="shared" si="2"/>
        <v>2800</v>
      </c>
      <c r="AD26">
        <f t="shared" si="3"/>
        <v>2800</v>
      </c>
      <c r="AE26">
        <f t="shared" si="4"/>
        <v>2800</v>
      </c>
      <c r="AF26">
        <f t="shared" si="5"/>
        <v>2800</v>
      </c>
    </row>
    <row r="27" spans="1:32" ht="15" customHeight="1" x14ac:dyDescent="0.35">
      <c r="A27">
        <v>23</v>
      </c>
      <c r="B27" t="s">
        <v>351</v>
      </c>
      <c r="C27" t="s">
        <v>403</v>
      </c>
      <c r="D27">
        <v>24000</v>
      </c>
      <c r="E27">
        <v>24000</v>
      </c>
      <c r="F27">
        <v>24000</v>
      </c>
      <c r="G27">
        <v>24000</v>
      </c>
      <c r="H27">
        <v>24000</v>
      </c>
      <c r="I27">
        <v>24000</v>
      </c>
      <c r="J27">
        <v>24000</v>
      </c>
      <c r="K27">
        <v>24000</v>
      </c>
      <c r="L27">
        <v>23000</v>
      </c>
      <c r="M27">
        <v>22000</v>
      </c>
      <c r="N27">
        <v>22000</v>
      </c>
      <c r="O27">
        <v>22000</v>
      </c>
      <c r="P27">
        <v>22000</v>
      </c>
      <c r="Q27">
        <v>22000</v>
      </c>
      <c r="R27">
        <v>23000</v>
      </c>
      <c r="S27">
        <v>23000</v>
      </c>
      <c r="T27">
        <v>24000</v>
      </c>
      <c r="U27">
        <v>24000</v>
      </c>
      <c r="V27">
        <v>0</v>
      </c>
      <c r="W27">
        <v>0</v>
      </c>
      <c r="X27">
        <v>24000</v>
      </c>
      <c r="Y27">
        <v>24000</v>
      </c>
      <c r="Z27">
        <v>24000</v>
      </c>
      <c r="AA27">
        <f t="shared" si="0"/>
        <v>24000</v>
      </c>
      <c r="AB27">
        <f t="shared" si="1"/>
        <v>23400</v>
      </c>
      <c r="AC27">
        <f t="shared" si="2"/>
        <v>22200</v>
      </c>
      <c r="AD27">
        <f t="shared" si="3"/>
        <v>23666.666666666668</v>
      </c>
      <c r="AE27">
        <f t="shared" si="4"/>
        <v>24000</v>
      </c>
      <c r="AF27">
        <f t="shared" si="5"/>
        <v>23380.952380952382</v>
      </c>
    </row>
    <row r="28" spans="1:32" ht="15" customHeight="1" x14ac:dyDescent="0.35">
      <c r="A28">
        <v>24</v>
      </c>
      <c r="B28" t="s">
        <v>352</v>
      </c>
      <c r="C28" t="s">
        <v>403</v>
      </c>
      <c r="D28">
        <v>30000</v>
      </c>
      <c r="E28">
        <v>30000</v>
      </c>
      <c r="F28">
        <v>30000</v>
      </c>
      <c r="G28">
        <v>30000</v>
      </c>
      <c r="H28">
        <v>30000</v>
      </c>
      <c r="I28">
        <v>30000</v>
      </c>
      <c r="J28">
        <v>30000</v>
      </c>
      <c r="K28">
        <v>30000</v>
      </c>
      <c r="L28">
        <v>30000</v>
      </c>
      <c r="M28">
        <v>30000</v>
      </c>
      <c r="N28">
        <v>30000</v>
      </c>
      <c r="O28">
        <v>30000</v>
      </c>
      <c r="P28">
        <v>30000</v>
      </c>
      <c r="Q28">
        <v>30000</v>
      </c>
      <c r="R28">
        <v>30000</v>
      </c>
      <c r="S28">
        <v>30000</v>
      </c>
      <c r="T28">
        <v>30000</v>
      </c>
      <c r="U28">
        <v>30000</v>
      </c>
      <c r="V28">
        <v>0</v>
      </c>
      <c r="W28">
        <v>0</v>
      </c>
      <c r="X28">
        <v>30000</v>
      </c>
      <c r="Y28">
        <v>30000</v>
      </c>
      <c r="Z28">
        <v>30000</v>
      </c>
      <c r="AA28">
        <f t="shared" si="0"/>
        <v>30000</v>
      </c>
      <c r="AB28">
        <f t="shared" si="1"/>
        <v>30000</v>
      </c>
      <c r="AC28">
        <f t="shared" si="2"/>
        <v>30000</v>
      </c>
      <c r="AD28">
        <f t="shared" si="3"/>
        <v>30000</v>
      </c>
      <c r="AE28">
        <f t="shared" si="4"/>
        <v>30000</v>
      </c>
      <c r="AF28">
        <f t="shared" si="5"/>
        <v>30000</v>
      </c>
    </row>
    <row r="29" spans="1:32" ht="15" customHeight="1" x14ac:dyDescent="0.35">
      <c r="A29">
        <v>25</v>
      </c>
      <c r="B29" t="s">
        <v>407</v>
      </c>
      <c r="C29" t="s">
        <v>403</v>
      </c>
      <c r="D29">
        <v>27000</v>
      </c>
      <c r="E29">
        <v>27000</v>
      </c>
      <c r="F29">
        <v>27000</v>
      </c>
      <c r="G29">
        <v>27000</v>
      </c>
      <c r="H29">
        <v>27000</v>
      </c>
      <c r="I29">
        <v>27000</v>
      </c>
      <c r="J29">
        <v>27000</v>
      </c>
      <c r="K29">
        <v>27000</v>
      </c>
      <c r="L29">
        <v>27000</v>
      </c>
      <c r="M29">
        <v>27000</v>
      </c>
      <c r="N29">
        <v>27000</v>
      </c>
      <c r="O29">
        <v>27000</v>
      </c>
      <c r="P29">
        <v>27000</v>
      </c>
      <c r="Q29">
        <v>27000</v>
      </c>
      <c r="R29">
        <v>27000</v>
      </c>
      <c r="S29">
        <v>27000</v>
      </c>
      <c r="T29">
        <v>27000</v>
      </c>
      <c r="U29">
        <v>27000</v>
      </c>
      <c r="V29">
        <v>0</v>
      </c>
      <c r="W29">
        <v>0</v>
      </c>
      <c r="X29">
        <v>27000</v>
      </c>
      <c r="Y29">
        <v>27000</v>
      </c>
      <c r="Z29">
        <v>27000</v>
      </c>
      <c r="AA29">
        <f t="shared" si="0"/>
        <v>27000</v>
      </c>
      <c r="AB29">
        <f t="shared" si="1"/>
        <v>27000</v>
      </c>
      <c r="AC29">
        <f t="shared" si="2"/>
        <v>27000</v>
      </c>
      <c r="AD29">
        <f t="shared" si="3"/>
        <v>27000</v>
      </c>
      <c r="AE29">
        <f t="shared" si="4"/>
        <v>27000</v>
      </c>
      <c r="AF29">
        <f t="shared" si="5"/>
        <v>27000</v>
      </c>
    </row>
    <row r="30" spans="1:32" ht="15" customHeight="1" x14ac:dyDescent="0.35">
      <c r="A30">
        <v>26</v>
      </c>
      <c r="B30" t="s">
        <v>408</v>
      </c>
      <c r="C30" t="s">
        <v>403</v>
      </c>
      <c r="D30">
        <v>8000</v>
      </c>
      <c r="E30">
        <v>8000</v>
      </c>
      <c r="F30">
        <v>8000</v>
      </c>
      <c r="G30">
        <v>8000</v>
      </c>
      <c r="H30">
        <v>8000</v>
      </c>
      <c r="I30">
        <v>8000</v>
      </c>
      <c r="J30">
        <v>8000</v>
      </c>
      <c r="K30">
        <v>8000</v>
      </c>
      <c r="L30">
        <v>8000</v>
      </c>
      <c r="M30">
        <v>8000</v>
      </c>
      <c r="N30">
        <v>8000</v>
      </c>
      <c r="O30">
        <v>8000</v>
      </c>
      <c r="P30">
        <v>8000</v>
      </c>
      <c r="Q30">
        <v>8000</v>
      </c>
      <c r="R30">
        <v>8000</v>
      </c>
      <c r="S30">
        <v>8000</v>
      </c>
      <c r="T30">
        <v>8000</v>
      </c>
      <c r="U30">
        <v>8000</v>
      </c>
      <c r="V30">
        <v>0</v>
      </c>
      <c r="W30">
        <v>0</v>
      </c>
      <c r="X30">
        <v>8000</v>
      </c>
      <c r="Y30">
        <v>8000</v>
      </c>
      <c r="Z30">
        <v>8000</v>
      </c>
      <c r="AA30">
        <f t="shared" si="0"/>
        <v>8000</v>
      </c>
      <c r="AB30">
        <f t="shared" si="1"/>
        <v>8000</v>
      </c>
      <c r="AC30">
        <f t="shared" si="2"/>
        <v>8000</v>
      </c>
      <c r="AD30">
        <f t="shared" si="3"/>
        <v>8000</v>
      </c>
      <c r="AE30">
        <f t="shared" si="4"/>
        <v>8000</v>
      </c>
      <c r="AF30">
        <f t="shared" si="5"/>
        <v>8000</v>
      </c>
    </row>
    <row r="31" spans="1:32" ht="15" customHeight="1" x14ac:dyDescent="0.35">
      <c r="A31">
        <v>27</v>
      </c>
      <c r="B31" t="s">
        <v>354</v>
      </c>
      <c r="C31" t="s">
        <v>403</v>
      </c>
      <c r="D31">
        <v>10500</v>
      </c>
      <c r="E31">
        <v>10500</v>
      </c>
      <c r="F31">
        <v>10500</v>
      </c>
      <c r="G31">
        <v>10500</v>
      </c>
      <c r="H31">
        <v>10500</v>
      </c>
      <c r="I31">
        <v>10500</v>
      </c>
      <c r="J31">
        <v>10500</v>
      </c>
      <c r="K31">
        <v>10500</v>
      </c>
      <c r="L31">
        <v>10500</v>
      </c>
      <c r="M31">
        <v>10500</v>
      </c>
      <c r="N31">
        <v>10500</v>
      </c>
      <c r="O31">
        <v>10500</v>
      </c>
      <c r="P31">
        <v>10500</v>
      </c>
      <c r="Q31">
        <v>10500</v>
      </c>
      <c r="R31">
        <v>10500</v>
      </c>
      <c r="S31">
        <v>10500</v>
      </c>
      <c r="T31">
        <v>10500</v>
      </c>
      <c r="U31">
        <v>10500</v>
      </c>
      <c r="V31">
        <v>0</v>
      </c>
      <c r="W31">
        <v>0</v>
      </c>
      <c r="X31">
        <v>10500</v>
      </c>
      <c r="Y31">
        <v>10500</v>
      </c>
      <c r="Z31">
        <v>10500</v>
      </c>
      <c r="AA31">
        <f t="shared" si="0"/>
        <v>10500</v>
      </c>
      <c r="AB31">
        <f t="shared" si="1"/>
        <v>10500</v>
      </c>
      <c r="AC31">
        <f t="shared" si="2"/>
        <v>10500</v>
      </c>
      <c r="AD31">
        <f t="shared" si="3"/>
        <v>10500</v>
      </c>
      <c r="AE31">
        <f t="shared" si="4"/>
        <v>10500</v>
      </c>
      <c r="AF31">
        <f t="shared" si="5"/>
        <v>10500</v>
      </c>
    </row>
    <row r="32" spans="1:32" ht="15" customHeight="1" x14ac:dyDescent="0.35">
      <c r="A32">
        <v>28</v>
      </c>
      <c r="B32" t="s">
        <v>348</v>
      </c>
      <c r="C32" t="s">
        <v>403</v>
      </c>
      <c r="D32">
        <v>42000</v>
      </c>
      <c r="E32">
        <v>42000</v>
      </c>
      <c r="F32">
        <v>42000</v>
      </c>
      <c r="G32">
        <v>42000</v>
      </c>
      <c r="H32">
        <v>42000</v>
      </c>
      <c r="I32">
        <v>42000</v>
      </c>
      <c r="J32">
        <v>42000</v>
      </c>
      <c r="K32">
        <v>42000</v>
      </c>
      <c r="L32">
        <v>42000</v>
      </c>
      <c r="M32">
        <v>42000</v>
      </c>
      <c r="N32">
        <v>42000</v>
      </c>
      <c r="O32">
        <v>42000</v>
      </c>
      <c r="P32">
        <v>42000</v>
      </c>
      <c r="Q32">
        <v>42000</v>
      </c>
      <c r="R32">
        <v>42000</v>
      </c>
      <c r="S32">
        <v>42000</v>
      </c>
      <c r="T32">
        <v>42000</v>
      </c>
      <c r="U32">
        <v>42000</v>
      </c>
      <c r="V32">
        <v>0</v>
      </c>
      <c r="W32">
        <v>0</v>
      </c>
      <c r="X32">
        <v>42000</v>
      </c>
      <c r="Y32">
        <v>42000</v>
      </c>
      <c r="Z32">
        <v>42000</v>
      </c>
      <c r="AA32">
        <f t="shared" si="0"/>
        <v>42000</v>
      </c>
      <c r="AB32">
        <f t="shared" si="1"/>
        <v>42000</v>
      </c>
      <c r="AC32">
        <f t="shared" si="2"/>
        <v>42000</v>
      </c>
      <c r="AD32">
        <f t="shared" si="3"/>
        <v>42000</v>
      </c>
      <c r="AE32">
        <f t="shared" si="4"/>
        <v>42000</v>
      </c>
      <c r="AF32">
        <f t="shared" si="5"/>
        <v>42000</v>
      </c>
    </row>
    <row r="33" spans="1:32" ht="15" customHeight="1" x14ac:dyDescent="0.35">
      <c r="A33">
        <v>29</v>
      </c>
      <c r="B33" t="s">
        <v>361</v>
      </c>
      <c r="C33" t="s">
        <v>403</v>
      </c>
      <c r="D33">
        <v>8000</v>
      </c>
      <c r="E33">
        <v>8000</v>
      </c>
      <c r="F33">
        <v>8000</v>
      </c>
      <c r="G33">
        <v>8000</v>
      </c>
      <c r="H33">
        <v>8000</v>
      </c>
      <c r="I33">
        <v>8000</v>
      </c>
      <c r="J33">
        <v>8000</v>
      </c>
      <c r="K33">
        <v>8000</v>
      </c>
      <c r="L33">
        <v>8000</v>
      </c>
      <c r="M33">
        <v>8000</v>
      </c>
      <c r="N33">
        <v>8000</v>
      </c>
      <c r="O33">
        <v>8000</v>
      </c>
      <c r="P33">
        <v>8000</v>
      </c>
      <c r="Q33">
        <v>8000</v>
      </c>
      <c r="R33">
        <v>8000</v>
      </c>
      <c r="S33">
        <v>8000</v>
      </c>
      <c r="T33">
        <v>8000</v>
      </c>
      <c r="U33">
        <v>8000</v>
      </c>
      <c r="V33">
        <v>0</v>
      </c>
      <c r="W33">
        <v>0</v>
      </c>
      <c r="X33">
        <v>8000</v>
      </c>
      <c r="Y33">
        <v>8000</v>
      </c>
      <c r="Z33">
        <v>8000</v>
      </c>
      <c r="AA33">
        <f t="shared" si="0"/>
        <v>8000</v>
      </c>
      <c r="AB33">
        <f t="shared" si="1"/>
        <v>8000</v>
      </c>
      <c r="AC33">
        <f t="shared" si="2"/>
        <v>8000</v>
      </c>
      <c r="AD33">
        <f t="shared" si="3"/>
        <v>8000</v>
      </c>
      <c r="AE33">
        <f t="shared" si="4"/>
        <v>8000</v>
      </c>
      <c r="AF33">
        <f t="shared" si="5"/>
        <v>8000</v>
      </c>
    </row>
    <row r="34" spans="1:32" ht="15" customHeight="1" x14ac:dyDescent="0.35">
      <c r="A34">
        <v>30</v>
      </c>
      <c r="B34" t="s">
        <v>334</v>
      </c>
      <c r="C34" t="s">
        <v>403</v>
      </c>
      <c r="D34">
        <v>6000</v>
      </c>
      <c r="E34">
        <v>6000</v>
      </c>
      <c r="F34">
        <v>6000</v>
      </c>
      <c r="G34">
        <v>6000</v>
      </c>
      <c r="H34">
        <v>6000</v>
      </c>
      <c r="I34">
        <v>6000</v>
      </c>
      <c r="J34">
        <v>6000</v>
      </c>
      <c r="K34">
        <v>6000</v>
      </c>
      <c r="L34">
        <v>6000</v>
      </c>
      <c r="M34">
        <v>6000</v>
      </c>
      <c r="N34">
        <v>6000</v>
      </c>
      <c r="O34">
        <v>6000</v>
      </c>
      <c r="P34">
        <v>6000</v>
      </c>
      <c r="Q34">
        <v>6000</v>
      </c>
      <c r="R34">
        <v>6000</v>
      </c>
      <c r="S34">
        <v>6000</v>
      </c>
      <c r="T34">
        <v>6000</v>
      </c>
      <c r="U34">
        <v>6000</v>
      </c>
      <c r="V34">
        <v>0</v>
      </c>
      <c r="W34">
        <v>0</v>
      </c>
      <c r="X34">
        <v>6000</v>
      </c>
      <c r="Y34">
        <v>6000</v>
      </c>
      <c r="Z34">
        <v>6000</v>
      </c>
      <c r="AA34">
        <f t="shared" si="0"/>
        <v>6000</v>
      </c>
      <c r="AB34">
        <f t="shared" si="1"/>
        <v>6000</v>
      </c>
      <c r="AC34">
        <f t="shared" si="2"/>
        <v>6000</v>
      </c>
      <c r="AD34">
        <f t="shared" si="3"/>
        <v>6000</v>
      </c>
      <c r="AE34">
        <f t="shared" si="4"/>
        <v>6000</v>
      </c>
      <c r="AF34">
        <f t="shared" si="5"/>
        <v>6000</v>
      </c>
    </row>
    <row r="35" spans="1:32" ht="15" customHeight="1" x14ac:dyDescent="0.35">
      <c r="A35">
        <v>31</v>
      </c>
      <c r="B35" t="s">
        <v>339</v>
      </c>
      <c r="C35" t="s">
        <v>403</v>
      </c>
      <c r="D35">
        <v>60000</v>
      </c>
      <c r="E35">
        <v>60000</v>
      </c>
      <c r="F35">
        <v>60000</v>
      </c>
      <c r="G35">
        <v>60000</v>
      </c>
      <c r="H35">
        <v>60000</v>
      </c>
      <c r="I35">
        <v>60000</v>
      </c>
      <c r="J35">
        <v>60000</v>
      </c>
      <c r="K35">
        <v>60000</v>
      </c>
      <c r="L35">
        <v>60000</v>
      </c>
      <c r="M35">
        <v>60000</v>
      </c>
      <c r="N35">
        <v>60000</v>
      </c>
      <c r="O35">
        <v>60000</v>
      </c>
      <c r="P35">
        <v>60000</v>
      </c>
      <c r="Q35">
        <v>60000</v>
      </c>
      <c r="R35">
        <v>60000</v>
      </c>
      <c r="S35">
        <v>60000</v>
      </c>
      <c r="T35">
        <v>60000</v>
      </c>
      <c r="U35">
        <v>60000</v>
      </c>
      <c r="V35">
        <v>0</v>
      </c>
      <c r="W35">
        <v>0</v>
      </c>
      <c r="X35">
        <v>60000</v>
      </c>
      <c r="Y35">
        <v>60000</v>
      </c>
      <c r="Z35">
        <v>60000</v>
      </c>
      <c r="AA35">
        <f t="shared" si="0"/>
        <v>60000</v>
      </c>
      <c r="AB35">
        <f t="shared" si="1"/>
        <v>60000</v>
      </c>
      <c r="AC35">
        <f t="shared" si="2"/>
        <v>60000</v>
      </c>
      <c r="AD35">
        <f t="shared" si="3"/>
        <v>60000</v>
      </c>
      <c r="AE35">
        <f t="shared" si="4"/>
        <v>60000</v>
      </c>
      <c r="AF35">
        <f t="shared" si="5"/>
        <v>60000</v>
      </c>
    </row>
    <row r="36" spans="1:32" ht="15" customHeight="1" x14ac:dyDescent="0.35">
      <c r="A36">
        <v>32</v>
      </c>
      <c r="B36" t="s">
        <v>341</v>
      </c>
      <c r="C36" t="s">
        <v>403</v>
      </c>
      <c r="D36">
        <v>12000</v>
      </c>
      <c r="E36">
        <v>12000</v>
      </c>
      <c r="F36">
        <v>12000</v>
      </c>
      <c r="G36">
        <v>12000</v>
      </c>
      <c r="H36">
        <v>12000</v>
      </c>
      <c r="I36">
        <v>12000</v>
      </c>
      <c r="J36">
        <v>12000</v>
      </c>
      <c r="K36">
        <v>12000</v>
      </c>
      <c r="L36">
        <v>11000</v>
      </c>
      <c r="M36">
        <v>11000</v>
      </c>
      <c r="N36">
        <v>11000</v>
      </c>
      <c r="O36">
        <v>11000</v>
      </c>
      <c r="P36">
        <v>11000</v>
      </c>
      <c r="Q36">
        <v>11000</v>
      </c>
      <c r="R36">
        <v>11000</v>
      </c>
      <c r="S36">
        <v>11000</v>
      </c>
      <c r="T36">
        <v>11000</v>
      </c>
      <c r="U36">
        <v>11000</v>
      </c>
      <c r="V36">
        <v>0</v>
      </c>
      <c r="W36">
        <v>0</v>
      </c>
      <c r="X36">
        <v>11000</v>
      </c>
      <c r="Y36">
        <v>11000</v>
      </c>
      <c r="Z36">
        <v>11000</v>
      </c>
      <c r="AA36">
        <f t="shared" si="0"/>
        <v>12000</v>
      </c>
      <c r="AB36">
        <f t="shared" si="1"/>
        <v>11600</v>
      </c>
      <c r="AC36">
        <f t="shared" si="2"/>
        <v>11000</v>
      </c>
      <c r="AD36">
        <f t="shared" si="3"/>
        <v>11000</v>
      </c>
      <c r="AE36">
        <f t="shared" si="4"/>
        <v>11000</v>
      </c>
      <c r="AF36">
        <f t="shared" si="5"/>
        <v>11380.952380952382</v>
      </c>
    </row>
    <row r="37" spans="1:32" ht="15" customHeight="1" x14ac:dyDescent="0.35">
      <c r="A37">
        <v>33</v>
      </c>
      <c r="B37" t="s">
        <v>362</v>
      </c>
      <c r="C37" t="s">
        <v>403</v>
      </c>
      <c r="D37">
        <v>8000</v>
      </c>
      <c r="E37">
        <v>8000</v>
      </c>
      <c r="F37">
        <v>8000</v>
      </c>
      <c r="G37">
        <v>8000</v>
      </c>
      <c r="H37">
        <v>8000</v>
      </c>
      <c r="I37">
        <v>8000</v>
      </c>
      <c r="J37">
        <v>8000</v>
      </c>
      <c r="K37">
        <v>8000</v>
      </c>
      <c r="L37">
        <v>8000</v>
      </c>
      <c r="M37">
        <v>7000</v>
      </c>
      <c r="N37">
        <v>7000</v>
      </c>
      <c r="O37">
        <v>7000</v>
      </c>
      <c r="P37">
        <v>7000</v>
      </c>
      <c r="Q37">
        <v>7000</v>
      </c>
      <c r="R37">
        <v>7000</v>
      </c>
      <c r="S37">
        <v>7000</v>
      </c>
      <c r="T37">
        <v>7000</v>
      </c>
      <c r="U37">
        <v>7000</v>
      </c>
      <c r="V37">
        <v>0</v>
      </c>
      <c r="W37">
        <v>0</v>
      </c>
      <c r="X37">
        <v>7000</v>
      </c>
      <c r="Y37">
        <v>7000</v>
      </c>
      <c r="Z37">
        <v>7000</v>
      </c>
      <c r="AA37">
        <f t="shared" si="0"/>
        <v>8000</v>
      </c>
      <c r="AB37">
        <f t="shared" si="1"/>
        <v>7800</v>
      </c>
      <c r="AC37">
        <f t="shared" si="2"/>
        <v>7000</v>
      </c>
      <c r="AD37">
        <f t="shared" si="3"/>
        <v>7000</v>
      </c>
      <c r="AE37">
        <f t="shared" si="4"/>
        <v>7000</v>
      </c>
      <c r="AF37">
        <f t="shared" si="5"/>
        <v>7428.5714285714284</v>
      </c>
    </row>
    <row r="38" spans="1:32" ht="15" customHeight="1" x14ac:dyDescent="0.35">
      <c r="A38">
        <v>34</v>
      </c>
      <c r="B38" t="s">
        <v>409</v>
      </c>
      <c r="C38" t="s">
        <v>403</v>
      </c>
      <c r="D38">
        <v>4000</v>
      </c>
      <c r="E38">
        <v>4000</v>
      </c>
      <c r="F38">
        <v>4000</v>
      </c>
      <c r="G38">
        <v>4000</v>
      </c>
      <c r="H38">
        <v>4000</v>
      </c>
      <c r="I38">
        <v>4000</v>
      </c>
      <c r="J38">
        <v>4000</v>
      </c>
      <c r="K38">
        <v>4000</v>
      </c>
      <c r="L38">
        <v>4000</v>
      </c>
      <c r="M38">
        <v>4000</v>
      </c>
      <c r="N38">
        <v>4000</v>
      </c>
      <c r="O38">
        <v>4000</v>
      </c>
      <c r="P38">
        <v>4000</v>
      </c>
      <c r="Q38">
        <v>4000</v>
      </c>
      <c r="R38">
        <v>4000</v>
      </c>
      <c r="S38">
        <v>4000</v>
      </c>
      <c r="T38">
        <v>4000</v>
      </c>
      <c r="U38">
        <v>4000</v>
      </c>
      <c r="V38">
        <v>0</v>
      </c>
      <c r="W38">
        <v>0</v>
      </c>
      <c r="X38">
        <v>4000</v>
      </c>
      <c r="Y38">
        <v>4000</v>
      </c>
      <c r="Z38">
        <v>4000</v>
      </c>
      <c r="AA38">
        <f t="shared" si="0"/>
        <v>4000</v>
      </c>
      <c r="AB38">
        <f t="shared" si="1"/>
        <v>4000</v>
      </c>
      <c r="AC38">
        <f t="shared" si="2"/>
        <v>4000</v>
      </c>
      <c r="AD38">
        <f t="shared" si="3"/>
        <v>4000</v>
      </c>
      <c r="AE38">
        <f t="shared" si="4"/>
        <v>4000</v>
      </c>
      <c r="AF38">
        <f t="shared" si="5"/>
        <v>4000</v>
      </c>
    </row>
    <row r="39" spans="1:32" ht="15" customHeight="1" x14ac:dyDescent="0.35">
      <c r="A39">
        <v>35</v>
      </c>
      <c r="B39" t="s">
        <v>410</v>
      </c>
      <c r="C39" t="s">
        <v>403</v>
      </c>
      <c r="D39">
        <v>12000</v>
      </c>
      <c r="E39">
        <v>12000</v>
      </c>
      <c r="F39">
        <v>12000</v>
      </c>
      <c r="G39">
        <v>12000</v>
      </c>
      <c r="H39">
        <v>12000</v>
      </c>
      <c r="I39">
        <v>12000</v>
      </c>
      <c r="J39">
        <v>12000</v>
      </c>
      <c r="K39">
        <v>12000</v>
      </c>
      <c r="L39">
        <v>12000</v>
      </c>
      <c r="M39">
        <v>12000</v>
      </c>
      <c r="N39">
        <v>12000</v>
      </c>
      <c r="O39">
        <v>12000</v>
      </c>
      <c r="P39">
        <v>12000</v>
      </c>
      <c r="Q39">
        <v>12000</v>
      </c>
      <c r="R39">
        <v>12000</v>
      </c>
      <c r="S39">
        <v>12000</v>
      </c>
      <c r="T39">
        <v>12000</v>
      </c>
      <c r="U39">
        <v>12000</v>
      </c>
      <c r="V39">
        <v>0</v>
      </c>
      <c r="W39">
        <v>0</v>
      </c>
      <c r="X39">
        <v>12000</v>
      </c>
      <c r="Y39">
        <v>12000</v>
      </c>
      <c r="Z39">
        <v>12000</v>
      </c>
      <c r="AA39">
        <f t="shared" si="0"/>
        <v>12000</v>
      </c>
      <c r="AB39">
        <f t="shared" si="1"/>
        <v>12000</v>
      </c>
      <c r="AC39">
        <f t="shared" si="2"/>
        <v>12000</v>
      </c>
      <c r="AD39">
        <f t="shared" si="3"/>
        <v>12000</v>
      </c>
      <c r="AE39">
        <f t="shared" si="4"/>
        <v>12000</v>
      </c>
      <c r="AF39">
        <f t="shared" si="5"/>
        <v>12000</v>
      </c>
    </row>
    <row r="40" spans="1:32" ht="15" customHeight="1" x14ac:dyDescent="0.35">
      <c r="A40">
        <v>36</v>
      </c>
      <c r="B40" t="s">
        <v>411</v>
      </c>
      <c r="C40" t="s">
        <v>403</v>
      </c>
      <c r="D40">
        <v>4000</v>
      </c>
      <c r="E40">
        <v>4000</v>
      </c>
      <c r="F40">
        <v>4000</v>
      </c>
      <c r="G40">
        <v>4000</v>
      </c>
      <c r="H40">
        <v>4000</v>
      </c>
      <c r="I40">
        <v>4000</v>
      </c>
      <c r="J40">
        <v>4000</v>
      </c>
      <c r="K40">
        <v>4000</v>
      </c>
      <c r="L40">
        <v>4000</v>
      </c>
      <c r="M40">
        <v>4000</v>
      </c>
      <c r="N40">
        <v>4000</v>
      </c>
      <c r="O40">
        <v>4000</v>
      </c>
      <c r="P40">
        <v>4000</v>
      </c>
      <c r="Q40">
        <v>4000</v>
      </c>
      <c r="R40">
        <v>4000</v>
      </c>
      <c r="S40">
        <v>4000</v>
      </c>
      <c r="T40">
        <v>4000</v>
      </c>
      <c r="U40">
        <v>4000</v>
      </c>
      <c r="V40">
        <v>0</v>
      </c>
      <c r="W40">
        <v>0</v>
      </c>
      <c r="X40">
        <v>4000</v>
      </c>
      <c r="Y40">
        <v>4000</v>
      </c>
      <c r="Z40">
        <v>4000</v>
      </c>
      <c r="AA40">
        <f t="shared" si="0"/>
        <v>4000</v>
      </c>
      <c r="AB40">
        <f t="shared" si="1"/>
        <v>4000</v>
      </c>
      <c r="AC40">
        <f t="shared" si="2"/>
        <v>4000</v>
      </c>
      <c r="AD40">
        <f t="shared" si="3"/>
        <v>4000</v>
      </c>
      <c r="AE40">
        <f t="shared" si="4"/>
        <v>4000</v>
      </c>
      <c r="AF40">
        <f t="shared" si="5"/>
        <v>4000</v>
      </c>
    </row>
    <row r="41" spans="1:32" ht="15" customHeight="1" x14ac:dyDescent="0.35">
      <c r="A41">
        <v>37</v>
      </c>
      <c r="B41" t="s">
        <v>412</v>
      </c>
      <c r="C41" t="s">
        <v>403</v>
      </c>
      <c r="D41">
        <v>2000</v>
      </c>
      <c r="E41">
        <v>2000</v>
      </c>
      <c r="F41">
        <v>2000</v>
      </c>
      <c r="G41">
        <v>2000</v>
      </c>
      <c r="H41">
        <v>2000</v>
      </c>
      <c r="I41">
        <v>2000</v>
      </c>
      <c r="J41">
        <v>2000</v>
      </c>
      <c r="K41">
        <v>2000</v>
      </c>
      <c r="L41">
        <v>2000</v>
      </c>
      <c r="M41">
        <v>2000</v>
      </c>
      <c r="N41">
        <v>2000</v>
      </c>
      <c r="O41">
        <v>2000</v>
      </c>
      <c r="P41">
        <v>2000</v>
      </c>
      <c r="Q41">
        <v>2000</v>
      </c>
      <c r="R41">
        <v>2000</v>
      </c>
      <c r="S41">
        <v>2000</v>
      </c>
      <c r="T41">
        <v>2000</v>
      </c>
      <c r="U41">
        <v>2000</v>
      </c>
      <c r="V41">
        <v>0</v>
      </c>
      <c r="W41">
        <v>0</v>
      </c>
      <c r="X41">
        <v>2000</v>
      </c>
      <c r="Y41">
        <v>2000</v>
      </c>
      <c r="Z41">
        <v>2000</v>
      </c>
      <c r="AA41">
        <f t="shared" si="0"/>
        <v>2000</v>
      </c>
      <c r="AB41">
        <f t="shared" si="1"/>
        <v>2000</v>
      </c>
      <c r="AC41">
        <f t="shared" si="2"/>
        <v>2000</v>
      </c>
      <c r="AD41">
        <f t="shared" si="3"/>
        <v>2000</v>
      </c>
      <c r="AE41">
        <f t="shared" si="4"/>
        <v>2000</v>
      </c>
      <c r="AF41">
        <f t="shared" si="5"/>
        <v>2000</v>
      </c>
    </row>
    <row r="42" spans="1:32" ht="15" customHeight="1" x14ac:dyDescent="0.35">
      <c r="A42">
        <v>38</v>
      </c>
      <c r="B42" t="s">
        <v>413</v>
      </c>
      <c r="C42" t="s">
        <v>403</v>
      </c>
      <c r="D42">
        <v>5000</v>
      </c>
      <c r="E42">
        <v>5000</v>
      </c>
      <c r="F42">
        <v>5000</v>
      </c>
      <c r="G42">
        <v>5000</v>
      </c>
      <c r="H42">
        <v>5000</v>
      </c>
      <c r="I42">
        <v>5000</v>
      </c>
      <c r="J42">
        <v>5000</v>
      </c>
      <c r="K42">
        <v>5000</v>
      </c>
      <c r="L42">
        <v>5000</v>
      </c>
      <c r="M42">
        <v>5000</v>
      </c>
      <c r="N42">
        <v>5000</v>
      </c>
      <c r="O42">
        <v>5000</v>
      </c>
      <c r="P42">
        <v>5000</v>
      </c>
      <c r="Q42">
        <v>5000</v>
      </c>
      <c r="R42">
        <v>5000</v>
      </c>
      <c r="S42">
        <v>5000</v>
      </c>
      <c r="T42">
        <v>5000</v>
      </c>
      <c r="U42">
        <v>5000</v>
      </c>
      <c r="V42">
        <v>0</v>
      </c>
      <c r="W42">
        <v>0</v>
      </c>
      <c r="X42">
        <v>5000</v>
      </c>
      <c r="Y42">
        <v>5000</v>
      </c>
      <c r="Z42">
        <v>5000</v>
      </c>
      <c r="AA42">
        <f t="shared" si="0"/>
        <v>5000</v>
      </c>
      <c r="AB42">
        <f t="shared" si="1"/>
        <v>5000</v>
      </c>
      <c r="AC42">
        <f t="shared" si="2"/>
        <v>5000</v>
      </c>
      <c r="AD42">
        <f t="shared" si="3"/>
        <v>5000</v>
      </c>
      <c r="AE42">
        <f t="shared" si="4"/>
        <v>5000</v>
      </c>
      <c r="AF42">
        <f t="shared" si="5"/>
        <v>5000</v>
      </c>
    </row>
    <row r="43" spans="1:32" ht="15" customHeight="1" x14ac:dyDescent="0.35">
      <c r="A43">
        <v>39</v>
      </c>
      <c r="B43" t="s">
        <v>414</v>
      </c>
      <c r="C43" t="s">
        <v>403</v>
      </c>
      <c r="D43">
        <v>5000</v>
      </c>
      <c r="E43">
        <v>5000</v>
      </c>
      <c r="F43">
        <v>5000</v>
      </c>
      <c r="G43">
        <v>5000</v>
      </c>
      <c r="H43">
        <v>5000</v>
      </c>
      <c r="I43">
        <v>5000</v>
      </c>
      <c r="J43">
        <v>5000</v>
      </c>
      <c r="K43">
        <v>5000</v>
      </c>
      <c r="L43">
        <v>5000</v>
      </c>
      <c r="M43">
        <v>5000</v>
      </c>
      <c r="N43">
        <v>5000</v>
      </c>
      <c r="O43">
        <v>5000</v>
      </c>
      <c r="P43">
        <v>5000</v>
      </c>
      <c r="Q43">
        <v>5000</v>
      </c>
      <c r="R43">
        <v>5000</v>
      </c>
      <c r="S43">
        <v>5000</v>
      </c>
      <c r="T43">
        <v>5000</v>
      </c>
      <c r="U43">
        <v>5000</v>
      </c>
      <c r="V43">
        <v>0</v>
      </c>
      <c r="W43">
        <v>0</v>
      </c>
      <c r="X43">
        <v>5000</v>
      </c>
      <c r="Y43">
        <v>5000</v>
      </c>
      <c r="Z43">
        <v>5000</v>
      </c>
      <c r="AA43">
        <f t="shared" si="0"/>
        <v>5000</v>
      </c>
      <c r="AB43">
        <f t="shared" si="1"/>
        <v>5000</v>
      </c>
      <c r="AC43">
        <f t="shared" si="2"/>
        <v>5000</v>
      </c>
      <c r="AD43">
        <f t="shared" si="3"/>
        <v>5000</v>
      </c>
      <c r="AE43">
        <f t="shared" si="4"/>
        <v>5000</v>
      </c>
      <c r="AF43">
        <f t="shared" si="5"/>
        <v>5000</v>
      </c>
    </row>
    <row r="44" spans="1:32" ht="15" customHeight="1" x14ac:dyDescent="0.35">
      <c r="A44">
        <v>40</v>
      </c>
      <c r="B44" t="s">
        <v>415</v>
      </c>
      <c r="C44" t="s">
        <v>403</v>
      </c>
      <c r="D44">
        <v>4000</v>
      </c>
      <c r="E44">
        <v>4000</v>
      </c>
      <c r="F44">
        <v>4000</v>
      </c>
      <c r="G44">
        <v>4000</v>
      </c>
      <c r="H44">
        <v>4000</v>
      </c>
      <c r="I44">
        <v>4000</v>
      </c>
      <c r="J44">
        <v>4000</v>
      </c>
      <c r="K44">
        <v>4000</v>
      </c>
      <c r="L44">
        <v>4000</v>
      </c>
      <c r="M44">
        <v>4000</v>
      </c>
      <c r="N44">
        <v>4000</v>
      </c>
      <c r="O44">
        <v>4000</v>
      </c>
      <c r="P44">
        <v>4000</v>
      </c>
      <c r="Q44">
        <v>4000</v>
      </c>
      <c r="R44">
        <v>4000</v>
      </c>
      <c r="S44">
        <v>4000</v>
      </c>
      <c r="T44">
        <v>4000</v>
      </c>
      <c r="U44">
        <v>4000</v>
      </c>
      <c r="V44">
        <v>0</v>
      </c>
      <c r="W44">
        <v>0</v>
      </c>
      <c r="X44">
        <v>4000</v>
      </c>
      <c r="Y44">
        <v>4000</v>
      </c>
      <c r="Z44">
        <v>4000</v>
      </c>
      <c r="AA44">
        <f t="shared" si="0"/>
        <v>4000</v>
      </c>
      <c r="AB44">
        <f t="shared" si="1"/>
        <v>4000</v>
      </c>
      <c r="AC44">
        <f t="shared" si="2"/>
        <v>4000</v>
      </c>
      <c r="AD44">
        <f t="shared" si="3"/>
        <v>4000</v>
      </c>
      <c r="AE44">
        <f t="shared" si="4"/>
        <v>4000</v>
      </c>
      <c r="AF44">
        <f t="shared" si="5"/>
        <v>4000</v>
      </c>
    </row>
    <row r="45" spans="1:32" ht="15" customHeight="1" x14ac:dyDescent="0.35">
      <c r="A45">
        <v>41</v>
      </c>
      <c r="B45" t="s">
        <v>416</v>
      </c>
      <c r="C45" t="s">
        <v>403</v>
      </c>
      <c r="D45">
        <v>60000</v>
      </c>
      <c r="E45">
        <v>60000</v>
      </c>
      <c r="F45">
        <v>60000</v>
      </c>
      <c r="G45">
        <v>60000</v>
      </c>
      <c r="H45">
        <v>60000</v>
      </c>
      <c r="I45">
        <v>60000</v>
      </c>
      <c r="J45">
        <v>60000</v>
      </c>
      <c r="K45">
        <v>60000</v>
      </c>
      <c r="L45">
        <v>60000</v>
      </c>
      <c r="M45">
        <v>60000</v>
      </c>
      <c r="N45">
        <v>60000</v>
      </c>
      <c r="O45">
        <v>60000</v>
      </c>
      <c r="P45">
        <v>60000</v>
      </c>
      <c r="Q45">
        <v>60000</v>
      </c>
      <c r="R45">
        <v>60000</v>
      </c>
      <c r="S45">
        <v>60000</v>
      </c>
      <c r="T45">
        <v>60000</v>
      </c>
      <c r="U45">
        <v>60000</v>
      </c>
      <c r="V45">
        <v>0</v>
      </c>
      <c r="W45">
        <v>0</v>
      </c>
      <c r="X45">
        <v>60000</v>
      </c>
      <c r="Y45">
        <v>60000</v>
      </c>
      <c r="Z45">
        <v>60000</v>
      </c>
      <c r="AA45">
        <f t="shared" si="0"/>
        <v>60000</v>
      </c>
      <c r="AB45">
        <f t="shared" si="1"/>
        <v>60000</v>
      </c>
      <c r="AC45">
        <f t="shared" si="2"/>
        <v>60000</v>
      </c>
      <c r="AD45">
        <f t="shared" si="3"/>
        <v>60000</v>
      </c>
      <c r="AE45">
        <f t="shared" si="4"/>
        <v>60000</v>
      </c>
      <c r="AF45">
        <f t="shared" si="5"/>
        <v>60000</v>
      </c>
    </row>
    <row r="46" spans="1:32" ht="15" customHeight="1" x14ac:dyDescent="0.35">
      <c r="A46">
        <v>42</v>
      </c>
      <c r="B46" t="s">
        <v>417</v>
      </c>
      <c r="C46" t="s">
        <v>403</v>
      </c>
      <c r="D46">
        <v>35000</v>
      </c>
      <c r="E46">
        <v>35000</v>
      </c>
      <c r="F46">
        <v>35000</v>
      </c>
      <c r="G46">
        <v>35000</v>
      </c>
      <c r="H46">
        <v>35000</v>
      </c>
      <c r="I46">
        <v>35000</v>
      </c>
      <c r="J46">
        <v>35000</v>
      </c>
      <c r="K46">
        <v>35000</v>
      </c>
      <c r="L46">
        <v>35000</v>
      </c>
      <c r="M46">
        <v>35000</v>
      </c>
      <c r="N46">
        <v>35000</v>
      </c>
      <c r="O46">
        <v>35000</v>
      </c>
      <c r="P46">
        <v>35000</v>
      </c>
      <c r="Q46">
        <v>35000</v>
      </c>
      <c r="R46">
        <v>35000</v>
      </c>
      <c r="S46">
        <v>35000</v>
      </c>
      <c r="T46">
        <v>35000</v>
      </c>
      <c r="U46">
        <v>35000</v>
      </c>
      <c r="V46">
        <v>0</v>
      </c>
      <c r="W46">
        <v>0</v>
      </c>
      <c r="X46">
        <v>35000</v>
      </c>
      <c r="Y46">
        <v>35000</v>
      </c>
      <c r="Z46">
        <v>35000</v>
      </c>
      <c r="AA46">
        <f t="shared" si="0"/>
        <v>35000</v>
      </c>
      <c r="AB46">
        <f t="shared" si="1"/>
        <v>35000</v>
      </c>
      <c r="AC46">
        <f t="shared" si="2"/>
        <v>35000</v>
      </c>
      <c r="AD46">
        <f t="shared" si="3"/>
        <v>35000</v>
      </c>
      <c r="AE46">
        <f t="shared" si="4"/>
        <v>35000</v>
      </c>
      <c r="AF46">
        <f t="shared" si="5"/>
        <v>35000</v>
      </c>
    </row>
    <row r="47" spans="1:32" ht="15" customHeight="1" x14ac:dyDescent="0.35">
      <c r="A47">
        <v>43</v>
      </c>
      <c r="B47" t="s">
        <v>418</v>
      </c>
      <c r="C47" t="s">
        <v>403</v>
      </c>
      <c r="D47">
        <v>27000</v>
      </c>
      <c r="E47">
        <v>27000</v>
      </c>
      <c r="F47">
        <v>27000</v>
      </c>
      <c r="G47">
        <v>27000</v>
      </c>
      <c r="H47">
        <v>27000</v>
      </c>
      <c r="I47">
        <v>27000</v>
      </c>
      <c r="J47">
        <v>27000</v>
      </c>
      <c r="K47">
        <v>27000</v>
      </c>
      <c r="L47">
        <v>27000</v>
      </c>
      <c r="M47">
        <v>27000</v>
      </c>
      <c r="N47">
        <v>27000</v>
      </c>
      <c r="O47">
        <v>27000</v>
      </c>
      <c r="P47">
        <v>27000</v>
      </c>
      <c r="Q47">
        <v>27000</v>
      </c>
      <c r="R47">
        <v>27000</v>
      </c>
      <c r="S47">
        <v>27000</v>
      </c>
      <c r="T47">
        <v>27000</v>
      </c>
      <c r="U47">
        <v>27000</v>
      </c>
      <c r="V47">
        <v>0</v>
      </c>
      <c r="W47">
        <v>0</v>
      </c>
      <c r="X47">
        <v>27000</v>
      </c>
      <c r="Y47">
        <v>27000</v>
      </c>
      <c r="Z47">
        <v>27000</v>
      </c>
      <c r="AA47">
        <f t="shared" si="0"/>
        <v>27000</v>
      </c>
      <c r="AB47">
        <f t="shared" si="1"/>
        <v>27000</v>
      </c>
      <c r="AC47">
        <f t="shared" si="2"/>
        <v>27000</v>
      </c>
      <c r="AD47">
        <f t="shared" si="3"/>
        <v>27000</v>
      </c>
      <c r="AE47">
        <f t="shared" si="4"/>
        <v>27000</v>
      </c>
      <c r="AF47">
        <f t="shared" si="5"/>
        <v>27000</v>
      </c>
    </row>
    <row r="48" spans="1:32" ht="15" customHeight="1" x14ac:dyDescent="0.35">
      <c r="A48">
        <v>44</v>
      </c>
      <c r="B48" t="s">
        <v>419</v>
      </c>
      <c r="C48" t="s">
        <v>403</v>
      </c>
      <c r="D48">
        <v>14000</v>
      </c>
      <c r="E48">
        <v>14000</v>
      </c>
      <c r="F48">
        <v>14000</v>
      </c>
      <c r="G48">
        <v>14000</v>
      </c>
      <c r="H48">
        <v>14000</v>
      </c>
      <c r="I48">
        <v>14000</v>
      </c>
      <c r="J48">
        <v>14000</v>
      </c>
      <c r="K48">
        <v>14000</v>
      </c>
      <c r="L48">
        <v>14000</v>
      </c>
      <c r="M48">
        <v>14000</v>
      </c>
      <c r="N48">
        <v>14000</v>
      </c>
      <c r="O48">
        <v>14000</v>
      </c>
      <c r="P48">
        <v>14000</v>
      </c>
      <c r="Q48">
        <v>14000</v>
      </c>
      <c r="R48">
        <v>14000</v>
      </c>
      <c r="S48">
        <v>14000</v>
      </c>
      <c r="T48">
        <v>14000</v>
      </c>
      <c r="U48">
        <v>14000</v>
      </c>
      <c r="V48">
        <v>0</v>
      </c>
      <c r="W48">
        <v>0</v>
      </c>
      <c r="X48">
        <v>14000</v>
      </c>
      <c r="Y48">
        <v>14000</v>
      </c>
      <c r="Z48">
        <v>14000</v>
      </c>
      <c r="AA48">
        <f t="shared" si="0"/>
        <v>14000</v>
      </c>
      <c r="AB48">
        <f t="shared" si="1"/>
        <v>14000</v>
      </c>
      <c r="AC48">
        <f t="shared" si="2"/>
        <v>14000</v>
      </c>
      <c r="AD48">
        <f t="shared" si="3"/>
        <v>14000</v>
      </c>
      <c r="AE48">
        <f t="shared" si="4"/>
        <v>14000</v>
      </c>
      <c r="AF48">
        <f t="shared" si="5"/>
        <v>14000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4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5" customWidth="1"/>
    <col min="2" max="2" width="22" customWidth="1"/>
    <col min="3" max="3" width="6" customWidth="1"/>
    <col min="4" max="25" width="11" customWidth="1"/>
    <col min="26" max="30" width="13" customWidth="1"/>
    <col min="31" max="31" width="14" customWidth="1"/>
  </cols>
  <sheetData>
    <row r="1" spans="1:31" ht="26.25" customHeight="1" x14ac:dyDescent="0.35">
      <c r="A1" s="5" t="s">
        <v>420</v>
      </c>
      <c r="B1" s="5"/>
      <c r="C1" s="5"/>
      <c r="D1" s="5"/>
    </row>
    <row r="2" spans="1:31" ht="18.75" customHeight="1" x14ac:dyDescent="0.35">
      <c r="A2" s="4" t="s">
        <v>371</v>
      </c>
      <c r="B2" s="4"/>
      <c r="C2" s="4"/>
      <c r="D2" s="4"/>
    </row>
    <row r="4" spans="1:31" ht="25.5" customHeight="1" x14ac:dyDescent="0.35">
      <c r="A4" s="6" t="s">
        <v>1</v>
      </c>
      <c r="B4" s="6" t="s">
        <v>372</v>
      </c>
      <c r="C4" s="6" t="s">
        <v>373</v>
      </c>
      <c r="D4" s="6" t="s">
        <v>421</v>
      </c>
      <c r="E4" s="6" t="s">
        <v>422</v>
      </c>
      <c r="F4" s="6" t="s">
        <v>423</v>
      </c>
      <c r="G4" s="6" t="s">
        <v>424</v>
      </c>
      <c r="H4" s="6" t="s">
        <v>425</v>
      </c>
      <c r="I4" s="6" t="s">
        <v>426</v>
      </c>
      <c r="J4" s="6" t="s">
        <v>427</v>
      </c>
      <c r="K4" s="6" t="s">
        <v>428</v>
      </c>
      <c r="L4" s="6" t="s">
        <v>429</v>
      </c>
      <c r="M4" s="6" t="s">
        <v>430</v>
      </c>
      <c r="N4" s="6" t="s">
        <v>431</v>
      </c>
      <c r="O4" s="6" t="s">
        <v>432</v>
      </c>
      <c r="P4" s="6" t="s">
        <v>433</v>
      </c>
      <c r="Q4" s="6" t="s">
        <v>434</v>
      </c>
      <c r="R4" s="6" t="s">
        <v>435</v>
      </c>
      <c r="S4" s="6" t="s">
        <v>436</v>
      </c>
      <c r="T4" s="6" t="s">
        <v>437</v>
      </c>
      <c r="U4" s="6" t="s">
        <v>438</v>
      </c>
      <c r="V4" s="6" t="s">
        <v>439</v>
      </c>
      <c r="W4" s="6" t="s">
        <v>440</v>
      </c>
      <c r="X4" s="6" t="s">
        <v>441</v>
      </c>
      <c r="Y4" s="6" t="s">
        <v>442</v>
      </c>
      <c r="Z4" s="34" t="s">
        <v>443</v>
      </c>
      <c r="AA4" s="34" t="s">
        <v>444</v>
      </c>
      <c r="AB4" s="34" t="s">
        <v>445</v>
      </c>
      <c r="AC4" s="34" t="s">
        <v>446</v>
      </c>
      <c r="AD4" s="34" t="s">
        <v>447</v>
      </c>
      <c r="AE4" s="35" t="s">
        <v>448</v>
      </c>
    </row>
    <row r="5" spans="1:31" ht="15" customHeight="1" x14ac:dyDescent="0.35">
      <c r="A5" s="8">
        <v>1</v>
      </c>
      <c r="B5" s="9" t="s">
        <v>330</v>
      </c>
      <c r="C5" s="8" t="s">
        <v>403</v>
      </c>
      <c r="D5" s="36">
        <v>0</v>
      </c>
      <c r="E5" s="36">
        <v>12500</v>
      </c>
      <c r="F5" s="36">
        <v>12500</v>
      </c>
      <c r="G5" s="36">
        <v>12500</v>
      </c>
      <c r="H5" s="36">
        <v>12500</v>
      </c>
      <c r="I5" s="36">
        <v>12500</v>
      </c>
      <c r="J5" s="36">
        <v>12500</v>
      </c>
      <c r="K5" s="36">
        <v>12500</v>
      </c>
      <c r="L5" s="36">
        <v>12500</v>
      </c>
      <c r="M5" s="36">
        <v>12500</v>
      </c>
      <c r="N5" s="36">
        <v>12500</v>
      </c>
      <c r="O5" s="36">
        <v>0</v>
      </c>
      <c r="P5" s="36">
        <v>12500</v>
      </c>
      <c r="Q5" s="36">
        <v>12500</v>
      </c>
      <c r="R5" s="36">
        <v>12500</v>
      </c>
      <c r="S5" s="36">
        <v>12500</v>
      </c>
      <c r="T5" s="36">
        <v>12500</v>
      </c>
      <c r="U5" s="36">
        <v>12500</v>
      </c>
      <c r="V5" s="36">
        <v>12500</v>
      </c>
      <c r="W5" s="36">
        <v>12500</v>
      </c>
      <c r="X5" s="36">
        <v>12500</v>
      </c>
      <c r="Y5" s="36">
        <v>12500</v>
      </c>
      <c r="Z5" s="18">
        <f t="shared" ref="Z5:Z48" si="0">IFERROR(AVERAGEIF(D5:E5,"&lt;&gt;0"),"")</f>
        <v>12500</v>
      </c>
      <c r="AA5" s="18">
        <f t="shared" ref="AA5:AA48" si="1">IFERROR(AVERAGEIF(F5:J5,"&lt;&gt;0"),"")</f>
        <v>12500</v>
      </c>
      <c r="AB5" s="18">
        <f t="shared" ref="AB5:AB48" si="2">IFERROR(AVERAGEIF(K5:O5,"&lt;&gt;0"),"")</f>
        <v>12500</v>
      </c>
      <c r="AC5" s="18">
        <f t="shared" ref="AC5:AC48" si="3">IFERROR(AVERAGEIF(P5:T5,"&lt;&gt;0"),"")</f>
        <v>12500</v>
      </c>
      <c r="AD5" s="18">
        <f t="shared" ref="AD5:AD48" si="4">IFERROR(AVERAGEIF(U5:Y5,"&lt;&gt;0"),"")</f>
        <v>12500</v>
      </c>
      <c r="AE5" s="18">
        <f t="shared" ref="AE5:AE48" si="5">IFERROR(AVERAGEIF(D5:Y5,"&lt;&gt;0"),"")</f>
        <v>12500</v>
      </c>
    </row>
    <row r="6" spans="1:31" ht="15" customHeight="1" x14ac:dyDescent="0.35">
      <c r="A6" s="8">
        <v>2</v>
      </c>
      <c r="B6" s="9" t="s">
        <v>331</v>
      </c>
      <c r="C6" s="8" t="s">
        <v>403</v>
      </c>
      <c r="D6" s="36">
        <v>0</v>
      </c>
      <c r="E6" s="36">
        <v>14000</v>
      </c>
      <c r="F6" s="36">
        <v>14000</v>
      </c>
      <c r="G6" s="36">
        <v>14000</v>
      </c>
      <c r="H6" s="36">
        <v>14000</v>
      </c>
      <c r="I6" s="36">
        <v>14000</v>
      </c>
      <c r="J6" s="36">
        <v>14000</v>
      </c>
      <c r="K6" s="36">
        <v>14000</v>
      </c>
      <c r="L6" s="36">
        <v>14000</v>
      </c>
      <c r="M6" s="36">
        <v>14000</v>
      </c>
      <c r="N6" s="36">
        <v>14000</v>
      </c>
      <c r="O6" s="36">
        <v>0</v>
      </c>
      <c r="P6" s="36">
        <v>14000</v>
      </c>
      <c r="Q6" s="36">
        <v>14000</v>
      </c>
      <c r="R6" s="36">
        <v>14000</v>
      </c>
      <c r="S6" s="36">
        <v>14000</v>
      </c>
      <c r="T6" s="36">
        <v>14000</v>
      </c>
      <c r="U6" s="36">
        <v>14000</v>
      </c>
      <c r="V6" s="36">
        <v>14000</v>
      </c>
      <c r="W6" s="36">
        <v>14000</v>
      </c>
      <c r="X6" s="36">
        <v>14000</v>
      </c>
      <c r="Y6" s="36">
        <v>14000</v>
      </c>
      <c r="Z6" s="18">
        <f t="shared" si="0"/>
        <v>14000</v>
      </c>
      <c r="AA6" s="18">
        <f t="shared" si="1"/>
        <v>14000</v>
      </c>
      <c r="AB6" s="18">
        <f t="shared" si="2"/>
        <v>14000</v>
      </c>
      <c r="AC6" s="18">
        <f t="shared" si="3"/>
        <v>14000</v>
      </c>
      <c r="AD6" s="18">
        <f t="shared" si="4"/>
        <v>14000</v>
      </c>
      <c r="AE6" s="18">
        <f t="shared" si="5"/>
        <v>14000</v>
      </c>
    </row>
    <row r="7" spans="1:31" ht="15" customHeight="1" x14ac:dyDescent="0.35">
      <c r="A7" s="8">
        <v>3</v>
      </c>
      <c r="B7" s="9" t="s">
        <v>332</v>
      </c>
      <c r="C7" s="8" t="s">
        <v>403</v>
      </c>
      <c r="D7" s="36">
        <v>0</v>
      </c>
      <c r="E7" s="36">
        <v>12500</v>
      </c>
      <c r="F7" s="36">
        <v>12500</v>
      </c>
      <c r="G7" s="36">
        <v>12500</v>
      </c>
      <c r="H7" s="36">
        <v>12500</v>
      </c>
      <c r="I7" s="36">
        <v>12500</v>
      </c>
      <c r="J7" s="36">
        <v>12500</v>
      </c>
      <c r="K7" s="36">
        <v>12500</v>
      </c>
      <c r="L7" s="36">
        <v>12500</v>
      </c>
      <c r="M7" s="36">
        <v>12500</v>
      </c>
      <c r="N7" s="36">
        <v>12500</v>
      </c>
      <c r="O7" s="36">
        <v>0</v>
      </c>
      <c r="P7" s="36">
        <v>12500</v>
      </c>
      <c r="Q7" s="36">
        <v>12500</v>
      </c>
      <c r="R7" s="36">
        <v>12500</v>
      </c>
      <c r="S7" s="36">
        <v>12500</v>
      </c>
      <c r="T7" s="36">
        <v>12500</v>
      </c>
      <c r="U7" s="36">
        <v>12500</v>
      </c>
      <c r="V7" s="36">
        <v>12500</v>
      </c>
      <c r="W7" s="36">
        <v>12500</v>
      </c>
      <c r="X7" s="36">
        <v>12500</v>
      </c>
      <c r="Y7" s="36">
        <v>12500</v>
      </c>
      <c r="Z7" s="18">
        <f t="shared" si="0"/>
        <v>12500</v>
      </c>
      <c r="AA7" s="18">
        <f t="shared" si="1"/>
        <v>12500</v>
      </c>
      <c r="AB7" s="18">
        <f t="shared" si="2"/>
        <v>12500</v>
      </c>
      <c r="AC7" s="18">
        <f t="shared" si="3"/>
        <v>12500</v>
      </c>
      <c r="AD7" s="18">
        <f t="shared" si="4"/>
        <v>12500</v>
      </c>
      <c r="AE7" s="18">
        <f t="shared" si="5"/>
        <v>12500</v>
      </c>
    </row>
    <row r="8" spans="1:31" ht="15" customHeight="1" x14ac:dyDescent="0.35">
      <c r="A8" s="8">
        <v>4</v>
      </c>
      <c r="B8" s="9" t="s">
        <v>404</v>
      </c>
      <c r="C8" s="8" t="s">
        <v>403</v>
      </c>
      <c r="D8" s="36">
        <v>0</v>
      </c>
      <c r="E8" s="36">
        <v>11000</v>
      </c>
      <c r="F8" s="36">
        <v>11000</v>
      </c>
      <c r="G8" s="36">
        <v>11000</v>
      </c>
      <c r="H8" s="36">
        <v>11000</v>
      </c>
      <c r="I8" s="36">
        <v>11000</v>
      </c>
      <c r="J8" s="36">
        <v>11000</v>
      </c>
      <c r="K8" s="36">
        <v>11000</v>
      </c>
      <c r="L8" s="36">
        <v>11000</v>
      </c>
      <c r="M8" s="36">
        <v>11000</v>
      </c>
      <c r="N8" s="36">
        <v>11000</v>
      </c>
      <c r="O8" s="36">
        <v>0</v>
      </c>
      <c r="P8" s="36">
        <v>11000</v>
      </c>
      <c r="Q8" s="36">
        <v>11000</v>
      </c>
      <c r="R8" s="36">
        <v>11000</v>
      </c>
      <c r="S8" s="36">
        <v>11000</v>
      </c>
      <c r="T8" s="36">
        <v>11000</v>
      </c>
      <c r="U8" s="36">
        <v>11000</v>
      </c>
      <c r="V8" s="36">
        <v>11000</v>
      </c>
      <c r="W8" s="36">
        <v>11000</v>
      </c>
      <c r="X8" s="36">
        <v>11000</v>
      </c>
      <c r="Y8" s="36">
        <v>11000</v>
      </c>
      <c r="Z8" s="18">
        <f t="shared" si="0"/>
        <v>11000</v>
      </c>
      <c r="AA8" s="18">
        <f t="shared" si="1"/>
        <v>11000</v>
      </c>
      <c r="AB8" s="18">
        <f t="shared" si="2"/>
        <v>11000</v>
      </c>
      <c r="AC8" s="18">
        <f t="shared" si="3"/>
        <v>11000</v>
      </c>
      <c r="AD8" s="18">
        <f t="shared" si="4"/>
        <v>11000</v>
      </c>
      <c r="AE8" s="18">
        <f t="shared" si="5"/>
        <v>11000</v>
      </c>
    </row>
    <row r="9" spans="1:31" ht="15" customHeight="1" x14ac:dyDescent="0.35">
      <c r="A9" s="8">
        <v>5</v>
      </c>
      <c r="B9" s="9" t="s">
        <v>356</v>
      </c>
      <c r="C9" s="8" t="s">
        <v>403</v>
      </c>
      <c r="D9" s="36">
        <v>0</v>
      </c>
      <c r="E9" s="36">
        <v>25000</v>
      </c>
      <c r="F9" s="36">
        <v>25000</v>
      </c>
      <c r="G9" s="36">
        <v>25000</v>
      </c>
      <c r="H9" s="36">
        <v>25000</v>
      </c>
      <c r="I9" s="36">
        <v>25000</v>
      </c>
      <c r="J9" s="36">
        <v>25000</v>
      </c>
      <c r="K9" s="36">
        <v>25000</v>
      </c>
      <c r="L9" s="36">
        <v>25000</v>
      </c>
      <c r="M9" s="36">
        <v>25000</v>
      </c>
      <c r="N9" s="36">
        <v>22000</v>
      </c>
      <c r="O9" s="36">
        <v>0</v>
      </c>
      <c r="P9" s="36">
        <v>22000</v>
      </c>
      <c r="Q9" s="36">
        <v>22000</v>
      </c>
      <c r="R9" s="36">
        <v>22000</v>
      </c>
      <c r="S9" s="36">
        <v>22000</v>
      </c>
      <c r="T9" s="36">
        <v>22000</v>
      </c>
      <c r="U9" s="36">
        <v>22000</v>
      </c>
      <c r="V9" s="36">
        <v>22000</v>
      </c>
      <c r="W9" s="36">
        <v>22000</v>
      </c>
      <c r="X9" s="36">
        <v>22000</v>
      </c>
      <c r="Y9" s="36">
        <v>22000</v>
      </c>
      <c r="Z9" s="18">
        <f t="shared" si="0"/>
        <v>25000</v>
      </c>
      <c r="AA9" s="18">
        <f t="shared" si="1"/>
        <v>25000</v>
      </c>
      <c r="AB9" s="18">
        <f t="shared" si="2"/>
        <v>24250</v>
      </c>
      <c r="AC9" s="18">
        <f t="shared" si="3"/>
        <v>22000</v>
      </c>
      <c r="AD9" s="18">
        <f t="shared" si="4"/>
        <v>22000</v>
      </c>
      <c r="AE9" s="18">
        <f t="shared" si="5"/>
        <v>23350</v>
      </c>
    </row>
    <row r="10" spans="1:31" ht="15" customHeight="1" x14ac:dyDescent="0.35">
      <c r="A10" s="8">
        <v>6</v>
      </c>
      <c r="B10" s="9" t="s">
        <v>357</v>
      </c>
      <c r="C10" s="8" t="s">
        <v>403</v>
      </c>
      <c r="D10" s="36">
        <v>0</v>
      </c>
      <c r="E10" s="36">
        <v>25000</v>
      </c>
      <c r="F10" s="36">
        <v>25000</v>
      </c>
      <c r="G10" s="36">
        <v>25000</v>
      </c>
      <c r="H10" s="36">
        <v>25000</v>
      </c>
      <c r="I10" s="36">
        <v>25000</v>
      </c>
      <c r="J10" s="36">
        <v>25000</v>
      </c>
      <c r="K10" s="36">
        <v>25000</v>
      </c>
      <c r="L10" s="36">
        <v>25000</v>
      </c>
      <c r="M10" s="36">
        <v>25000</v>
      </c>
      <c r="N10" s="36">
        <v>22000</v>
      </c>
      <c r="O10" s="36">
        <v>0</v>
      </c>
      <c r="P10" s="36">
        <v>22000</v>
      </c>
      <c r="Q10" s="36">
        <v>22000</v>
      </c>
      <c r="R10" s="36">
        <v>22000</v>
      </c>
      <c r="S10" s="36">
        <v>22000</v>
      </c>
      <c r="T10" s="36">
        <v>22000</v>
      </c>
      <c r="U10" s="36">
        <v>22000</v>
      </c>
      <c r="V10" s="36">
        <v>22000</v>
      </c>
      <c r="W10" s="36">
        <v>22000</v>
      </c>
      <c r="X10" s="36">
        <v>22000</v>
      </c>
      <c r="Y10" s="36">
        <v>22000</v>
      </c>
      <c r="Z10" s="18">
        <f t="shared" si="0"/>
        <v>25000</v>
      </c>
      <c r="AA10" s="18">
        <f t="shared" si="1"/>
        <v>25000</v>
      </c>
      <c r="AB10" s="18">
        <f t="shared" si="2"/>
        <v>24250</v>
      </c>
      <c r="AC10" s="18">
        <f t="shared" si="3"/>
        <v>22000</v>
      </c>
      <c r="AD10" s="18">
        <f t="shared" si="4"/>
        <v>22000</v>
      </c>
      <c r="AE10" s="18">
        <f t="shared" si="5"/>
        <v>23350</v>
      </c>
    </row>
    <row r="11" spans="1:31" ht="15" customHeight="1" x14ac:dyDescent="0.35">
      <c r="A11" s="8">
        <v>7</v>
      </c>
      <c r="B11" s="9" t="s">
        <v>343</v>
      </c>
      <c r="C11" s="8" t="s">
        <v>403</v>
      </c>
      <c r="D11" s="36">
        <v>0</v>
      </c>
      <c r="E11" s="36">
        <v>30000</v>
      </c>
      <c r="F11" s="36">
        <v>30000</v>
      </c>
      <c r="G11" s="36">
        <v>30000</v>
      </c>
      <c r="H11" s="36">
        <v>30000</v>
      </c>
      <c r="I11" s="36">
        <v>30000</v>
      </c>
      <c r="J11" s="36">
        <v>30000</v>
      </c>
      <c r="K11" s="36">
        <v>30000</v>
      </c>
      <c r="L11" s="36">
        <v>30000</v>
      </c>
      <c r="M11" s="36">
        <v>30000</v>
      </c>
      <c r="N11" s="36">
        <v>30000</v>
      </c>
      <c r="O11" s="36">
        <v>0</v>
      </c>
      <c r="P11" s="36">
        <v>30000</v>
      </c>
      <c r="Q11" s="36">
        <v>30000</v>
      </c>
      <c r="R11" s="36">
        <v>30000</v>
      </c>
      <c r="S11" s="36">
        <v>30000</v>
      </c>
      <c r="T11" s="36">
        <v>30000</v>
      </c>
      <c r="U11" s="36">
        <v>30000</v>
      </c>
      <c r="V11" s="36">
        <v>30000</v>
      </c>
      <c r="W11" s="36">
        <v>30000</v>
      </c>
      <c r="X11" s="36">
        <v>30000</v>
      </c>
      <c r="Y11" s="36">
        <v>30000</v>
      </c>
      <c r="Z11" s="18">
        <f t="shared" si="0"/>
        <v>30000</v>
      </c>
      <c r="AA11" s="18">
        <f t="shared" si="1"/>
        <v>30000</v>
      </c>
      <c r="AB11" s="18">
        <f t="shared" si="2"/>
        <v>30000</v>
      </c>
      <c r="AC11" s="18">
        <f t="shared" si="3"/>
        <v>30000</v>
      </c>
      <c r="AD11" s="18">
        <f t="shared" si="4"/>
        <v>30000</v>
      </c>
      <c r="AE11" s="18">
        <f t="shared" si="5"/>
        <v>30000</v>
      </c>
    </row>
    <row r="12" spans="1:31" ht="15" customHeight="1" x14ac:dyDescent="0.35">
      <c r="A12" s="8">
        <v>8</v>
      </c>
      <c r="B12" s="9" t="s">
        <v>350</v>
      </c>
      <c r="C12" s="8" t="s">
        <v>403</v>
      </c>
      <c r="D12" s="36">
        <v>0</v>
      </c>
      <c r="E12" s="36">
        <v>28000</v>
      </c>
      <c r="F12" s="36">
        <v>28000</v>
      </c>
      <c r="G12" s="36">
        <v>28000</v>
      </c>
      <c r="H12" s="36">
        <v>28000</v>
      </c>
      <c r="I12" s="36">
        <v>28000</v>
      </c>
      <c r="J12" s="36">
        <v>28000</v>
      </c>
      <c r="K12" s="36">
        <v>28000</v>
      </c>
      <c r="L12" s="36">
        <v>28000</v>
      </c>
      <c r="M12" s="36">
        <v>28000</v>
      </c>
      <c r="N12" s="36">
        <v>28000</v>
      </c>
      <c r="O12" s="36">
        <v>0</v>
      </c>
      <c r="P12" s="36">
        <v>28000</v>
      </c>
      <c r="Q12" s="36">
        <v>28000</v>
      </c>
      <c r="R12" s="36">
        <v>28000</v>
      </c>
      <c r="S12" s="36">
        <v>28000</v>
      </c>
      <c r="T12" s="36">
        <v>28000</v>
      </c>
      <c r="U12" s="36">
        <v>28000</v>
      </c>
      <c r="V12" s="36">
        <v>28000</v>
      </c>
      <c r="W12" s="36">
        <v>28000</v>
      </c>
      <c r="X12" s="36">
        <v>28000</v>
      </c>
      <c r="Y12" s="36">
        <v>28000</v>
      </c>
      <c r="Z12" s="18">
        <f t="shared" si="0"/>
        <v>28000</v>
      </c>
      <c r="AA12" s="18">
        <f t="shared" si="1"/>
        <v>28000</v>
      </c>
      <c r="AB12" s="18">
        <f t="shared" si="2"/>
        <v>28000</v>
      </c>
      <c r="AC12" s="18">
        <f t="shared" si="3"/>
        <v>28000</v>
      </c>
      <c r="AD12" s="18">
        <f t="shared" si="4"/>
        <v>28000</v>
      </c>
      <c r="AE12" s="18">
        <f t="shared" si="5"/>
        <v>28000</v>
      </c>
    </row>
    <row r="13" spans="1:31" ht="15" customHeight="1" x14ac:dyDescent="0.35">
      <c r="A13" s="8">
        <v>9</v>
      </c>
      <c r="B13" s="9" t="s">
        <v>345</v>
      </c>
      <c r="C13" s="8" t="s">
        <v>403</v>
      </c>
      <c r="D13" s="36">
        <v>0</v>
      </c>
      <c r="E13" s="36">
        <v>15000</v>
      </c>
      <c r="F13" s="36">
        <v>15000</v>
      </c>
      <c r="G13" s="36">
        <v>15000</v>
      </c>
      <c r="H13" s="36">
        <v>15000</v>
      </c>
      <c r="I13" s="36">
        <v>15000</v>
      </c>
      <c r="J13" s="36">
        <v>15000</v>
      </c>
      <c r="K13" s="36">
        <v>15000</v>
      </c>
      <c r="L13" s="36">
        <v>15000</v>
      </c>
      <c r="M13" s="36">
        <v>15000</v>
      </c>
      <c r="N13" s="36">
        <v>15000</v>
      </c>
      <c r="O13" s="36">
        <v>0</v>
      </c>
      <c r="P13" s="36">
        <v>15000</v>
      </c>
      <c r="Q13" s="36">
        <v>15000</v>
      </c>
      <c r="R13" s="36">
        <v>15000</v>
      </c>
      <c r="S13" s="36">
        <v>15000</v>
      </c>
      <c r="T13" s="36">
        <v>15000</v>
      </c>
      <c r="U13" s="36">
        <v>15000</v>
      </c>
      <c r="V13" s="36">
        <v>15000</v>
      </c>
      <c r="W13" s="36">
        <v>15000</v>
      </c>
      <c r="X13" s="36">
        <v>15000</v>
      </c>
      <c r="Y13" s="36">
        <v>15000</v>
      </c>
      <c r="Z13" s="18">
        <f t="shared" si="0"/>
        <v>15000</v>
      </c>
      <c r="AA13" s="18">
        <f t="shared" si="1"/>
        <v>15000</v>
      </c>
      <c r="AB13" s="18">
        <f t="shared" si="2"/>
        <v>15000</v>
      </c>
      <c r="AC13" s="18">
        <f t="shared" si="3"/>
        <v>15000</v>
      </c>
      <c r="AD13" s="18">
        <f t="shared" si="4"/>
        <v>15000</v>
      </c>
      <c r="AE13" s="18">
        <f t="shared" si="5"/>
        <v>15000</v>
      </c>
    </row>
    <row r="14" spans="1:31" ht="15" customHeight="1" x14ac:dyDescent="0.35">
      <c r="A14" s="8">
        <v>10</v>
      </c>
      <c r="B14" s="9" t="s">
        <v>336</v>
      </c>
      <c r="C14" s="8" t="s">
        <v>449</v>
      </c>
      <c r="D14" s="36">
        <v>0</v>
      </c>
      <c r="E14" s="36">
        <v>15000</v>
      </c>
      <c r="F14" s="36">
        <v>15000</v>
      </c>
      <c r="G14" s="36">
        <v>15000</v>
      </c>
      <c r="H14" s="36">
        <v>15000</v>
      </c>
      <c r="I14" s="36">
        <v>15000</v>
      </c>
      <c r="J14" s="36">
        <v>15000</v>
      </c>
      <c r="K14" s="36">
        <v>15000</v>
      </c>
      <c r="L14" s="36">
        <v>15000</v>
      </c>
      <c r="M14" s="36">
        <v>15000</v>
      </c>
      <c r="N14" s="36">
        <v>15000</v>
      </c>
      <c r="O14" s="36">
        <v>0</v>
      </c>
      <c r="P14" s="36">
        <v>15000</v>
      </c>
      <c r="Q14" s="36">
        <v>15000</v>
      </c>
      <c r="R14" s="36">
        <v>15000</v>
      </c>
      <c r="S14" s="36">
        <v>15000</v>
      </c>
      <c r="T14" s="36">
        <v>15000</v>
      </c>
      <c r="U14" s="36">
        <v>15000</v>
      </c>
      <c r="V14" s="36">
        <v>15000</v>
      </c>
      <c r="W14" s="36">
        <v>15000</v>
      </c>
      <c r="X14" s="36">
        <v>15000</v>
      </c>
      <c r="Y14" s="36">
        <v>15000</v>
      </c>
      <c r="Z14" s="18">
        <f t="shared" si="0"/>
        <v>15000</v>
      </c>
      <c r="AA14" s="18">
        <f t="shared" si="1"/>
        <v>15000</v>
      </c>
      <c r="AB14" s="18">
        <f t="shared" si="2"/>
        <v>15000</v>
      </c>
      <c r="AC14" s="18">
        <f t="shared" si="3"/>
        <v>15000</v>
      </c>
      <c r="AD14" s="18">
        <f t="shared" si="4"/>
        <v>15000</v>
      </c>
      <c r="AE14" s="18">
        <f t="shared" si="5"/>
        <v>15000</v>
      </c>
    </row>
    <row r="15" spans="1:31" ht="21.75" customHeight="1" x14ac:dyDescent="0.35">
      <c r="A15" s="8">
        <v>11</v>
      </c>
      <c r="B15" s="9" t="s">
        <v>337</v>
      </c>
      <c r="C15" s="8" t="s">
        <v>449</v>
      </c>
      <c r="D15" s="36">
        <v>0</v>
      </c>
      <c r="E15" s="36">
        <v>18000</v>
      </c>
      <c r="F15" s="36">
        <v>18000</v>
      </c>
      <c r="G15" s="36">
        <v>18000</v>
      </c>
      <c r="H15" s="36">
        <v>18000</v>
      </c>
      <c r="I15" s="36">
        <v>18000</v>
      </c>
      <c r="J15" s="36">
        <v>18000</v>
      </c>
      <c r="K15" s="36">
        <v>18000</v>
      </c>
      <c r="L15" s="36">
        <v>18000</v>
      </c>
      <c r="M15" s="36">
        <v>18000</v>
      </c>
      <c r="N15" s="36">
        <v>18000</v>
      </c>
      <c r="O15" s="36">
        <v>0</v>
      </c>
      <c r="P15" s="36">
        <v>18000</v>
      </c>
      <c r="Q15" s="36">
        <v>18000</v>
      </c>
      <c r="R15" s="36">
        <v>18000</v>
      </c>
      <c r="S15" s="36">
        <v>18000</v>
      </c>
      <c r="T15" s="36">
        <v>18000</v>
      </c>
      <c r="U15" s="36">
        <v>18000</v>
      </c>
      <c r="V15" s="36">
        <v>18000</v>
      </c>
      <c r="W15" s="36">
        <v>18000</v>
      </c>
      <c r="X15" s="36">
        <v>18000</v>
      </c>
      <c r="Y15" s="36">
        <v>18000</v>
      </c>
      <c r="Z15" s="18">
        <f t="shared" si="0"/>
        <v>18000</v>
      </c>
      <c r="AA15" s="18">
        <f t="shared" si="1"/>
        <v>18000</v>
      </c>
      <c r="AB15" s="18">
        <f t="shared" si="2"/>
        <v>18000</v>
      </c>
      <c r="AC15" s="18">
        <f t="shared" si="3"/>
        <v>18000</v>
      </c>
      <c r="AD15" s="18">
        <f t="shared" si="4"/>
        <v>18000</v>
      </c>
      <c r="AE15" s="18">
        <f t="shared" si="5"/>
        <v>18000</v>
      </c>
    </row>
    <row r="16" spans="1:31" ht="15" customHeight="1" x14ac:dyDescent="0.35">
      <c r="A16" s="8">
        <v>12</v>
      </c>
      <c r="B16" s="9" t="s">
        <v>338</v>
      </c>
      <c r="C16" s="8" t="s">
        <v>449</v>
      </c>
      <c r="D16" s="36">
        <v>0</v>
      </c>
      <c r="E16" s="36">
        <v>15700</v>
      </c>
      <c r="F16" s="36">
        <v>15700</v>
      </c>
      <c r="G16" s="36">
        <v>15700</v>
      </c>
      <c r="H16" s="36">
        <v>15700</v>
      </c>
      <c r="I16" s="36">
        <v>15700</v>
      </c>
      <c r="J16" s="36">
        <v>15700</v>
      </c>
      <c r="K16" s="36">
        <v>15700</v>
      </c>
      <c r="L16" s="36">
        <v>15700</v>
      </c>
      <c r="M16" s="36">
        <v>15700</v>
      </c>
      <c r="N16" s="36">
        <v>15700</v>
      </c>
      <c r="O16" s="36">
        <v>0</v>
      </c>
      <c r="P16" s="36">
        <v>15700</v>
      </c>
      <c r="Q16" s="36">
        <v>15700</v>
      </c>
      <c r="R16" s="36">
        <v>15700</v>
      </c>
      <c r="S16" s="36">
        <v>15700</v>
      </c>
      <c r="T16" s="36">
        <v>15700</v>
      </c>
      <c r="U16" s="36">
        <v>15700</v>
      </c>
      <c r="V16" s="36">
        <v>15700</v>
      </c>
      <c r="W16" s="36">
        <v>15700</v>
      </c>
      <c r="X16" s="36">
        <v>15700</v>
      </c>
      <c r="Y16" s="36">
        <v>15700</v>
      </c>
      <c r="Z16" s="18">
        <f t="shared" si="0"/>
        <v>15700</v>
      </c>
      <c r="AA16" s="18">
        <f t="shared" si="1"/>
        <v>15700</v>
      </c>
      <c r="AB16" s="18">
        <f t="shared" si="2"/>
        <v>15700</v>
      </c>
      <c r="AC16" s="18">
        <f t="shared" si="3"/>
        <v>15700</v>
      </c>
      <c r="AD16" s="18">
        <f t="shared" si="4"/>
        <v>15700</v>
      </c>
      <c r="AE16" s="18">
        <f t="shared" si="5"/>
        <v>15700</v>
      </c>
    </row>
    <row r="17" spans="1:31" ht="15" customHeight="1" x14ac:dyDescent="0.35">
      <c r="A17" s="8">
        <v>13</v>
      </c>
      <c r="B17" s="9" t="s">
        <v>333</v>
      </c>
      <c r="C17" s="8" t="s">
        <v>403</v>
      </c>
      <c r="D17" s="36">
        <v>0</v>
      </c>
      <c r="E17" s="36">
        <v>11000</v>
      </c>
      <c r="F17" s="36">
        <v>11000</v>
      </c>
      <c r="G17" s="36">
        <v>11000</v>
      </c>
      <c r="H17" s="36">
        <v>11000</v>
      </c>
      <c r="I17" s="36">
        <v>11000</v>
      </c>
      <c r="J17" s="36">
        <v>11000</v>
      </c>
      <c r="K17" s="36">
        <v>11000</v>
      </c>
      <c r="L17" s="36">
        <v>11000</v>
      </c>
      <c r="M17" s="36">
        <v>11000</v>
      </c>
      <c r="N17" s="36">
        <v>11000</v>
      </c>
      <c r="O17" s="36">
        <v>0</v>
      </c>
      <c r="P17" s="36">
        <v>11000</v>
      </c>
      <c r="Q17" s="36">
        <v>11000</v>
      </c>
      <c r="R17" s="36">
        <v>11000</v>
      </c>
      <c r="S17" s="36">
        <v>11000</v>
      </c>
      <c r="T17" s="36">
        <v>11000</v>
      </c>
      <c r="U17" s="36">
        <v>11000</v>
      </c>
      <c r="V17" s="36">
        <v>11000</v>
      </c>
      <c r="W17" s="36">
        <v>11000</v>
      </c>
      <c r="X17" s="36">
        <v>11000</v>
      </c>
      <c r="Y17" s="36">
        <v>11000</v>
      </c>
      <c r="Z17" s="18">
        <f t="shared" si="0"/>
        <v>11000</v>
      </c>
      <c r="AA17" s="18">
        <f t="shared" si="1"/>
        <v>11000</v>
      </c>
      <c r="AB17" s="18">
        <f t="shared" si="2"/>
        <v>11000</v>
      </c>
      <c r="AC17" s="18">
        <f t="shared" si="3"/>
        <v>11000</v>
      </c>
      <c r="AD17" s="18">
        <f t="shared" si="4"/>
        <v>11000</v>
      </c>
      <c r="AE17" s="18">
        <f t="shared" si="5"/>
        <v>11000</v>
      </c>
    </row>
    <row r="18" spans="1:31" ht="15" customHeight="1" x14ac:dyDescent="0.35">
      <c r="A18" s="8">
        <v>14</v>
      </c>
      <c r="B18" s="9" t="s">
        <v>335</v>
      </c>
      <c r="C18" s="8" t="s">
        <v>403</v>
      </c>
      <c r="D18" s="36">
        <v>0</v>
      </c>
      <c r="E18" s="36">
        <v>26000</v>
      </c>
      <c r="F18" s="36">
        <v>26000</v>
      </c>
      <c r="G18" s="36">
        <v>26000</v>
      </c>
      <c r="H18" s="36">
        <v>26000</v>
      </c>
      <c r="I18" s="36">
        <v>26000</v>
      </c>
      <c r="J18" s="36">
        <v>26000</v>
      </c>
      <c r="K18" s="36">
        <v>26000</v>
      </c>
      <c r="L18" s="36">
        <v>26000</v>
      </c>
      <c r="M18" s="36">
        <v>26000</v>
      </c>
      <c r="N18" s="36">
        <v>26000</v>
      </c>
      <c r="O18" s="36">
        <v>0</v>
      </c>
      <c r="P18" s="36">
        <v>26000</v>
      </c>
      <c r="Q18" s="36">
        <v>26000</v>
      </c>
      <c r="R18" s="36">
        <v>26000</v>
      </c>
      <c r="S18" s="36">
        <v>26000</v>
      </c>
      <c r="T18" s="36">
        <v>26000</v>
      </c>
      <c r="U18" s="36">
        <v>26000</v>
      </c>
      <c r="V18" s="36">
        <v>26000</v>
      </c>
      <c r="W18" s="36">
        <v>26000</v>
      </c>
      <c r="X18" s="36">
        <v>26000</v>
      </c>
      <c r="Y18" s="36">
        <v>26000</v>
      </c>
      <c r="Z18" s="18">
        <f t="shared" si="0"/>
        <v>26000</v>
      </c>
      <c r="AA18" s="18">
        <f t="shared" si="1"/>
        <v>26000</v>
      </c>
      <c r="AB18" s="18">
        <f t="shared" si="2"/>
        <v>26000</v>
      </c>
      <c r="AC18" s="18">
        <f t="shared" si="3"/>
        <v>26000</v>
      </c>
      <c r="AD18" s="18">
        <f t="shared" si="4"/>
        <v>26000</v>
      </c>
      <c r="AE18" s="18">
        <f t="shared" si="5"/>
        <v>26000</v>
      </c>
    </row>
    <row r="19" spans="1:31" ht="15" customHeight="1" x14ac:dyDescent="0.35">
      <c r="A19" s="8">
        <v>15</v>
      </c>
      <c r="B19" s="9" t="s">
        <v>344</v>
      </c>
      <c r="C19" s="8" t="s">
        <v>403</v>
      </c>
      <c r="D19" s="36">
        <v>0</v>
      </c>
      <c r="E19" s="36">
        <v>25000</v>
      </c>
      <c r="F19" s="36">
        <v>25000</v>
      </c>
      <c r="G19" s="36">
        <v>25000</v>
      </c>
      <c r="H19" s="36">
        <v>25000</v>
      </c>
      <c r="I19" s="36">
        <v>25000</v>
      </c>
      <c r="J19" s="36">
        <v>25000</v>
      </c>
      <c r="K19" s="36">
        <v>25000</v>
      </c>
      <c r="L19" s="36">
        <v>25000</v>
      </c>
      <c r="M19" s="36">
        <v>25000</v>
      </c>
      <c r="N19" s="36">
        <v>25000</v>
      </c>
      <c r="O19" s="36">
        <v>0</v>
      </c>
      <c r="P19" s="36">
        <v>25000</v>
      </c>
      <c r="Q19" s="36">
        <v>25000</v>
      </c>
      <c r="R19" s="36">
        <v>25000</v>
      </c>
      <c r="S19" s="36">
        <v>25000</v>
      </c>
      <c r="T19" s="36">
        <v>25000</v>
      </c>
      <c r="U19" s="36">
        <v>25000</v>
      </c>
      <c r="V19" s="36">
        <v>25000</v>
      </c>
      <c r="W19" s="36">
        <v>25000</v>
      </c>
      <c r="X19" s="36">
        <v>25000</v>
      </c>
      <c r="Y19" s="36">
        <v>25000</v>
      </c>
      <c r="Z19" s="18">
        <f t="shared" si="0"/>
        <v>25000</v>
      </c>
      <c r="AA19" s="18">
        <f t="shared" si="1"/>
        <v>25000</v>
      </c>
      <c r="AB19" s="18">
        <f t="shared" si="2"/>
        <v>25000</v>
      </c>
      <c r="AC19" s="18">
        <f t="shared" si="3"/>
        <v>25000</v>
      </c>
      <c r="AD19" s="18">
        <f t="shared" si="4"/>
        <v>25000</v>
      </c>
      <c r="AE19" s="18">
        <f t="shared" si="5"/>
        <v>25000</v>
      </c>
    </row>
    <row r="20" spans="1:31" ht="15" customHeight="1" x14ac:dyDescent="0.35">
      <c r="A20" s="8">
        <v>16</v>
      </c>
      <c r="B20" s="9" t="s">
        <v>358</v>
      </c>
      <c r="C20" s="8" t="s">
        <v>403</v>
      </c>
      <c r="D20" s="36">
        <v>0</v>
      </c>
      <c r="E20" s="36">
        <v>110000</v>
      </c>
      <c r="F20" s="36">
        <v>110000</v>
      </c>
      <c r="G20" s="36">
        <v>110000</v>
      </c>
      <c r="H20" s="36">
        <v>110000</v>
      </c>
      <c r="I20" s="36">
        <v>110000</v>
      </c>
      <c r="J20" s="36">
        <v>110000</v>
      </c>
      <c r="K20" s="36">
        <v>110000</v>
      </c>
      <c r="L20" s="36">
        <v>110000</v>
      </c>
      <c r="M20" s="36">
        <v>110000</v>
      </c>
      <c r="N20" s="36">
        <v>110000</v>
      </c>
      <c r="O20" s="36">
        <v>0</v>
      </c>
      <c r="P20" s="36">
        <v>110000</v>
      </c>
      <c r="Q20" s="36">
        <v>110000</v>
      </c>
      <c r="R20" s="36">
        <v>110000</v>
      </c>
      <c r="S20" s="36">
        <v>110000</v>
      </c>
      <c r="T20" s="36">
        <v>110000</v>
      </c>
      <c r="U20" s="36">
        <v>110000</v>
      </c>
      <c r="V20" s="36">
        <v>110000</v>
      </c>
      <c r="W20" s="36">
        <v>110000</v>
      </c>
      <c r="X20" s="36">
        <v>110000</v>
      </c>
      <c r="Y20" s="36">
        <v>110000</v>
      </c>
      <c r="Z20" s="18">
        <f t="shared" si="0"/>
        <v>110000</v>
      </c>
      <c r="AA20" s="18">
        <f t="shared" si="1"/>
        <v>110000</v>
      </c>
      <c r="AB20" s="18">
        <f t="shared" si="2"/>
        <v>110000</v>
      </c>
      <c r="AC20" s="18">
        <f t="shared" si="3"/>
        <v>110000</v>
      </c>
      <c r="AD20" s="18">
        <f t="shared" si="4"/>
        <v>110000</v>
      </c>
      <c r="AE20" s="18">
        <f t="shared" si="5"/>
        <v>110000</v>
      </c>
    </row>
    <row r="21" spans="1:31" ht="15" customHeight="1" x14ac:dyDescent="0.35">
      <c r="A21" s="8">
        <v>17</v>
      </c>
      <c r="B21" s="9" t="s">
        <v>359</v>
      </c>
      <c r="C21" s="8" t="s">
        <v>403</v>
      </c>
      <c r="D21" s="36">
        <v>0</v>
      </c>
      <c r="E21" s="36">
        <v>60000</v>
      </c>
      <c r="F21" s="36">
        <v>60000</v>
      </c>
      <c r="G21" s="36">
        <v>60000</v>
      </c>
      <c r="H21" s="36">
        <v>60000</v>
      </c>
      <c r="I21" s="36">
        <v>60000</v>
      </c>
      <c r="J21" s="36">
        <v>60000</v>
      </c>
      <c r="K21" s="36">
        <v>60000</v>
      </c>
      <c r="L21" s="36">
        <v>60000</v>
      </c>
      <c r="M21" s="36">
        <v>60000</v>
      </c>
      <c r="N21" s="36">
        <v>60000</v>
      </c>
      <c r="O21" s="36">
        <v>0</v>
      </c>
      <c r="P21" s="36">
        <v>60000</v>
      </c>
      <c r="Q21" s="36">
        <v>60000</v>
      </c>
      <c r="R21" s="36">
        <v>60000</v>
      </c>
      <c r="S21" s="36">
        <v>60000</v>
      </c>
      <c r="T21" s="36">
        <v>60000</v>
      </c>
      <c r="U21" s="36">
        <v>60000</v>
      </c>
      <c r="V21" s="36">
        <v>60000</v>
      </c>
      <c r="W21" s="36">
        <v>60000</v>
      </c>
      <c r="X21" s="36">
        <v>60000</v>
      </c>
      <c r="Y21" s="36">
        <v>60000</v>
      </c>
      <c r="Z21" s="18">
        <f t="shared" si="0"/>
        <v>60000</v>
      </c>
      <c r="AA21" s="18">
        <f t="shared" si="1"/>
        <v>60000</v>
      </c>
      <c r="AB21" s="18">
        <f t="shared" si="2"/>
        <v>60000</v>
      </c>
      <c r="AC21" s="18">
        <f t="shared" si="3"/>
        <v>60000</v>
      </c>
      <c r="AD21" s="18">
        <f t="shared" si="4"/>
        <v>60000</v>
      </c>
      <c r="AE21" s="18">
        <f t="shared" si="5"/>
        <v>60000</v>
      </c>
    </row>
    <row r="22" spans="1:31" ht="15" customHeight="1" x14ac:dyDescent="0.35">
      <c r="A22" s="8">
        <v>18</v>
      </c>
      <c r="B22" s="9" t="s">
        <v>360</v>
      </c>
      <c r="C22" s="8" t="s">
        <v>403</v>
      </c>
      <c r="D22" s="36">
        <v>0</v>
      </c>
      <c r="E22" s="36">
        <v>55000</v>
      </c>
      <c r="F22" s="36">
        <v>55000</v>
      </c>
      <c r="G22" s="36">
        <v>55000</v>
      </c>
      <c r="H22" s="36">
        <v>55000</v>
      </c>
      <c r="I22" s="36">
        <v>55000</v>
      </c>
      <c r="J22" s="36">
        <v>55000</v>
      </c>
      <c r="K22" s="36">
        <v>55000</v>
      </c>
      <c r="L22" s="36">
        <v>55000</v>
      </c>
      <c r="M22" s="36">
        <v>55000</v>
      </c>
      <c r="N22" s="36">
        <v>55000</v>
      </c>
      <c r="O22" s="36">
        <v>0</v>
      </c>
      <c r="P22" s="36">
        <v>55000</v>
      </c>
      <c r="Q22" s="36">
        <v>55000</v>
      </c>
      <c r="R22" s="36">
        <v>55000</v>
      </c>
      <c r="S22" s="36">
        <v>55000</v>
      </c>
      <c r="T22" s="36">
        <v>55000</v>
      </c>
      <c r="U22" s="36">
        <v>55000</v>
      </c>
      <c r="V22" s="36">
        <v>55000</v>
      </c>
      <c r="W22" s="36">
        <v>55000</v>
      </c>
      <c r="X22" s="36">
        <v>55000</v>
      </c>
      <c r="Y22" s="36">
        <v>55000</v>
      </c>
      <c r="Z22" s="18">
        <f t="shared" si="0"/>
        <v>55000</v>
      </c>
      <c r="AA22" s="18">
        <f t="shared" si="1"/>
        <v>55000</v>
      </c>
      <c r="AB22" s="18">
        <f t="shared" si="2"/>
        <v>55000</v>
      </c>
      <c r="AC22" s="18">
        <f t="shared" si="3"/>
        <v>55000</v>
      </c>
      <c r="AD22" s="18">
        <f t="shared" si="4"/>
        <v>55000</v>
      </c>
      <c r="AE22" s="18">
        <f t="shared" si="5"/>
        <v>55000</v>
      </c>
    </row>
    <row r="23" spans="1:31" ht="15" customHeight="1" x14ac:dyDescent="0.35">
      <c r="A23" s="8">
        <v>19</v>
      </c>
      <c r="B23" s="9" t="s">
        <v>405</v>
      </c>
      <c r="C23" s="8" t="s">
        <v>403</v>
      </c>
      <c r="D23" s="36">
        <v>0</v>
      </c>
      <c r="E23" s="36">
        <v>28000</v>
      </c>
      <c r="F23" s="36">
        <v>28000</v>
      </c>
      <c r="G23" s="36">
        <v>28000</v>
      </c>
      <c r="H23" s="36">
        <v>28000</v>
      </c>
      <c r="I23" s="36">
        <v>28000</v>
      </c>
      <c r="J23" s="36">
        <v>28000</v>
      </c>
      <c r="K23" s="36">
        <v>28000</v>
      </c>
      <c r="L23" s="36">
        <v>28000</v>
      </c>
      <c r="M23" s="36">
        <v>28000</v>
      </c>
      <c r="N23" s="36">
        <v>28000</v>
      </c>
      <c r="O23" s="36">
        <v>0</v>
      </c>
      <c r="P23" s="36">
        <v>28000</v>
      </c>
      <c r="Q23" s="36">
        <v>28000</v>
      </c>
      <c r="R23" s="36">
        <v>28000</v>
      </c>
      <c r="S23" s="36">
        <v>28000</v>
      </c>
      <c r="T23" s="36">
        <v>28000</v>
      </c>
      <c r="U23" s="36">
        <v>28000</v>
      </c>
      <c r="V23" s="36">
        <v>28000</v>
      </c>
      <c r="W23" s="36">
        <v>28000</v>
      </c>
      <c r="X23" s="36">
        <v>28000</v>
      </c>
      <c r="Y23" s="36">
        <v>28000</v>
      </c>
      <c r="Z23" s="18">
        <f t="shared" si="0"/>
        <v>28000</v>
      </c>
      <c r="AA23" s="18">
        <f t="shared" si="1"/>
        <v>28000</v>
      </c>
      <c r="AB23" s="18">
        <f t="shared" si="2"/>
        <v>28000</v>
      </c>
      <c r="AC23" s="18">
        <f t="shared" si="3"/>
        <v>28000</v>
      </c>
      <c r="AD23" s="18">
        <f t="shared" si="4"/>
        <v>28000</v>
      </c>
      <c r="AE23" s="18">
        <f t="shared" si="5"/>
        <v>28000</v>
      </c>
    </row>
    <row r="24" spans="1:31" ht="15" customHeight="1" x14ac:dyDescent="0.35">
      <c r="A24" s="8">
        <v>20</v>
      </c>
      <c r="B24" s="9" t="s">
        <v>346</v>
      </c>
      <c r="C24" s="8" t="s">
        <v>403</v>
      </c>
      <c r="D24" s="36">
        <v>0</v>
      </c>
      <c r="E24" s="36">
        <v>28000</v>
      </c>
      <c r="F24" s="36">
        <v>28000</v>
      </c>
      <c r="G24" s="36">
        <v>28000</v>
      </c>
      <c r="H24" s="36">
        <v>28000</v>
      </c>
      <c r="I24" s="36">
        <v>28000</v>
      </c>
      <c r="J24" s="36">
        <v>28000</v>
      </c>
      <c r="K24" s="36">
        <v>28000</v>
      </c>
      <c r="L24" s="36">
        <v>28000</v>
      </c>
      <c r="M24" s="36">
        <v>28000</v>
      </c>
      <c r="N24" s="36">
        <v>28000</v>
      </c>
      <c r="O24" s="36">
        <v>0</v>
      </c>
      <c r="P24" s="36">
        <v>28000</v>
      </c>
      <c r="Q24" s="36">
        <v>28000</v>
      </c>
      <c r="R24" s="36">
        <v>28000</v>
      </c>
      <c r="S24" s="36">
        <v>28000</v>
      </c>
      <c r="T24" s="36">
        <v>28000</v>
      </c>
      <c r="U24" s="36">
        <v>28000</v>
      </c>
      <c r="V24" s="36">
        <v>28000</v>
      </c>
      <c r="W24" s="36">
        <v>28000</v>
      </c>
      <c r="X24" s="36">
        <v>28000</v>
      </c>
      <c r="Y24" s="36">
        <v>28000</v>
      </c>
      <c r="Z24" s="18">
        <f t="shared" si="0"/>
        <v>28000</v>
      </c>
      <c r="AA24" s="18">
        <f t="shared" si="1"/>
        <v>28000</v>
      </c>
      <c r="AB24" s="18">
        <f t="shared" si="2"/>
        <v>28000</v>
      </c>
      <c r="AC24" s="18">
        <f t="shared" si="3"/>
        <v>28000</v>
      </c>
      <c r="AD24" s="18">
        <f t="shared" si="4"/>
        <v>28000</v>
      </c>
      <c r="AE24" s="18">
        <f t="shared" si="5"/>
        <v>28000</v>
      </c>
    </row>
    <row r="25" spans="1:31" ht="15" customHeight="1" x14ac:dyDescent="0.35">
      <c r="A25" s="8">
        <v>21</v>
      </c>
      <c r="B25" s="9" t="s">
        <v>406</v>
      </c>
      <c r="C25" s="8" t="s">
        <v>403</v>
      </c>
      <c r="D25" s="36">
        <v>0</v>
      </c>
      <c r="E25" s="36">
        <v>60000</v>
      </c>
      <c r="F25" s="36">
        <v>60000</v>
      </c>
      <c r="G25" s="36">
        <v>60000</v>
      </c>
      <c r="H25" s="36">
        <v>60000</v>
      </c>
      <c r="I25" s="36">
        <v>60000</v>
      </c>
      <c r="J25" s="36">
        <v>60000</v>
      </c>
      <c r="K25" s="36">
        <v>60000</v>
      </c>
      <c r="L25" s="36">
        <v>60000</v>
      </c>
      <c r="M25" s="36">
        <v>60000</v>
      </c>
      <c r="N25" s="36">
        <v>60000</v>
      </c>
      <c r="O25" s="36">
        <v>0</v>
      </c>
      <c r="P25" s="36">
        <v>60000</v>
      </c>
      <c r="Q25" s="36">
        <v>60000</v>
      </c>
      <c r="R25" s="36">
        <v>60000</v>
      </c>
      <c r="S25" s="36">
        <v>60000</v>
      </c>
      <c r="T25" s="36">
        <v>60000</v>
      </c>
      <c r="U25" s="36">
        <v>60000</v>
      </c>
      <c r="V25" s="36">
        <v>60000</v>
      </c>
      <c r="W25" s="36">
        <v>60000</v>
      </c>
      <c r="X25" s="36">
        <v>60000</v>
      </c>
      <c r="Y25" s="36">
        <v>60000</v>
      </c>
      <c r="Z25" s="18">
        <f t="shared" si="0"/>
        <v>60000</v>
      </c>
      <c r="AA25" s="18">
        <f t="shared" si="1"/>
        <v>60000</v>
      </c>
      <c r="AB25" s="18">
        <f t="shared" si="2"/>
        <v>60000</v>
      </c>
      <c r="AC25" s="18">
        <f t="shared" si="3"/>
        <v>60000</v>
      </c>
      <c r="AD25" s="18">
        <f t="shared" si="4"/>
        <v>60000</v>
      </c>
      <c r="AE25" s="18">
        <f t="shared" si="5"/>
        <v>60000</v>
      </c>
    </row>
    <row r="26" spans="1:31" ht="21.75" customHeight="1" x14ac:dyDescent="0.35">
      <c r="A26" s="8">
        <v>22</v>
      </c>
      <c r="B26" s="9" t="s">
        <v>353</v>
      </c>
      <c r="C26" s="8" t="s">
        <v>450</v>
      </c>
      <c r="D26" s="36">
        <v>0</v>
      </c>
      <c r="E26" s="36">
        <v>2800</v>
      </c>
      <c r="F26" s="36">
        <v>2800</v>
      </c>
      <c r="G26" s="36">
        <v>2800</v>
      </c>
      <c r="H26" s="36">
        <v>2800</v>
      </c>
      <c r="I26" s="36">
        <v>2800</v>
      </c>
      <c r="J26" s="36">
        <v>2800</v>
      </c>
      <c r="K26" s="36">
        <v>2800</v>
      </c>
      <c r="L26" s="36">
        <v>2800</v>
      </c>
      <c r="M26" s="36">
        <v>2800</v>
      </c>
      <c r="N26" s="36">
        <v>2800</v>
      </c>
      <c r="O26" s="36">
        <v>0</v>
      </c>
      <c r="P26" s="36">
        <v>2800</v>
      </c>
      <c r="Q26" s="36">
        <v>2800</v>
      </c>
      <c r="R26" s="36">
        <v>2800</v>
      </c>
      <c r="S26" s="36">
        <v>2800</v>
      </c>
      <c r="T26" s="36">
        <v>2800</v>
      </c>
      <c r="U26" s="36">
        <v>2800</v>
      </c>
      <c r="V26" s="36">
        <v>2800</v>
      </c>
      <c r="W26" s="36">
        <v>2800</v>
      </c>
      <c r="X26" s="36">
        <v>2800</v>
      </c>
      <c r="Y26" s="36">
        <v>2800</v>
      </c>
      <c r="Z26" s="18">
        <f t="shared" si="0"/>
        <v>2800</v>
      </c>
      <c r="AA26" s="18">
        <f t="shared" si="1"/>
        <v>2800</v>
      </c>
      <c r="AB26" s="18">
        <f t="shared" si="2"/>
        <v>2800</v>
      </c>
      <c r="AC26" s="18">
        <f t="shared" si="3"/>
        <v>2800</v>
      </c>
      <c r="AD26" s="18">
        <f t="shared" si="4"/>
        <v>2800</v>
      </c>
      <c r="AE26" s="18">
        <f t="shared" si="5"/>
        <v>2800</v>
      </c>
    </row>
    <row r="27" spans="1:31" ht="15" customHeight="1" x14ac:dyDescent="0.35">
      <c r="A27" s="8">
        <v>23</v>
      </c>
      <c r="B27" s="9" t="s">
        <v>351</v>
      </c>
      <c r="C27" s="8" t="s">
        <v>403</v>
      </c>
      <c r="D27" s="36">
        <v>0</v>
      </c>
      <c r="E27" s="36">
        <v>24000</v>
      </c>
      <c r="F27" s="36">
        <v>24000</v>
      </c>
      <c r="G27" s="36">
        <v>24000</v>
      </c>
      <c r="H27" s="36">
        <v>24000</v>
      </c>
      <c r="I27" s="36">
        <v>24000</v>
      </c>
      <c r="J27" s="36">
        <v>24000</v>
      </c>
      <c r="K27" s="36">
        <v>24000</v>
      </c>
      <c r="L27" s="36">
        <v>24000</v>
      </c>
      <c r="M27" s="36">
        <v>24000</v>
      </c>
      <c r="N27" s="36">
        <v>24000</v>
      </c>
      <c r="O27" s="36">
        <v>0</v>
      </c>
      <c r="P27" s="36">
        <v>24000</v>
      </c>
      <c r="Q27" s="36">
        <v>24000</v>
      </c>
      <c r="R27" s="36">
        <v>24000</v>
      </c>
      <c r="S27" s="36">
        <v>24000</v>
      </c>
      <c r="T27" s="36">
        <v>24000</v>
      </c>
      <c r="U27" s="36">
        <v>24000</v>
      </c>
      <c r="V27" s="36">
        <v>24000</v>
      </c>
      <c r="W27" s="36">
        <v>24000</v>
      </c>
      <c r="X27" s="36">
        <v>24000</v>
      </c>
      <c r="Y27" s="36">
        <v>24000</v>
      </c>
      <c r="Z27" s="18">
        <f t="shared" si="0"/>
        <v>24000</v>
      </c>
      <c r="AA27" s="18">
        <f t="shared" si="1"/>
        <v>24000</v>
      </c>
      <c r="AB27" s="18">
        <f t="shared" si="2"/>
        <v>24000</v>
      </c>
      <c r="AC27" s="18">
        <f t="shared" si="3"/>
        <v>24000</v>
      </c>
      <c r="AD27" s="18">
        <f t="shared" si="4"/>
        <v>24000</v>
      </c>
      <c r="AE27" s="18">
        <f t="shared" si="5"/>
        <v>24000</v>
      </c>
    </row>
    <row r="28" spans="1:31" ht="15" customHeight="1" x14ac:dyDescent="0.35">
      <c r="A28" s="8">
        <v>24</v>
      </c>
      <c r="B28" s="9" t="s">
        <v>352</v>
      </c>
      <c r="C28" s="8" t="s">
        <v>403</v>
      </c>
      <c r="D28" s="36">
        <v>0</v>
      </c>
      <c r="E28" s="36">
        <v>30000</v>
      </c>
      <c r="F28" s="36">
        <v>30000</v>
      </c>
      <c r="G28" s="36">
        <v>30000</v>
      </c>
      <c r="H28" s="36">
        <v>30000</v>
      </c>
      <c r="I28" s="36">
        <v>30000</v>
      </c>
      <c r="J28" s="36">
        <v>30000</v>
      </c>
      <c r="K28" s="36">
        <v>30000</v>
      </c>
      <c r="L28" s="36">
        <v>30000</v>
      </c>
      <c r="M28" s="36">
        <v>30000</v>
      </c>
      <c r="N28" s="36">
        <v>30000</v>
      </c>
      <c r="O28" s="36">
        <v>0</v>
      </c>
      <c r="P28" s="36">
        <v>30000</v>
      </c>
      <c r="Q28" s="36">
        <v>30000</v>
      </c>
      <c r="R28" s="36">
        <v>30000</v>
      </c>
      <c r="S28" s="36">
        <v>30000</v>
      </c>
      <c r="T28" s="36">
        <v>30000</v>
      </c>
      <c r="U28" s="36">
        <v>30000</v>
      </c>
      <c r="V28" s="36">
        <v>30000</v>
      </c>
      <c r="W28" s="36">
        <v>30000</v>
      </c>
      <c r="X28" s="36">
        <v>30000</v>
      </c>
      <c r="Y28" s="36">
        <v>30000</v>
      </c>
      <c r="Z28" s="18">
        <f t="shared" si="0"/>
        <v>30000</v>
      </c>
      <c r="AA28" s="18">
        <f t="shared" si="1"/>
        <v>30000</v>
      </c>
      <c r="AB28" s="18">
        <f t="shared" si="2"/>
        <v>30000</v>
      </c>
      <c r="AC28" s="18">
        <f t="shared" si="3"/>
        <v>30000</v>
      </c>
      <c r="AD28" s="18">
        <f t="shared" si="4"/>
        <v>30000</v>
      </c>
      <c r="AE28" s="18">
        <f t="shared" si="5"/>
        <v>30000</v>
      </c>
    </row>
    <row r="29" spans="1:31" ht="15" customHeight="1" x14ac:dyDescent="0.35">
      <c r="A29" s="8">
        <v>25</v>
      </c>
      <c r="B29" s="9" t="s">
        <v>407</v>
      </c>
      <c r="C29" s="8" t="s">
        <v>403</v>
      </c>
      <c r="D29" s="36">
        <v>0</v>
      </c>
      <c r="E29" s="36">
        <v>27000</v>
      </c>
      <c r="F29" s="36">
        <v>27000</v>
      </c>
      <c r="G29" s="36">
        <v>27000</v>
      </c>
      <c r="H29" s="36">
        <v>27000</v>
      </c>
      <c r="I29" s="36">
        <v>27000</v>
      </c>
      <c r="J29" s="36">
        <v>27000</v>
      </c>
      <c r="K29" s="36">
        <v>27000</v>
      </c>
      <c r="L29" s="36">
        <v>27000</v>
      </c>
      <c r="M29" s="36">
        <v>27000</v>
      </c>
      <c r="N29" s="36">
        <v>27000</v>
      </c>
      <c r="O29" s="36">
        <v>0</v>
      </c>
      <c r="P29" s="36">
        <v>27000</v>
      </c>
      <c r="Q29" s="36">
        <v>27000</v>
      </c>
      <c r="R29" s="36">
        <v>27000</v>
      </c>
      <c r="S29" s="36">
        <v>27000</v>
      </c>
      <c r="T29" s="36">
        <v>27000</v>
      </c>
      <c r="U29" s="36">
        <v>27000</v>
      </c>
      <c r="V29" s="36">
        <v>27000</v>
      </c>
      <c r="W29" s="36">
        <v>27000</v>
      </c>
      <c r="X29" s="36">
        <v>27000</v>
      </c>
      <c r="Y29" s="36">
        <v>27000</v>
      </c>
      <c r="Z29" s="18">
        <f t="shared" si="0"/>
        <v>27000</v>
      </c>
      <c r="AA29" s="18">
        <f t="shared" si="1"/>
        <v>27000</v>
      </c>
      <c r="AB29" s="18">
        <f t="shared" si="2"/>
        <v>27000</v>
      </c>
      <c r="AC29" s="18">
        <f t="shared" si="3"/>
        <v>27000</v>
      </c>
      <c r="AD29" s="18">
        <f t="shared" si="4"/>
        <v>27000</v>
      </c>
      <c r="AE29" s="18">
        <f t="shared" si="5"/>
        <v>27000</v>
      </c>
    </row>
    <row r="30" spans="1:31" ht="15" customHeight="1" x14ac:dyDescent="0.35">
      <c r="A30" s="8">
        <v>26</v>
      </c>
      <c r="B30" s="9" t="s">
        <v>408</v>
      </c>
      <c r="C30" s="8" t="s">
        <v>403</v>
      </c>
      <c r="D30" s="36">
        <v>0</v>
      </c>
      <c r="E30" s="36">
        <v>8000</v>
      </c>
      <c r="F30" s="36">
        <v>8000</v>
      </c>
      <c r="G30" s="36">
        <v>8000</v>
      </c>
      <c r="H30" s="36">
        <v>8000</v>
      </c>
      <c r="I30" s="36">
        <v>8000</v>
      </c>
      <c r="J30" s="36">
        <v>8000</v>
      </c>
      <c r="K30" s="36">
        <v>8000</v>
      </c>
      <c r="L30" s="36">
        <v>8000</v>
      </c>
      <c r="M30" s="36">
        <v>8000</v>
      </c>
      <c r="N30" s="36">
        <v>8000</v>
      </c>
      <c r="O30" s="36">
        <v>0</v>
      </c>
      <c r="P30" s="36">
        <v>8000</v>
      </c>
      <c r="Q30" s="36">
        <v>8000</v>
      </c>
      <c r="R30" s="36">
        <v>8000</v>
      </c>
      <c r="S30" s="36">
        <v>8000</v>
      </c>
      <c r="T30" s="36">
        <v>8000</v>
      </c>
      <c r="U30" s="36">
        <v>8000</v>
      </c>
      <c r="V30" s="36">
        <v>8000</v>
      </c>
      <c r="W30" s="36">
        <v>8000</v>
      </c>
      <c r="X30" s="36">
        <v>8000</v>
      </c>
      <c r="Y30" s="36">
        <v>8000</v>
      </c>
      <c r="Z30" s="18">
        <f t="shared" si="0"/>
        <v>8000</v>
      </c>
      <c r="AA30" s="18">
        <f t="shared" si="1"/>
        <v>8000</v>
      </c>
      <c r="AB30" s="18">
        <f t="shared" si="2"/>
        <v>8000</v>
      </c>
      <c r="AC30" s="18">
        <f t="shared" si="3"/>
        <v>8000</v>
      </c>
      <c r="AD30" s="18">
        <f t="shared" si="4"/>
        <v>8000</v>
      </c>
      <c r="AE30" s="18">
        <f t="shared" si="5"/>
        <v>8000</v>
      </c>
    </row>
    <row r="31" spans="1:31" ht="15" customHeight="1" x14ac:dyDescent="0.35">
      <c r="A31" s="8">
        <v>27</v>
      </c>
      <c r="B31" s="9" t="s">
        <v>354</v>
      </c>
      <c r="C31" s="8" t="s">
        <v>451</v>
      </c>
      <c r="D31" s="36">
        <v>0</v>
      </c>
      <c r="E31" s="36">
        <v>10500</v>
      </c>
      <c r="F31" s="36">
        <v>10500</v>
      </c>
      <c r="G31" s="36">
        <v>10500</v>
      </c>
      <c r="H31" s="36">
        <v>10500</v>
      </c>
      <c r="I31" s="36">
        <v>10500</v>
      </c>
      <c r="J31" s="36">
        <v>10500</v>
      </c>
      <c r="K31" s="36">
        <v>10500</v>
      </c>
      <c r="L31" s="36">
        <v>10500</v>
      </c>
      <c r="M31" s="36">
        <v>10500</v>
      </c>
      <c r="N31" s="36">
        <v>10500</v>
      </c>
      <c r="O31" s="36">
        <v>0</v>
      </c>
      <c r="P31" s="36">
        <v>10500</v>
      </c>
      <c r="Q31" s="36">
        <v>10500</v>
      </c>
      <c r="R31" s="36">
        <v>10500</v>
      </c>
      <c r="S31" s="36">
        <v>10500</v>
      </c>
      <c r="T31" s="36">
        <v>10500</v>
      </c>
      <c r="U31" s="36">
        <v>10500</v>
      </c>
      <c r="V31" s="36">
        <v>10500</v>
      </c>
      <c r="W31" s="36">
        <v>10500</v>
      </c>
      <c r="X31" s="36">
        <v>10500</v>
      </c>
      <c r="Y31" s="36">
        <v>10500</v>
      </c>
      <c r="Z31" s="18">
        <f t="shared" si="0"/>
        <v>10500</v>
      </c>
      <c r="AA31" s="18">
        <f t="shared" si="1"/>
        <v>10500</v>
      </c>
      <c r="AB31" s="18">
        <f t="shared" si="2"/>
        <v>10500</v>
      </c>
      <c r="AC31" s="18">
        <f t="shared" si="3"/>
        <v>10500</v>
      </c>
      <c r="AD31" s="18">
        <f t="shared" si="4"/>
        <v>10500</v>
      </c>
      <c r="AE31" s="18">
        <f t="shared" si="5"/>
        <v>10500</v>
      </c>
    </row>
    <row r="32" spans="1:31" ht="15" customHeight="1" x14ac:dyDescent="0.35">
      <c r="A32" s="8">
        <v>28</v>
      </c>
      <c r="B32" s="9" t="s">
        <v>348</v>
      </c>
      <c r="C32" s="8" t="s">
        <v>452</v>
      </c>
      <c r="D32" s="36">
        <v>0</v>
      </c>
      <c r="E32" s="36">
        <v>42000</v>
      </c>
      <c r="F32" s="36">
        <v>42000</v>
      </c>
      <c r="G32" s="36">
        <v>42000</v>
      </c>
      <c r="H32" s="36">
        <v>42000</v>
      </c>
      <c r="I32" s="36">
        <v>42000</v>
      </c>
      <c r="J32" s="36">
        <v>42000</v>
      </c>
      <c r="K32" s="36">
        <v>42000</v>
      </c>
      <c r="L32" s="36">
        <v>42000</v>
      </c>
      <c r="M32" s="36">
        <v>42000</v>
      </c>
      <c r="N32" s="36">
        <v>42000</v>
      </c>
      <c r="O32" s="36">
        <v>0</v>
      </c>
      <c r="P32" s="36">
        <v>42000</v>
      </c>
      <c r="Q32" s="36">
        <v>42000</v>
      </c>
      <c r="R32" s="36">
        <v>42000</v>
      </c>
      <c r="S32" s="36">
        <v>42000</v>
      </c>
      <c r="T32" s="36">
        <v>42000</v>
      </c>
      <c r="U32" s="36">
        <v>42000</v>
      </c>
      <c r="V32" s="36">
        <v>42000</v>
      </c>
      <c r="W32" s="36">
        <v>42000</v>
      </c>
      <c r="X32" s="36">
        <v>42000</v>
      </c>
      <c r="Y32" s="36">
        <v>42000</v>
      </c>
      <c r="Z32" s="18">
        <f t="shared" si="0"/>
        <v>42000</v>
      </c>
      <c r="AA32" s="18">
        <f t="shared" si="1"/>
        <v>42000</v>
      </c>
      <c r="AB32" s="18">
        <f t="shared" si="2"/>
        <v>42000</v>
      </c>
      <c r="AC32" s="18">
        <f t="shared" si="3"/>
        <v>42000</v>
      </c>
      <c r="AD32" s="18">
        <f t="shared" si="4"/>
        <v>42000</v>
      </c>
      <c r="AE32" s="18">
        <f t="shared" si="5"/>
        <v>42000</v>
      </c>
    </row>
    <row r="33" spans="1:31" ht="15" customHeight="1" x14ac:dyDescent="0.35">
      <c r="A33" s="8">
        <v>29</v>
      </c>
      <c r="B33" s="9" t="s">
        <v>361</v>
      </c>
      <c r="C33" s="8" t="s">
        <v>403</v>
      </c>
      <c r="D33" s="36">
        <v>0</v>
      </c>
      <c r="E33" s="36">
        <v>8000</v>
      </c>
      <c r="F33" s="36">
        <v>8000</v>
      </c>
      <c r="G33" s="36">
        <v>8000</v>
      </c>
      <c r="H33" s="36">
        <v>8000</v>
      </c>
      <c r="I33" s="36">
        <v>8000</v>
      </c>
      <c r="J33" s="36">
        <v>8000</v>
      </c>
      <c r="K33" s="36">
        <v>8000</v>
      </c>
      <c r="L33" s="36">
        <v>8000</v>
      </c>
      <c r="M33" s="36">
        <v>8000</v>
      </c>
      <c r="N33" s="36">
        <v>8000</v>
      </c>
      <c r="O33" s="36">
        <v>0</v>
      </c>
      <c r="P33" s="36">
        <v>8000</v>
      </c>
      <c r="Q33" s="36">
        <v>8000</v>
      </c>
      <c r="R33" s="36">
        <v>8000</v>
      </c>
      <c r="S33" s="36">
        <v>8000</v>
      </c>
      <c r="T33" s="36">
        <v>8000</v>
      </c>
      <c r="U33" s="36">
        <v>8000</v>
      </c>
      <c r="V33" s="36">
        <v>8000</v>
      </c>
      <c r="W33" s="36">
        <v>8000</v>
      </c>
      <c r="X33" s="36">
        <v>8000</v>
      </c>
      <c r="Y33" s="36">
        <v>8000</v>
      </c>
      <c r="Z33" s="18">
        <f t="shared" si="0"/>
        <v>8000</v>
      </c>
      <c r="AA33" s="18">
        <f t="shared" si="1"/>
        <v>8000</v>
      </c>
      <c r="AB33" s="18">
        <f t="shared" si="2"/>
        <v>8000</v>
      </c>
      <c r="AC33" s="18">
        <f t="shared" si="3"/>
        <v>8000</v>
      </c>
      <c r="AD33" s="18">
        <f t="shared" si="4"/>
        <v>8000</v>
      </c>
      <c r="AE33" s="18">
        <f t="shared" si="5"/>
        <v>8000</v>
      </c>
    </row>
    <row r="34" spans="1:31" ht="15" customHeight="1" x14ac:dyDescent="0.35">
      <c r="A34" s="8">
        <v>30</v>
      </c>
      <c r="B34" s="9" t="s">
        <v>334</v>
      </c>
      <c r="C34" s="8" t="s">
        <v>403</v>
      </c>
      <c r="D34" s="36">
        <v>0</v>
      </c>
      <c r="E34" s="36">
        <v>6000</v>
      </c>
      <c r="F34" s="36">
        <v>6000</v>
      </c>
      <c r="G34" s="36">
        <v>6000</v>
      </c>
      <c r="H34" s="36">
        <v>6000</v>
      </c>
      <c r="I34" s="36">
        <v>6000</v>
      </c>
      <c r="J34" s="36">
        <v>6000</v>
      </c>
      <c r="K34" s="36">
        <v>6000</v>
      </c>
      <c r="L34" s="36">
        <v>6000</v>
      </c>
      <c r="M34" s="36">
        <v>6000</v>
      </c>
      <c r="N34" s="36">
        <v>6000</v>
      </c>
      <c r="O34" s="36">
        <v>0</v>
      </c>
      <c r="P34" s="36">
        <v>6000</v>
      </c>
      <c r="Q34" s="36">
        <v>6000</v>
      </c>
      <c r="R34" s="36">
        <v>6000</v>
      </c>
      <c r="S34" s="36">
        <v>6000</v>
      </c>
      <c r="T34" s="36">
        <v>6000</v>
      </c>
      <c r="U34" s="36">
        <v>6000</v>
      </c>
      <c r="V34" s="36">
        <v>6000</v>
      </c>
      <c r="W34" s="36">
        <v>6000</v>
      </c>
      <c r="X34" s="36">
        <v>6000</v>
      </c>
      <c r="Y34" s="36">
        <v>6000</v>
      </c>
      <c r="Z34" s="18">
        <f t="shared" si="0"/>
        <v>6000</v>
      </c>
      <c r="AA34" s="18">
        <f t="shared" si="1"/>
        <v>6000</v>
      </c>
      <c r="AB34" s="18">
        <f t="shared" si="2"/>
        <v>6000</v>
      </c>
      <c r="AC34" s="18">
        <f t="shared" si="3"/>
        <v>6000</v>
      </c>
      <c r="AD34" s="18">
        <f t="shared" si="4"/>
        <v>6000</v>
      </c>
      <c r="AE34" s="18">
        <f t="shared" si="5"/>
        <v>6000</v>
      </c>
    </row>
    <row r="35" spans="1:31" ht="15" customHeight="1" x14ac:dyDescent="0.35">
      <c r="A35" s="8">
        <v>31</v>
      </c>
      <c r="B35" s="9" t="s">
        <v>339</v>
      </c>
      <c r="C35" s="8" t="s">
        <v>403</v>
      </c>
      <c r="D35" s="36">
        <v>0</v>
      </c>
      <c r="E35" s="36">
        <v>60000</v>
      </c>
      <c r="F35" s="36">
        <v>60000</v>
      </c>
      <c r="G35" s="36">
        <v>60000</v>
      </c>
      <c r="H35" s="36">
        <v>60000</v>
      </c>
      <c r="I35" s="36">
        <v>60000</v>
      </c>
      <c r="J35" s="36">
        <v>60000</v>
      </c>
      <c r="K35" s="36">
        <v>60000</v>
      </c>
      <c r="L35" s="36">
        <v>60000</v>
      </c>
      <c r="M35" s="36">
        <v>60000</v>
      </c>
      <c r="N35" s="36">
        <v>60000</v>
      </c>
      <c r="O35" s="36">
        <v>0</v>
      </c>
      <c r="P35" s="36">
        <v>60000</v>
      </c>
      <c r="Q35" s="36">
        <v>60000</v>
      </c>
      <c r="R35" s="36">
        <v>70000</v>
      </c>
      <c r="S35" s="36">
        <v>70000</v>
      </c>
      <c r="T35" s="36">
        <v>70000</v>
      </c>
      <c r="U35" s="36">
        <v>70000</v>
      </c>
      <c r="V35" s="36">
        <v>70000</v>
      </c>
      <c r="W35" s="36">
        <v>70000</v>
      </c>
      <c r="X35" s="36">
        <v>70000</v>
      </c>
      <c r="Y35" s="36">
        <v>70000</v>
      </c>
      <c r="Z35" s="18">
        <f t="shared" si="0"/>
        <v>60000</v>
      </c>
      <c r="AA35" s="18">
        <f t="shared" si="1"/>
        <v>60000</v>
      </c>
      <c r="AB35" s="18">
        <f t="shared" si="2"/>
        <v>60000</v>
      </c>
      <c r="AC35" s="18">
        <f t="shared" si="3"/>
        <v>66000</v>
      </c>
      <c r="AD35" s="18">
        <f t="shared" si="4"/>
        <v>70000</v>
      </c>
      <c r="AE35" s="18">
        <f t="shared" si="5"/>
        <v>64000</v>
      </c>
    </row>
    <row r="36" spans="1:31" ht="15" customHeight="1" x14ac:dyDescent="0.35">
      <c r="A36" s="8">
        <v>32</v>
      </c>
      <c r="B36" s="9" t="s">
        <v>341</v>
      </c>
      <c r="C36" s="8" t="s">
        <v>403</v>
      </c>
      <c r="D36" s="36">
        <v>0</v>
      </c>
      <c r="E36" s="36">
        <v>11000</v>
      </c>
      <c r="F36" s="36">
        <v>11000</v>
      </c>
      <c r="G36" s="36">
        <v>11000</v>
      </c>
      <c r="H36" s="36">
        <v>11000</v>
      </c>
      <c r="I36" s="36">
        <v>11000</v>
      </c>
      <c r="J36" s="36">
        <v>11000</v>
      </c>
      <c r="K36" s="36">
        <v>11000</v>
      </c>
      <c r="L36" s="36">
        <v>11000</v>
      </c>
      <c r="M36" s="36">
        <v>11000</v>
      </c>
      <c r="N36" s="36">
        <v>11000</v>
      </c>
      <c r="O36" s="36">
        <v>0</v>
      </c>
      <c r="P36" s="36">
        <v>11000</v>
      </c>
      <c r="Q36" s="36">
        <v>11000</v>
      </c>
      <c r="R36" s="36">
        <v>11000</v>
      </c>
      <c r="S36" s="36">
        <v>11000</v>
      </c>
      <c r="T36" s="36">
        <v>11000</v>
      </c>
      <c r="U36" s="36">
        <v>11000</v>
      </c>
      <c r="V36" s="36">
        <v>11000</v>
      </c>
      <c r="W36" s="36">
        <v>11000</v>
      </c>
      <c r="X36" s="36">
        <v>11000</v>
      </c>
      <c r="Y36" s="36">
        <v>11000</v>
      </c>
      <c r="Z36" s="18">
        <f t="shared" si="0"/>
        <v>11000</v>
      </c>
      <c r="AA36" s="18">
        <f t="shared" si="1"/>
        <v>11000</v>
      </c>
      <c r="AB36" s="18">
        <f t="shared" si="2"/>
        <v>11000</v>
      </c>
      <c r="AC36" s="18">
        <f t="shared" si="3"/>
        <v>11000</v>
      </c>
      <c r="AD36" s="18">
        <f t="shared" si="4"/>
        <v>11000</v>
      </c>
      <c r="AE36" s="18">
        <f t="shared" si="5"/>
        <v>11000</v>
      </c>
    </row>
    <row r="37" spans="1:31" ht="15" customHeight="1" x14ac:dyDescent="0.35">
      <c r="A37" s="8">
        <v>33</v>
      </c>
      <c r="B37" s="9" t="s">
        <v>362</v>
      </c>
      <c r="C37" s="8" t="s">
        <v>403</v>
      </c>
      <c r="D37" s="36">
        <v>0</v>
      </c>
      <c r="E37" s="36">
        <v>7000</v>
      </c>
      <c r="F37" s="36">
        <v>7000</v>
      </c>
      <c r="G37" s="36">
        <v>7000</v>
      </c>
      <c r="H37" s="36">
        <v>7000</v>
      </c>
      <c r="I37" s="36">
        <v>7000</v>
      </c>
      <c r="J37" s="36">
        <v>7000</v>
      </c>
      <c r="K37" s="36">
        <v>7000</v>
      </c>
      <c r="L37" s="36">
        <v>7000</v>
      </c>
      <c r="M37" s="36">
        <v>7000</v>
      </c>
      <c r="N37" s="36">
        <v>7000</v>
      </c>
      <c r="O37" s="36">
        <v>0</v>
      </c>
      <c r="P37" s="36">
        <v>7000</v>
      </c>
      <c r="Q37" s="36">
        <v>7000</v>
      </c>
      <c r="R37" s="36">
        <v>7000</v>
      </c>
      <c r="S37" s="36">
        <v>7000</v>
      </c>
      <c r="T37" s="36">
        <v>7000</v>
      </c>
      <c r="U37" s="36">
        <v>7000</v>
      </c>
      <c r="V37" s="36">
        <v>7000</v>
      </c>
      <c r="W37" s="36">
        <v>7000</v>
      </c>
      <c r="X37" s="36">
        <v>7000</v>
      </c>
      <c r="Y37" s="36">
        <v>7000</v>
      </c>
      <c r="Z37" s="18">
        <f t="shared" si="0"/>
        <v>7000</v>
      </c>
      <c r="AA37" s="18">
        <f t="shared" si="1"/>
        <v>7000</v>
      </c>
      <c r="AB37" s="18">
        <f t="shared" si="2"/>
        <v>7000</v>
      </c>
      <c r="AC37" s="18">
        <f t="shared" si="3"/>
        <v>7000</v>
      </c>
      <c r="AD37" s="18">
        <f t="shared" si="4"/>
        <v>7000</v>
      </c>
      <c r="AE37" s="18">
        <f t="shared" si="5"/>
        <v>7000</v>
      </c>
    </row>
    <row r="38" spans="1:31" ht="15" customHeight="1" x14ac:dyDescent="0.35">
      <c r="A38" s="8">
        <v>34</v>
      </c>
      <c r="B38" s="9" t="s">
        <v>409</v>
      </c>
      <c r="C38" s="8" t="s">
        <v>403</v>
      </c>
      <c r="D38" s="36">
        <v>0</v>
      </c>
      <c r="E38" s="36">
        <v>4000</v>
      </c>
      <c r="F38" s="36">
        <v>4000</v>
      </c>
      <c r="G38" s="36">
        <v>4000</v>
      </c>
      <c r="H38" s="36">
        <v>4000</v>
      </c>
      <c r="I38" s="36">
        <v>4000</v>
      </c>
      <c r="J38" s="36">
        <v>4000</v>
      </c>
      <c r="K38" s="36">
        <v>4000</v>
      </c>
      <c r="L38" s="36">
        <v>4000</v>
      </c>
      <c r="M38" s="36">
        <v>4000</v>
      </c>
      <c r="N38" s="36">
        <v>4000</v>
      </c>
      <c r="O38" s="36">
        <v>0</v>
      </c>
      <c r="P38" s="36">
        <v>4000</v>
      </c>
      <c r="Q38" s="36">
        <v>4000</v>
      </c>
      <c r="R38" s="36">
        <v>4000</v>
      </c>
      <c r="S38" s="36">
        <v>4000</v>
      </c>
      <c r="T38" s="36">
        <v>4000</v>
      </c>
      <c r="U38" s="36">
        <v>4000</v>
      </c>
      <c r="V38" s="36">
        <v>4000</v>
      </c>
      <c r="W38" s="36">
        <v>4000</v>
      </c>
      <c r="X38" s="36">
        <v>4000</v>
      </c>
      <c r="Y38" s="36">
        <v>4000</v>
      </c>
      <c r="Z38" s="18">
        <f t="shared" si="0"/>
        <v>4000</v>
      </c>
      <c r="AA38" s="18">
        <f t="shared" si="1"/>
        <v>4000</v>
      </c>
      <c r="AB38" s="18">
        <f t="shared" si="2"/>
        <v>4000</v>
      </c>
      <c r="AC38" s="18">
        <f t="shared" si="3"/>
        <v>4000</v>
      </c>
      <c r="AD38" s="18">
        <f t="shared" si="4"/>
        <v>4000</v>
      </c>
      <c r="AE38" s="18">
        <f t="shared" si="5"/>
        <v>4000</v>
      </c>
    </row>
    <row r="39" spans="1:31" ht="15" customHeight="1" x14ac:dyDescent="0.35">
      <c r="A39" s="8">
        <v>35</v>
      </c>
      <c r="B39" s="9" t="s">
        <v>410</v>
      </c>
      <c r="C39" s="8" t="s">
        <v>403</v>
      </c>
      <c r="D39" s="36">
        <v>0</v>
      </c>
      <c r="E39" s="36">
        <v>12000</v>
      </c>
      <c r="F39" s="36">
        <v>12000</v>
      </c>
      <c r="G39" s="36">
        <v>12000</v>
      </c>
      <c r="H39" s="36">
        <v>12000</v>
      </c>
      <c r="I39" s="36">
        <v>12000</v>
      </c>
      <c r="J39" s="36">
        <v>12000</v>
      </c>
      <c r="K39" s="36">
        <v>12000</v>
      </c>
      <c r="L39" s="36">
        <v>12000</v>
      </c>
      <c r="M39" s="36">
        <v>12000</v>
      </c>
      <c r="N39" s="36">
        <v>12000</v>
      </c>
      <c r="O39" s="36">
        <v>0</v>
      </c>
      <c r="P39" s="36">
        <v>12000</v>
      </c>
      <c r="Q39" s="36">
        <v>12000</v>
      </c>
      <c r="R39" s="36">
        <v>12000</v>
      </c>
      <c r="S39" s="36">
        <v>12000</v>
      </c>
      <c r="T39" s="36">
        <v>12000</v>
      </c>
      <c r="U39" s="36">
        <v>12000</v>
      </c>
      <c r="V39" s="36">
        <v>12000</v>
      </c>
      <c r="W39" s="36">
        <v>12000</v>
      </c>
      <c r="X39" s="36">
        <v>12000</v>
      </c>
      <c r="Y39" s="36">
        <v>12000</v>
      </c>
      <c r="Z39" s="18">
        <f t="shared" si="0"/>
        <v>12000</v>
      </c>
      <c r="AA39" s="18">
        <f t="shared" si="1"/>
        <v>12000</v>
      </c>
      <c r="AB39" s="18">
        <f t="shared" si="2"/>
        <v>12000</v>
      </c>
      <c r="AC39" s="18">
        <f t="shared" si="3"/>
        <v>12000</v>
      </c>
      <c r="AD39" s="18">
        <f t="shared" si="4"/>
        <v>12000</v>
      </c>
      <c r="AE39" s="18">
        <f t="shared" si="5"/>
        <v>12000</v>
      </c>
    </row>
    <row r="40" spans="1:31" ht="15" customHeight="1" x14ac:dyDescent="0.35">
      <c r="A40" s="8">
        <v>36</v>
      </c>
      <c r="B40" s="9" t="s">
        <v>411</v>
      </c>
      <c r="C40" s="8" t="s">
        <v>403</v>
      </c>
      <c r="D40" s="36">
        <v>0</v>
      </c>
      <c r="E40" s="36">
        <v>4000</v>
      </c>
      <c r="F40" s="36">
        <v>4000</v>
      </c>
      <c r="G40" s="36">
        <v>4000</v>
      </c>
      <c r="H40" s="36">
        <v>4000</v>
      </c>
      <c r="I40" s="36">
        <v>4000</v>
      </c>
      <c r="J40" s="36">
        <v>4000</v>
      </c>
      <c r="K40" s="36">
        <v>4000</v>
      </c>
      <c r="L40" s="36">
        <v>4000</v>
      </c>
      <c r="M40" s="36">
        <v>4000</v>
      </c>
      <c r="N40" s="36">
        <v>4000</v>
      </c>
      <c r="O40" s="36">
        <v>0</v>
      </c>
      <c r="P40" s="36">
        <v>4000</v>
      </c>
      <c r="Q40" s="36">
        <v>4000</v>
      </c>
      <c r="R40" s="36">
        <v>4000</v>
      </c>
      <c r="S40" s="36">
        <v>4000</v>
      </c>
      <c r="T40" s="36">
        <v>4000</v>
      </c>
      <c r="U40" s="36">
        <v>4000</v>
      </c>
      <c r="V40" s="36">
        <v>4000</v>
      </c>
      <c r="W40" s="36">
        <v>4000</v>
      </c>
      <c r="X40" s="36">
        <v>4000</v>
      </c>
      <c r="Y40" s="36">
        <v>4000</v>
      </c>
      <c r="Z40" s="18">
        <f t="shared" si="0"/>
        <v>4000</v>
      </c>
      <c r="AA40" s="18">
        <f t="shared" si="1"/>
        <v>4000</v>
      </c>
      <c r="AB40" s="18">
        <f t="shared" si="2"/>
        <v>4000</v>
      </c>
      <c r="AC40" s="18">
        <f t="shared" si="3"/>
        <v>4000</v>
      </c>
      <c r="AD40" s="18">
        <f t="shared" si="4"/>
        <v>4000</v>
      </c>
      <c r="AE40" s="18">
        <f t="shared" si="5"/>
        <v>4000</v>
      </c>
    </row>
    <row r="41" spans="1:31" ht="15" customHeight="1" x14ac:dyDescent="0.35">
      <c r="A41" s="8">
        <v>37</v>
      </c>
      <c r="B41" s="9" t="s">
        <v>412</v>
      </c>
      <c r="C41" s="8" t="s">
        <v>403</v>
      </c>
      <c r="D41" s="36">
        <v>0</v>
      </c>
      <c r="E41" s="36">
        <v>2000</v>
      </c>
      <c r="F41" s="36">
        <v>2000</v>
      </c>
      <c r="G41" s="36">
        <v>2000</v>
      </c>
      <c r="H41" s="36">
        <v>2000</v>
      </c>
      <c r="I41" s="36">
        <v>2000</v>
      </c>
      <c r="J41" s="36">
        <v>2000</v>
      </c>
      <c r="K41" s="36">
        <v>2000</v>
      </c>
      <c r="L41" s="36">
        <v>2000</v>
      </c>
      <c r="M41" s="36">
        <v>2000</v>
      </c>
      <c r="N41" s="36">
        <v>2000</v>
      </c>
      <c r="O41" s="36">
        <v>0</v>
      </c>
      <c r="P41" s="36">
        <v>2000</v>
      </c>
      <c r="Q41" s="36">
        <v>2000</v>
      </c>
      <c r="R41" s="36">
        <v>2000</v>
      </c>
      <c r="S41" s="36">
        <v>2000</v>
      </c>
      <c r="T41" s="36">
        <v>2000</v>
      </c>
      <c r="U41" s="36">
        <v>2000</v>
      </c>
      <c r="V41" s="36">
        <v>2000</v>
      </c>
      <c r="W41" s="36">
        <v>2000</v>
      </c>
      <c r="X41" s="36">
        <v>2000</v>
      </c>
      <c r="Y41" s="36">
        <v>2000</v>
      </c>
      <c r="Z41" s="18">
        <f t="shared" si="0"/>
        <v>2000</v>
      </c>
      <c r="AA41" s="18">
        <f t="shared" si="1"/>
        <v>2000</v>
      </c>
      <c r="AB41" s="18">
        <f t="shared" si="2"/>
        <v>2000</v>
      </c>
      <c r="AC41" s="18">
        <f t="shared" si="3"/>
        <v>2000</v>
      </c>
      <c r="AD41" s="18">
        <f t="shared" si="4"/>
        <v>2000</v>
      </c>
      <c r="AE41" s="18">
        <f t="shared" si="5"/>
        <v>2000</v>
      </c>
    </row>
    <row r="42" spans="1:31" ht="15" customHeight="1" x14ac:dyDescent="0.35">
      <c r="A42" s="8">
        <v>38</v>
      </c>
      <c r="B42" s="9" t="s">
        <v>413</v>
      </c>
      <c r="C42" s="8" t="s">
        <v>403</v>
      </c>
      <c r="D42" s="36">
        <v>0</v>
      </c>
      <c r="E42" s="36">
        <v>5000</v>
      </c>
      <c r="F42" s="36">
        <v>5000</v>
      </c>
      <c r="G42" s="36">
        <v>5000</v>
      </c>
      <c r="H42" s="36">
        <v>5000</v>
      </c>
      <c r="I42" s="36">
        <v>5000</v>
      </c>
      <c r="J42" s="36">
        <v>5000</v>
      </c>
      <c r="K42" s="36">
        <v>5000</v>
      </c>
      <c r="L42" s="36">
        <v>5000</v>
      </c>
      <c r="M42" s="36">
        <v>5000</v>
      </c>
      <c r="N42" s="36">
        <v>5000</v>
      </c>
      <c r="O42" s="36">
        <v>0</v>
      </c>
      <c r="P42" s="36">
        <v>5000</v>
      </c>
      <c r="Q42" s="36">
        <v>5000</v>
      </c>
      <c r="R42" s="36">
        <v>5000</v>
      </c>
      <c r="S42" s="36">
        <v>5000</v>
      </c>
      <c r="T42" s="36">
        <v>5000</v>
      </c>
      <c r="U42" s="36">
        <v>5000</v>
      </c>
      <c r="V42" s="36">
        <v>5000</v>
      </c>
      <c r="W42" s="36">
        <v>5000</v>
      </c>
      <c r="X42" s="36">
        <v>5000</v>
      </c>
      <c r="Y42" s="36">
        <v>5000</v>
      </c>
      <c r="Z42" s="18">
        <f t="shared" si="0"/>
        <v>5000</v>
      </c>
      <c r="AA42" s="18">
        <f t="shared" si="1"/>
        <v>5000</v>
      </c>
      <c r="AB42" s="18">
        <f t="shared" si="2"/>
        <v>5000</v>
      </c>
      <c r="AC42" s="18">
        <f t="shared" si="3"/>
        <v>5000</v>
      </c>
      <c r="AD42" s="18">
        <f t="shared" si="4"/>
        <v>5000</v>
      </c>
      <c r="AE42" s="18">
        <f t="shared" si="5"/>
        <v>5000</v>
      </c>
    </row>
    <row r="43" spans="1:31" ht="15" customHeight="1" x14ac:dyDescent="0.35">
      <c r="A43" s="8">
        <v>39</v>
      </c>
      <c r="B43" s="9" t="s">
        <v>414</v>
      </c>
      <c r="C43" s="8" t="s">
        <v>403</v>
      </c>
      <c r="D43" s="36">
        <v>0</v>
      </c>
      <c r="E43" s="36">
        <v>5000</v>
      </c>
      <c r="F43" s="36">
        <v>5000</v>
      </c>
      <c r="G43" s="36">
        <v>5000</v>
      </c>
      <c r="H43" s="36">
        <v>5000</v>
      </c>
      <c r="I43" s="36">
        <v>5000</v>
      </c>
      <c r="J43" s="36">
        <v>5000</v>
      </c>
      <c r="K43" s="36">
        <v>5000</v>
      </c>
      <c r="L43" s="36">
        <v>5000</v>
      </c>
      <c r="M43" s="36">
        <v>5000</v>
      </c>
      <c r="N43" s="36">
        <v>5000</v>
      </c>
      <c r="O43" s="36">
        <v>0</v>
      </c>
      <c r="P43" s="36">
        <v>5000</v>
      </c>
      <c r="Q43" s="36">
        <v>5000</v>
      </c>
      <c r="R43" s="36">
        <v>5000</v>
      </c>
      <c r="S43" s="36">
        <v>5000</v>
      </c>
      <c r="T43" s="36">
        <v>5000</v>
      </c>
      <c r="U43" s="36">
        <v>5000</v>
      </c>
      <c r="V43" s="36">
        <v>5000</v>
      </c>
      <c r="W43" s="36">
        <v>5000</v>
      </c>
      <c r="X43" s="36">
        <v>5000</v>
      </c>
      <c r="Y43" s="36">
        <v>5000</v>
      </c>
      <c r="Z43" s="18">
        <f t="shared" si="0"/>
        <v>5000</v>
      </c>
      <c r="AA43" s="18">
        <f t="shared" si="1"/>
        <v>5000</v>
      </c>
      <c r="AB43" s="18">
        <f t="shared" si="2"/>
        <v>5000</v>
      </c>
      <c r="AC43" s="18">
        <f t="shared" si="3"/>
        <v>5000</v>
      </c>
      <c r="AD43" s="18">
        <f t="shared" si="4"/>
        <v>5000</v>
      </c>
      <c r="AE43" s="18">
        <f t="shared" si="5"/>
        <v>5000</v>
      </c>
    </row>
    <row r="44" spans="1:31" ht="15" customHeight="1" x14ac:dyDescent="0.35">
      <c r="A44" s="8">
        <v>40</v>
      </c>
      <c r="B44" s="9" t="s">
        <v>415</v>
      </c>
      <c r="C44" s="8" t="s">
        <v>403</v>
      </c>
      <c r="D44" s="36">
        <v>0</v>
      </c>
      <c r="E44" s="36">
        <v>4000</v>
      </c>
      <c r="F44" s="36">
        <v>4000</v>
      </c>
      <c r="G44" s="36">
        <v>4000</v>
      </c>
      <c r="H44" s="36">
        <v>4000</v>
      </c>
      <c r="I44" s="36">
        <v>4000</v>
      </c>
      <c r="J44" s="36">
        <v>4000</v>
      </c>
      <c r="K44" s="36">
        <v>4000</v>
      </c>
      <c r="L44" s="36">
        <v>4000</v>
      </c>
      <c r="M44" s="36">
        <v>4000</v>
      </c>
      <c r="N44" s="36">
        <v>4000</v>
      </c>
      <c r="O44" s="36">
        <v>0</v>
      </c>
      <c r="P44" s="36">
        <v>4000</v>
      </c>
      <c r="Q44" s="36">
        <v>4000</v>
      </c>
      <c r="R44" s="36">
        <v>4000</v>
      </c>
      <c r="S44" s="36">
        <v>4000</v>
      </c>
      <c r="T44" s="36">
        <v>4000</v>
      </c>
      <c r="U44" s="36">
        <v>4000</v>
      </c>
      <c r="V44" s="36">
        <v>4000</v>
      </c>
      <c r="W44" s="36">
        <v>4000</v>
      </c>
      <c r="X44" s="36">
        <v>4000</v>
      </c>
      <c r="Y44" s="36">
        <v>4000</v>
      </c>
      <c r="Z44" s="18">
        <f t="shared" si="0"/>
        <v>4000</v>
      </c>
      <c r="AA44" s="18">
        <f t="shared" si="1"/>
        <v>4000</v>
      </c>
      <c r="AB44" s="18">
        <f t="shared" si="2"/>
        <v>4000</v>
      </c>
      <c r="AC44" s="18">
        <f t="shared" si="3"/>
        <v>4000</v>
      </c>
      <c r="AD44" s="18">
        <f t="shared" si="4"/>
        <v>4000</v>
      </c>
      <c r="AE44" s="18">
        <f t="shared" si="5"/>
        <v>4000</v>
      </c>
    </row>
    <row r="45" spans="1:31" ht="15" customHeight="1" x14ac:dyDescent="0.35">
      <c r="A45" s="8">
        <v>41</v>
      </c>
      <c r="B45" s="9" t="s">
        <v>416</v>
      </c>
      <c r="C45" s="8" t="s">
        <v>453</v>
      </c>
      <c r="D45" s="36">
        <v>0</v>
      </c>
      <c r="E45" s="36">
        <v>60000</v>
      </c>
      <c r="F45" s="36">
        <v>60000</v>
      </c>
      <c r="G45" s="36">
        <v>60000</v>
      </c>
      <c r="H45" s="36">
        <v>60000</v>
      </c>
      <c r="I45" s="36">
        <v>60000</v>
      </c>
      <c r="J45" s="36">
        <v>60000</v>
      </c>
      <c r="K45" s="36">
        <v>60000</v>
      </c>
      <c r="L45" s="36">
        <v>60000</v>
      </c>
      <c r="M45" s="36">
        <v>60000</v>
      </c>
      <c r="N45" s="36">
        <v>60000</v>
      </c>
      <c r="O45" s="36">
        <v>0</v>
      </c>
      <c r="P45" s="36">
        <v>60000</v>
      </c>
      <c r="Q45" s="36">
        <v>60000</v>
      </c>
      <c r="R45" s="36">
        <v>60000</v>
      </c>
      <c r="S45" s="36">
        <v>60000</v>
      </c>
      <c r="T45" s="36">
        <v>60000</v>
      </c>
      <c r="U45" s="36">
        <v>60000</v>
      </c>
      <c r="V45" s="36">
        <v>60000</v>
      </c>
      <c r="W45" s="36">
        <v>60000</v>
      </c>
      <c r="X45" s="36">
        <v>60000</v>
      </c>
      <c r="Y45" s="36">
        <v>60000</v>
      </c>
      <c r="Z45" s="18">
        <f t="shared" si="0"/>
        <v>60000</v>
      </c>
      <c r="AA45" s="18">
        <f t="shared" si="1"/>
        <v>60000</v>
      </c>
      <c r="AB45" s="18">
        <f t="shared" si="2"/>
        <v>60000</v>
      </c>
      <c r="AC45" s="18">
        <f t="shared" si="3"/>
        <v>60000</v>
      </c>
      <c r="AD45" s="18">
        <f t="shared" si="4"/>
        <v>60000</v>
      </c>
      <c r="AE45" s="18">
        <f t="shared" si="5"/>
        <v>60000</v>
      </c>
    </row>
    <row r="46" spans="1:31" ht="15" customHeight="1" x14ac:dyDescent="0.35">
      <c r="A46" s="8">
        <v>42</v>
      </c>
      <c r="B46" s="9" t="s">
        <v>417</v>
      </c>
      <c r="C46" s="8" t="s">
        <v>403</v>
      </c>
      <c r="D46" s="36">
        <v>0</v>
      </c>
      <c r="E46" s="36">
        <v>35000</v>
      </c>
      <c r="F46" s="36">
        <v>35000</v>
      </c>
      <c r="G46" s="36">
        <v>35000</v>
      </c>
      <c r="H46" s="36">
        <v>35000</v>
      </c>
      <c r="I46" s="36">
        <v>35000</v>
      </c>
      <c r="J46" s="36">
        <v>35000</v>
      </c>
      <c r="K46" s="36">
        <v>35000</v>
      </c>
      <c r="L46" s="36">
        <v>35000</v>
      </c>
      <c r="M46" s="36">
        <v>35000</v>
      </c>
      <c r="N46" s="36">
        <v>35000</v>
      </c>
      <c r="O46" s="36">
        <v>0</v>
      </c>
      <c r="P46" s="36">
        <v>35000</v>
      </c>
      <c r="Q46" s="36">
        <v>35000</v>
      </c>
      <c r="R46" s="36">
        <v>35000</v>
      </c>
      <c r="S46" s="36">
        <v>35000</v>
      </c>
      <c r="T46" s="36">
        <v>35000</v>
      </c>
      <c r="U46" s="36">
        <v>35000</v>
      </c>
      <c r="V46" s="36">
        <v>35000</v>
      </c>
      <c r="W46" s="36">
        <v>35000</v>
      </c>
      <c r="X46" s="36">
        <v>35000</v>
      </c>
      <c r="Y46" s="36">
        <v>35000</v>
      </c>
      <c r="Z46" s="18">
        <f t="shared" si="0"/>
        <v>35000</v>
      </c>
      <c r="AA46" s="18">
        <f t="shared" si="1"/>
        <v>35000</v>
      </c>
      <c r="AB46" s="18">
        <f t="shared" si="2"/>
        <v>35000</v>
      </c>
      <c r="AC46" s="18">
        <f t="shared" si="3"/>
        <v>35000</v>
      </c>
      <c r="AD46" s="18">
        <f t="shared" si="4"/>
        <v>35000</v>
      </c>
      <c r="AE46" s="18">
        <f t="shared" si="5"/>
        <v>35000</v>
      </c>
    </row>
    <row r="47" spans="1:31" ht="15" customHeight="1" x14ac:dyDescent="0.35">
      <c r="A47" s="8">
        <v>43</v>
      </c>
      <c r="B47" s="9" t="s">
        <v>418</v>
      </c>
      <c r="C47" s="8" t="s">
        <v>403</v>
      </c>
      <c r="D47" s="36">
        <v>0</v>
      </c>
      <c r="E47" s="36">
        <v>27000</v>
      </c>
      <c r="F47" s="36">
        <v>27000</v>
      </c>
      <c r="G47" s="36">
        <v>27000</v>
      </c>
      <c r="H47" s="36">
        <v>27000</v>
      </c>
      <c r="I47" s="36">
        <v>27000</v>
      </c>
      <c r="J47" s="36">
        <v>27000</v>
      </c>
      <c r="K47" s="36">
        <v>27000</v>
      </c>
      <c r="L47" s="36">
        <v>27000</v>
      </c>
      <c r="M47" s="36">
        <v>27000</v>
      </c>
      <c r="N47" s="36">
        <v>27000</v>
      </c>
      <c r="O47" s="36">
        <v>0</v>
      </c>
      <c r="P47" s="36">
        <v>27000</v>
      </c>
      <c r="Q47" s="36">
        <v>27000</v>
      </c>
      <c r="R47" s="36">
        <v>27000</v>
      </c>
      <c r="S47" s="36">
        <v>27000</v>
      </c>
      <c r="T47" s="36">
        <v>27000</v>
      </c>
      <c r="U47" s="36">
        <v>27000</v>
      </c>
      <c r="V47" s="36">
        <v>27000</v>
      </c>
      <c r="W47" s="36">
        <v>27000</v>
      </c>
      <c r="X47" s="36">
        <v>27000</v>
      </c>
      <c r="Y47" s="36">
        <v>27000</v>
      </c>
      <c r="Z47" s="18">
        <f t="shared" si="0"/>
        <v>27000</v>
      </c>
      <c r="AA47" s="18">
        <f t="shared" si="1"/>
        <v>27000</v>
      </c>
      <c r="AB47" s="18">
        <f t="shared" si="2"/>
        <v>27000</v>
      </c>
      <c r="AC47" s="18">
        <f t="shared" si="3"/>
        <v>27000</v>
      </c>
      <c r="AD47" s="18">
        <f t="shared" si="4"/>
        <v>27000</v>
      </c>
      <c r="AE47" s="18">
        <f t="shared" si="5"/>
        <v>27000</v>
      </c>
    </row>
    <row r="48" spans="1:31" ht="15" customHeight="1" x14ac:dyDescent="0.35">
      <c r="A48" s="8">
        <v>44</v>
      </c>
      <c r="B48" s="9" t="s">
        <v>419</v>
      </c>
      <c r="C48" s="8" t="s">
        <v>403</v>
      </c>
      <c r="D48" s="36">
        <v>0</v>
      </c>
      <c r="E48" s="36">
        <v>14000</v>
      </c>
      <c r="F48" s="36">
        <v>14000</v>
      </c>
      <c r="G48" s="36">
        <v>14000</v>
      </c>
      <c r="H48" s="36">
        <v>14000</v>
      </c>
      <c r="I48" s="36">
        <v>14000</v>
      </c>
      <c r="J48" s="36">
        <v>14000</v>
      </c>
      <c r="K48" s="36">
        <v>14000</v>
      </c>
      <c r="L48" s="36">
        <v>14000</v>
      </c>
      <c r="M48" s="36">
        <v>14000</v>
      </c>
      <c r="N48" s="36">
        <v>14000</v>
      </c>
      <c r="O48" s="36">
        <v>0</v>
      </c>
      <c r="P48" s="36">
        <v>14000</v>
      </c>
      <c r="Q48" s="36">
        <v>14000</v>
      </c>
      <c r="R48" s="36">
        <v>14000</v>
      </c>
      <c r="S48" s="36">
        <v>14000</v>
      </c>
      <c r="T48" s="36">
        <v>14000</v>
      </c>
      <c r="U48" s="36">
        <v>14000</v>
      </c>
      <c r="V48" s="36">
        <v>14000</v>
      </c>
      <c r="W48" s="36">
        <v>14000</v>
      </c>
      <c r="X48" s="36">
        <v>14000</v>
      </c>
      <c r="Y48" s="36">
        <v>14000</v>
      </c>
      <c r="Z48" s="18">
        <f t="shared" si="0"/>
        <v>14000</v>
      </c>
      <c r="AA48" s="18">
        <f t="shared" si="1"/>
        <v>14000</v>
      </c>
      <c r="AB48" s="18">
        <f t="shared" si="2"/>
        <v>14000</v>
      </c>
      <c r="AC48" s="18">
        <f t="shared" si="3"/>
        <v>14000</v>
      </c>
      <c r="AD48" s="18">
        <f t="shared" si="4"/>
        <v>14000</v>
      </c>
      <c r="AE48" s="18">
        <f t="shared" si="5"/>
        <v>14000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4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5" customWidth="1"/>
    <col min="2" max="2" width="22" customWidth="1"/>
    <col min="3" max="3" width="6" customWidth="1"/>
    <col min="4" max="23" width="11" customWidth="1"/>
    <col min="24" max="27" width="13" customWidth="1"/>
    <col min="28" max="28" width="14" customWidth="1"/>
  </cols>
  <sheetData>
    <row r="1" spans="1:28" ht="26.25" customHeight="1" x14ac:dyDescent="0.35">
      <c r="A1" s="5" t="s">
        <v>454</v>
      </c>
      <c r="B1" s="5"/>
      <c r="C1" s="5"/>
      <c r="D1" s="5"/>
    </row>
    <row r="2" spans="1:28" ht="18.75" customHeight="1" x14ac:dyDescent="0.35">
      <c r="A2" s="4" t="s">
        <v>371</v>
      </c>
      <c r="B2" s="4"/>
      <c r="C2" s="4"/>
      <c r="D2" s="4"/>
    </row>
    <row r="4" spans="1:28" ht="25.5" customHeight="1" x14ac:dyDescent="0.35">
      <c r="A4" s="6" t="s">
        <v>1</v>
      </c>
      <c r="B4" s="6" t="s">
        <v>372</v>
      </c>
      <c r="C4" s="6" t="s">
        <v>373</v>
      </c>
      <c r="D4" s="6" t="s">
        <v>455</v>
      </c>
      <c r="E4" s="6" t="s">
        <v>456</v>
      </c>
      <c r="F4" s="6" t="s">
        <v>457</v>
      </c>
      <c r="G4" s="6" t="s">
        <v>458</v>
      </c>
      <c r="H4" s="6" t="s">
        <v>459</v>
      </c>
      <c r="I4" s="6" t="s">
        <v>460</v>
      </c>
      <c r="J4" s="6" t="s">
        <v>461</v>
      </c>
      <c r="K4" s="6" t="s">
        <v>462</v>
      </c>
      <c r="L4" s="6" t="s">
        <v>463</v>
      </c>
      <c r="M4" s="6" t="s">
        <v>464</v>
      </c>
      <c r="N4" s="6" t="s">
        <v>465</v>
      </c>
      <c r="O4" s="6" t="s">
        <v>466</v>
      </c>
      <c r="P4" s="6" t="s">
        <v>467</v>
      </c>
      <c r="Q4" s="6" t="s">
        <v>468</v>
      </c>
      <c r="R4" s="6" t="s">
        <v>469</v>
      </c>
      <c r="S4" s="6" t="s">
        <v>470</v>
      </c>
      <c r="T4" s="6" t="s">
        <v>471</v>
      </c>
      <c r="U4" s="6" t="s">
        <v>472</v>
      </c>
      <c r="V4" s="6" t="s">
        <v>473</v>
      </c>
      <c r="W4" s="6" t="s">
        <v>474</v>
      </c>
      <c r="X4" s="34" t="s">
        <v>475</v>
      </c>
      <c r="Y4" s="34" t="s">
        <v>476</v>
      </c>
      <c r="Z4" s="34" t="s">
        <v>477</v>
      </c>
      <c r="AA4" s="34" t="s">
        <v>478</v>
      </c>
      <c r="AB4" s="35" t="s">
        <v>479</v>
      </c>
    </row>
    <row r="5" spans="1:28" ht="15" customHeight="1" x14ac:dyDescent="0.35">
      <c r="A5" s="8">
        <v>1</v>
      </c>
      <c r="B5" s="9" t="s">
        <v>330</v>
      </c>
      <c r="C5" s="8" t="s">
        <v>403</v>
      </c>
      <c r="D5" s="36">
        <v>12500</v>
      </c>
      <c r="E5" s="36">
        <v>12500</v>
      </c>
      <c r="F5" s="36">
        <v>12500</v>
      </c>
      <c r="G5" s="36">
        <v>12500</v>
      </c>
      <c r="H5" s="36">
        <v>12500</v>
      </c>
      <c r="I5" s="36">
        <v>12500</v>
      </c>
      <c r="J5" s="36">
        <v>12500</v>
      </c>
      <c r="K5" s="36">
        <v>12500</v>
      </c>
      <c r="L5" s="36">
        <v>12500</v>
      </c>
      <c r="M5" s="36">
        <v>12500</v>
      </c>
      <c r="N5" s="36">
        <v>0</v>
      </c>
      <c r="O5" s="36">
        <v>0</v>
      </c>
      <c r="P5" s="36">
        <v>12500</v>
      </c>
      <c r="Q5" s="36">
        <v>12500</v>
      </c>
      <c r="R5" s="36">
        <v>12500</v>
      </c>
      <c r="S5" s="36">
        <v>12500</v>
      </c>
      <c r="T5" s="36">
        <v>12500</v>
      </c>
      <c r="U5" s="36">
        <v>12500</v>
      </c>
      <c r="V5" s="36">
        <v>12500</v>
      </c>
      <c r="W5" s="36">
        <v>12500</v>
      </c>
      <c r="X5" s="18">
        <f t="shared" ref="X5:X48" si="0">IFERROR(AVERAGEIF(D5:H5,"&lt;&gt;0"),"")</f>
        <v>12500</v>
      </c>
      <c r="Y5" s="18">
        <f t="shared" ref="Y5:Y48" si="1">IFERROR(AVERAGEIF(I5:M5,"&lt;&gt;0"),"")</f>
        <v>12500</v>
      </c>
      <c r="Z5" s="18">
        <f t="shared" ref="Z5:Z48" si="2">IFERROR(AVERAGEIF(N5:R5,"&lt;&gt;0"),"")</f>
        <v>12500</v>
      </c>
      <c r="AA5" s="18">
        <f t="shared" ref="AA5:AA48" si="3">IFERROR(AVERAGEIF(S5:W5,"&lt;&gt;0"),"")</f>
        <v>12500</v>
      </c>
      <c r="AB5" s="18">
        <f t="shared" ref="AB5:AB48" si="4">IFERROR(AVERAGEIF(D5:W5,"&lt;&gt;0"),"")</f>
        <v>12500</v>
      </c>
    </row>
    <row r="6" spans="1:28" ht="15" customHeight="1" x14ac:dyDescent="0.35">
      <c r="A6" s="8">
        <v>2</v>
      </c>
      <c r="B6" s="9" t="s">
        <v>331</v>
      </c>
      <c r="C6" s="8" t="s">
        <v>403</v>
      </c>
      <c r="D6" s="36">
        <v>14000</v>
      </c>
      <c r="E6" s="36">
        <v>14000</v>
      </c>
      <c r="F6" s="36">
        <v>14000</v>
      </c>
      <c r="G6" s="36">
        <v>14000</v>
      </c>
      <c r="H6" s="36">
        <v>14000</v>
      </c>
      <c r="I6" s="36">
        <v>14000</v>
      </c>
      <c r="J6" s="36">
        <v>14000</v>
      </c>
      <c r="K6" s="36">
        <v>14000</v>
      </c>
      <c r="L6" s="36">
        <v>14000</v>
      </c>
      <c r="M6" s="36">
        <v>14000</v>
      </c>
      <c r="N6" s="36">
        <v>0</v>
      </c>
      <c r="O6" s="36">
        <v>0</v>
      </c>
      <c r="P6" s="36">
        <v>14000</v>
      </c>
      <c r="Q6" s="36">
        <v>14000</v>
      </c>
      <c r="R6" s="36">
        <v>14000</v>
      </c>
      <c r="S6" s="36">
        <v>14000</v>
      </c>
      <c r="T6" s="36">
        <v>14000</v>
      </c>
      <c r="U6" s="36">
        <v>14000</v>
      </c>
      <c r="V6" s="36">
        <v>14000</v>
      </c>
      <c r="W6" s="36">
        <v>14000</v>
      </c>
      <c r="X6" s="18">
        <f t="shared" si="0"/>
        <v>14000</v>
      </c>
      <c r="Y6" s="18">
        <f t="shared" si="1"/>
        <v>14000</v>
      </c>
      <c r="Z6" s="18">
        <f t="shared" si="2"/>
        <v>14000</v>
      </c>
      <c r="AA6" s="18">
        <f t="shared" si="3"/>
        <v>14000</v>
      </c>
      <c r="AB6" s="18">
        <f t="shared" si="4"/>
        <v>14000</v>
      </c>
    </row>
    <row r="7" spans="1:28" ht="15" customHeight="1" x14ac:dyDescent="0.35">
      <c r="A7" s="8">
        <v>3</v>
      </c>
      <c r="B7" s="9" t="s">
        <v>332</v>
      </c>
      <c r="C7" s="8" t="s">
        <v>403</v>
      </c>
      <c r="D7" s="36">
        <v>12500</v>
      </c>
      <c r="E7" s="36">
        <v>12500</v>
      </c>
      <c r="F7" s="36">
        <v>12500</v>
      </c>
      <c r="G7" s="36">
        <v>12500</v>
      </c>
      <c r="H7" s="36">
        <v>12500</v>
      </c>
      <c r="I7" s="36">
        <v>12500</v>
      </c>
      <c r="J7" s="36">
        <v>12500</v>
      </c>
      <c r="K7" s="36">
        <v>12500</v>
      </c>
      <c r="L7" s="36">
        <v>12500</v>
      </c>
      <c r="M7" s="36">
        <v>12500</v>
      </c>
      <c r="N7" s="36">
        <v>0</v>
      </c>
      <c r="O7" s="36">
        <v>0</v>
      </c>
      <c r="P7" s="36">
        <v>12500</v>
      </c>
      <c r="Q7" s="36">
        <v>12500</v>
      </c>
      <c r="R7" s="36">
        <v>12500</v>
      </c>
      <c r="S7" s="36">
        <v>12500</v>
      </c>
      <c r="T7" s="36">
        <v>12500</v>
      </c>
      <c r="U7" s="36">
        <v>12500</v>
      </c>
      <c r="V7" s="36">
        <v>12500</v>
      </c>
      <c r="W7" s="36">
        <v>12500</v>
      </c>
      <c r="X7" s="18">
        <f t="shared" si="0"/>
        <v>12500</v>
      </c>
      <c r="Y7" s="18">
        <f t="shared" si="1"/>
        <v>12500</v>
      </c>
      <c r="Z7" s="18">
        <f t="shared" si="2"/>
        <v>12500</v>
      </c>
      <c r="AA7" s="18">
        <f t="shared" si="3"/>
        <v>12500</v>
      </c>
      <c r="AB7" s="18">
        <f t="shared" si="4"/>
        <v>12500</v>
      </c>
    </row>
    <row r="8" spans="1:28" ht="15" customHeight="1" x14ac:dyDescent="0.35">
      <c r="A8" s="8">
        <v>4</v>
      </c>
      <c r="B8" s="9" t="s">
        <v>404</v>
      </c>
      <c r="C8" s="8" t="s">
        <v>403</v>
      </c>
      <c r="D8" s="36">
        <v>11000</v>
      </c>
      <c r="E8" s="36">
        <v>11000</v>
      </c>
      <c r="F8" s="36">
        <v>11000</v>
      </c>
      <c r="G8" s="36">
        <v>11000</v>
      </c>
      <c r="H8" s="36">
        <v>11000</v>
      </c>
      <c r="I8" s="36">
        <v>11000</v>
      </c>
      <c r="J8" s="36">
        <v>11000</v>
      </c>
      <c r="K8" s="36">
        <v>11000</v>
      </c>
      <c r="L8" s="36">
        <v>11000</v>
      </c>
      <c r="M8" s="36">
        <v>11000</v>
      </c>
      <c r="N8" s="36">
        <v>0</v>
      </c>
      <c r="O8" s="36">
        <v>0</v>
      </c>
      <c r="P8" s="36">
        <v>11000</v>
      </c>
      <c r="Q8" s="36">
        <v>11000</v>
      </c>
      <c r="R8" s="36">
        <v>11000</v>
      </c>
      <c r="S8" s="36">
        <v>11000</v>
      </c>
      <c r="T8" s="36">
        <v>11000</v>
      </c>
      <c r="U8" s="36">
        <v>11000</v>
      </c>
      <c r="V8" s="36">
        <v>11000</v>
      </c>
      <c r="W8" s="36">
        <v>11000</v>
      </c>
      <c r="X8" s="18">
        <f t="shared" si="0"/>
        <v>11000</v>
      </c>
      <c r="Y8" s="18">
        <f t="shared" si="1"/>
        <v>11000</v>
      </c>
      <c r="Z8" s="18">
        <f t="shared" si="2"/>
        <v>11000</v>
      </c>
      <c r="AA8" s="18">
        <f t="shared" si="3"/>
        <v>11000</v>
      </c>
      <c r="AB8" s="18">
        <f t="shared" si="4"/>
        <v>11000</v>
      </c>
    </row>
    <row r="9" spans="1:28" ht="15" customHeight="1" x14ac:dyDescent="0.35">
      <c r="A9" s="8">
        <v>5</v>
      </c>
      <c r="B9" s="9" t="s">
        <v>356</v>
      </c>
      <c r="C9" s="8" t="s">
        <v>403</v>
      </c>
      <c r="D9" s="36">
        <v>22000</v>
      </c>
      <c r="E9" s="36">
        <v>22000</v>
      </c>
      <c r="F9" s="36">
        <v>26000</v>
      </c>
      <c r="G9" s="36">
        <v>22000</v>
      </c>
      <c r="H9" s="36">
        <v>22000</v>
      </c>
      <c r="I9" s="36">
        <v>22000</v>
      </c>
      <c r="J9" s="36">
        <v>22000</v>
      </c>
      <c r="K9" s="36">
        <v>22000</v>
      </c>
      <c r="L9" s="36">
        <v>22000</v>
      </c>
      <c r="M9" s="36">
        <v>23500</v>
      </c>
      <c r="N9" s="36">
        <v>0</v>
      </c>
      <c r="O9" s="36">
        <v>0</v>
      </c>
      <c r="P9" s="36">
        <v>26000</v>
      </c>
      <c r="Q9" s="36">
        <v>23500</v>
      </c>
      <c r="R9" s="36">
        <v>26000</v>
      </c>
      <c r="S9" s="36">
        <v>26000</v>
      </c>
      <c r="T9" s="36">
        <v>25500</v>
      </c>
      <c r="U9" s="36">
        <v>26000</v>
      </c>
      <c r="V9" s="36">
        <v>25500</v>
      </c>
      <c r="W9" s="36">
        <v>26000</v>
      </c>
      <c r="X9" s="18">
        <f t="shared" si="0"/>
        <v>22800</v>
      </c>
      <c r="Y9" s="18">
        <f t="shared" si="1"/>
        <v>22300</v>
      </c>
      <c r="Z9" s="18">
        <f t="shared" si="2"/>
        <v>25166.666666666668</v>
      </c>
      <c r="AA9" s="18">
        <f t="shared" si="3"/>
        <v>25800</v>
      </c>
      <c r="AB9" s="18">
        <f t="shared" si="4"/>
        <v>23888.888888888891</v>
      </c>
    </row>
    <row r="10" spans="1:28" ht="15" customHeight="1" x14ac:dyDescent="0.35">
      <c r="A10" s="8">
        <v>6</v>
      </c>
      <c r="B10" s="9" t="s">
        <v>357</v>
      </c>
      <c r="C10" s="8" t="s">
        <v>403</v>
      </c>
      <c r="D10" s="36">
        <v>22000</v>
      </c>
      <c r="E10" s="36">
        <v>22000</v>
      </c>
      <c r="F10" s="36">
        <v>24000</v>
      </c>
      <c r="G10" s="36">
        <v>22000</v>
      </c>
      <c r="H10" s="36">
        <v>22000</v>
      </c>
      <c r="I10" s="36">
        <v>22000</v>
      </c>
      <c r="J10" s="36">
        <v>22000</v>
      </c>
      <c r="K10" s="36">
        <v>22000</v>
      </c>
      <c r="L10" s="36">
        <v>22000</v>
      </c>
      <c r="M10" s="36">
        <v>23500</v>
      </c>
      <c r="N10" s="36">
        <v>0</v>
      </c>
      <c r="O10" s="36">
        <v>0</v>
      </c>
      <c r="P10" s="36">
        <v>24000</v>
      </c>
      <c r="Q10" s="36">
        <v>23500</v>
      </c>
      <c r="R10" s="36">
        <v>24000</v>
      </c>
      <c r="S10" s="36">
        <v>25000</v>
      </c>
      <c r="T10" s="36">
        <v>25000</v>
      </c>
      <c r="U10" s="36">
        <v>25000</v>
      </c>
      <c r="V10" s="36">
        <v>25000</v>
      </c>
      <c r="W10" s="36">
        <v>25000</v>
      </c>
      <c r="X10" s="18">
        <f t="shared" si="0"/>
        <v>22400</v>
      </c>
      <c r="Y10" s="18">
        <f t="shared" si="1"/>
        <v>22300</v>
      </c>
      <c r="Z10" s="18">
        <f t="shared" si="2"/>
        <v>23833.333333333332</v>
      </c>
      <c r="AA10" s="18">
        <f t="shared" si="3"/>
        <v>25000</v>
      </c>
      <c r="AB10" s="18">
        <f t="shared" si="4"/>
        <v>23333.333333333332</v>
      </c>
    </row>
    <row r="11" spans="1:28" ht="15" customHeight="1" x14ac:dyDescent="0.35">
      <c r="A11" s="8">
        <v>7</v>
      </c>
      <c r="B11" s="9" t="s">
        <v>343</v>
      </c>
      <c r="C11" s="8" t="s">
        <v>403</v>
      </c>
      <c r="D11" s="36">
        <v>30000</v>
      </c>
      <c r="E11" s="36">
        <v>30000</v>
      </c>
      <c r="F11" s="36">
        <v>85000</v>
      </c>
      <c r="G11" s="36">
        <v>32000</v>
      </c>
      <c r="H11" s="36">
        <v>32000</v>
      </c>
      <c r="I11" s="36">
        <v>33000</v>
      </c>
      <c r="J11" s="36">
        <v>33000</v>
      </c>
      <c r="K11" s="36">
        <v>33000</v>
      </c>
      <c r="L11" s="36">
        <v>33000</v>
      </c>
      <c r="M11" s="36">
        <v>34000</v>
      </c>
      <c r="N11" s="36">
        <v>0</v>
      </c>
      <c r="O11" s="36">
        <v>0</v>
      </c>
      <c r="P11" s="36">
        <v>85000</v>
      </c>
      <c r="Q11" s="36">
        <v>43000</v>
      </c>
      <c r="R11" s="36">
        <v>85000</v>
      </c>
      <c r="S11" s="36">
        <v>85000</v>
      </c>
      <c r="T11" s="36">
        <v>45000</v>
      </c>
      <c r="U11" s="36">
        <v>85000</v>
      </c>
      <c r="V11" s="36">
        <v>45000</v>
      </c>
      <c r="W11" s="36">
        <v>85000</v>
      </c>
      <c r="X11" s="18">
        <f t="shared" si="0"/>
        <v>41800</v>
      </c>
      <c r="Y11" s="18">
        <f t="shared" si="1"/>
        <v>33200</v>
      </c>
      <c r="Z11" s="18">
        <f t="shared" si="2"/>
        <v>71000</v>
      </c>
      <c r="AA11" s="18">
        <f t="shared" si="3"/>
        <v>69000</v>
      </c>
      <c r="AB11" s="18">
        <f t="shared" si="4"/>
        <v>51833.333333333336</v>
      </c>
    </row>
    <row r="12" spans="1:28" ht="15" customHeight="1" x14ac:dyDescent="0.35">
      <c r="A12" s="8">
        <v>8</v>
      </c>
      <c r="B12" s="9" t="s">
        <v>350</v>
      </c>
      <c r="C12" s="8" t="s">
        <v>403</v>
      </c>
      <c r="D12" s="36">
        <v>28000</v>
      </c>
      <c r="E12" s="36">
        <v>28000</v>
      </c>
      <c r="F12" s="36">
        <v>30000</v>
      </c>
      <c r="G12" s="36">
        <v>28000</v>
      </c>
      <c r="H12" s="36">
        <v>28000</v>
      </c>
      <c r="I12" s="36">
        <v>29000</v>
      </c>
      <c r="J12" s="36">
        <v>29000</v>
      </c>
      <c r="K12" s="36">
        <v>29000</v>
      </c>
      <c r="L12" s="36">
        <v>29000</v>
      </c>
      <c r="M12" s="36">
        <v>30000</v>
      </c>
      <c r="N12" s="36">
        <v>0</v>
      </c>
      <c r="O12" s="36">
        <v>0</v>
      </c>
      <c r="P12" s="36">
        <v>30000</v>
      </c>
      <c r="Q12" s="36">
        <v>30000</v>
      </c>
      <c r="R12" s="36">
        <v>30000</v>
      </c>
      <c r="S12" s="36">
        <v>30000</v>
      </c>
      <c r="T12" s="36">
        <v>30000</v>
      </c>
      <c r="U12" s="36">
        <v>30000</v>
      </c>
      <c r="V12" s="36">
        <v>30000</v>
      </c>
      <c r="W12" s="36">
        <v>30000</v>
      </c>
      <c r="X12" s="18">
        <f t="shared" si="0"/>
        <v>28400</v>
      </c>
      <c r="Y12" s="18">
        <f t="shared" si="1"/>
        <v>29200</v>
      </c>
      <c r="Z12" s="18">
        <f t="shared" si="2"/>
        <v>30000</v>
      </c>
      <c r="AA12" s="18">
        <f t="shared" si="3"/>
        <v>30000</v>
      </c>
      <c r="AB12" s="18">
        <f t="shared" si="4"/>
        <v>29333.333333333332</v>
      </c>
    </row>
    <row r="13" spans="1:28" ht="15" customHeight="1" x14ac:dyDescent="0.35">
      <c r="A13" s="8">
        <v>9</v>
      </c>
      <c r="B13" s="9" t="s">
        <v>345</v>
      </c>
      <c r="C13" s="8" t="s">
        <v>403</v>
      </c>
      <c r="D13" s="36">
        <v>15000</v>
      </c>
      <c r="E13" s="36">
        <v>15000</v>
      </c>
      <c r="F13" s="36">
        <v>16500</v>
      </c>
      <c r="G13" s="36">
        <v>15000</v>
      </c>
      <c r="H13" s="36">
        <v>15000</v>
      </c>
      <c r="I13" s="36">
        <v>15000</v>
      </c>
      <c r="J13" s="36">
        <v>15000</v>
      </c>
      <c r="K13" s="36">
        <v>15000</v>
      </c>
      <c r="L13" s="36">
        <v>15000</v>
      </c>
      <c r="M13" s="36">
        <v>15000</v>
      </c>
      <c r="N13" s="36">
        <v>0</v>
      </c>
      <c r="O13" s="36">
        <v>0</v>
      </c>
      <c r="P13" s="36">
        <v>16500</v>
      </c>
      <c r="Q13" s="36">
        <v>15000</v>
      </c>
      <c r="R13" s="36">
        <v>16500</v>
      </c>
      <c r="S13" s="36">
        <v>16500</v>
      </c>
      <c r="T13" s="36">
        <v>15000</v>
      </c>
      <c r="U13" s="36">
        <v>16500</v>
      </c>
      <c r="V13" s="36">
        <v>15000</v>
      </c>
      <c r="W13" s="36">
        <v>16500</v>
      </c>
      <c r="X13" s="18">
        <f t="shared" si="0"/>
        <v>15300</v>
      </c>
      <c r="Y13" s="18">
        <f t="shared" si="1"/>
        <v>15000</v>
      </c>
      <c r="Z13" s="18">
        <f t="shared" si="2"/>
        <v>16000</v>
      </c>
      <c r="AA13" s="18">
        <f t="shared" si="3"/>
        <v>15900</v>
      </c>
      <c r="AB13" s="18">
        <f t="shared" si="4"/>
        <v>15500</v>
      </c>
    </row>
    <row r="14" spans="1:28" ht="15" customHeight="1" x14ac:dyDescent="0.35">
      <c r="A14" s="8">
        <v>10</v>
      </c>
      <c r="B14" s="9" t="s">
        <v>336</v>
      </c>
      <c r="C14" s="8" t="s">
        <v>449</v>
      </c>
      <c r="D14" s="36">
        <v>15000</v>
      </c>
      <c r="E14" s="36">
        <v>15000</v>
      </c>
      <c r="F14" s="36">
        <v>17500</v>
      </c>
      <c r="G14" s="36">
        <v>15000</v>
      </c>
      <c r="H14" s="36">
        <v>15000</v>
      </c>
      <c r="I14" s="36">
        <v>15000</v>
      </c>
      <c r="J14" s="36">
        <v>15000</v>
      </c>
      <c r="K14" s="36">
        <v>15000</v>
      </c>
      <c r="L14" s="36">
        <v>15000</v>
      </c>
      <c r="M14" s="36">
        <v>15000</v>
      </c>
      <c r="N14" s="36">
        <v>0</v>
      </c>
      <c r="O14" s="36">
        <v>0</v>
      </c>
      <c r="P14" s="36">
        <v>17500</v>
      </c>
      <c r="Q14" s="36">
        <v>15000</v>
      </c>
      <c r="R14" s="36">
        <v>17500</v>
      </c>
      <c r="S14" s="36">
        <v>17500</v>
      </c>
      <c r="T14" s="36">
        <v>15000</v>
      </c>
      <c r="U14" s="36">
        <v>17500</v>
      </c>
      <c r="V14" s="36">
        <v>15000</v>
      </c>
      <c r="W14" s="36">
        <v>17500</v>
      </c>
      <c r="X14" s="18">
        <f t="shared" si="0"/>
        <v>15500</v>
      </c>
      <c r="Y14" s="18">
        <f t="shared" si="1"/>
        <v>15000</v>
      </c>
      <c r="Z14" s="18">
        <f t="shared" si="2"/>
        <v>16666.666666666668</v>
      </c>
      <c r="AA14" s="18">
        <f t="shared" si="3"/>
        <v>16500</v>
      </c>
      <c r="AB14" s="18">
        <f t="shared" si="4"/>
        <v>15833.333333333334</v>
      </c>
    </row>
    <row r="15" spans="1:28" ht="21.75" customHeight="1" x14ac:dyDescent="0.35">
      <c r="A15" s="8">
        <v>11</v>
      </c>
      <c r="B15" s="9" t="s">
        <v>337</v>
      </c>
      <c r="C15" s="8" t="s">
        <v>449</v>
      </c>
      <c r="D15" s="36">
        <v>18000</v>
      </c>
      <c r="E15" s="36">
        <v>18000</v>
      </c>
      <c r="F15" s="36">
        <v>20000</v>
      </c>
      <c r="G15" s="36">
        <v>18000</v>
      </c>
      <c r="H15" s="36">
        <v>18000</v>
      </c>
      <c r="I15" s="36">
        <v>18000</v>
      </c>
      <c r="J15" s="36">
        <v>18000</v>
      </c>
      <c r="K15" s="36">
        <v>18000</v>
      </c>
      <c r="L15" s="36">
        <v>18000</v>
      </c>
      <c r="M15" s="36">
        <v>18000</v>
      </c>
      <c r="N15" s="36">
        <v>0</v>
      </c>
      <c r="O15" s="36">
        <v>0</v>
      </c>
      <c r="P15" s="36">
        <v>20000</v>
      </c>
      <c r="Q15" s="36">
        <v>18000</v>
      </c>
      <c r="R15" s="36">
        <v>20000</v>
      </c>
      <c r="S15" s="36">
        <v>20000</v>
      </c>
      <c r="T15" s="36">
        <v>18000</v>
      </c>
      <c r="U15" s="36">
        <v>20000</v>
      </c>
      <c r="V15" s="36">
        <v>18000</v>
      </c>
      <c r="W15" s="36">
        <v>20000</v>
      </c>
      <c r="X15" s="18">
        <f t="shared" si="0"/>
        <v>18400</v>
      </c>
      <c r="Y15" s="18">
        <f t="shared" si="1"/>
        <v>18000</v>
      </c>
      <c r="Z15" s="18">
        <f t="shared" si="2"/>
        <v>19333.333333333332</v>
      </c>
      <c r="AA15" s="18">
        <f t="shared" si="3"/>
        <v>19200</v>
      </c>
      <c r="AB15" s="18">
        <f t="shared" si="4"/>
        <v>18666.666666666668</v>
      </c>
    </row>
    <row r="16" spans="1:28" ht="15" customHeight="1" x14ac:dyDescent="0.35">
      <c r="A16" s="8">
        <v>12</v>
      </c>
      <c r="B16" s="9" t="s">
        <v>338</v>
      </c>
      <c r="C16" s="8" t="s">
        <v>449</v>
      </c>
      <c r="D16" s="36">
        <v>15700</v>
      </c>
      <c r="E16" s="36">
        <v>15700</v>
      </c>
      <c r="F16" s="36">
        <v>15700</v>
      </c>
      <c r="G16" s="36">
        <v>15700</v>
      </c>
      <c r="H16" s="36">
        <v>15700</v>
      </c>
      <c r="I16" s="36">
        <v>15700</v>
      </c>
      <c r="J16" s="36">
        <v>15700</v>
      </c>
      <c r="K16" s="36">
        <v>15700</v>
      </c>
      <c r="L16" s="36">
        <v>15700</v>
      </c>
      <c r="M16" s="36">
        <v>15700</v>
      </c>
      <c r="N16" s="36">
        <v>0</v>
      </c>
      <c r="O16" s="36">
        <v>0</v>
      </c>
      <c r="P16" s="36">
        <v>15700</v>
      </c>
      <c r="Q16" s="36">
        <v>15700</v>
      </c>
      <c r="R16" s="36">
        <v>15700</v>
      </c>
      <c r="S16" s="36">
        <v>15700</v>
      </c>
      <c r="T16" s="36">
        <v>15700</v>
      </c>
      <c r="U16" s="36">
        <v>15700</v>
      </c>
      <c r="V16" s="36">
        <v>15700</v>
      </c>
      <c r="W16" s="36">
        <v>15700</v>
      </c>
      <c r="X16" s="18">
        <f t="shared" si="0"/>
        <v>15700</v>
      </c>
      <c r="Y16" s="18">
        <f t="shared" si="1"/>
        <v>15700</v>
      </c>
      <c r="Z16" s="18">
        <f t="shared" si="2"/>
        <v>15700</v>
      </c>
      <c r="AA16" s="18">
        <f t="shared" si="3"/>
        <v>15700</v>
      </c>
      <c r="AB16" s="18">
        <f t="shared" si="4"/>
        <v>15700</v>
      </c>
    </row>
    <row r="17" spans="1:28" ht="15" customHeight="1" x14ac:dyDescent="0.35">
      <c r="A17" s="8">
        <v>13</v>
      </c>
      <c r="B17" s="9" t="s">
        <v>333</v>
      </c>
      <c r="C17" s="8" t="s">
        <v>403</v>
      </c>
      <c r="D17" s="36">
        <v>11000</v>
      </c>
      <c r="E17" s="36">
        <v>11000</v>
      </c>
      <c r="F17" s="36">
        <v>11000</v>
      </c>
      <c r="G17" s="36">
        <v>11000</v>
      </c>
      <c r="H17" s="36">
        <v>11000</v>
      </c>
      <c r="I17" s="36">
        <v>11000</v>
      </c>
      <c r="J17" s="36">
        <v>11000</v>
      </c>
      <c r="K17" s="36">
        <v>11000</v>
      </c>
      <c r="L17" s="36">
        <v>11000</v>
      </c>
      <c r="M17" s="36">
        <v>11000</v>
      </c>
      <c r="N17" s="36">
        <v>0</v>
      </c>
      <c r="O17" s="36">
        <v>0</v>
      </c>
      <c r="P17" s="36">
        <v>11000</v>
      </c>
      <c r="Q17" s="36">
        <v>11000</v>
      </c>
      <c r="R17" s="36">
        <v>11000</v>
      </c>
      <c r="S17" s="36">
        <v>11000</v>
      </c>
      <c r="T17" s="36">
        <v>11000</v>
      </c>
      <c r="U17" s="36">
        <v>11000</v>
      </c>
      <c r="V17" s="36">
        <v>11000</v>
      </c>
      <c r="W17" s="36">
        <v>11000</v>
      </c>
      <c r="X17" s="18">
        <f t="shared" si="0"/>
        <v>11000</v>
      </c>
      <c r="Y17" s="18">
        <f t="shared" si="1"/>
        <v>11000</v>
      </c>
      <c r="Z17" s="18">
        <f t="shared" si="2"/>
        <v>11000</v>
      </c>
      <c r="AA17" s="18">
        <f t="shared" si="3"/>
        <v>11000</v>
      </c>
      <c r="AB17" s="18">
        <f t="shared" si="4"/>
        <v>11000</v>
      </c>
    </row>
    <row r="18" spans="1:28" ht="15" customHeight="1" x14ac:dyDescent="0.35">
      <c r="A18" s="8">
        <v>14</v>
      </c>
      <c r="B18" s="9" t="s">
        <v>335</v>
      </c>
      <c r="C18" s="8" t="s">
        <v>403</v>
      </c>
      <c r="D18" s="36">
        <v>26000</v>
      </c>
      <c r="E18" s="36">
        <v>26000</v>
      </c>
      <c r="F18" s="36">
        <v>37000</v>
      </c>
      <c r="G18" s="36">
        <v>26000</v>
      </c>
      <c r="H18" s="36">
        <v>26000</v>
      </c>
      <c r="I18" s="36">
        <v>26000</v>
      </c>
      <c r="J18" s="36">
        <v>26000</v>
      </c>
      <c r="K18" s="36">
        <v>26000</v>
      </c>
      <c r="L18" s="36">
        <v>26000</v>
      </c>
      <c r="M18" s="36">
        <v>28000</v>
      </c>
      <c r="N18" s="36">
        <v>0</v>
      </c>
      <c r="O18" s="36">
        <v>0</v>
      </c>
      <c r="P18" s="36">
        <v>37000</v>
      </c>
      <c r="Q18" s="36">
        <v>31000</v>
      </c>
      <c r="R18" s="36">
        <v>37000</v>
      </c>
      <c r="S18" s="36">
        <v>37000</v>
      </c>
      <c r="T18" s="36">
        <v>31000</v>
      </c>
      <c r="U18" s="36">
        <v>37000</v>
      </c>
      <c r="V18" s="36">
        <v>31000</v>
      </c>
      <c r="W18" s="36">
        <v>37000</v>
      </c>
      <c r="X18" s="18">
        <f t="shared" si="0"/>
        <v>28200</v>
      </c>
      <c r="Y18" s="18">
        <f t="shared" si="1"/>
        <v>26400</v>
      </c>
      <c r="Z18" s="18">
        <f t="shared" si="2"/>
        <v>35000</v>
      </c>
      <c r="AA18" s="18">
        <f t="shared" si="3"/>
        <v>34600</v>
      </c>
      <c r="AB18" s="18">
        <f t="shared" si="4"/>
        <v>30611.111111111109</v>
      </c>
    </row>
    <row r="19" spans="1:28" ht="15" customHeight="1" x14ac:dyDescent="0.35">
      <c r="A19" s="8">
        <v>15</v>
      </c>
      <c r="B19" s="9" t="s">
        <v>344</v>
      </c>
      <c r="C19" s="8" t="s">
        <v>403</v>
      </c>
      <c r="D19" s="36">
        <v>25000</v>
      </c>
      <c r="E19" s="36">
        <v>25000</v>
      </c>
      <c r="F19" s="36">
        <v>28000</v>
      </c>
      <c r="G19" s="36">
        <v>25000</v>
      </c>
      <c r="H19" s="36">
        <v>25000</v>
      </c>
      <c r="I19" s="36">
        <v>25000</v>
      </c>
      <c r="J19" s="36">
        <v>25000</v>
      </c>
      <c r="K19" s="36">
        <v>25000</v>
      </c>
      <c r="L19" s="36">
        <v>25000</v>
      </c>
      <c r="M19" s="36">
        <v>26000</v>
      </c>
      <c r="N19" s="36">
        <v>0</v>
      </c>
      <c r="O19" s="36">
        <v>0</v>
      </c>
      <c r="P19" s="36">
        <v>28000</v>
      </c>
      <c r="Q19" s="36">
        <v>26000</v>
      </c>
      <c r="R19" s="36">
        <v>28000</v>
      </c>
      <c r="S19" s="36">
        <v>28000</v>
      </c>
      <c r="T19" s="36">
        <v>26000</v>
      </c>
      <c r="U19" s="36">
        <v>28000</v>
      </c>
      <c r="V19" s="36">
        <v>26000</v>
      </c>
      <c r="W19" s="36">
        <v>28000</v>
      </c>
      <c r="X19" s="18">
        <f t="shared" si="0"/>
        <v>25600</v>
      </c>
      <c r="Y19" s="18">
        <f t="shared" si="1"/>
        <v>25200</v>
      </c>
      <c r="Z19" s="18">
        <f t="shared" si="2"/>
        <v>27333.333333333332</v>
      </c>
      <c r="AA19" s="18">
        <f t="shared" si="3"/>
        <v>27200</v>
      </c>
      <c r="AB19" s="18">
        <f t="shared" si="4"/>
        <v>26222.222222222223</v>
      </c>
    </row>
    <row r="20" spans="1:28" ht="15" customHeight="1" x14ac:dyDescent="0.35">
      <c r="A20" s="8">
        <v>16</v>
      </c>
      <c r="B20" s="9" t="s">
        <v>358</v>
      </c>
      <c r="C20" s="8" t="s">
        <v>403</v>
      </c>
      <c r="D20" s="36">
        <v>110000</v>
      </c>
      <c r="E20" s="36">
        <v>110000</v>
      </c>
      <c r="F20" s="36">
        <v>110000</v>
      </c>
      <c r="G20" s="36">
        <v>110000</v>
      </c>
      <c r="H20" s="36">
        <v>110000</v>
      </c>
      <c r="I20" s="36">
        <v>110000</v>
      </c>
      <c r="J20" s="36">
        <v>110000</v>
      </c>
      <c r="K20" s="36">
        <v>110000</v>
      </c>
      <c r="L20" s="36">
        <v>110000</v>
      </c>
      <c r="M20" s="36">
        <v>110000</v>
      </c>
      <c r="N20" s="36">
        <v>0</v>
      </c>
      <c r="O20" s="36">
        <v>0</v>
      </c>
      <c r="P20" s="36">
        <v>110000</v>
      </c>
      <c r="Q20" s="36">
        <v>110000</v>
      </c>
      <c r="R20" s="36">
        <v>110000</v>
      </c>
      <c r="S20" s="36">
        <v>110000</v>
      </c>
      <c r="T20" s="36">
        <v>110000</v>
      </c>
      <c r="U20" s="36">
        <v>110000</v>
      </c>
      <c r="V20" s="36">
        <v>110000</v>
      </c>
      <c r="W20" s="36">
        <v>110000</v>
      </c>
      <c r="X20" s="18">
        <f t="shared" si="0"/>
        <v>110000</v>
      </c>
      <c r="Y20" s="18">
        <f t="shared" si="1"/>
        <v>110000</v>
      </c>
      <c r="Z20" s="18">
        <f t="shared" si="2"/>
        <v>110000</v>
      </c>
      <c r="AA20" s="18">
        <f t="shared" si="3"/>
        <v>110000</v>
      </c>
      <c r="AB20" s="18">
        <f t="shared" si="4"/>
        <v>110000</v>
      </c>
    </row>
    <row r="21" spans="1:28" ht="15" customHeight="1" x14ac:dyDescent="0.35">
      <c r="A21" s="8">
        <v>17</v>
      </c>
      <c r="B21" s="9" t="s">
        <v>359</v>
      </c>
      <c r="C21" s="8" t="s">
        <v>403</v>
      </c>
      <c r="D21" s="36">
        <v>60000</v>
      </c>
      <c r="E21" s="36">
        <v>60000</v>
      </c>
      <c r="F21" s="36">
        <v>70000</v>
      </c>
      <c r="G21" s="36">
        <v>60000</v>
      </c>
      <c r="H21" s="36">
        <v>60000</v>
      </c>
      <c r="I21" s="36">
        <v>60000</v>
      </c>
      <c r="J21" s="36">
        <v>60000</v>
      </c>
      <c r="K21" s="36">
        <v>60000</v>
      </c>
      <c r="L21" s="36">
        <v>60000</v>
      </c>
      <c r="M21" s="36">
        <v>60000</v>
      </c>
      <c r="N21" s="36">
        <v>0</v>
      </c>
      <c r="O21" s="36">
        <v>0</v>
      </c>
      <c r="P21" s="36">
        <v>70000</v>
      </c>
      <c r="Q21" s="36">
        <v>60000</v>
      </c>
      <c r="R21" s="36">
        <v>70000</v>
      </c>
      <c r="S21" s="36">
        <v>70000</v>
      </c>
      <c r="T21" s="36">
        <v>60000</v>
      </c>
      <c r="U21" s="36">
        <v>70000</v>
      </c>
      <c r="V21" s="36">
        <v>60000</v>
      </c>
      <c r="W21" s="36">
        <v>70000</v>
      </c>
      <c r="X21" s="18">
        <f t="shared" si="0"/>
        <v>62000</v>
      </c>
      <c r="Y21" s="18">
        <f t="shared" si="1"/>
        <v>60000</v>
      </c>
      <c r="Z21" s="18">
        <f t="shared" si="2"/>
        <v>66666.666666666672</v>
      </c>
      <c r="AA21" s="18">
        <f t="shared" si="3"/>
        <v>66000</v>
      </c>
      <c r="AB21" s="18">
        <f t="shared" si="4"/>
        <v>63333.333333333336</v>
      </c>
    </row>
    <row r="22" spans="1:28" ht="15" customHeight="1" x14ac:dyDescent="0.35">
      <c r="A22" s="8">
        <v>18</v>
      </c>
      <c r="B22" s="9" t="s">
        <v>360</v>
      </c>
      <c r="C22" s="8" t="s">
        <v>403</v>
      </c>
      <c r="D22" s="36">
        <v>55000</v>
      </c>
      <c r="E22" s="36">
        <v>55000</v>
      </c>
      <c r="F22" s="36">
        <v>70000</v>
      </c>
      <c r="G22" s="36">
        <v>55000</v>
      </c>
      <c r="H22" s="36">
        <v>55000</v>
      </c>
      <c r="I22" s="36">
        <v>55000</v>
      </c>
      <c r="J22" s="36">
        <v>55000</v>
      </c>
      <c r="K22" s="36">
        <v>55000</v>
      </c>
      <c r="L22" s="36">
        <v>55000</v>
      </c>
      <c r="M22" s="36">
        <v>55000</v>
      </c>
      <c r="N22" s="36">
        <v>0</v>
      </c>
      <c r="O22" s="36">
        <v>0</v>
      </c>
      <c r="P22" s="36">
        <v>70000</v>
      </c>
      <c r="Q22" s="36">
        <v>55000</v>
      </c>
      <c r="R22" s="36">
        <v>70000</v>
      </c>
      <c r="S22" s="36">
        <v>70000</v>
      </c>
      <c r="T22" s="36">
        <v>55000</v>
      </c>
      <c r="U22" s="36">
        <v>70000</v>
      </c>
      <c r="V22" s="36">
        <v>55000</v>
      </c>
      <c r="W22" s="36">
        <v>70000</v>
      </c>
      <c r="X22" s="18">
        <f t="shared" si="0"/>
        <v>58000</v>
      </c>
      <c r="Y22" s="18">
        <f t="shared" si="1"/>
        <v>55000</v>
      </c>
      <c r="Z22" s="18">
        <f t="shared" si="2"/>
        <v>65000</v>
      </c>
      <c r="AA22" s="18">
        <f t="shared" si="3"/>
        <v>64000</v>
      </c>
      <c r="AB22" s="18">
        <f t="shared" si="4"/>
        <v>60000</v>
      </c>
    </row>
    <row r="23" spans="1:28" ht="15" customHeight="1" x14ac:dyDescent="0.35">
      <c r="A23" s="8">
        <v>19</v>
      </c>
      <c r="B23" s="9" t="s">
        <v>405</v>
      </c>
      <c r="C23" s="8" t="s">
        <v>403</v>
      </c>
      <c r="D23" s="36">
        <v>28000</v>
      </c>
      <c r="E23" s="36">
        <v>28000</v>
      </c>
      <c r="F23" s="36">
        <v>35000</v>
      </c>
      <c r="G23" s="36">
        <v>28000</v>
      </c>
      <c r="H23" s="36">
        <v>28000</v>
      </c>
      <c r="I23" s="36">
        <v>28000</v>
      </c>
      <c r="J23" s="36">
        <v>28000</v>
      </c>
      <c r="K23" s="36">
        <v>28000</v>
      </c>
      <c r="L23" s="36">
        <v>28000</v>
      </c>
      <c r="M23" s="36">
        <v>28000</v>
      </c>
      <c r="N23" s="36">
        <v>0</v>
      </c>
      <c r="O23" s="36">
        <v>0</v>
      </c>
      <c r="P23" s="36">
        <v>35000</v>
      </c>
      <c r="Q23" s="36">
        <v>28000</v>
      </c>
      <c r="R23" s="36">
        <v>35000</v>
      </c>
      <c r="S23" s="36">
        <v>35000</v>
      </c>
      <c r="T23" s="36">
        <v>28000</v>
      </c>
      <c r="U23" s="36">
        <v>35000</v>
      </c>
      <c r="V23" s="36">
        <v>28000</v>
      </c>
      <c r="W23" s="36">
        <v>35000</v>
      </c>
      <c r="X23" s="18">
        <f t="shared" si="0"/>
        <v>29400</v>
      </c>
      <c r="Y23" s="18">
        <f t="shared" si="1"/>
        <v>28000</v>
      </c>
      <c r="Z23" s="18">
        <f t="shared" si="2"/>
        <v>32666.666666666668</v>
      </c>
      <c r="AA23" s="18">
        <f t="shared" si="3"/>
        <v>32200</v>
      </c>
      <c r="AB23" s="18">
        <f t="shared" si="4"/>
        <v>30333.333333333332</v>
      </c>
    </row>
    <row r="24" spans="1:28" ht="15" customHeight="1" x14ac:dyDescent="0.35">
      <c r="A24" s="8">
        <v>20</v>
      </c>
      <c r="B24" s="9" t="s">
        <v>346</v>
      </c>
      <c r="C24" s="8" t="s">
        <v>403</v>
      </c>
      <c r="D24" s="36">
        <v>28000</v>
      </c>
      <c r="E24" s="36">
        <v>28000</v>
      </c>
      <c r="F24" s="36">
        <v>35000</v>
      </c>
      <c r="G24" s="36">
        <v>28000</v>
      </c>
      <c r="H24" s="36">
        <v>28000</v>
      </c>
      <c r="I24" s="36">
        <v>28000</v>
      </c>
      <c r="J24" s="36">
        <v>28000</v>
      </c>
      <c r="K24" s="36">
        <v>28000</v>
      </c>
      <c r="L24" s="36">
        <v>28000</v>
      </c>
      <c r="M24" s="36">
        <v>28000</v>
      </c>
      <c r="N24" s="36">
        <v>0</v>
      </c>
      <c r="O24" s="36">
        <v>0</v>
      </c>
      <c r="P24" s="36">
        <v>35000</v>
      </c>
      <c r="Q24" s="36">
        <v>28000</v>
      </c>
      <c r="R24" s="36">
        <v>35000</v>
      </c>
      <c r="S24" s="36">
        <v>35000</v>
      </c>
      <c r="T24" s="36">
        <v>28000</v>
      </c>
      <c r="U24" s="36">
        <v>35000</v>
      </c>
      <c r="V24" s="36">
        <v>28000</v>
      </c>
      <c r="W24" s="36">
        <v>35000</v>
      </c>
      <c r="X24" s="18">
        <f t="shared" si="0"/>
        <v>29400</v>
      </c>
      <c r="Y24" s="18">
        <f t="shared" si="1"/>
        <v>28000</v>
      </c>
      <c r="Z24" s="18">
        <f t="shared" si="2"/>
        <v>32666.666666666668</v>
      </c>
      <c r="AA24" s="18">
        <f t="shared" si="3"/>
        <v>32200</v>
      </c>
      <c r="AB24" s="18">
        <f t="shared" si="4"/>
        <v>30333.333333333332</v>
      </c>
    </row>
    <row r="25" spans="1:28" ht="15" customHeight="1" x14ac:dyDescent="0.35">
      <c r="A25" s="8">
        <v>21</v>
      </c>
      <c r="B25" s="9" t="s">
        <v>406</v>
      </c>
      <c r="C25" s="8" t="s">
        <v>403</v>
      </c>
      <c r="D25" s="36">
        <v>60000</v>
      </c>
      <c r="E25" s="36">
        <v>60000</v>
      </c>
      <c r="F25" s="36">
        <v>80000</v>
      </c>
      <c r="G25" s="36">
        <v>60000</v>
      </c>
      <c r="H25" s="36">
        <v>60000</v>
      </c>
      <c r="I25" s="36">
        <v>60000</v>
      </c>
      <c r="J25" s="36">
        <v>60000</v>
      </c>
      <c r="K25" s="36">
        <v>60000</v>
      </c>
      <c r="L25" s="36">
        <v>60000</v>
      </c>
      <c r="M25" s="36">
        <v>60000</v>
      </c>
      <c r="N25" s="36">
        <v>0</v>
      </c>
      <c r="O25" s="36">
        <v>0</v>
      </c>
      <c r="P25" s="36">
        <v>80000</v>
      </c>
      <c r="Q25" s="36">
        <v>60000</v>
      </c>
      <c r="R25" s="36">
        <v>80000</v>
      </c>
      <c r="S25" s="36">
        <v>80000</v>
      </c>
      <c r="T25" s="36">
        <v>60000</v>
      </c>
      <c r="U25" s="36">
        <v>80000</v>
      </c>
      <c r="V25" s="36">
        <v>60000</v>
      </c>
      <c r="W25" s="36">
        <v>80000</v>
      </c>
      <c r="X25" s="18">
        <f t="shared" si="0"/>
        <v>64000</v>
      </c>
      <c r="Y25" s="18">
        <f t="shared" si="1"/>
        <v>60000</v>
      </c>
      <c r="Z25" s="18">
        <f t="shared" si="2"/>
        <v>73333.333333333328</v>
      </c>
      <c r="AA25" s="18">
        <f t="shared" si="3"/>
        <v>72000</v>
      </c>
      <c r="AB25" s="18">
        <f t="shared" si="4"/>
        <v>66666.666666666672</v>
      </c>
    </row>
    <row r="26" spans="1:28" ht="21.75" customHeight="1" x14ac:dyDescent="0.35">
      <c r="A26" s="8">
        <v>22</v>
      </c>
      <c r="B26" s="9" t="s">
        <v>353</v>
      </c>
      <c r="C26" s="8" t="s">
        <v>450</v>
      </c>
      <c r="D26" s="36">
        <v>2800</v>
      </c>
      <c r="E26" s="36">
        <v>2800</v>
      </c>
      <c r="F26" s="36">
        <v>2800</v>
      </c>
      <c r="G26" s="36">
        <v>2800</v>
      </c>
      <c r="H26" s="36">
        <v>2800</v>
      </c>
      <c r="I26" s="36">
        <v>2800</v>
      </c>
      <c r="J26" s="36">
        <v>2800</v>
      </c>
      <c r="K26" s="36">
        <v>2800</v>
      </c>
      <c r="L26" s="36">
        <v>2800</v>
      </c>
      <c r="M26" s="36">
        <v>2800</v>
      </c>
      <c r="N26" s="36">
        <v>0</v>
      </c>
      <c r="O26" s="36">
        <v>0</v>
      </c>
      <c r="P26" s="36">
        <v>2800</v>
      </c>
      <c r="Q26" s="36">
        <v>2800</v>
      </c>
      <c r="R26" s="36">
        <v>2800</v>
      </c>
      <c r="S26" s="36">
        <v>2800</v>
      </c>
      <c r="T26" s="36">
        <v>2800</v>
      </c>
      <c r="U26" s="36">
        <v>2800</v>
      </c>
      <c r="V26" s="36">
        <v>2800</v>
      </c>
      <c r="W26" s="36">
        <v>2800</v>
      </c>
      <c r="X26" s="18">
        <f t="shared" si="0"/>
        <v>2800</v>
      </c>
      <c r="Y26" s="18">
        <f t="shared" si="1"/>
        <v>2800</v>
      </c>
      <c r="Z26" s="18">
        <f t="shared" si="2"/>
        <v>2800</v>
      </c>
      <c r="AA26" s="18">
        <f t="shared" si="3"/>
        <v>2800</v>
      </c>
      <c r="AB26" s="18">
        <f t="shared" si="4"/>
        <v>2800</v>
      </c>
    </row>
    <row r="27" spans="1:28" ht="15" customHeight="1" x14ac:dyDescent="0.35">
      <c r="A27" s="8">
        <v>23</v>
      </c>
      <c r="B27" s="9" t="s">
        <v>351</v>
      </c>
      <c r="C27" s="8" t="s">
        <v>403</v>
      </c>
      <c r="D27" s="36">
        <v>24000</v>
      </c>
      <c r="E27" s="36">
        <v>24000</v>
      </c>
      <c r="F27" s="36">
        <v>30000</v>
      </c>
      <c r="G27" s="36">
        <v>24000</v>
      </c>
      <c r="H27" s="36">
        <v>24000</v>
      </c>
      <c r="I27" s="36">
        <v>24500</v>
      </c>
      <c r="J27" s="36">
        <v>24500</v>
      </c>
      <c r="K27" s="36">
        <v>24500</v>
      </c>
      <c r="L27" s="36">
        <v>24500</v>
      </c>
      <c r="M27" s="36">
        <v>25000</v>
      </c>
      <c r="N27" s="36">
        <v>0</v>
      </c>
      <c r="O27" s="36">
        <v>0</v>
      </c>
      <c r="P27" s="36">
        <v>30000</v>
      </c>
      <c r="Q27" s="36">
        <v>25000</v>
      </c>
      <c r="R27" s="36">
        <v>30000</v>
      </c>
      <c r="S27" s="36">
        <v>30000</v>
      </c>
      <c r="T27" s="36">
        <v>25000</v>
      </c>
      <c r="U27" s="36">
        <v>30000</v>
      </c>
      <c r="V27" s="36">
        <v>25000</v>
      </c>
      <c r="W27" s="36">
        <v>30000</v>
      </c>
      <c r="X27" s="18">
        <f t="shared" si="0"/>
        <v>25200</v>
      </c>
      <c r="Y27" s="18">
        <f t="shared" si="1"/>
        <v>24600</v>
      </c>
      <c r="Z27" s="18">
        <f t="shared" si="2"/>
        <v>28333.333333333332</v>
      </c>
      <c r="AA27" s="18">
        <f t="shared" si="3"/>
        <v>28000</v>
      </c>
      <c r="AB27" s="18">
        <f t="shared" si="4"/>
        <v>26333.333333333332</v>
      </c>
    </row>
    <row r="28" spans="1:28" ht="15" customHeight="1" x14ac:dyDescent="0.35">
      <c r="A28" s="8">
        <v>24</v>
      </c>
      <c r="B28" s="9" t="s">
        <v>352</v>
      </c>
      <c r="C28" s="8" t="s">
        <v>403</v>
      </c>
      <c r="D28" s="36">
        <v>30000</v>
      </c>
      <c r="E28" s="36">
        <v>30000</v>
      </c>
      <c r="F28" s="36">
        <v>35000</v>
      </c>
      <c r="G28" s="36">
        <v>30000</v>
      </c>
      <c r="H28" s="36">
        <v>30000</v>
      </c>
      <c r="I28" s="36">
        <v>30000</v>
      </c>
      <c r="J28" s="36">
        <v>30000</v>
      </c>
      <c r="K28" s="36">
        <v>30000</v>
      </c>
      <c r="L28" s="36">
        <v>30000</v>
      </c>
      <c r="M28" s="36">
        <v>30000</v>
      </c>
      <c r="N28" s="36">
        <v>0</v>
      </c>
      <c r="O28" s="36">
        <v>0</v>
      </c>
      <c r="P28" s="36">
        <v>35000</v>
      </c>
      <c r="Q28" s="36">
        <v>30000</v>
      </c>
      <c r="R28" s="36">
        <v>35000</v>
      </c>
      <c r="S28" s="36">
        <v>35000</v>
      </c>
      <c r="T28" s="36">
        <v>30000</v>
      </c>
      <c r="U28" s="36">
        <v>35000</v>
      </c>
      <c r="V28" s="36">
        <v>30000</v>
      </c>
      <c r="W28" s="36">
        <v>35000</v>
      </c>
      <c r="X28" s="18">
        <f t="shared" si="0"/>
        <v>31000</v>
      </c>
      <c r="Y28" s="18">
        <f t="shared" si="1"/>
        <v>30000</v>
      </c>
      <c r="Z28" s="18">
        <f t="shared" si="2"/>
        <v>33333.333333333336</v>
      </c>
      <c r="AA28" s="18">
        <f t="shared" si="3"/>
        <v>33000</v>
      </c>
      <c r="AB28" s="18">
        <f t="shared" si="4"/>
        <v>31666.666666666668</v>
      </c>
    </row>
    <row r="29" spans="1:28" ht="15" customHeight="1" x14ac:dyDescent="0.35">
      <c r="A29" s="8">
        <v>25</v>
      </c>
      <c r="B29" s="9" t="s">
        <v>407</v>
      </c>
      <c r="C29" s="8" t="s">
        <v>403</v>
      </c>
      <c r="D29" s="36">
        <v>27000</v>
      </c>
      <c r="E29" s="36">
        <v>27000</v>
      </c>
      <c r="F29" s="36">
        <v>34000</v>
      </c>
      <c r="G29" s="36">
        <v>27000</v>
      </c>
      <c r="H29" s="36">
        <v>27000</v>
      </c>
      <c r="I29" s="36">
        <v>27000</v>
      </c>
      <c r="J29" s="36">
        <v>27000</v>
      </c>
      <c r="K29" s="36">
        <v>27000</v>
      </c>
      <c r="L29" s="36">
        <v>27000</v>
      </c>
      <c r="M29" s="36">
        <v>27000</v>
      </c>
      <c r="N29" s="36">
        <v>0</v>
      </c>
      <c r="O29" s="36">
        <v>0</v>
      </c>
      <c r="P29" s="36">
        <v>34000</v>
      </c>
      <c r="Q29" s="36">
        <v>27000</v>
      </c>
      <c r="R29" s="36">
        <v>34000</v>
      </c>
      <c r="S29" s="36">
        <v>34000</v>
      </c>
      <c r="T29" s="36">
        <v>27000</v>
      </c>
      <c r="U29" s="36">
        <v>34000</v>
      </c>
      <c r="V29" s="36">
        <v>27000</v>
      </c>
      <c r="W29" s="36">
        <v>34000</v>
      </c>
      <c r="X29" s="18">
        <f t="shared" si="0"/>
        <v>28400</v>
      </c>
      <c r="Y29" s="18">
        <f t="shared" si="1"/>
        <v>27000</v>
      </c>
      <c r="Z29" s="18">
        <f t="shared" si="2"/>
        <v>31666.666666666668</v>
      </c>
      <c r="AA29" s="18">
        <f t="shared" si="3"/>
        <v>31200</v>
      </c>
      <c r="AB29" s="18">
        <f t="shared" si="4"/>
        <v>29333.333333333332</v>
      </c>
    </row>
    <row r="30" spans="1:28" ht="15" customHeight="1" x14ac:dyDescent="0.35">
      <c r="A30" s="8">
        <v>26</v>
      </c>
      <c r="B30" s="9" t="s">
        <v>408</v>
      </c>
      <c r="C30" s="8" t="s">
        <v>403</v>
      </c>
      <c r="D30" s="36">
        <v>8000</v>
      </c>
      <c r="E30" s="36">
        <v>8000</v>
      </c>
      <c r="F30" s="36">
        <v>8000</v>
      </c>
      <c r="G30" s="36">
        <v>8000</v>
      </c>
      <c r="H30" s="36">
        <v>8000</v>
      </c>
      <c r="I30" s="36">
        <v>8000</v>
      </c>
      <c r="J30" s="36">
        <v>8000</v>
      </c>
      <c r="K30" s="36">
        <v>8000</v>
      </c>
      <c r="L30" s="36">
        <v>8000</v>
      </c>
      <c r="M30" s="36">
        <v>8000</v>
      </c>
      <c r="N30" s="36">
        <v>0</v>
      </c>
      <c r="O30" s="36">
        <v>0</v>
      </c>
      <c r="P30" s="36">
        <v>8000</v>
      </c>
      <c r="Q30" s="36">
        <v>8000</v>
      </c>
      <c r="R30" s="36">
        <v>8000</v>
      </c>
      <c r="S30" s="36">
        <v>8000</v>
      </c>
      <c r="T30" s="36">
        <v>8000</v>
      </c>
      <c r="U30" s="36">
        <v>8000</v>
      </c>
      <c r="V30" s="36">
        <v>8000</v>
      </c>
      <c r="W30" s="36">
        <v>8000</v>
      </c>
      <c r="X30" s="18">
        <f t="shared" si="0"/>
        <v>8000</v>
      </c>
      <c r="Y30" s="18">
        <f t="shared" si="1"/>
        <v>8000</v>
      </c>
      <c r="Z30" s="18">
        <f t="shared" si="2"/>
        <v>8000</v>
      </c>
      <c r="AA30" s="18">
        <f t="shared" si="3"/>
        <v>8000</v>
      </c>
      <c r="AB30" s="18">
        <f t="shared" si="4"/>
        <v>8000</v>
      </c>
    </row>
    <row r="31" spans="1:28" ht="15" customHeight="1" x14ac:dyDescent="0.35">
      <c r="A31" s="8">
        <v>27</v>
      </c>
      <c r="B31" s="9" t="s">
        <v>354</v>
      </c>
      <c r="C31" s="8" t="s">
        <v>451</v>
      </c>
      <c r="D31" s="36">
        <v>10500</v>
      </c>
      <c r="E31" s="36">
        <v>10500</v>
      </c>
      <c r="F31" s="36">
        <v>10500</v>
      </c>
      <c r="G31" s="36">
        <v>10500</v>
      </c>
      <c r="H31" s="36">
        <v>10500</v>
      </c>
      <c r="I31" s="36">
        <v>10500</v>
      </c>
      <c r="J31" s="36">
        <v>10500</v>
      </c>
      <c r="K31" s="36">
        <v>10500</v>
      </c>
      <c r="L31" s="36">
        <v>10500</v>
      </c>
      <c r="M31" s="36">
        <v>10500</v>
      </c>
      <c r="N31" s="36">
        <v>0</v>
      </c>
      <c r="O31" s="36">
        <v>0</v>
      </c>
      <c r="P31" s="36">
        <v>10500</v>
      </c>
      <c r="Q31" s="36">
        <v>10500</v>
      </c>
      <c r="R31" s="36">
        <v>10500</v>
      </c>
      <c r="S31" s="36">
        <v>10500</v>
      </c>
      <c r="T31" s="36">
        <v>10500</v>
      </c>
      <c r="U31" s="36">
        <v>10500</v>
      </c>
      <c r="V31" s="36">
        <v>10500</v>
      </c>
      <c r="W31" s="36">
        <v>10500</v>
      </c>
      <c r="X31" s="18">
        <f t="shared" si="0"/>
        <v>10500</v>
      </c>
      <c r="Y31" s="18">
        <f t="shared" si="1"/>
        <v>10500</v>
      </c>
      <c r="Z31" s="18">
        <f t="shared" si="2"/>
        <v>10500</v>
      </c>
      <c r="AA31" s="18">
        <f t="shared" si="3"/>
        <v>10500</v>
      </c>
      <c r="AB31" s="18">
        <f t="shared" si="4"/>
        <v>10500</v>
      </c>
    </row>
    <row r="32" spans="1:28" ht="15" customHeight="1" x14ac:dyDescent="0.35">
      <c r="A32" s="8">
        <v>28</v>
      </c>
      <c r="B32" s="9" t="s">
        <v>348</v>
      </c>
      <c r="C32" s="8" t="s">
        <v>452</v>
      </c>
      <c r="D32" s="36">
        <v>42000</v>
      </c>
      <c r="E32" s="36">
        <v>42000</v>
      </c>
      <c r="F32" s="36">
        <v>42000</v>
      </c>
      <c r="G32" s="36">
        <v>42000</v>
      </c>
      <c r="H32" s="36">
        <v>42000</v>
      </c>
      <c r="I32" s="36">
        <v>42000</v>
      </c>
      <c r="J32" s="36">
        <v>42000</v>
      </c>
      <c r="K32" s="36">
        <v>42000</v>
      </c>
      <c r="L32" s="36">
        <v>42000</v>
      </c>
      <c r="M32" s="36">
        <v>42000</v>
      </c>
      <c r="N32" s="36">
        <v>0</v>
      </c>
      <c r="O32" s="36">
        <v>0</v>
      </c>
      <c r="P32" s="36">
        <v>42000</v>
      </c>
      <c r="Q32" s="36">
        <v>42000</v>
      </c>
      <c r="R32" s="36">
        <v>42000</v>
      </c>
      <c r="S32" s="36">
        <v>42000</v>
      </c>
      <c r="T32" s="36">
        <v>42000</v>
      </c>
      <c r="U32" s="36">
        <v>42000</v>
      </c>
      <c r="V32" s="36">
        <v>42000</v>
      </c>
      <c r="W32" s="36">
        <v>42000</v>
      </c>
      <c r="X32" s="18">
        <f t="shared" si="0"/>
        <v>42000</v>
      </c>
      <c r="Y32" s="18">
        <f t="shared" si="1"/>
        <v>42000</v>
      </c>
      <c r="Z32" s="18">
        <f t="shared" si="2"/>
        <v>42000</v>
      </c>
      <c r="AA32" s="18">
        <f t="shared" si="3"/>
        <v>42000</v>
      </c>
      <c r="AB32" s="18">
        <f t="shared" si="4"/>
        <v>42000</v>
      </c>
    </row>
    <row r="33" spans="1:28" ht="15" customHeight="1" x14ac:dyDescent="0.35">
      <c r="A33" s="8">
        <v>29</v>
      </c>
      <c r="B33" s="9" t="s">
        <v>361</v>
      </c>
      <c r="C33" s="8" t="s">
        <v>403</v>
      </c>
      <c r="D33" s="36">
        <v>8000</v>
      </c>
      <c r="E33" s="36">
        <v>8000</v>
      </c>
      <c r="F33" s="36">
        <v>10000</v>
      </c>
      <c r="G33" s="36">
        <v>8000</v>
      </c>
      <c r="H33" s="36">
        <v>8000</v>
      </c>
      <c r="I33" s="36">
        <v>8000</v>
      </c>
      <c r="J33" s="36">
        <v>8000</v>
      </c>
      <c r="K33" s="36">
        <v>8000</v>
      </c>
      <c r="L33" s="36">
        <v>8000</v>
      </c>
      <c r="M33" s="36">
        <v>8000</v>
      </c>
      <c r="N33" s="36">
        <v>0</v>
      </c>
      <c r="O33" s="36">
        <v>0</v>
      </c>
      <c r="P33" s="36">
        <v>10000</v>
      </c>
      <c r="Q33" s="36">
        <v>8000</v>
      </c>
      <c r="R33" s="36">
        <v>10000</v>
      </c>
      <c r="S33" s="36">
        <v>10000</v>
      </c>
      <c r="T33" s="36">
        <v>8000</v>
      </c>
      <c r="U33" s="36">
        <v>10000</v>
      </c>
      <c r="V33" s="36">
        <v>8000</v>
      </c>
      <c r="W33" s="36">
        <v>10000</v>
      </c>
      <c r="X33" s="18">
        <f t="shared" si="0"/>
        <v>8400</v>
      </c>
      <c r="Y33" s="18">
        <f t="shared" si="1"/>
        <v>8000</v>
      </c>
      <c r="Z33" s="18">
        <f t="shared" si="2"/>
        <v>9333.3333333333339</v>
      </c>
      <c r="AA33" s="18">
        <f t="shared" si="3"/>
        <v>9200</v>
      </c>
      <c r="AB33" s="18">
        <f t="shared" si="4"/>
        <v>8666.6666666666661</v>
      </c>
    </row>
    <row r="34" spans="1:28" ht="15" customHeight="1" x14ac:dyDescent="0.35">
      <c r="A34" s="8">
        <v>30</v>
      </c>
      <c r="B34" s="9" t="s">
        <v>334</v>
      </c>
      <c r="C34" s="8" t="s">
        <v>403</v>
      </c>
      <c r="D34" s="36">
        <v>6000</v>
      </c>
      <c r="E34" s="36">
        <v>6000</v>
      </c>
      <c r="F34" s="36">
        <v>6000</v>
      </c>
      <c r="G34" s="36">
        <v>6000</v>
      </c>
      <c r="H34" s="36">
        <v>6000</v>
      </c>
      <c r="I34" s="36">
        <v>6000</v>
      </c>
      <c r="J34" s="36">
        <v>6000</v>
      </c>
      <c r="K34" s="36">
        <v>6000</v>
      </c>
      <c r="L34" s="36">
        <v>6000</v>
      </c>
      <c r="M34" s="36">
        <v>6000</v>
      </c>
      <c r="N34" s="36">
        <v>0</v>
      </c>
      <c r="O34" s="36">
        <v>0</v>
      </c>
      <c r="P34" s="36">
        <v>6000</v>
      </c>
      <c r="Q34" s="36">
        <v>6000</v>
      </c>
      <c r="R34" s="36">
        <v>6000</v>
      </c>
      <c r="S34" s="36">
        <v>6000</v>
      </c>
      <c r="T34" s="36">
        <v>6000</v>
      </c>
      <c r="U34" s="36">
        <v>6000</v>
      </c>
      <c r="V34" s="36">
        <v>6000</v>
      </c>
      <c r="W34" s="36">
        <v>6000</v>
      </c>
      <c r="X34" s="18">
        <f t="shared" si="0"/>
        <v>6000</v>
      </c>
      <c r="Y34" s="18">
        <f t="shared" si="1"/>
        <v>6000</v>
      </c>
      <c r="Z34" s="18">
        <f t="shared" si="2"/>
        <v>6000</v>
      </c>
      <c r="AA34" s="18">
        <f t="shared" si="3"/>
        <v>6000</v>
      </c>
      <c r="AB34" s="18">
        <f t="shared" si="4"/>
        <v>6000</v>
      </c>
    </row>
    <row r="35" spans="1:28" ht="15" customHeight="1" x14ac:dyDescent="0.35">
      <c r="A35" s="8">
        <v>31</v>
      </c>
      <c r="B35" s="9" t="s">
        <v>339</v>
      </c>
      <c r="C35" s="8" t="s">
        <v>403</v>
      </c>
      <c r="D35" s="36">
        <v>70000</v>
      </c>
      <c r="E35" s="36">
        <v>70000</v>
      </c>
      <c r="F35" s="36">
        <v>70000</v>
      </c>
      <c r="G35" s="36">
        <v>70000</v>
      </c>
      <c r="H35" s="36">
        <v>70000</v>
      </c>
      <c r="I35" s="36">
        <v>70000</v>
      </c>
      <c r="J35" s="36">
        <v>70000</v>
      </c>
      <c r="K35" s="36">
        <v>70000</v>
      </c>
      <c r="L35" s="36">
        <v>70000</v>
      </c>
      <c r="M35" s="36">
        <v>70000</v>
      </c>
      <c r="N35" s="36">
        <v>0</v>
      </c>
      <c r="O35" s="36">
        <v>0</v>
      </c>
      <c r="P35" s="36">
        <v>70000</v>
      </c>
      <c r="Q35" s="36">
        <v>70000</v>
      </c>
      <c r="R35" s="36">
        <v>70000</v>
      </c>
      <c r="S35" s="36">
        <v>70000</v>
      </c>
      <c r="T35" s="36">
        <v>70000</v>
      </c>
      <c r="U35" s="36">
        <v>70000</v>
      </c>
      <c r="V35" s="36">
        <v>70000</v>
      </c>
      <c r="W35" s="36">
        <v>70000</v>
      </c>
      <c r="X35" s="18">
        <f t="shared" si="0"/>
        <v>70000</v>
      </c>
      <c r="Y35" s="18">
        <f t="shared" si="1"/>
        <v>70000</v>
      </c>
      <c r="Z35" s="18">
        <f t="shared" si="2"/>
        <v>70000</v>
      </c>
      <c r="AA35" s="18">
        <f t="shared" si="3"/>
        <v>70000</v>
      </c>
      <c r="AB35" s="18">
        <f t="shared" si="4"/>
        <v>70000</v>
      </c>
    </row>
    <row r="36" spans="1:28" ht="15" customHeight="1" x14ac:dyDescent="0.35">
      <c r="A36" s="8">
        <v>32</v>
      </c>
      <c r="B36" s="9" t="s">
        <v>341</v>
      </c>
      <c r="C36" s="8" t="s">
        <v>403</v>
      </c>
      <c r="D36" s="36">
        <v>11000</v>
      </c>
      <c r="E36" s="36">
        <v>11000</v>
      </c>
      <c r="F36" s="36">
        <v>12000</v>
      </c>
      <c r="G36" s="36">
        <v>11000</v>
      </c>
      <c r="H36" s="36">
        <v>11000</v>
      </c>
      <c r="I36" s="36">
        <v>11000</v>
      </c>
      <c r="J36" s="36">
        <v>11000</v>
      </c>
      <c r="K36" s="36">
        <v>11000</v>
      </c>
      <c r="L36" s="36">
        <v>11000</v>
      </c>
      <c r="M36" s="36">
        <v>11000</v>
      </c>
      <c r="N36" s="36">
        <v>0</v>
      </c>
      <c r="O36" s="36">
        <v>0</v>
      </c>
      <c r="P36" s="36">
        <v>12000</v>
      </c>
      <c r="Q36" s="36">
        <v>11000</v>
      </c>
      <c r="R36" s="36">
        <v>12000</v>
      </c>
      <c r="S36" s="36">
        <v>12000</v>
      </c>
      <c r="T36" s="36">
        <v>11000</v>
      </c>
      <c r="U36" s="36">
        <v>12000</v>
      </c>
      <c r="V36" s="36">
        <v>11000</v>
      </c>
      <c r="W36" s="36">
        <v>12000</v>
      </c>
      <c r="X36" s="18">
        <f t="shared" si="0"/>
        <v>11200</v>
      </c>
      <c r="Y36" s="18">
        <f t="shared" si="1"/>
        <v>11000</v>
      </c>
      <c r="Z36" s="18">
        <f t="shared" si="2"/>
        <v>11666.666666666666</v>
      </c>
      <c r="AA36" s="18">
        <f t="shared" si="3"/>
        <v>11600</v>
      </c>
      <c r="AB36" s="18">
        <f t="shared" si="4"/>
        <v>11333.333333333334</v>
      </c>
    </row>
    <row r="37" spans="1:28" ht="15" customHeight="1" x14ac:dyDescent="0.35">
      <c r="A37" s="8">
        <v>33</v>
      </c>
      <c r="B37" s="9" t="s">
        <v>362</v>
      </c>
      <c r="C37" s="8" t="s">
        <v>403</v>
      </c>
      <c r="D37" s="36">
        <v>7000</v>
      </c>
      <c r="E37" s="36">
        <v>7000</v>
      </c>
      <c r="F37" s="36">
        <v>8000</v>
      </c>
      <c r="G37" s="36">
        <v>7000</v>
      </c>
      <c r="H37" s="36">
        <v>7000</v>
      </c>
      <c r="I37" s="36">
        <v>7000</v>
      </c>
      <c r="J37" s="36">
        <v>7000</v>
      </c>
      <c r="K37" s="36">
        <v>7000</v>
      </c>
      <c r="L37" s="36">
        <v>7000</v>
      </c>
      <c r="M37" s="36">
        <v>7000</v>
      </c>
      <c r="N37" s="36">
        <v>0</v>
      </c>
      <c r="O37" s="36">
        <v>0</v>
      </c>
      <c r="P37" s="36">
        <v>8000</v>
      </c>
      <c r="Q37" s="36">
        <v>7000</v>
      </c>
      <c r="R37" s="36">
        <v>8000</v>
      </c>
      <c r="S37" s="36">
        <v>8000</v>
      </c>
      <c r="T37" s="36">
        <v>7000</v>
      </c>
      <c r="U37" s="36">
        <v>8000</v>
      </c>
      <c r="V37" s="36">
        <v>7000</v>
      </c>
      <c r="W37" s="36">
        <v>8000</v>
      </c>
      <c r="X37" s="18">
        <f t="shared" si="0"/>
        <v>7200</v>
      </c>
      <c r="Y37" s="18">
        <f t="shared" si="1"/>
        <v>7000</v>
      </c>
      <c r="Z37" s="18">
        <f t="shared" si="2"/>
        <v>7666.666666666667</v>
      </c>
      <c r="AA37" s="18">
        <f t="shared" si="3"/>
        <v>7600</v>
      </c>
      <c r="AB37" s="18">
        <f t="shared" si="4"/>
        <v>7333.333333333333</v>
      </c>
    </row>
    <row r="38" spans="1:28" ht="15" customHeight="1" x14ac:dyDescent="0.35">
      <c r="A38" s="8">
        <v>34</v>
      </c>
      <c r="B38" s="9" t="s">
        <v>409</v>
      </c>
      <c r="C38" s="8" t="s">
        <v>403</v>
      </c>
      <c r="D38" s="36">
        <v>4000</v>
      </c>
      <c r="E38" s="36">
        <v>4000</v>
      </c>
      <c r="F38" s="36">
        <v>7000</v>
      </c>
      <c r="G38" s="36">
        <v>4000</v>
      </c>
      <c r="H38" s="36">
        <v>4000</v>
      </c>
      <c r="I38" s="36">
        <v>4000</v>
      </c>
      <c r="J38" s="36">
        <v>4000</v>
      </c>
      <c r="K38" s="36">
        <v>4000</v>
      </c>
      <c r="L38" s="36">
        <v>4000</v>
      </c>
      <c r="M38" s="36">
        <v>4000</v>
      </c>
      <c r="N38" s="36">
        <v>0</v>
      </c>
      <c r="O38" s="36">
        <v>0</v>
      </c>
      <c r="P38" s="36">
        <v>7000</v>
      </c>
      <c r="Q38" s="36">
        <v>4000</v>
      </c>
      <c r="R38" s="36">
        <v>7000</v>
      </c>
      <c r="S38" s="36">
        <v>7000</v>
      </c>
      <c r="T38" s="36">
        <v>4000</v>
      </c>
      <c r="U38" s="36">
        <v>7000</v>
      </c>
      <c r="V38" s="36">
        <v>4000</v>
      </c>
      <c r="W38" s="36">
        <v>7000</v>
      </c>
      <c r="X38" s="18">
        <f t="shared" si="0"/>
        <v>4600</v>
      </c>
      <c r="Y38" s="18">
        <f t="shared" si="1"/>
        <v>4000</v>
      </c>
      <c r="Z38" s="18">
        <f t="shared" si="2"/>
        <v>6000</v>
      </c>
      <c r="AA38" s="18">
        <f t="shared" si="3"/>
        <v>5800</v>
      </c>
      <c r="AB38" s="18">
        <f t="shared" si="4"/>
        <v>5000</v>
      </c>
    </row>
    <row r="39" spans="1:28" ht="15" customHeight="1" x14ac:dyDescent="0.35">
      <c r="A39" s="8">
        <v>35</v>
      </c>
      <c r="B39" s="9" t="s">
        <v>410</v>
      </c>
      <c r="C39" s="8" t="s">
        <v>403</v>
      </c>
      <c r="D39" s="36">
        <v>12000</v>
      </c>
      <c r="E39" s="36">
        <v>12000</v>
      </c>
      <c r="F39" s="36">
        <v>12000</v>
      </c>
      <c r="G39" s="36">
        <v>12000</v>
      </c>
      <c r="H39" s="36">
        <v>12000</v>
      </c>
      <c r="I39" s="36">
        <v>12000</v>
      </c>
      <c r="J39" s="36">
        <v>12000</v>
      </c>
      <c r="K39" s="36">
        <v>12000</v>
      </c>
      <c r="L39" s="36">
        <v>12000</v>
      </c>
      <c r="M39" s="36">
        <v>12000</v>
      </c>
      <c r="N39" s="36">
        <v>0</v>
      </c>
      <c r="O39" s="36">
        <v>0</v>
      </c>
      <c r="P39" s="36">
        <v>12000</v>
      </c>
      <c r="Q39" s="36">
        <v>12000</v>
      </c>
      <c r="R39" s="36">
        <v>12000</v>
      </c>
      <c r="S39" s="36">
        <v>12000</v>
      </c>
      <c r="T39" s="36">
        <v>12000</v>
      </c>
      <c r="U39" s="36">
        <v>12000</v>
      </c>
      <c r="V39" s="36">
        <v>12000</v>
      </c>
      <c r="W39" s="36">
        <v>12000</v>
      </c>
      <c r="X39" s="18">
        <f t="shared" si="0"/>
        <v>12000</v>
      </c>
      <c r="Y39" s="18">
        <f t="shared" si="1"/>
        <v>12000</v>
      </c>
      <c r="Z39" s="18">
        <f t="shared" si="2"/>
        <v>12000</v>
      </c>
      <c r="AA39" s="18">
        <f t="shared" si="3"/>
        <v>12000</v>
      </c>
      <c r="AB39" s="18">
        <f t="shared" si="4"/>
        <v>12000</v>
      </c>
    </row>
    <row r="40" spans="1:28" ht="15" customHeight="1" x14ac:dyDescent="0.35">
      <c r="A40" s="8">
        <v>36</v>
      </c>
      <c r="B40" s="9" t="s">
        <v>411</v>
      </c>
      <c r="C40" s="8" t="s">
        <v>403</v>
      </c>
      <c r="D40" s="36">
        <v>4000</v>
      </c>
      <c r="E40" s="36">
        <v>4000</v>
      </c>
      <c r="F40" s="36">
        <v>4000</v>
      </c>
      <c r="G40" s="36">
        <v>4000</v>
      </c>
      <c r="H40" s="36">
        <v>4000</v>
      </c>
      <c r="I40" s="36">
        <v>4000</v>
      </c>
      <c r="J40" s="36">
        <v>4000</v>
      </c>
      <c r="K40" s="36">
        <v>4000</v>
      </c>
      <c r="L40" s="36">
        <v>4000</v>
      </c>
      <c r="M40" s="36">
        <v>4000</v>
      </c>
      <c r="N40" s="36">
        <v>0</v>
      </c>
      <c r="O40" s="36">
        <v>0</v>
      </c>
      <c r="P40" s="36">
        <v>4000</v>
      </c>
      <c r="Q40" s="36">
        <v>4000</v>
      </c>
      <c r="R40" s="36">
        <v>4000</v>
      </c>
      <c r="S40" s="36">
        <v>4000</v>
      </c>
      <c r="T40" s="36">
        <v>4000</v>
      </c>
      <c r="U40" s="36">
        <v>4000</v>
      </c>
      <c r="V40" s="36">
        <v>4000</v>
      </c>
      <c r="W40" s="36">
        <v>4000</v>
      </c>
      <c r="X40" s="18">
        <f t="shared" si="0"/>
        <v>4000</v>
      </c>
      <c r="Y40" s="18">
        <f t="shared" si="1"/>
        <v>4000</v>
      </c>
      <c r="Z40" s="18">
        <f t="shared" si="2"/>
        <v>4000</v>
      </c>
      <c r="AA40" s="18">
        <f t="shared" si="3"/>
        <v>4000</v>
      </c>
      <c r="AB40" s="18">
        <f t="shared" si="4"/>
        <v>4000</v>
      </c>
    </row>
    <row r="41" spans="1:28" ht="15" customHeight="1" x14ac:dyDescent="0.35">
      <c r="A41" s="8">
        <v>37</v>
      </c>
      <c r="B41" s="9" t="s">
        <v>412</v>
      </c>
      <c r="C41" s="8" t="s">
        <v>403</v>
      </c>
      <c r="D41" s="36">
        <v>2000</v>
      </c>
      <c r="E41" s="36">
        <v>2000</v>
      </c>
      <c r="F41" s="36">
        <v>4000</v>
      </c>
      <c r="G41" s="36">
        <v>2000</v>
      </c>
      <c r="H41" s="36">
        <v>2000</v>
      </c>
      <c r="I41" s="36">
        <v>2000</v>
      </c>
      <c r="J41" s="36">
        <v>2000</v>
      </c>
      <c r="K41" s="36">
        <v>2000</v>
      </c>
      <c r="L41" s="36">
        <v>2000</v>
      </c>
      <c r="M41" s="36">
        <v>2000</v>
      </c>
      <c r="N41" s="36">
        <v>0</v>
      </c>
      <c r="O41" s="36">
        <v>0</v>
      </c>
      <c r="P41" s="36">
        <v>4000</v>
      </c>
      <c r="Q41" s="36">
        <v>2000</v>
      </c>
      <c r="R41" s="36">
        <v>4000</v>
      </c>
      <c r="S41" s="36">
        <v>4000</v>
      </c>
      <c r="T41" s="36">
        <v>2000</v>
      </c>
      <c r="U41" s="36">
        <v>4000</v>
      </c>
      <c r="V41" s="36">
        <v>2000</v>
      </c>
      <c r="W41" s="36">
        <v>4000</v>
      </c>
      <c r="X41" s="18">
        <f t="shared" si="0"/>
        <v>2400</v>
      </c>
      <c r="Y41" s="18">
        <f t="shared" si="1"/>
        <v>2000</v>
      </c>
      <c r="Z41" s="18">
        <f t="shared" si="2"/>
        <v>3333.3333333333335</v>
      </c>
      <c r="AA41" s="18">
        <f t="shared" si="3"/>
        <v>3200</v>
      </c>
      <c r="AB41" s="18">
        <f t="shared" si="4"/>
        <v>2666.6666666666665</v>
      </c>
    </row>
    <row r="42" spans="1:28" ht="15" customHeight="1" x14ac:dyDescent="0.35">
      <c r="A42" s="8">
        <v>38</v>
      </c>
      <c r="B42" s="9" t="s">
        <v>413</v>
      </c>
      <c r="C42" s="8" t="s">
        <v>403</v>
      </c>
      <c r="D42" s="36">
        <v>5000</v>
      </c>
      <c r="E42" s="36">
        <v>5000</v>
      </c>
      <c r="F42" s="36">
        <v>5000</v>
      </c>
      <c r="G42" s="36">
        <v>5000</v>
      </c>
      <c r="H42" s="36">
        <v>5000</v>
      </c>
      <c r="I42" s="36">
        <v>5000</v>
      </c>
      <c r="J42" s="36">
        <v>5000</v>
      </c>
      <c r="K42" s="36">
        <v>5000</v>
      </c>
      <c r="L42" s="36">
        <v>5000</v>
      </c>
      <c r="M42" s="36">
        <v>5000</v>
      </c>
      <c r="N42" s="36">
        <v>0</v>
      </c>
      <c r="O42" s="36">
        <v>0</v>
      </c>
      <c r="P42" s="36">
        <v>5000</v>
      </c>
      <c r="Q42" s="36">
        <v>5000</v>
      </c>
      <c r="R42" s="36">
        <v>5000</v>
      </c>
      <c r="S42" s="36">
        <v>5000</v>
      </c>
      <c r="T42" s="36">
        <v>5000</v>
      </c>
      <c r="U42" s="36">
        <v>5000</v>
      </c>
      <c r="V42" s="36">
        <v>5000</v>
      </c>
      <c r="W42" s="36">
        <v>5000</v>
      </c>
      <c r="X42" s="18">
        <f t="shared" si="0"/>
        <v>5000</v>
      </c>
      <c r="Y42" s="18">
        <f t="shared" si="1"/>
        <v>5000</v>
      </c>
      <c r="Z42" s="18">
        <f t="shared" si="2"/>
        <v>5000</v>
      </c>
      <c r="AA42" s="18">
        <f t="shared" si="3"/>
        <v>5000</v>
      </c>
      <c r="AB42" s="18">
        <f t="shared" si="4"/>
        <v>5000</v>
      </c>
    </row>
    <row r="43" spans="1:28" ht="15" customHeight="1" x14ac:dyDescent="0.35">
      <c r="A43" s="8">
        <v>39</v>
      </c>
      <c r="B43" s="9" t="s">
        <v>414</v>
      </c>
      <c r="C43" s="8" t="s">
        <v>403</v>
      </c>
      <c r="D43" s="36">
        <v>5000</v>
      </c>
      <c r="E43" s="36">
        <v>5000</v>
      </c>
      <c r="F43" s="36">
        <v>5000</v>
      </c>
      <c r="G43" s="36">
        <v>5000</v>
      </c>
      <c r="H43" s="36">
        <v>5000</v>
      </c>
      <c r="I43" s="36">
        <v>5000</v>
      </c>
      <c r="J43" s="36">
        <v>5000</v>
      </c>
      <c r="K43" s="36">
        <v>5000</v>
      </c>
      <c r="L43" s="36">
        <v>5000</v>
      </c>
      <c r="M43" s="36">
        <v>5000</v>
      </c>
      <c r="N43" s="36">
        <v>0</v>
      </c>
      <c r="O43" s="36">
        <v>0</v>
      </c>
      <c r="P43" s="36">
        <v>5000</v>
      </c>
      <c r="Q43" s="36">
        <v>5000</v>
      </c>
      <c r="R43" s="36">
        <v>5000</v>
      </c>
      <c r="S43" s="36">
        <v>5000</v>
      </c>
      <c r="T43" s="36">
        <v>5000</v>
      </c>
      <c r="U43" s="36">
        <v>5000</v>
      </c>
      <c r="V43" s="36">
        <v>5000</v>
      </c>
      <c r="W43" s="36">
        <v>5000</v>
      </c>
      <c r="X43" s="18">
        <f t="shared" si="0"/>
        <v>5000</v>
      </c>
      <c r="Y43" s="18">
        <f t="shared" si="1"/>
        <v>5000</v>
      </c>
      <c r="Z43" s="18">
        <f t="shared" si="2"/>
        <v>5000</v>
      </c>
      <c r="AA43" s="18">
        <f t="shared" si="3"/>
        <v>5000</v>
      </c>
      <c r="AB43" s="18">
        <f t="shared" si="4"/>
        <v>5000</v>
      </c>
    </row>
    <row r="44" spans="1:28" ht="15" customHeight="1" x14ac:dyDescent="0.35">
      <c r="A44" s="8">
        <v>40</v>
      </c>
      <c r="B44" s="9" t="s">
        <v>415</v>
      </c>
      <c r="C44" s="8" t="s">
        <v>403</v>
      </c>
      <c r="D44" s="36">
        <v>4000</v>
      </c>
      <c r="E44" s="36">
        <v>4000</v>
      </c>
      <c r="F44" s="36">
        <v>4000</v>
      </c>
      <c r="G44" s="36">
        <v>4000</v>
      </c>
      <c r="H44" s="36">
        <v>4000</v>
      </c>
      <c r="I44" s="36">
        <v>4000</v>
      </c>
      <c r="J44" s="36">
        <v>4000</v>
      </c>
      <c r="K44" s="36">
        <v>4000</v>
      </c>
      <c r="L44" s="36">
        <v>4000</v>
      </c>
      <c r="M44" s="36">
        <v>4000</v>
      </c>
      <c r="N44" s="36">
        <v>0</v>
      </c>
      <c r="O44" s="36">
        <v>0</v>
      </c>
      <c r="P44" s="36">
        <v>4000</v>
      </c>
      <c r="Q44" s="36">
        <v>4000</v>
      </c>
      <c r="R44" s="36">
        <v>4000</v>
      </c>
      <c r="S44" s="36">
        <v>4000</v>
      </c>
      <c r="T44" s="36">
        <v>4000</v>
      </c>
      <c r="U44" s="36">
        <v>4000</v>
      </c>
      <c r="V44" s="36">
        <v>4000</v>
      </c>
      <c r="W44" s="36">
        <v>4000</v>
      </c>
      <c r="X44" s="18">
        <f t="shared" si="0"/>
        <v>4000</v>
      </c>
      <c r="Y44" s="18">
        <f t="shared" si="1"/>
        <v>4000</v>
      </c>
      <c r="Z44" s="18">
        <f t="shared" si="2"/>
        <v>4000</v>
      </c>
      <c r="AA44" s="18">
        <f t="shared" si="3"/>
        <v>4000</v>
      </c>
      <c r="AB44" s="18">
        <f t="shared" si="4"/>
        <v>4000</v>
      </c>
    </row>
    <row r="45" spans="1:28" ht="15" customHeight="1" x14ac:dyDescent="0.35">
      <c r="A45" s="8">
        <v>41</v>
      </c>
      <c r="B45" s="9" t="s">
        <v>416</v>
      </c>
      <c r="C45" s="8" t="s">
        <v>453</v>
      </c>
      <c r="D45" s="36">
        <v>60000</v>
      </c>
      <c r="E45" s="36">
        <v>60000</v>
      </c>
      <c r="F45" s="36">
        <v>60000</v>
      </c>
      <c r="G45" s="36">
        <v>60000</v>
      </c>
      <c r="H45" s="36">
        <v>60000</v>
      </c>
      <c r="I45" s="36">
        <v>60000</v>
      </c>
      <c r="J45" s="36">
        <v>60000</v>
      </c>
      <c r="K45" s="36">
        <v>60000</v>
      </c>
      <c r="L45" s="36">
        <v>60000</v>
      </c>
      <c r="M45" s="36">
        <v>60000</v>
      </c>
      <c r="N45" s="36">
        <v>0</v>
      </c>
      <c r="O45" s="36">
        <v>0</v>
      </c>
      <c r="P45" s="36">
        <v>60000</v>
      </c>
      <c r="Q45" s="36">
        <v>60000</v>
      </c>
      <c r="R45" s="36">
        <v>60000</v>
      </c>
      <c r="S45" s="36">
        <v>60000</v>
      </c>
      <c r="T45" s="36">
        <v>60000</v>
      </c>
      <c r="U45" s="36">
        <v>60000</v>
      </c>
      <c r="V45" s="36">
        <v>60000</v>
      </c>
      <c r="W45" s="36">
        <v>60000</v>
      </c>
      <c r="X45" s="18">
        <f t="shared" si="0"/>
        <v>60000</v>
      </c>
      <c r="Y45" s="18">
        <f t="shared" si="1"/>
        <v>60000</v>
      </c>
      <c r="Z45" s="18">
        <f t="shared" si="2"/>
        <v>60000</v>
      </c>
      <c r="AA45" s="18">
        <f t="shared" si="3"/>
        <v>60000</v>
      </c>
      <c r="AB45" s="18">
        <f t="shared" si="4"/>
        <v>60000</v>
      </c>
    </row>
    <row r="46" spans="1:28" ht="15" customHeight="1" x14ac:dyDescent="0.35">
      <c r="A46" s="8">
        <v>42</v>
      </c>
      <c r="B46" s="9" t="s">
        <v>417</v>
      </c>
      <c r="C46" s="8" t="s">
        <v>403</v>
      </c>
      <c r="D46" s="36">
        <v>35000</v>
      </c>
      <c r="E46" s="36">
        <v>35000</v>
      </c>
      <c r="F46" s="36">
        <v>35000</v>
      </c>
      <c r="G46" s="36">
        <v>35000</v>
      </c>
      <c r="H46" s="36">
        <v>35000</v>
      </c>
      <c r="I46" s="36">
        <v>35000</v>
      </c>
      <c r="J46" s="36">
        <v>35000</v>
      </c>
      <c r="K46" s="36">
        <v>35000</v>
      </c>
      <c r="L46" s="36">
        <v>35000</v>
      </c>
      <c r="M46" s="36">
        <v>35000</v>
      </c>
      <c r="N46" s="36">
        <v>0</v>
      </c>
      <c r="O46" s="36">
        <v>0</v>
      </c>
      <c r="P46" s="36">
        <v>35000</v>
      </c>
      <c r="Q46" s="36">
        <v>35000</v>
      </c>
      <c r="R46" s="36">
        <v>35000</v>
      </c>
      <c r="S46" s="36">
        <v>35000</v>
      </c>
      <c r="T46" s="36">
        <v>35000</v>
      </c>
      <c r="U46" s="36">
        <v>35000</v>
      </c>
      <c r="V46" s="36">
        <v>35000</v>
      </c>
      <c r="W46" s="36">
        <v>35000</v>
      </c>
      <c r="X46" s="18">
        <f t="shared" si="0"/>
        <v>35000</v>
      </c>
      <c r="Y46" s="18">
        <f t="shared" si="1"/>
        <v>35000</v>
      </c>
      <c r="Z46" s="18">
        <f t="shared" si="2"/>
        <v>35000</v>
      </c>
      <c r="AA46" s="18">
        <f t="shared" si="3"/>
        <v>35000</v>
      </c>
      <c r="AB46" s="18">
        <f t="shared" si="4"/>
        <v>35000</v>
      </c>
    </row>
    <row r="47" spans="1:28" ht="15" customHeight="1" x14ac:dyDescent="0.35">
      <c r="A47" s="8">
        <v>43</v>
      </c>
      <c r="B47" s="9" t="s">
        <v>418</v>
      </c>
      <c r="C47" s="8" t="s">
        <v>403</v>
      </c>
      <c r="D47" s="36">
        <v>27000</v>
      </c>
      <c r="E47" s="36">
        <v>27000</v>
      </c>
      <c r="F47" s="36">
        <v>30000</v>
      </c>
      <c r="G47" s="36">
        <v>27000</v>
      </c>
      <c r="H47" s="36">
        <v>27000</v>
      </c>
      <c r="I47" s="36">
        <v>27000</v>
      </c>
      <c r="J47" s="36">
        <v>27000</v>
      </c>
      <c r="K47" s="36">
        <v>27000</v>
      </c>
      <c r="L47" s="36">
        <v>27000</v>
      </c>
      <c r="M47" s="36">
        <v>27000</v>
      </c>
      <c r="N47" s="36">
        <v>0</v>
      </c>
      <c r="O47" s="36">
        <v>0</v>
      </c>
      <c r="P47" s="36">
        <v>30000</v>
      </c>
      <c r="Q47" s="36">
        <v>27000</v>
      </c>
      <c r="R47" s="36">
        <v>30000</v>
      </c>
      <c r="S47" s="36">
        <v>30000</v>
      </c>
      <c r="T47" s="36">
        <v>27000</v>
      </c>
      <c r="U47" s="36">
        <v>30000</v>
      </c>
      <c r="V47" s="36">
        <v>27000</v>
      </c>
      <c r="W47" s="36">
        <v>30000</v>
      </c>
      <c r="X47" s="18">
        <f t="shared" si="0"/>
        <v>27600</v>
      </c>
      <c r="Y47" s="18">
        <f t="shared" si="1"/>
        <v>27000</v>
      </c>
      <c r="Z47" s="18">
        <f t="shared" si="2"/>
        <v>29000</v>
      </c>
      <c r="AA47" s="18">
        <f t="shared" si="3"/>
        <v>28800</v>
      </c>
      <c r="AB47" s="18">
        <f t="shared" si="4"/>
        <v>28000</v>
      </c>
    </row>
    <row r="48" spans="1:28" ht="15" customHeight="1" x14ac:dyDescent="0.35">
      <c r="A48" s="8">
        <v>44</v>
      </c>
      <c r="B48" s="9" t="s">
        <v>419</v>
      </c>
      <c r="C48" s="8" t="s">
        <v>403</v>
      </c>
      <c r="D48" s="36">
        <v>14000</v>
      </c>
      <c r="E48" s="36">
        <v>14000</v>
      </c>
      <c r="F48" s="36">
        <v>16000</v>
      </c>
      <c r="G48" s="36">
        <v>14000</v>
      </c>
      <c r="H48" s="36">
        <v>14000</v>
      </c>
      <c r="I48" s="36">
        <v>14000</v>
      </c>
      <c r="J48" s="36">
        <v>14000</v>
      </c>
      <c r="K48" s="36">
        <v>14000</v>
      </c>
      <c r="L48" s="36">
        <v>14000</v>
      </c>
      <c r="M48" s="36">
        <v>14000</v>
      </c>
      <c r="N48" s="36">
        <v>0</v>
      </c>
      <c r="O48" s="36">
        <v>0</v>
      </c>
      <c r="P48" s="36">
        <v>16000</v>
      </c>
      <c r="Q48" s="36">
        <v>14000</v>
      </c>
      <c r="R48" s="36">
        <v>16000</v>
      </c>
      <c r="S48" s="36">
        <v>16000</v>
      </c>
      <c r="T48" s="36">
        <v>14000</v>
      </c>
      <c r="U48" s="36">
        <v>16000</v>
      </c>
      <c r="V48" s="36">
        <v>14000</v>
      </c>
      <c r="W48" s="36">
        <v>16000</v>
      </c>
      <c r="X48" s="18">
        <f t="shared" si="0"/>
        <v>14400</v>
      </c>
      <c r="Y48" s="18">
        <f t="shared" si="1"/>
        <v>14000</v>
      </c>
      <c r="Z48" s="18">
        <f t="shared" si="2"/>
        <v>15333.333333333334</v>
      </c>
      <c r="AA48" s="18">
        <f t="shared" si="3"/>
        <v>15200</v>
      </c>
      <c r="AB48" s="18">
        <f t="shared" si="4"/>
        <v>14666.666666666666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4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5" customWidth="1"/>
    <col min="2" max="2" width="22" customWidth="1"/>
    <col min="3" max="3" width="6" customWidth="1"/>
    <col min="4" max="25" width="11" customWidth="1"/>
    <col min="26" max="30" width="13" customWidth="1"/>
    <col min="31" max="31" width="14" customWidth="1"/>
  </cols>
  <sheetData>
    <row r="1" spans="1:31" ht="26.25" customHeight="1" x14ac:dyDescent="0.35">
      <c r="A1" s="5" t="s">
        <v>480</v>
      </c>
      <c r="B1" s="5"/>
      <c r="C1" s="5"/>
      <c r="D1" s="5"/>
    </row>
    <row r="2" spans="1:31" ht="18.75" customHeight="1" x14ac:dyDescent="0.35">
      <c r="A2" s="4" t="s">
        <v>371</v>
      </c>
      <c r="B2" s="4"/>
      <c r="C2" s="4"/>
      <c r="D2" s="4"/>
    </row>
    <row r="4" spans="1:31" ht="25.5" customHeight="1" x14ac:dyDescent="0.35">
      <c r="A4" s="6" t="s">
        <v>1</v>
      </c>
      <c r="B4" s="6" t="s">
        <v>372</v>
      </c>
      <c r="C4" s="6" t="s">
        <v>373</v>
      </c>
      <c r="D4" s="6" t="s">
        <v>481</v>
      </c>
      <c r="E4" s="6" t="s">
        <v>482</v>
      </c>
      <c r="F4" s="6" t="s">
        <v>483</v>
      </c>
      <c r="G4" s="6" t="s">
        <v>484</v>
      </c>
      <c r="H4" s="6" t="s">
        <v>485</v>
      </c>
      <c r="I4" s="6" t="s">
        <v>486</v>
      </c>
      <c r="J4" s="6" t="s">
        <v>487</v>
      </c>
      <c r="K4" s="6" t="s">
        <v>488</v>
      </c>
      <c r="L4" s="6" t="s">
        <v>489</v>
      </c>
      <c r="M4" s="6" t="s">
        <v>490</v>
      </c>
      <c r="N4" s="6" t="s">
        <v>491</v>
      </c>
      <c r="O4" s="6" t="s">
        <v>492</v>
      </c>
      <c r="P4" s="6" t="s">
        <v>493</v>
      </c>
      <c r="Q4" s="6" t="s">
        <v>494</v>
      </c>
      <c r="R4" s="6" t="s">
        <v>495</v>
      </c>
      <c r="S4" s="6" t="s">
        <v>496</v>
      </c>
      <c r="T4" s="6" t="s">
        <v>497</v>
      </c>
      <c r="U4" s="6" t="s">
        <v>498</v>
      </c>
      <c r="V4" s="6" t="s">
        <v>499</v>
      </c>
      <c r="W4" s="6" t="s">
        <v>500</v>
      </c>
      <c r="X4" s="6" t="s">
        <v>501</v>
      </c>
      <c r="Y4" s="6" t="s">
        <v>502</v>
      </c>
      <c r="Z4" s="34" t="s">
        <v>475</v>
      </c>
      <c r="AA4" s="34" t="s">
        <v>476</v>
      </c>
      <c r="AB4" s="34" t="s">
        <v>477</v>
      </c>
      <c r="AC4" s="34" t="s">
        <v>478</v>
      </c>
      <c r="AD4" s="34" t="s">
        <v>503</v>
      </c>
      <c r="AE4" s="35" t="s">
        <v>504</v>
      </c>
    </row>
    <row r="5" spans="1:31" ht="15" customHeight="1" x14ac:dyDescent="0.35">
      <c r="A5" s="8">
        <v>1</v>
      </c>
      <c r="B5" s="9" t="s">
        <v>330</v>
      </c>
      <c r="C5" s="8" t="s">
        <v>403</v>
      </c>
      <c r="D5" s="36">
        <v>12500</v>
      </c>
      <c r="E5" s="36">
        <v>12500</v>
      </c>
      <c r="F5" s="36">
        <v>12500</v>
      </c>
      <c r="G5" s="36">
        <v>12500</v>
      </c>
      <c r="H5" s="36">
        <v>12500</v>
      </c>
      <c r="I5" s="36">
        <v>12500</v>
      </c>
      <c r="J5" s="36">
        <v>12500</v>
      </c>
      <c r="K5" s="36">
        <v>12500</v>
      </c>
      <c r="L5" s="36">
        <v>12500</v>
      </c>
      <c r="M5" s="36">
        <v>12500</v>
      </c>
      <c r="N5" s="36">
        <v>12500</v>
      </c>
      <c r="O5" s="36">
        <v>12500</v>
      </c>
      <c r="P5" s="36">
        <v>12500</v>
      </c>
      <c r="Q5" s="36">
        <v>12500</v>
      </c>
      <c r="R5" s="36">
        <v>12500</v>
      </c>
      <c r="S5" s="36">
        <v>0</v>
      </c>
      <c r="T5" s="36">
        <v>0</v>
      </c>
      <c r="U5" s="36">
        <v>12500</v>
      </c>
      <c r="V5" s="36">
        <v>12500</v>
      </c>
      <c r="W5" s="36">
        <v>12500</v>
      </c>
      <c r="X5" s="36">
        <v>12500</v>
      </c>
      <c r="Y5" s="36">
        <v>12500</v>
      </c>
      <c r="Z5" s="18">
        <f t="shared" ref="Z5:Z48" si="0">IFERROR(AVERAGEIF(D5:H5,"&lt;&gt;0"),"")</f>
        <v>12500</v>
      </c>
      <c r="AA5" s="18">
        <f t="shared" ref="AA5:AA48" si="1">IFERROR(AVERAGEIF(I5:M5,"&lt;&gt;0"),"")</f>
        <v>12500</v>
      </c>
      <c r="AB5" s="18">
        <f t="shared" ref="AB5:AB48" si="2">IFERROR(AVERAGEIF(N5:R5,"&lt;&gt;0"),"")</f>
        <v>12500</v>
      </c>
      <c r="AC5" s="18">
        <f t="shared" ref="AC5:AC48" si="3">IFERROR(AVERAGEIF(S5:W5,"&lt;&gt;0"),"")</f>
        <v>12500</v>
      </c>
      <c r="AD5" s="18">
        <f t="shared" ref="AD5:AD48" si="4">IFERROR(AVERAGEIF(X5:Y5,"&lt;&gt;0"),"")</f>
        <v>12500</v>
      </c>
      <c r="AE5" s="18">
        <f t="shared" ref="AE5:AE48" si="5">IFERROR(AVERAGEIF(D5:Y5,"&lt;&gt;0"),"")</f>
        <v>12500</v>
      </c>
    </row>
    <row r="6" spans="1:31" ht="15" customHeight="1" x14ac:dyDescent="0.35">
      <c r="A6" s="8">
        <v>2</v>
      </c>
      <c r="B6" s="9" t="s">
        <v>331</v>
      </c>
      <c r="C6" s="8" t="s">
        <v>403</v>
      </c>
      <c r="D6" s="36">
        <v>14000</v>
      </c>
      <c r="E6" s="36">
        <v>14000</v>
      </c>
      <c r="F6" s="36">
        <v>14000</v>
      </c>
      <c r="G6" s="36">
        <v>14000</v>
      </c>
      <c r="H6" s="36">
        <v>14000</v>
      </c>
      <c r="I6" s="36">
        <v>14000</v>
      </c>
      <c r="J6" s="36">
        <v>14000</v>
      </c>
      <c r="K6" s="36">
        <v>14000</v>
      </c>
      <c r="L6" s="36">
        <v>14000</v>
      </c>
      <c r="M6" s="36">
        <v>14000</v>
      </c>
      <c r="N6" s="36">
        <v>14000</v>
      </c>
      <c r="O6" s="36">
        <v>14000</v>
      </c>
      <c r="P6" s="36">
        <v>14000</v>
      </c>
      <c r="Q6" s="36">
        <v>14000</v>
      </c>
      <c r="R6" s="36">
        <v>14000</v>
      </c>
      <c r="S6" s="36">
        <v>0</v>
      </c>
      <c r="T6" s="36">
        <v>0</v>
      </c>
      <c r="U6" s="36">
        <v>14000</v>
      </c>
      <c r="V6" s="36">
        <v>14000</v>
      </c>
      <c r="W6" s="36">
        <v>14000</v>
      </c>
      <c r="X6" s="36">
        <v>14000</v>
      </c>
      <c r="Y6" s="36">
        <v>14000</v>
      </c>
      <c r="Z6" s="18">
        <f t="shared" si="0"/>
        <v>14000</v>
      </c>
      <c r="AA6" s="18">
        <f t="shared" si="1"/>
        <v>14000</v>
      </c>
      <c r="AB6" s="18">
        <f t="shared" si="2"/>
        <v>14000</v>
      </c>
      <c r="AC6" s="18">
        <f t="shared" si="3"/>
        <v>14000</v>
      </c>
      <c r="AD6" s="18">
        <f t="shared" si="4"/>
        <v>14000</v>
      </c>
      <c r="AE6" s="18">
        <f t="shared" si="5"/>
        <v>14000</v>
      </c>
    </row>
    <row r="7" spans="1:31" ht="15" customHeight="1" x14ac:dyDescent="0.35">
      <c r="A7" s="8">
        <v>3</v>
      </c>
      <c r="B7" s="9" t="s">
        <v>332</v>
      </c>
      <c r="C7" s="8" t="s">
        <v>403</v>
      </c>
      <c r="D7" s="36">
        <v>12500</v>
      </c>
      <c r="E7" s="36">
        <v>12500</v>
      </c>
      <c r="F7" s="36">
        <v>12500</v>
      </c>
      <c r="G7" s="36">
        <v>12500</v>
      </c>
      <c r="H7" s="36">
        <v>12500</v>
      </c>
      <c r="I7" s="36">
        <v>12500</v>
      </c>
      <c r="J7" s="36">
        <v>12500</v>
      </c>
      <c r="K7" s="36">
        <v>12500</v>
      </c>
      <c r="L7" s="36">
        <v>12500</v>
      </c>
      <c r="M7" s="36">
        <v>12500</v>
      </c>
      <c r="N7" s="36">
        <v>12500</v>
      </c>
      <c r="O7" s="36">
        <v>12500</v>
      </c>
      <c r="P7" s="36">
        <v>12500</v>
      </c>
      <c r="Q7" s="36">
        <v>12500</v>
      </c>
      <c r="R7" s="36">
        <v>12500</v>
      </c>
      <c r="S7" s="36">
        <v>0</v>
      </c>
      <c r="T7" s="36">
        <v>0</v>
      </c>
      <c r="U7" s="36">
        <v>12500</v>
      </c>
      <c r="V7" s="36">
        <v>12500</v>
      </c>
      <c r="W7" s="36">
        <v>12500</v>
      </c>
      <c r="X7" s="36">
        <v>12500</v>
      </c>
      <c r="Y7" s="36">
        <v>12500</v>
      </c>
      <c r="Z7" s="18">
        <f t="shared" si="0"/>
        <v>12500</v>
      </c>
      <c r="AA7" s="18">
        <f t="shared" si="1"/>
        <v>12500</v>
      </c>
      <c r="AB7" s="18">
        <f t="shared" si="2"/>
        <v>12500</v>
      </c>
      <c r="AC7" s="18">
        <f t="shared" si="3"/>
        <v>12500</v>
      </c>
      <c r="AD7" s="18">
        <f t="shared" si="4"/>
        <v>12500</v>
      </c>
      <c r="AE7" s="18">
        <f t="shared" si="5"/>
        <v>12500</v>
      </c>
    </row>
    <row r="8" spans="1:31" ht="15" customHeight="1" x14ac:dyDescent="0.35">
      <c r="A8" s="8">
        <v>4</v>
      </c>
      <c r="B8" s="9" t="s">
        <v>404</v>
      </c>
      <c r="C8" s="8" t="s">
        <v>403</v>
      </c>
      <c r="D8" s="36">
        <v>11000</v>
      </c>
      <c r="E8" s="36">
        <v>11000</v>
      </c>
      <c r="F8" s="36">
        <v>11000</v>
      </c>
      <c r="G8" s="36">
        <v>11000</v>
      </c>
      <c r="H8" s="36">
        <v>11000</v>
      </c>
      <c r="I8" s="36">
        <v>11000</v>
      </c>
      <c r="J8" s="36">
        <v>11000</v>
      </c>
      <c r="K8" s="36">
        <v>11000</v>
      </c>
      <c r="L8" s="36">
        <v>11000</v>
      </c>
      <c r="M8" s="36">
        <v>11000</v>
      </c>
      <c r="N8" s="36">
        <v>11000</v>
      </c>
      <c r="O8" s="36">
        <v>11000</v>
      </c>
      <c r="P8" s="36">
        <v>11000</v>
      </c>
      <c r="Q8" s="36">
        <v>11000</v>
      </c>
      <c r="R8" s="36">
        <v>11000</v>
      </c>
      <c r="S8" s="36">
        <v>0</v>
      </c>
      <c r="T8" s="36">
        <v>0</v>
      </c>
      <c r="U8" s="36">
        <v>11000</v>
      </c>
      <c r="V8" s="36">
        <v>11000</v>
      </c>
      <c r="W8" s="36">
        <v>11000</v>
      </c>
      <c r="X8" s="36">
        <v>11000</v>
      </c>
      <c r="Y8" s="36">
        <v>11000</v>
      </c>
      <c r="Z8" s="18">
        <f t="shared" si="0"/>
        <v>11000</v>
      </c>
      <c r="AA8" s="18">
        <f t="shared" si="1"/>
        <v>11000</v>
      </c>
      <c r="AB8" s="18">
        <f t="shared" si="2"/>
        <v>11000</v>
      </c>
      <c r="AC8" s="18">
        <f t="shared" si="3"/>
        <v>11000</v>
      </c>
      <c r="AD8" s="18">
        <f t="shared" si="4"/>
        <v>11000</v>
      </c>
      <c r="AE8" s="18">
        <f t="shared" si="5"/>
        <v>11000</v>
      </c>
    </row>
    <row r="9" spans="1:31" ht="15" customHeight="1" x14ac:dyDescent="0.35">
      <c r="A9" s="8">
        <v>5</v>
      </c>
      <c r="B9" s="9" t="s">
        <v>356</v>
      </c>
      <c r="C9" s="8" t="s">
        <v>403</v>
      </c>
      <c r="D9" s="36">
        <v>26000</v>
      </c>
      <c r="E9" s="36">
        <v>26000</v>
      </c>
      <c r="F9" s="36">
        <v>28000</v>
      </c>
      <c r="G9" s="36">
        <v>28000</v>
      </c>
      <c r="H9" s="36">
        <v>32000</v>
      </c>
      <c r="I9" s="36">
        <v>30000</v>
      </c>
      <c r="J9" s="36">
        <v>30000</v>
      </c>
      <c r="K9" s="36">
        <v>30000</v>
      </c>
      <c r="L9" s="36">
        <v>30000</v>
      </c>
      <c r="M9" s="36">
        <v>32000</v>
      </c>
      <c r="N9" s="36">
        <v>36000</v>
      </c>
      <c r="O9" s="36">
        <v>36000</v>
      </c>
      <c r="P9" s="36">
        <v>36000</v>
      </c>
      <c r="Q9" s="36">
        <v>40000</v>
      </c>
      <c r="R9" s="36">
        <v>40000</v>
      </c>
      <c r="S9" s="36">
        <v>0</v>
      </c>
      <c r="T9" s="36">
        <v>0</v>
      </c>
      <c r="U9" s="36">
        <v>35000</v>
      </c>
      <c r="V9" s="36">
        <v>35000</v>
      </c>
      <c r="W9" s="36">
        <v>25000</v>
      </c>
      <c r="X9" s="36">
        <v>32000</v>
      </c>
      <c r="Y9" s="36">
        <v>35000</v>
      </c>
      <c r="Z9" s="18">
        <f t="shared" si="0"/>
        <v>28000</v>
      </c>
      <c r="AA9" s="18">
        <f t="shared" si="1"/>
        <v>30400</v>
      </c>
      <c r="AB9" s="18">
        <f t="shared" si="2"/>
        <v>37600</v>
      </c>
      <c r="AC9" s="18">
        <f t="shared" si="3"/>
        <v>31666.666666666668</v>
      </c>
      <c r="AD9" s="18">
        <f t="shared" si="4"/>
        <v>33500</v>
      </c>
      <c r="AE9" s="18">
        <f t="shared" si="5"/>
        <v>32100</v>
      </c>
    </row>
    <row r="10" spans="1:31" ht="15" customHeight="1" x14ac:dyDescent="0.35">
      <c r="A10" s="8">
        <v>6</v>
      </c>
      <c r="B10" s="9" t="s">
        <v>357</v>
      </c>
      <c r="C10" s="8" t="s">
        <v>403</v>
      </c>
      <c r="D10" s="36">
        <v>24000</v>
      </c>
      <c r="E10" s="36">
        <v>24000</v>
      </c>
      <c r="F10" s="36">
        <v>24000</v>
      </c>
      <c r="G10" s="36">
        <v>24000</v>
      </c>
      <c r="H10" s="36">
        <v>26000</v>
      </c>
      <c r="I10" s="36">
        <v>28000</v>
      </c>
      <c r="J10" s="36">
        <v>28000</v>
      </c>
      <c r="K10" s="36">
        <v>28000</v>
      </c>
      <c r="L10" s="36">
        <v>30000</v>
      </c>
      <c r="M10" s="36">
        <v>32000</v>
      </c>
      <c r="N10" s="36">
        <v>40000</v>
      </c>
      <c r="O10" s="36">
        <v>45000</v>
      </c>
      <c r="P10" s="36">
        <v>43000</v>
      </c>
      <c r="Q10" s="36">
        <v>50000</v>
      </c>
      <c r="R10" s="36">
        <v>45000</v>
      </c>
      <c r="S10" s="36">
        <v>0</v>
      </c>
      <c r="T10" s="36">
        <v>0</v>
      </c>
      <c r="U10" s="36">
        <v>35000</v>
      </c>
      <c r="V10" s="36">
        <v>35000</v>
      </c>
      <c r="W10" s="36">
        <v>28000</v>
      </c>
      <c r="X10" s="36">
        <v>33000</v>
      </c>
      <c r="Y10" s="36">
        <v>35000</v>
      </c>
      <c r="Z10" s="18">
        <f t="shared" si="0"/>
        <v>24400</v>
      </c>
      <c r="AA10" s="18">
        <f t="shared" si="1"/>
        <v>29200</v>
      </c>
      <c r="AB10" s="18">
        <f t="shared" si="2"/>
        <v>44600</v>
      </c>
      <c r="AC10" s="18">
        <f t="shared" si="3"/>
        <v>32666.666666666668</v>
      </c>
      <c r="AD10" s="18">
        <f t="shared" si="4"/>
        <v>34000</v>
      </c>
      <c r="AE10" s="18">
        <f t="shared" si="5"/>
        <v>32850</v>
      </c>
    </row>
    <row r="11" spans="1:31" ht="15" customHeight="1" x14ac:dyDescent="0.35">
      <c r="A11" s="8">
        <v>7</v>
      </c>
      <c r="B11" s="9" t="s">
        <v>343</v>
      </c>
      <c r="C11" s="8" t="s">
        <v>403</v>
      </c>
      <c r="D11" s="36">
        <v>85000</v>
      </c>
      <c r="E11" s="36">
        <v>85000</v>
      </c>
      <c r="F11" s="36">
        <v>85000</v>
      </c>
      <c r="G11" s="36">
        <v>85000</v>
      </c>
      <c r="H11" s="36">
        <v>90000</v>
      </c>
      <c r="I11" s="36">
        <v>85000</v>
      </c>
      <c r="J11" s="36">
        <v>85000</v>
      </c>
      <c r="K11" s="36">
        <v>85000</v>
      </c>
      <c r="L11" s="36">
        <v>85000</v>
      </c>
      <c r="M11" s="36">
        <v>80000</v>
      </c>
      <c r="N11" s="36">
        <v>76000</v>
      </c>
      <c r="O11" s="36">
        <v>95000</v>
      </c>
      <c r="P11" s="36">
        <v>95000</v>
      </c>
      <c r="Q11" s="36">
        <v>80000</v>
      </c>
      <c r="R11" s="36">
        <v>80000</v>
      </c>
      <c r="S11" s="36">
        <v>0</v>
      </c>
      <c r="T11" s="36">
        <v>0</v>
      </c>
      <c r="U11" s="36">
        <v>60000</v>
      </c>
      <c r="V11" s="36">
        <v>60000</v>
      </c>
      <c r="W11" s="36">
        <v>60000</v>
      </c>
      <c r="X11" s="36">
        <v>62000</v>
      </c>
      <c r="Y11" s="36">
        <v>72000</v>
      </c>
      <c r="Z11" s="18">
        <f t="shared" si="0"/>
        <v>86000</v>
      </c>
      <c r="AA11" s="18">
        <f t="shared" si="1"/>
        <v>84000</v>
      </c>
      <c r="AB11" s="18">
        <f t="shared" si="2"/>
        <v>85200</v>
      </c>
      <c r="AC11" s="18">
        <f t="shared" si="3"/>
        <v>60000</v>
      </c>
      <c r="AD11" s="18">
        <f t="shared" si="4"/>
        <v>67000</v>
      </c>
      <c r="AE11" s="18">
        <f t="shared" si="5"/>
        <v>79500</v>
      </c>
    </row>
    <row r="12" spans="1:31" ht="15" customHeight="1" x14ac:dyDescent="0.35">
      <c r="A12" s="8">
        <v>8</v>
      </c>
      <c r="B12" s="9" t="s">
        <v>350</v>
      </c>
      <c r="C12" s="8" t="s">
        <v>403</v>
      </c>
      <c r="D12" s="36">
        <v>30000</v>
      </c>
      <c r="E12" s="36">
        <v>30000</v>
      </c>
      <c r="F12" s="36">
        <v>30000</v>
      </c>
      <c r="G12" s="36">
        <v>30000</v>
      </c>
      <c r="H12" s="36">
        <v>30000</v>
      </c>
      <c r="I12" s="36">
        <v>32000</v>
      </c>
      <c r="J12" s="36">
        <v>32000</v>
      </c>
      <c r="K12" s="36">
        <v>32000</v>
      </c>
      <c r="L12" s="36">
        <v>30000</v>
      </c>
      <c r="M12" s="36">
        <v>30000</v>
      </c>
      <c r="N12" s="36">
        <v>30000</v>
      </c>
      <c r="O12" s="36">
        <v>30000</v>
      </c>
      <c r="P12" s="36">
        <v>30000</v>
      </c>
      <c r="Q12" s="36">
        <v>30000</v>
      </c>
      <c r="R12" s="36">
        <v>30000</v>
      </c>
      <c r="S12" s="36">
        <v>0</v>
      </c>
      <c r="T12" s="36">
        <v>0</v>
      </c>
      <c r="U12" s="36">
        <v>30000</v>
      </c>
      <c r="V12" s="36">
        <v>30000</v>
      </c>
      <c r="W12" s="36">
        <v>30000</v>
      </c>
      <c r="X12" s="36">
        <v>30000</v>
      </c>
      <c r="Y12" s="36">
        <v>30000</v>
      </c>
      <c r="Z12" s="18">
        <f t="shared" si="0"/>
        <v>30000</v>
      </c>
      <c r="AA12" s="18">
        <f t="shared" si="1"/>
        <v>31200</v>
      </c>
      <c r="AB12" s="18">
        <f t="shared" si="2"/>
        <v>30000</v>
      </c>
      <c r="AC12" s="18">
        <f t="shared" si="3"/>
        <v>30000</v>
      </c>
      <c r="AD12" s="18">
        <f t="shared" si="4"/>
        <v>30000</v>
      </c>
      <c r="AE12" s="18">
        <f t="shared" si="5"/>
        <v>30300</v>
      </c>
    </row>
    <row r="13" spans="1:31" ht="15" customHeight="1" x14ac:dyDescent="0.35">
      <c r="A13" s="8">
        <v>9</v>
      </c>
      <c r="B13" s="9" t="s">
        <v>345</v>
      </c>
      <c r="C13" s="8" t="s">
        <v>403</v>
      </c>
      <c r="D13" s="36">
        <v>16500</v>
      </c>
      <c r="E13" s="36">
        <v>16500</v>
      </c>
      <c r="F13" s="36">
        <v>16500</v>
      </c>
      <c r="G13" s="36">
        <v>16500</v>
      </c>
      <c r="H13" s="36">
        <v>16500</v>
      </c>
      <c r="I13" s="36">
        <v>16500</v>
      </c>
      <c r="J13" s="36">
        <v>16500</v>
      </c>
      <c r="K13" s="36">
        <v>16500</v>
      </c>
      <c r="L13" s="36">
        <v>17300</v>
      </c>
      <c r="M13" s="36">
        <v>17200</v>
      </c>
      <c r="N13" s="36">
        <v>17500</v>
      </c>
      <c r="O13" s="36">
        <v>17500</v>
      </c>
      <c r="P13" s="36">
        <v>17500</v>
      </c>
      <c r="Q13" s="36">
        <v>17500</v>
      </c>
      <c r="R13" s="36">
        <v>17500</v>
      </c>
      <c r="S13" s="36">
        <v>0</v>
      </c>
      <c r="T13" s="36">
        <v>0</v>
      </c>
      <c r="U13" s="36">
        <v>17500</v>
      </c>
      <c r="V13" s="36">
        <v>17500</v>
      </c>
      <c r="W13" s="36">
        <v>17300</v>
      </c>
      <c r="X13" s="36">
        <v>17300</v>
      </c>
      <c r="Y13" s="36">
        <v>17300</v>
      </c>
      <c r="Z13" s="18">
        <f t="shared" si="0"/>
        <v>16500</v>
      </c>
      <c r="AA13" s="18">
        <f t="shared" si="1"/>
        <v>16800</v>
      </c>
      <c r="AB13" s="18">
        <f t="shared" si="2"/>
        <v>17500</v>
      </c>
      <c r="AC13" s="18">
        <f t="shared" si="3"/>
        <v>17433.333333333332</v>
      </c>
      <c r="AD13" s="18">
        <f t="shared" si="4"/>
        <v>17300</v>
      </c>
      <c r="AE13" s="18">
        <f t="shared" si="5"/>
        <v>17045</v>
      </c>
    </row>
    <row r="14" spans="1:31" ht="15" customHeight="1" x14ac:dyDescent="0.35">
      <c r="A14" s="8">
        <v>10</v>
      </c>
      <c r="B14" s="9" t="s">
        <v>336</v>
      </c>
      <c r="C14" s="8" t="s">
        <v>449</v>
      </c>
      <c r="D14" s="36">
        <v>17500</v>
      </c>
      <c r="E14" s="36">
        <v>17500</v>
      </c>
      <c r="F14" s="36">
        <v>17500</v>
      </c>
      <c r="G14" s="36">
        <v>17500</v>
      </c>
      <c r="H14" s="36">
        <v>17500</v>
      </c>
      <c r="I14" s="36">
        <v>17500</v>
      </c>
      <c r="J14" s="36">
        <v>17500</v>
      </c>
      <c r="K14" s="36">
        <v>17500</v>
      </c>
      <c r="L14" s="36">
        <v>17500</v>
      </c>
      <c r="M14" s="36">
        <v>18000</v>
      </c>
      <c r="N14" s="36">
        <v>18900</v>
      </c>
      <c r="O14" s="36">
        <v>18500</v>
      </c>
      <c r="P14" s="36">
        <v>19350</v>
      </c>
      <c r="Q14" s="36">
        <v>19350</v>
      </c>
      <c r="R14" s="36">
        <v>19350</v>
      </c>
      <c r="S14" s="36">
        <v>0</v>
      </c>
      <c r="T14" s="36">
        <v>0</v>
      </c>
      <c r="U14" s="36">
        <v>19350</v>
      </c>
      <c r="V14" s="36">
        <v>19350</v>
      </c>
      <c r="W14" s="36">
        <v>19350</v>
      </c>
      <c r="X14" s="36">
        <v>19350</v>
      </c>
      <c r="Y14" s="36">
        <v>19350</v>
      </c>
      <c r="Z14" s="18">
        <f t="shared" si="0"/>
        <v>17500</v>
      </c>
      <c r="AA14" s="18">
        <f t="shared" si="1"/>
        <v>17600</v>
      </c>
      <c r="AB14" s="18">
        <f t="shared" si="2"/>
        <v>19090</v>
      </c>
      <c r="AC14" s="18">
        <f t="shared" si="3"/>
        <v>19350</v>
      </c>
      <c r="AD14" s="18">
        <f t="shared" si="4"/>
        <v>19350</v>
      </c>
      <c r="AE14" s="18">
        <f t="shared" si="5"/>
        <v>18385</v>
      </c>
    </row>
    <row r="15" spans="1:31" ht="21.75" customHeight="1" x14ac:dyDescent="0.35">
      <c r="A15" s="8">
        <v>11</v>
      </c>
      <c r="B15" s="9" t="s">
        <v>337</v>
      </c>
      <c r="C15" s="8" t="s">
        <v>449</v>
      </c>
      <c r="D15" s="36">
        <v>20000</v>
      </c>
      <c r="E15" s="36">
        <v>20000</v>
      </c>
      <c r="F15" s="36">
        <v>20000</v>
      </c>
      <c r="G15" s="36">
        <v>20000</v>
      </c>
      <c r="H15" s="36">
        <v>20000</v>
      </c>
      <c r="I15" s="36">
        <v>20000</v>
      </c>
      <c r="J15" s="36">
        <v>20000</v>
      </c>
      <c r="K15" s="36">
        <v>20000</v>
      </c>
      <c r="L15" s="36">
        <v>20000</v>
      </c>
      <c r="M15" s="36">
        <v>20000</v>
      </c>
      <c r="N15" s="36">
        <v>22000</v>
      </c>
      <c r="O15" s="36">
        <v>22000</v>
      </c>
      <c r="P15" s="36">
        <v>22000</v>
      </c>
      <c r="Q15" s="36">
        <v>22000</v>
      </c>
      <c r="R15" s="36">
        <v>22000</v>
      </c>
      <c r="S15" s="36">
        <v>0</v>
      </c>
      <c r="T15" s="36">
        <v>0</v>
      </c>
      <c r="U15" s="36">
        <v>22000</v>
      </c>
      <c r="V15" s="36">
        <v>22000</v>
      </c>
      <c r="W15" s="36">
        <v>22000</v>
      </c>
      <c r="X15" s="36">
        <v>22000</v>
      </c>
      <c r="Y15" s="36">
        <v>22000</v>
      </c>
      <c r="Z15" s="18">
        <f t="shared" si="0"/>
        <v>20000</v>
      </c>
      <c r="AA15" s="18">
        <f t="shared" si="1"/>
        <v>20000</v>
      </c>
      <c r="AB15" s="18">
        <f t="shared" si="2"/>
        <v>22000</v>
      </c>
      <c r="AC15" s="18">
        <f t="shared" si="3"/>
        <v>22000</v>
      </c>
      <c r="AD15" s="18">
        <f t="shared" si="4"/>
        <v>22000</v>
      </c>
      <c r="AE15" s="18">
        <f t="shared" si="5"/>
        <v>21000</v>
      </c>
    </row>
    <row r="16" spans="1:31" ht="15" customHeight="1" x14ac:dyDescent="0.35">
      <c r="A16" s="8">
        <v>12</v>
      </c>
      <c r="B16" s="9" t="s">
        <v>338</v>
      </c>
      <c r="C16" s="8" t="s">
        <v>449</v>
      </c>
      <c r="D16" s="36">
        <v>15700</v>
      </c>
      <c r="E16" s="36">
        <v>15700</v>
      </c>
      <c r="F16" s="36">
        <v>15700</v>
      </c>
      <c r="G16" s="36">
        <v>15700</v>
      </c>
      <c r="H16" s="36">
        <v>15700</v>
      </c>
      <c r="I16" s="36">
        <v>15700</v>
      </c>
      <c r="J16" s="36">
        <v>15700</v>
      </c>
      <c r="K16" s="36">
        <v>15700</v>
      </c>
      <c r="L16" s="36">
        <v>15700</v>
      </c>
      <c r="M16" s="36">
        <v>15700</v>
      </c>
      <c r="N16" s="36">
        <v>15700</v>
      </c>
      <c r="O16" s="36">
        <v>15700</v>
      </c>
      <c r="P16" s="36">
        <v>15700</v>
      </c>
      <c r="Q16" s="36">
        <v>15700</v>
      </c>
      <c r="R16" s="36">
        <v>15700</v>
      </c>
      <c r="S16" s="36">
        <v>0</v>
      </c>
      <c r="T16" s="36">
        <v>0</v>
      </c>
      <c r="U16" s="36">
        <v>15700</v>
      </c>
      <c r="V16" s="36">
        <v>15700</v>
      </c>
      <c r="W16" s="36">
        <v>15700</v>
      </c>
      <c r="X16" s="36">
        <v>15700</v>
      </c>
      <c r="Y16" s="36">
        <v>15700</v>
      </c>
      <c r="Z16" s="18">
        <f t="shared" si="0"/>
        <v>15700</v>
      </c>
      <c r="AA16" s="18">
        <f t="shared" si="1"/>
        <v>15700</v>
      </c>
      <c r="AB16" s="18">
        <f t="shared" si="2"/>
        <v>15700</v>
      </c>
      <c r="AC16" s="18">
        <f t="shared" si="3"/>
        <v>15700</v>
      </c>
      <c r="AD16" s="18">
        <f t="shared" si="4"/>
        <v>15700</v>
      </c>
      <c r="AE16" s="18">
        <f t="shared" si="5"/>
        <v>15700</v>
      </c>
    </row>
    <row r="17" spans="1:31" ht="15" customHeight="1" x14ac:dyDescent="0.35">
      <c r="A17" s="8">
        <v>13</v>
      </c>
      <c r="B17" s="9" t="s">
        <v>333</v>
      </c>
      <c r="C17" s="8" t="s">
        <v>403</v>
      </c>
      <c r="D17" s="36">
        <v>11000</v>
      </c>
      <c r="E17" s="36">
        <v>11000</v>
      </c>
      <c r="F17" s="36">
        <v>11000</v>
      </c>
      <c r="G17" s="36">
        <v>11000</v>
      </c>
      <c r="H17" s="36">
        <v>11000</v>
      </c>
      <c r="I17" s="36">
        <v>11000</v>
      </c>
      <c r="J17" s="36">
        <v>11000</v>
      </c>
      <c r="K17" s="36">
        <v>11000</v>
      </c>
      <c r="L17" s="36">
        <v>11000</v>
      </c>
      <c r="M17" s="36">
        <v>11000</v>
      </c>
      <c r="N17" s="36">
        <v>11000</v>
      </c>
      <c r="O17" s="36">
        <v>11000</v>
      </c>
      <c r="P17" s="36">
        <v>11000</v>
      </c>
      <c r="Q17" s="36">
        <v>11000</v>
      </c>
      <c r="R17" s="36">
        <v>11000</v>
      </c>
      <c r="S17" s="36">
        <v>0</v>
      </c>
      <c r="T17" s="36">
        <v>0</v>
      </c>
      <c r="U17" s="36">
        <v>11000</v>
      </c>
      <c r="V17" s="36">
        <v>11000</v>
      </c>
      <c r="W17" s="36">
        <v>11000</v>
      </c>
      <c r="X17" s="36">
        <v>11000</v>
      </c>
      <c r="Y17" s="36">
        <v>11000</v>
      </c>
      <c r="Z17" s="18">
        <f t="shared" si="0"/>
        <v>11000</v>
      </c>
      <c r="AA17" s="18">
        <f t="shared" si="1"/>
        <v>11000</v>
      </c>
      <c r="AB17" s="18">
        <f t="shared" si="2"/>
        <v>11000</v>
      </c>
      <c r="AC17" s="18">
        <f t="shared" si="3"/>
        <v>11000</v>
      </c>
      <c r="AD17" s="18">
        <f t="shared" si="4"/>
        <v>11000</v>
      </c>
      <c r="AE17" s="18">
        <f t="shared" si="5"/>
        <v>11000</v>
      </c>
    </row>
    <row r="18" spans="1:31" ht="15" customHeight="1" x14ac:dyDescent="0.35">
      <c r="A18" s="8">
        <v>14</v>
      </c>
      <c r="B18" s="9" t="s">
        <v>335</v>
      </c>
      <c r="C18" s="8" t="s">
        <v>403</v>
      </c>
      <c r="D18" s="36">
        <v>37000</v>
      </c>
      <c r="E18" s="36">
        <v>37000</v>
      </c>
      <c r="F18" s="36">
        <v>37000</v>
      </c>
      <c r="G18" s="36">
        <v>37000</v>
      </c>
      <c r="H18" s="36">
        <v>37000</v>
      </c>
      <c r="I18" s="36">
        <v>37000</v>
      </c>
      <c r="J18" s="36">
        <v>37000</v>
      </c>
      <c r="K18" s="36">
        <v>37000</v>
      </c>
      <c r="L18" s="36">
        <v>38000</v>
      </c>
      <c r="M18" s="36">
        <v>39000</v>
      </c>
      <c r="N18" s="36">
        <v>40000</v>
      </c>
      <c r="O18" s="36">
        <v>40000</v>
      </c>
      <c r="P18" s="36">
        <v>40000</v>
      </c>
      <c r="Q18" s="36">
        <v>40000</v>
      </c>
      <c r="R18" s="36">
        <v>40000</v>
      </c>
      <c r="S18" s="36">
        <v>0</v>
      </c>
      <c r="T18" s="36">
        <v>0</v>
      </c>
      <c r="U18" s="36">
        <v>40000</v>
      </c>
      <c r="V18" s="36">
        <v>40000</v>
      </c>
      <c r="W18" s="36">
        <v>40000</v>
      </c>
      <c r="X18" s="36">
        <v>36000</v>
      </c>
      <c r="Y18" s="36">
        <v>36000</v>
      </c>
      <c r="Z18" s="18">
        <f t="shared" si="0"/>
        <v>37000</v>
      </c>
      <c r="AA18" s="18">
        <f t="shared" si="1"/>
        <v>37600</v>
      </c>
      <c r="AB18" s="18">
        <f t="shared" si="2"/>
        <v>40000</v>
      </c>
      <c r="AC18" s="18">
        <f t="shared" si="3"/>
        <v>40000</v>
      </c>
      <c r="AD18" s="18">
        <f t="shared" si="4"/>
        <v>36000</v>
      </c>
      <c r="AE18" s="18">
        <f t="shared" si="5"/>
        <v>38250</v>
      </c>
    </row>
    <row r="19" spans="1:31" ht="15" customHeight="1" x14ac:dyDescent="0.35">
      <c r="A19" s="8">
        <v>15</v>
      </c>
      <c r="B19" s="9" t="s">
        <v>344</v>
      </c>
      <c r="C19" s="8" t="s">
        <v>403</v>
      </c>
      <c r="D19" s="36">
        <v>28000</v>
      </c>
      <c r="E19" s="36">
        <v>28000</v>
      </c>
      <c r="F19" s="36">
        <v>28000</v>
      </c>
      <c r="G19" s="36">
        <v>28000</v>
      </c>
      <c r="H19" s="36">
        <v>28000</v>
      </c>
      <c r="I19" s="36">
        <v>28000</v>
      </c>
      <c r="J19" s="36">
        <v>28000</v>
      </c>
      <c r="K19" s="36">
        <v>28000</v>
      </c>
      <c r="L19" s="36">
        <v>28000</v>
      </c>
      <c r="M19" s="36">
        <v>28500</v>
      </c>
      <c r="N19" s="36">
        <v>28000</v>
      </c>
      <c r="O19" s="36">
        <v>28000</v>
      </c>
      <c r="P19" s="36">
        <v>28000</v>
      </c>
      <c r="Q19" s="36">
        <v>28500</v>
      </c>
      <c r="R19" s="36">
        <v>27500</v>
      </c>
      <c r="S19" s="36">
        <v>0</v>
      </c>
      <c r="T19" s="36">
        <v>0</v>
      </c>
      <c r="U19" s="36">
        <v>28000</v>
      </c>
      <c r="V19" s="36">
        <v>28000</v>
      </c>
      <c r="W19" s="36">
        <v>27500</v>
      </c>
      <c r="X19" s="36">
        <v>27500</v>
      </c>
      <c r="Y19" s="36">
        <v>27500</v>
      </c>
      <c r="Z19" s="18">
        <f t="shared" si="0"/>
        <v>28000</v>
      </c>
      <c r="AA19" s="18">
        <f t="shared" si="1"/>
        <v>28100</v>
      </c>
      <c r="AB19" s="18">
        <f t="shared" si="2"/>
        <v>28000</v>
      </c>
      <c r="AC19" s="18">
        <f t="shared" si="3"/>
        <v>27833.333333333332</v>
      </c>
      <c r="AD19" s="18">
        <f t="shared" si="4"/>
        <v>27500</v>
      </c>
      <c r="AE19" s="18">
        <f t="shared" si="5"/>
        <v>27950</v>
      </c>
    </row>
    <row r="20" spans="1:31" ht="15" customHeight="1" x14ac:dyDescent="0.35">
      <c r="A20" s="8">
        <v>16</v>
      </c>
      <c r="B20" s="9" t="s">
        <v>358</v>
      </c>
      <c r="C20" s="8" t="s">
        <v>403</v>
      </c>
      <c r="D20" s="36">
        <v>110000</v>
      </c>
      <c r="E20" s="36">
        <v>110000</v>
      </c>
      <c r="F20" s="36">
        <v>110000</v>
      </c>
      <c r="G20" s="36">
        <v>110000</v>
      </c>
      <c r="H20" s="36">
        <v>110000</v>
      </c>
      <c r="I20" s="36">
        <v>112000</v>
      </c>
      <c r="J20" s="36">
        <v>112000</v>
      </c>
      <c r="K20" s="36">
        <v>112000</v>
      </c>
      <c r="L20" s="36">
        <v>115000</v>
      </c>
      <c r="M20" s="36">
        <v>115000</v>
      </c>
      <c r="N20" s="36">
        <v>115000</v>
      </c>
      <c r="O20" s="36">
        <v>115000</v>
      </c>
      <c r="P20" s="36">
        <v>115000</v>
      </c>
      <c r="Q20" s="36">
        <v>120000</v>
      </c>
      <c r="R20" s="36">
        <v>120000</v>
      </c>
      <c r="S20" s="36">
        <v>0</v>
      </c>
      <c r="T20" s="36">
        <v>0</v>
      </c>
      <c r="U20" s="36">
        <v>115000</v>
      </c>
      <c r="V20" s="36">
        <v>115000</v>
      </c>
      <c r="W20" s="36">
        <v>115000</v>
      </c>
      <c r="X20" s="36">
        <v>115000</v>
      </c>
      <c r="Y20" s="36">
        <v>115000</v>
      </c>
      <c r="Z20" s="18">
        <f t="shared" si="0"/>
        <v>110000</v>
      </c>
      <c r="AA20" s="18">
        <f t="shared" si="1"/>
        <v>113200</v>
      </c>
      <c r="AB20" s="18">
        <f t="shared" si="2"/>
        <v>117000</v>
      </c>
      <c r="AC20" s="18">
        <f t="shared" si="3"/>
        <v>115000</v>
      </c>
      <c r="AD20" s="18">
        <f t="shared" si="4"/>
        <v>115000</v>
      </c>
      <c r="AE20" s="18">
        <f t="shared" si="5"/>
        <v>113800</v>
      </c>
    </row>
    <row r="21" spans="1:31" ht="15" customHeight="1" x14ac:dyDescent="0.35">
      <c r="A21" s="8">
        <v>17</v>
      </c>
      <c r="B21" s="9" t="s">
        <v>359</v>
      </c>
      <c r="C21" s="8" t="s">
        <v>403</v>
      </c>
      <c r="D21" s="36">
        <v>70000</v>
      </c>
      <c r="E21" s="36">
        <v>70000</v>
      </c>
      <c r="F21" s="36">
        <v>70000</v>
      </c>
      <c r="G21" s="36">
        <v>70000</v>
      </c>
      <c r="H21" s="36">
        <v>70000</v>
      </c>
      <c r="I21" s="36">
        <v>70000</v>
      </c>
      <c r="J21" s="36">
        <v>70000</v>
      </c>
      <c r="K21" s="36">
        <v>70000</v>
      </c>
      <c r="L21" s="36">
        <v>70000</v>
      </c>
      <c r="M21" s="36">
        <v>70000</v>
      </c>
      <c r="N21" s="36">
        <v>70000</v>
      </c>
      <c r="O21" s="36">
        <v>70000</v>
      </c>
      <c r="P21" s="36">
        <v>70000</v>
      </c>
      <c r="Q21" s="36">
        <v>70000</v>
      </c>
      <c r="R21" s="36">
        <v>70000</v>
      </c>
      <c r="S21" s="36">
        <v>0</v>
      </c>
      <c r="T21" s="36">
        <v>0</v>
      </c>
      <c r="U21" s="36">
        <v>70000</v>
      </c>
      <c r="V21" s="36">
        <v>70000</v>
      </c>
      <c r="W21" s="36">
        <v>70000</v>
      </c>
      <c r="X21" s="36">
        <v>70000</v>
      </c>
      <c r="Y21" s="36">
        <v>70000</v>
      </c>
      <c r="Z21" s="18">
        <f t="shared" si="0"/>
        <v>70000</v>
      </c>
      <c r="AA21" s="18">
        <f t="shared" si="1"/>
        <v>70000</v>
      </c>
      <c r="AB21" s="18">
        <f t="shared" si="2"/>
        <v>70000</v>
      </c>
      <c r="AC21" s="18">
        <f t="shared" si="3"/>
        <v>70000</v>
      </c>
      <c r="AD21" s="18">
        <f t="shared" si="4"/>
        <v>70000</v>
      </c>
      <c r="AE21" s="18">
        <f t="shared" si="5"/>
        <v>70000</v>
      </c>
    </row>
    <row r="22" spans="1:31" ht="15" customHeight="1" x14ac:dyDescent="0.35">
      <c r="A22" s="8">
        <v>18</v>
      </c>
      <c r="B22" s="9" t="s">
        <v>360</v>
      </c>
      <c r="C22" s="8" t="s">
        <v>403</v>
      </c>
      <c r="D22" s="36">
        <v>70000</v>
      </c>
      <c r="E22" s="36">
        <v>70000</v>
      </c>
      <c r="F22" s="36">
        <v>70000</v>
      </c>
      <c r="G22" s="36">
        <v>70000</v>
      </c>
      <c r="H22" s="36">
        <v>70000</v>
      </c>
      <c r="I22" s="36">
        <v>70000</v>
      </c>
      <c r="J22" s="36">
        <v>70000</v>
      </c>
      <c r="K22" s="36">
        <v>70000</v>
      </c>
      <c r="L22" s="36">
        <v>70000</v>
      </c>
      <c r="M22" s="36">
        <v>70000</v>
      </c>
      <c r="N22" s="36">
        <v>80000</v>
      </c>
      <c r="O22" s="36">
        <v>80000</v>
      </c>
      <c r="P22" s="36">
        <v>80000</v>
      </c>
      <c r="Q22" s="36">
        <v>80000</v>
      </c>
      <c r="R22" s="36">
        <v>80000</v>
      </c>
      <c r="S22" s="36">
        <v>0</v>
      </c>
      <c r="T22" s="36">
        <v>0</v>
      </c>
      <c r="U22" s="36">
        <v>80000</v>
      </c>
      <c r="V22" s="36">
        <v>80000</v>
      </c>
      <c r="W22" s="36">
        <v>80000</v>
      </c>
      <c r="X22" s="36">
        <v>80000</v>
      </c>
      <c r="Y22" s="36">
        <v>80000</v>
      </c>
      <c r="Z22" s="18">
        <f t="shared" si="0"/>
        <v>70000</v>
      </c>
      <c r="AA22" s="18">
        <f t="shared" si="1"/>
        <v>70000</v>
      </c>
      <c r="AB22" s="18">
        <f t="shared" si="2"/>
        <v>80000</v>
      </c>
      <c r="AC22" s="18">
        <f t="shared" si="3"/>
        <v>80000</v>
      </c>
      <c r="AD22" s="18">
        <f t="shared" si="4"/>
        <v>80000</v>
      </c>
      <c r="AE22" s="18">
        <f t="shared" si="5"/>
        <v>75000</v>
      </c>
    </row>
    <row r="23" spans="1:31" ht="15" customHeight="1" x14ac:dyDescent="0.35">
      <c r="A23" s="8">
        <v>19</v>
      </c>
      <c r="B23" s="9" t="s">
        <v>405</v>
      </c>
      <c r="C23" s="8" t="s">
        <v>403</v>
      </c>
      <c r="D23" s="36">
        <v>35000</v>
      </c>
      <c r="E23" s="36">
        <v>35000</v>
      </c>
      <c r="F23" s="36">
        <v>35000</v>
      </c>
      <c r="G23" s="36">
        <v>35000</v>
      </c>
      <c r="H23" s="36">
        <v>35000</v>
      </c>
      <c r="I23" s="36">
        <v>35000</v>
      </c>
      <c r="J23" s="36">
        <v>35000</v>
      </c>
      <c r="K23" s="36">
        <v>35000</v>
      </c>
      <c r="L23" s="36">
        <v>35000</v>
      </c>
      <c r="M23" s="36">
        <v>35000</v>
      </c>
      <c r="N23" s="36">
        <v>40000</v>
      </c>
      <c r="O23" s="36">
        <v>40000</v>
      </c>
      <c r="P23" s="36">
        <v>40000</v>
      </c>
      <c r="Q23" s="36">
        <v>45000</v>
      </c>
      <c r="R23" s="36">
        <v>45000</v>
      </c>
      <c r="S23" s="36">
        <v>0</v>
      </c>
      <c r="T23" s="36">
        <v>0</v>
      </c>
      <c r="U23" s="36">
        <v>45000</v>
      </c>
      <c r="V23" s="36">
        <v>45000</v>
      </c>
      <c r="W23" s="36">
        <v>45000</v>
      </c>
      <c r="X23" s="36">
        <v>45000</v>
      </c>
      <c r="Y23" s="36">
        <v>45000</v>
      </c>
      <c r="Z23" s="18">
        <f t="shared" si="0"/>
        <v>35000</v>
      </c>
      <c r="AA23" s="18">
        <f t="shared" si="1"/>
        <v>35000</v>
      </c>
      <c r="AB23" s="18">
        <f t="shared" si="2"/>
        <v>42000</v>
      </c>
      <c r="AC23" s="18">
        <f t="shared" si="3"/>
        <v>45000</v>
      </c>
      <c r="AD23" s="18">
        <f t="shared" si="4"/>
        <v>45000</v>
      </c>
      <c r="AE23" s="18">
        <f t="shared" si="5"/>
        <v>39250</v>
      </c>
    </row>
    <row r="24" spans="1:31" ht="15" customHeight="1" x14ac:dyDescent="0.35">
      <c r="A24" s="8">
        <v>20</v>
      </c>
      <c r="B24" s="9" t="s">
        <v>346</v>
      </c>
      <c r="C24" s="8" t="s">
        <v>403</v>
      </c>
      <c r="D24" s="36">
        <v>35000</v>
      </c>
      <c r="E24" s="36">
        <v>35000</v>
      </c>
      <c r="F24" s="36">
        <v>35000</v>
      </c>
      <c r="G24" s="36">
        <v>35000</v>
      </c>
      <c r="H24" s="36">
        <v>35000</v>
      </c>
      <c r="I24" s="36">
        <v>35000</v>
      </c>
      <c r="J24" s="36">
        <v>35000</v>
      </c>
      <c r="K24" s="36">
        <v>35000</v>
      </c>
      <c r="L24" s="36">
        <v>35000</v>
      </c>
      <c r="M24" s="36">
        <v>35000</v>
      </c>
      <c r="N24" s="36">
        <v>40000</v>
      </c>
      <c r="O24" s="36">
        <v>40000</v>
      </c>
      <c r="P24" s="36">
        <v>40000</v>
      </c>
      <c r="Q24" s="36">
        <v>45000</v>
      </c>
      <c r="R24" s="36">
        <v>45000</v>
      </c>
      <c r="S24" s="36">
        <v>0</v>
      </c>
      <c r="T24" s="36">
        <v>0</v>
      </c>
      <c r="U24" s="36">
        <v>45000</v>
      </c>
      <c r="V24" s="36">
        <v>45000</v>
      </c>
      <c r="W24" s="36">
        <v>45000</v>
      </c>
      <c r="X24" s="36">
        <v>45000</v>
      </c>
      <c r="Y24" s="36">
        <v>45000</v>
      </c>
      <c r="Z24" s="18">
        <f t="shared" si="0"/>
        <v>35000</v>
      </c>
      <c r="AA24" s="18">
        <f t="shared" si="1"/>
        <v>35000</v>
      </c>
      <c r="AB24" s="18">
        <f t="shared" si="2"/>
        <v>42000</v>
      </c>
      <c r="AC24" s="18">
        <f t="shared" si="3"/>
        <v>45000</v>
      </c>
      <c r="AD24" s="18">
        <f t="shared" si="4"/>
        <v>45000</v>
      </c>
      <c r="AE24" s="18">
        <f t="shared" si="5"/>
        <v>39250</v>
      </c>
    </row>
    <row r="25" spans="1:31" ht="15" customHeight="1" x14ac:dyDescent="0.35">
      <c r="A25" s="8">
        <v>21</v>
      </c>
      <c r="B25" s="9" t="s">
        <v>406</v>
      </c>
      <c r="C25" s="8" t="s">
        <v>403</v>
      </c>
      <c r="D25" s="36">
        <v>80000</v>
      </c>
      <c r="E25" s="36">
        <v>80000</v>
      </c>
      <c r="F25" s="36">
        <v>80000</v>
      </c>
      <c r="G25" s="36">
        <v>80000</v>
      </c>
      <c r="H25" s="36">
        <v>80000</v>
      </c>
      <c r="I25" s="36">
        <v>80000</v>
      </c>
      <c r="J25" s="36">
        <v>80000</v>
      </c>
      <c r="K25" s="36">
        <v>80000</v>
      </c>
      <c r="L25" s="36">
        <v>80000</v>
      </c>
      <c r="M25" s="36">
        <v>80000</v>
      </c>
      <c r="N25" s="36">
        <v>80000</v>
      </c>
      <c r="O25" s="36">
        <v>80000</v>
      </c>
      <c r="P25" s="36">
        <v>80000</v>
      </c>
      <c r="Q25" s="36">
        <v>80000</v>
      </c>
      <c r="R25" s="36">
        <v>80000</v>
      </c>
      <c r="S25" s="36">
        <v>0</v>
      </c>
      <c r="T25" s="36">
        <v>0</v>
      </c>
      <c r="U25" s="36">
        <v>80000</v>
      </c>
      <c r="V25" s="36">
        <v>80000</v>
      </c>
      <c r="W25" s="36">
        <v>80000</v>
      </c>
      <c r="X25" s="36">
        <v>80000</v>
      </c>
      <c r="Y25" s="36">
        <v>80000</v>
      </c>
      <c r="Z25" s="18">
        <f t="shared" si="0"/>
        <v>80000</v>
      </c>
      <c r="AA25" s="18">
        <f t="shared" si="1"/>
        <v>80000</v>
      </c>
      <c r="AB25" s="18">
        <f t="shared" si="2"/>
        <v>80000</v>
      </c>
      <c r="AC25" s="18">
        <f t="shared" si="3"/>
        <v>80000</v>
      </c>
      <c r="AD25" s="18">
        <f t="shared" si="4"/>
        <v>80000</v>
      </c>
      <c r="AE25" s="18">
        <f t="shared" si="5"/>
        <v>80000</v>
      </c>
    </row>
    <row r="26" spans="1:31" ht="21.75" customHeight="1" x14ac:dyDescent="0.35">
      <c r="A26" s="8">
        <v>22</v>
      </c>
      <c r="B26" s="9" t="s">
        <v>353</v>
      </c>
      <c r="C26" s="8" t="s">
        <v>450</v>
      </c>
      <c r="D26" s="36">
        <v>2800</v>
      </c>
      <c r="E26" s="36">
        <v>2800</v>
      </c>
      <c r="F26" s="36">
        <v>2800</v>
      </c>
      <c r="G26" s="36">
        <v>2800</v>
      </c>
      <c r="H26" s="36">
        <v>2800</v>
      </c>
      <c r="I26" s="36">
        <v>2800</v>
      </c>
      <c r="J26" s="36">
        <v>2800</v>
      </c>
      <c r="K26" s="36">
        <v>2800</v>
      </c>
      <c r="L26" s="36">
        <v>2800</v>
      </c>
      <c r="M26" s="36">
        <v>2800</v>
      </c>
      <c r="N26" s="36">
        <v>2800</v>
      </c>
      <c r="O26" s="36">
        <v>2800</v>
      </c>
      <c r="P26" s="36">
        <v>2800</v>
      </c>
      <c r="Q26" s="36">
        <v>2800</v>
      </c>
      <c r="R26" s="36">
        <v>2800</v>
      </c>
      <c r="S26" s="36">
        <v>0</v>
      </c>
      <c r="T26" s="36">
        <v>0</v>
      </c>
      <c r="U26" s="36">
        <v>2800</v>
      </c>
      <c r="V26" s="36">
        <v>2800</v>
      </c>
      <c r="W26" s="36">
        <v>2800</v>
      </c>
      <c r="X26" s="36">
        <v>2800</v>
      </c>
      <c r="Y26" s="36">
        <v>2800</v>
      </c>
      <c r="Z26" s="18">
        <f t="shared" si="0"/>
        <v>2800</v>
      </c>
      <c r="AA26" s="18">
        <f t="shared" si="1"/>
        <v>2800</v>
      </c>
      <c r="AB26" s="18">
        <f t="shared" si="2"/>
        <v>2800</v>
      </c>
      <c r="AC26" s="18">
        <f t="shared" si="3"/>
        <v>2800</v>
      </c>
      <c r="AD26" s="18">
        <f t="shared" si="4"/>
        <v>2800</v>
      </c>
      <c r="AE26" s="18">
        <f t="shared" si="5"/>
        <v>2800</v>
      </c>
    </row>
    <row r="27" spans="1:31" ht="15" customHeight="1" x14ac:dyDescent="0.35">
      <c r="A27" s="8">
        <v>23</v>
      </c>
      <c r="B27" s="9" t="s">
        <v>351</v>
      </c>
      <c r="C27" s="8" t="s">
        <v>403</v>
      </c>
      <c r="D27" s="36">
        <v>30000</v>
      </c>
      <c r="E27" s="36">
        <v>30000</v>
      </c>
      <c r="F27" s="36">
        <v>30000</v>
      </c>
      <c r="G27" s="36">
        <v>30000</v>
      </c>
      <c r="H27" s="36">
        <v>29000</v>
      </c>
      <c r="I27" s="36">
        <v>29000</v>
      </c>
      <c r="J27" s="36">
        <v>29000</v>
      </c>
      <c r="K27" s="36">
        <v>29000</v>
      </c>
      <c r="L27" s="36">
        <v>30000</v>
      </c>
      <c r="M27" s="36">
        <v>30000</v>
      </c>
      <c r="N27" s="36">
        <v>29000</v>
      </c>
      <c r="O27" s="36">
        <v>29000</v>
      </c>
      <c r="P27" s="36">
        <v>29000</v>
      </c>
      <c r="Q27" s="36">
        <v>30000</v>
      </c>
      <c r="R27" s="36">
        <v>30000</v>
      </c>
      <c r="S27" s="36">
        <v>0</v>
      </c>
      <c r="T27" s="36">
        <v>0</v>
      </c>
      <c r="U27" s="36">
        <v>30000</v>
      </c>
      <c r="V27" s="36">
        <v>30000</v>
      </c>
      <c r="W27" s="36">
        <v>30000</v>
      </c>
      <c r="X27" s="36">
        <v>30000</v>
      </c>
      <c r="Y27" s="36">
        <v>30000</v>
      </c>
      <c r="Z27" s="18">
        <f t="shared" si="0"/>
        <v>29800</v>
      </c>
      <c r="AA27" s="18">
        <f t="shared" si="1"/>
        <v>29400</v>
      </c>
      <c r="AB27" s="18">
        <f t="shared" si="2"/>
        <v>29400</v>
      </c>
      <c r="AC27" s="18">
        <f t="shared" si="3"/>
        <v>30000</v>
      </c>
      <c r="AD27" s="18">
        <f t="shared" si="4"/>
        <v>30000</v>
      </c>
      <c r="AE27" s="18">
        <f t="shared" si="5"/>
        <v>29650</v>
      </c>
    </row>
    <row r="28" spans="1:31" ht="15" customHeight="1" x14ac:dyDescent="0.35">
      <c r="A28" s="8">
        <v>24</v>
      </c>
      <c r="B28" s="9" t="s">
        <v>352</v>
      </c>
      <c r="C28" s="8" t="s">
        <v>403</v>
      </c>
      <c r="D28" s="36">
        <v>35000</v>
      </c>
      <c r="E28" s="36">
        <v>35000</v>
      </c>
      <c r="F28" s="36">
        <v>35000</v>
      </c>
      <c r="G28" s="36">
        <v>35000</v>
      </c>
      <c r="H28" s="36">
        <v>35000</v>
      </c>
      <c r="I28" s="36">
        <v>35000</v>
      </c>
      <c r="J28" s="36">
        <v>35000</v>
      </c>
      <c r="K28" s="36">
        <v>35000</v>
      </c>
      <c r="L28" s="36">
        <v>35000</v>
      </c>
      <c r="M28" s="36">
        <v>35000</v>
      </c>
      <c r="N28" s="36">
        <v>35000</v>
      </c>
      <c r="O28" s="36">
        <v>35000</v>
      </c>
      <c r="P28" s="36">
        <v>35000</v>
      </c>
      <c r="Q28" s="36">
        <v>38000</v>
      </c>
      <c r="R28" s="36">
        <v>38000</v>
      </c>
      <c r="S28" s="36">
        <v>0</v>
      </c>
      <c r="T28" s="36">
        <v>0</v>
      </c>
      <c r="U28" s="36">
        <v>38000</v>
      </c>
      <c r="V28" s="36">
        <v>38000</v>
      </c>
      <c r="W28" s="36">
        <v>38000</v>
      </c>
      <c r="X28" s="36">
        <v>38000</v>
      </c>
      <c r="Y28" s="36">
        <v>38000</v>
      </c>
      <c r="Z28" s="18">
        <f t="shared" si="0"/>
        <v>35000</v>
      </c>
      <c r="AA28" s="18">
        <f t="shared" si="1"/>
        <v>35000</v>
      </c>
      <c r="AB28" s="18">
        <f t="shared" si="2"/>
        <v>36200</v>
      </c>
      <c r="AC28" s="18">
        <f t="shared" si="3"/>
        <v>38000</v>
      </c>
      <c r="AD28" s="18">
        <f t="shared" si="4"/>
        <v>38000</v>
      </c>
      <c r="AE28" s="18">
        <f t="shared" si="5"/>
        <v>36050</v>
      </c>
    </row>
    <row r="29" spans="1:31" ht="15" customHeight="1" x14ac:dyDescent="0.35">
      <c r="A29" s="8">
        <v>25</v>
      </c>
      <c r="B29" s="9" t="s">
        <v>407</v>
      </c>
      <c r="C29" s="8" t="s">
        <v>403</v>
      </c>
      <c r="D29" s="36">
        <v>34000</v>
      </c>
      <c r="E29" s="36">
        <v>34000</v>
      </c>
      <c r="F29" s="36">
        <v>34000</v>
      </c>
      <c r="G29" s="36">
        <v>34000</v>
      </c>
      <c r="H29" s="36">
        <v>34000</v>
      </c>
      <c r="I29" s="36">
        <v>34000</v>
      </c>
      <c r="J29" s="36">
        <v>34000</v>
      </c>
      <c r="K29" s="36">
        <v>34000</v>
      </c>
      <c r="L29" s="36">
        <v>34000</v>
      </c>
      <c r="M29" s="36">
        <v>34000</v>
      </c>
      <c r="N29" s="36">
        <v>35000</v>
      </c>
      <c r="O29" s="36">
        <v>35000</v>
      </c>
      <c r="P29" s="36">
        <v>35000</v>
      </c>
      <c r="Q29" s="36">
        <v>36000</v>
      </c>
      <c r="R29" s="36">
        <v>36000</v>
      </c>
      <c r="S29" s="36">
        <v>0</v>
      </c>
      <c r="T29" s="36">
        <v>0</v>
      </c>
      <c r="U29" s="36">
        <v>33000</v>
      </c>
      <c r="V29" s="36">
        <v>33000</v>
      </c>
      <c r="W29" s="36">
        <v>30000</v>
      </c>
      <c r="X29" s="36">
        <v>32000</v>
      </c>
      <c r="Y29" s="36">
        <v>32000</v>
      </c>
      <c r="Z29" s="18">
        <f t="shared" si="0"/>
        <v>34000</v>
      </c>
      <c r="AA29" s="18">
        <f t="shared" si="1"/>
        <v>34000</v>
      </c>
      <c r="AB29" s="18">
        <f t="shared" si="2"/>
        <v>35400</v>
      </c>
      <c r="AC29" s="18">
        <f t="shared" si="3"/>
        <v>32000</v>
      </c>
      <c r="AD29" s="18">
        <f t="shared" si="4"/>
        <v>32000</v>
      </c>
      <c r="AE29" s="18">
        <f t="shared" si="5"/>
        <v>33850</v>
      </c>
    </row>
    <row r="30" spans="1:31" ht="15" customHeight="1" x14ac:dyDescent="0.35">
      <c r="A30" s="8">
        <v>26</v>
      </c>
      <c r="B30" s="9" t="s">
        <v>408</v>
      </c>
      <c r="C30" s="8" t="s">
        <v>403</v>
      </c>
      <c r="D30" s="36">
        <v>8000</v>
      </c>
      <c r="E30" s="36">
        <v>8000</v>
      </c>
      <c r="F30" s="36">
        <v>8000</v>
      </c>
      <c r="G30" s="36">
        <v>8000</v>
      </c>
      <c r="H30" s="36">
        <v>8000</v>
      </c>
      <c r="I30" s="36">
        <v>8000</v>
      </c>
      <c r="J30" s="36">
        <v>8000</v>
      </c>
      <c r="K30" s="36">
        <v>8000</v>
      </c>
      <c r="L30" s="36">
        <v>8000</v>
      </c>
      <c r="M30" s="36">
        <v>8000</v>
      </c>
      <c r="N30" s="36">
        <v>8000</v>
      </c>
      <c r="O30" s="36">
        <v>8000</v>
      </c>
      <c r="P30" s="36">
        <v>8000</v>
      </c>
      <c r="Q30" s="36">
        <v>8000</v>
      </c>
      <c r="R30" s="36">
        <v>8000</v>
      </c>
      <c r="S30" s="36">
        <v>0</v>
      </c>
      <c r="T30" s="36">
        <v>0</v>
      </c>
      <c r="U30" s="36">
        <v>8000</v>
      </c>
      <c r="V30" s="36">
        <v>8000</v>
      </c>
      <c r="W30" s="36">
        <v>8000</v>
      </c>
      <c r="X30" s="36">
        <v>8000</v>
      </c>
      <c r="Y30" s="36">
        <v>8000</v>
      </c>
      <c r="Z30" s="18">
        <f t="shared" si="0"/>
        <v>8000</v>
      </c>
      <c r="AA30" s="18">
        <f t="shared" si="1"/>
        <v>8000</v>
      </c>
      <c r="AB30" s="18">
        <f t="shared" si="2"/>
        <v>8000</v>
      </c>
      <c r="AC30" s="18">
        <f t="shared" si="3"/>
        <v>8000</v>
      </c>
      <c r="AD30" s="18">
        <f t="shared" si="4"/>
        <v>8000</v>
      </c>
      <c r="AE30" s="18">
        <f t="shared" si="5"/>
        <v>8000</v>
      </c>
    </row>
    <row r="31" spans="1:31" ht="15" customHeight="1" x14ac:dyDescent="0.35">
      <c r="A31" s="8">
        <v>27</v>
      </c>
      <c r="B31" s="9" t="s">
        <v>354</v>
      </c>
      <c r="C31" s="8" t="s">
        <v>451</v>
      </c>
      <c r="D31" s="36">
        <v>10500</v>
      </c>
      <c r="E31" s="36">
        <v>10500</v>
      </c>
      <c r="F31" s="36">
        <v>10500</v>
      </c>
      <c r="G31" s="36">
        <v>10500</v>
      </c>
      <c r="H31" s="36">
        <v>10500</v>
      </c>
      <c r="I31" s="36">
        <v>10500</v>
      </c>
      <c r="J31" s="36">
        <v>10500</v>
      </c>
      <c r="K31" s="36">
        <v>10500</v>
      </c>
      <c r="L31" s="36">
        <v>10500</v>
      </c>
      <c r="M31" s="36">
        <v>10500</v>
      </c>
      <c r="N31" s="36">
        <v>10500</v>
      </c>
      <c r="O31" s="36">
        <v>10500</v>
      </c>
      <c r="P31" s="36">
        <v>10500</v>
      </c>
      <c r="Q31" s="36">
        <v>10500</v>
      </c>
      <c r="R31" s="36">
        <v>10500</v>
      </c>
      <c r="S31" s="36">
        <v>0</v>
      </c>
      <c r="T31" s="36">
        <v>0</v>
      </c>
      <c r="U31" s="36">
        <v>10500</v>
      </c>
      <c r="V31" s="36">
        <v>10500</v>
      </c>
      <c r="W31" s="36">
        <v>10500</v>
      </c>
      <c r="X31" s="36">
        <v>10500</v>
      </c>
      <c r="Y31" s="36">
        <v>10500</v>
      </c>
      <c r="Z31" s="18">
        <f t="shared" si="0"/>
        <v>10500</v>
      </c>
      <c r="AA31" s="18">
        <f t="shared" si="1"/>
        <v>10500</v>
      </c>
      <c r="AB31" s="18">
        <f t="shared" si="2"/>
        <v>10500</v>
      </c>
      <c r="AC31" s="18">
        <f t="shared" si="3"/>
        <v>10500</v>
      </c>
      <c r="AD31" s="18">
        <f t="shared" si="4"/>
        <v>10500</v>
      </c>
      <c r="AE31" s="18">
        <f t="shared" si="5"/>
        <v>10500</v>
      </c>
    </row>
    <row r="32" spans="1:31" ht="15" customHeight="1" x14ac:dyDescent="0.35">
      <c r="A32" s="8">
        <v>28</v>
      </c>
      <c r="B32" s="9" t="s">
        <v>348</v>
      </c>
      <c r="C32" s="8" t="s">
        <v>452</v>
      </c>
      <c r="D32" s="36">
        <v>42000</v>
      </c>
      <c r="E32" s="36">
        <v>42000</v>
      </c>
      <c r="F32" s="36">
        <v>42000</v>
      </c>
      <c r="G32" s="36">
        <v>42000</v>
      </c>
      <c r="H32" s="36">
        <v>42000</v>
      </c>
      <c r="I32" s="36">
        <v>42000</v>
      </c>
      <c r="J32" s="36">
        <v>42000</v>
      </c>
      <c r="K32" s="36">
        <v>42000</v>
      </c>
      <c r="L32" s="36">
        <v>42000</v>
      </c>
      <c r="M32" s="36">
        <v>42000</v>
      </c>
      <c r="N32" s="36">
        <v>42000</v>
      </c>
      <c r="O32" s="36">
        <v>42000</v>
      </c>
      <c r="P32" s="36">
        <v>42000</v>
      </c>
      <c r="Q32" s="36">
        <v>42000</v>
      </c>
      <c r="R32" s="36">
        <v>42000</v>
      </c>
      <c r="S32" s="36">
        <v>0</v>
      </c>
      <c r="T32" s="36">
        <v>0</v>
      </c>
      <c r="U32" s="36">
        <v>42000</v>
      </c>
      <c r="V32" s="36">
        <v>42000</v>
      </c>
      <c r="W32" s="36">
        <v>42000</v>
      </c>
      <c r="X32" s="36">
        <v>42000</v>
      </c>
      <c r="Y32" s="36">
        <v>42000</v>
      </c>
      <c r="Z32" s="18">
        <f t="shared" si="0"/>
        <v>42000</v>
      </c>
      <c r="AA32" s="18">
        <f t="shared" si="1"/>
        <v>42000</v>
      </c>
      <c r="AB32" s="18">
        <f t="shared" si="2"/>
        <v>42000</v>
      </c>
      <c r="AC32" s="18">
        <f t="shared" si="3"/>
        <v>42000</v>
      </c>
      <c r="AD32" s="18">
        <f t="shared" si="4"/>
        <v>42000</v>
      </c>
      <c r="AE32" s="18">
        <f t="shared" si="5"/>
        <v>42000</v>
      </c>
    </row>
    <row r="33" spans="1:31" ht="15" customHeight="1" x14ac:dyDescent="0.35">
      <c r="A33" s="8">
        <v>29</v>
      </c>
      <c r="B33" s="9" t="s">
        <v>361</v>
      </c>
      <c r="C33" s="8" t="s">
        <v>403</v>
      </c>
      <c r="D33" s="36">
        <v>10000</v>
      </c>
      <c r="E33" s="36">
        <v>10000</v>
      </c>
      <c r="F33" s="36">
        <v>10000</v>
      </c>
      <c r="G33" s="36">
        <v>10000</v>
      </c>
      <c r="H33" s="36">
        <v>10000</v>
      </c>
      <c r="I33" s="36">
        <v>11000</v>
      </c>
      <c r="J33" s="36">
        <v>11000</v>
      </c>
      <c r="K33" s="36">
        <v>11000</v>
      </c>
      <c r="L33" s="36">
        <v>11000</v>
      </c>
      <c r="M33" s="36">
        <v>11000</v>
      </c>
      <c r="N33" s="36">
        <v>11000</v>
      </c>
      <c r="O33" s="36">
        <v>11000</v>
      </c>
      <c r="P33" s="36">
        <v>11000</v>
      </c>
      <c r="Q33" s="36">
        <v>11000</v>
      </c>
      <c r="R33" s="36">
        <v>11000</v>
      </c>
      <c r="S33" s="36">
        <v>0</v>
      </c>
      <c r="T33" s="36">
        <v>0</v>
      </c>
      <c r="U33" s="36">
        <v>11000</v>
      </c>
      <c r="V33" s="36">
        <v>11000</v>
      </c>
      <c r="W33" s="36">
        <v>11000</v>
      </c>
      <c r="X33" s="36">
        <v>11000</v>
      </c>
      <c r="Y33" s="36">
        <v>11000</v>
      </c>
      <c r="Z33" s="18">
        <f t="shared" si="0"/>
        <v>10000</v>
      </c>
      <c r="AA33" s="18">
        <f t="shared" si="1"/>
        <v>11000</v>
      </c>
      <c r="AB33" s="18">
        <f t="shared" si="2"/>
        <v>11000</v>
      </c>
      <c r="AC33" s="18">
        <f t="shared" si="3"/>
        <v>11000</v>
      </c>
      <c r="AD33" s="18">
        <f t="shared" si="4"/>
        <v>11000</v>
      </c>
      <c r="AE33" s="18">
        <f t="shared" si="5"/>
        <v>10750</v>
      </c>
    </row>
    <row r="34" spans="1:31" ht="15" customHeight="1" x14ac:dyDescent="0.35">
      <c r="A34" s="8">
        <v>30</v>
      </c>
      <c r="B34" s="9" t="s">
        <v>334</v>
      </c>
      <c r="C34" s="8" t="s">
        <v>403</v>
      </c>
      <c r="D34" s="36">
        <v>6000</v>
      </c>
      <c r="E34" s="36">
        <v>6000</v>
      </c>
      <c r="F34" s="36">
        <v>6000</v>
      </c>
      <c r="G34" s="36">
        <v>6000</v>
      </c>
      <c r="H34" s="36">
        <v>6000</v>
      </c>
      <c r="I34" s="36">
        <v>6000</v>
      </c>
      <c r="J34" s="36">
        <v>6000</v>
      </c>
      <c r="K34" s="36">
        <v>6000</v>
      </c>
      <c r="L34" s="36">
        <v>6000</v>
      </c>
      <c r="M34" s="36">
        <v>6000</v>
      </c>
      <c r="N34" s="36">
        <v>6000</v>
      </c>
      <c r="O34" s="36">
        <v>6000</v>
      </c>
      <c r="P34" s="36">
        <v>6000</v>
      </c>
      <c r="Q34" s="36">
        <v>6000</v>
      </c>
      <c r="R34" s="36">
        <v>6000</v>
      </c>
      <c r="S34" s="36">
        <v>0</v>
      </c>
      <c r="T34" s="36">
        <v>0</v>
      </c>
      <c r="U34" s="36">
        <v>6000</v>
      </c>
      <c r="V34" s="36">
        <v>6000</v>
      </c>
      <c r="W34" s="36">
        <v>6000</v>
      </c>
      <c r="X34" s="36">
        <v>6000</v>
      </c>
      <c r="Y34" s="36">
        <v>6000</v>
      </c>
      <c r="Z34" s="18">
        <f t="shared" si="0"/>
        <v>6000</v>
      </c>
      <c r="AA34" s="18">
        <f t="shared" si="1"/>
        <v>6000</v>
      </c>
      <c r="AB34" s="18">
        <f t="shared" si="2"/>
        <v>6000</v>
      </c>
      <c r="AC34" s="18">
        <f t="shared" si="3"/>
        <v>6000</v>
      </c>
      <c r="AD34" s="18">
        <f t="shared" si="4"/>
        <v>6000</v>
      </c>
      <c r="AE34" s="18">
        <f t="shared" si="5"/>
        <v>6000</v>
      </c>
    </row>
    <row r="35" spans="1:31" ht="15" customHeight="1" x14ac:dyDescent="0.35">
      <c r="A35" s="8">
        <v>31</v>
      </c>
      <c r="B35" s="9" t="s">
        <v>339</v>
      </c>
      <c r="C35" s="8" t="s">
        <v>403</v>
      </c>
      <c r="D35" s="36">
        <v>70000</v>
      </c>
      <c r="E35" s="36">
        <v>70000</v>
      </c>
      <c r="F35" s="36">
        <v>70000</v>
      </c>
      <c r="G35" s="36">
        <v>70000</v>
      </c>
      <c r="H35" s="36">
        <v>70000</v>
      </c>
      <c r="I35" s="36">
        <v>70000</v>
      </c>
      <c r="J35" s="36">
        <v>70000</v>
      </c>
      <c r="K35" s="36">
        <v>70000</v>
      </c>
      <c r="L35" s="36">
        <v>70000</v>
      </c>
      <c r="M35" s="36">
        <v>70000</v>
      </c>
      <c r="N35" s="36">
        <v>70000</v>
      </c>
      <c r="O35" s="36">
        <v>70000</v>
      </c>
      <c r="P35" s="36">
        <v>70000</v>
      </c>
      <c r="Q35" s="36">
        <v>70000</v>
      </c>
      <c r="R35" s="36">
        <v>70000</v>
      </c>
      <c r="S35" s="36">
        <v>0</v>
      </c>
      <c r="T35" s="36">
        <v>0</v>
      </c>
      <c r="U35" s="36">
        <v>70000</v>
      </c>
      <c r="V35" s="36">
        <v>70000</v>
      </c>
      <c r="W35" s="36">
        <v>70000</v>
      </c>
      <c r="X35" s="36">
        <v>70000</v>
      </c>
      <c r="Y35" s="36">
        <v>70000</v>
      </c>
      <c r="Z35" s="18">
        <f t="shared" si="0"/>
        <v>70000</v>
      </c>
      <c r="AA35" s="18">
        <f t="shared" si="1"/>
        <v>70000</v>
      </c>
      <c r="AB35" s="18">
        <f t="shared" si="2"/>
        <v>70000</v>
      </c>
      <c r="AC35" s="18">
        <f t="shared" si="3"/>
        <v>70000</v>
      </c>
      <c r="AD35" s="18">
        <f t="shared" si="4"/>
        <v>70000</v>
      </c>
      <c r="AE35" s="18">
        <f t="shared" si="5"/>
        <v>70000</v>
      </c>
    </row>
    <row r="36" spans="1:31" ht="15" customHeight="1" x14ac:dyDescent="0.35">
      <c r="A36" s="8">
        <v>32</v>
      </c>
      <c r="B36" s="9" t="s">
        <v>341</v>
      </c>
      <c r="C36" s="8" t="s">
        <v>403</v>
      </c>
      <c r="D36" s="36">
        <v>12000</v>
      </c>
      <c r="E36" s="36">
        <v>12000</v>
      </c>
      <c r="F36" s="36">
        <v>12000</v>
      </c>
      <c r="G36" s="36">
        <v>12000</v>
      </c>
      <c r="H36" s="36">
        <v>12000</v>
      </c>
      <c r="I36" s="36">
        <v>12000</v>
      </c>
      <c r="J36" s="36">
        <v>12000</v>
      </c>
      <c r="K36" s="36">
        <v>12000</v>
      </c>
      <c r="L36" s="36">
        <v>12000</v>
      </c>
      <c r="M36" s="36">
        <v>12000</v>
      </c>
      <c r="N36" s="36">
        <v>12000</v>
      </c>
      <c r="O36" s="36">
        <v>12000</v>
      </c>
      <c r="P36" s="36">
        <v>12000</v>
      </c>
      <c r="Q36" s="36">
        <v>12000</v>
      </c>
      <c r="R36" s="36">
        <v>12000</v>
      </c>
      <c r="S36" s="36">
        <v>0</v>
      </c>
      <c r="T36" s="36">
        <v>0</v>
      </c>
      <c r="U36" s="36">
        <v>12000</v>
      </c>
      <c r="V36" s="36">
        <v>12000</v>
      </c>
      <c r="W36" s="36">
        <v>12000</v>
      </c>
      <c r="X36" s="36">
        <v>12000</v>
      </c>
      <c r="Y36" s="36">
        <v>12000</v>
      </c>
      <c r="Z36" s="18">
        <f t="shared" si="0"/>
        <v>12000</v>
      </c>
      <c r="AA36" s="18">
        <f t="shared" si="1"/>
        <v>12000</v>
      </c>
      <c r="AB36" s="18">
        <f t="shared" si="2"/>
        <v>12000</v>
      </c>
      <c r="AC36" s="18">
        <f t="shared" si="3"/>
        <v>12000</v>
      </c>
      <c r="AD36" s="18">
        <f t="shared" si="4"/>
        <v>12000</v>
      </c>
      <c r="AE36" s="18">
        <f t="shared" si="5"/>
        <v>12000</v>
      </c>
    </row>
    <row r="37" spans="1:31" ht="15" customHeight="1" x14ac:dyDescent="0.35">
      <c r="A37" s="8">
        <v>33</v>
      </c>
      <c r="B37" s="9" t="s">
        <v>362</v>
      </c>
      <c r="C37" s="8" t="s">
        <v>403</v>
      </c>
      <c r="D37" s="36">
        <v>8000</v>
      </c>
      <c r="E37" s="36">
        <v>8000</v>
      </c>
      <c r="F37" s="36">
        <v>8000</v>
      </c>
      <c r="G37" s="36">
        <v>8000</v>
      </c>
      <c r="H37" s="36">
        <v>8000</v>
      </c>
      <c r="I37" s="36">
        <v>8000</v>
      </c>
      <c r="J37" s="36">
        <v>8000</v>
      </c>
      <c r="K37" s="36">
        <v>8000</v>
      </c>
      <c r="L37" s="36">
        <v>8000</v>
      </c>
      <c r="M37" s="36">
        <v>8000</v>
      </c>
      <c r="N37" s="36">
        <v>8000</v>
      </c>
      <c r="O37" s="36">
        <v>8000</v>
      </c>
      <c r="P37" s="36">
        <v>8000</v>
      </c>
      <c r="Q37" s="36">
        <v>8000</v>
      </c>
      <c r="R37" s="36">
        <v>8000</v>
      </c>
      <c r="S37" s="36">
        <v>0</v>
      </c>
      <c r="T37" s="36">
        <v>0</v>
      </c>
      <c r="U37" s="36">
        <v>8000</v>
      </c>
      <c r="V37" s="36">
        <v>8000</v>
      </c>
      <c r="W37" s="36">
        <v>8000</v>
      </c>
      <c r="X37" s="36">
        <v>8000</v>
      </c>
      <c r="Y37" s="36">
        <v>8000</v>
      </c>
      <c r="Z37" s="18">
        <f t="shared" si="0"/>
        <v>8000</v>
      </c>
      <c r="AA37" s="18">
        <f t="shared" si="1"/>
        <v>8000</v>
      </c>
      <c r="AB37" s="18">
        <f t="shared" si="2"/>
        <v>8000</v>
      </c>
      <c r="AC37" s="18">
        <f t="shared" si="3"/>
        <v>8000</v>
      </c>
      <c r="AD37" s="18">
        <f t="shared" si="4"/>
        <v>8000</v>
      </c>
      <c r="AE37" s="18">
        <f t="shared" si="5"/>
        <v>8000</v>
      </c>
    </row>
    <row r="38" spans="1:31" ht="15" customHeight="1" x14ac:dyDescent="0.35">
      <c r="A38" s="8">
        <v>34</v>
      </c>
      <c r="B38" s="9" t="s">
        <v>409</v>
      </c>
      <c r="C38" s="8" t="s">
        <v>403</v>
      </c>
      <c r="D38" s="36">
        <v>7000</v>
      </c>
      <c r="E38" s="36">
        <v>7000</v>
      </c>
      <c r="F38" s="36">
        <v>7000</v>
      </c>
      <c r="G38" s="36">
        <v>7000</v>
      </c>
      <c r="H38" s="36">
        <v>7000</v>
      </c>
      <c r="I38" s="36">
        <v>7000</v>
      </c>
      <c r="J38" s="36">
        <v>7000</v>
      </c>
      <c r="K38" s="36">
        <v>7000</v>
      </c>
      <c r="L38" s="36">
        <v>7000</v>
      </c>
      <c r="M38" s="36">
        <v>7000</v>
      </c>
      <c r="N38" s="36">
        <v>9000</v>
      </c>
      <c r="O38" s="36">
        <v>9000</v>
      </c>
      <c r="P38" s="36">
        <v>9000</v>
      </c>
      <c r="Q38" s="36">
        <v>9000</v>
      </c>
      <c r="R38" s="36">
        <v>9000</v>
      </c>
      <c r="S38" s="36">
        <v>0</v>
      </c>
      <c r="T38" s="36">
        <v>0</v>
      </c>
      <c r="U38" s="36">
        <v>9000</v>
      </c>
      <c r="V38" s="36">
        <v>9000</v>
      </c>
      <c r="W38" s="36">
        <v>9000</v>
      </c>
      <c r="X38" s="36">
        <v>9000</v>
      </c>
      <c r="Y38" s="36">
        <v>9000</v>
      </c>
      <c r="Z38" s="18">
        <f t="shared" si="0"/>
        <v>7000</v>
      </c>
      <c r="AA38" s="18">
        <f t="shared" si="1"/>
        <v>7000</v>
      </c>
      <c r="AB38" s="18">
        <f t="shared" si="2"/>
        <v>9000</v>
      </c>
      <c r="AC38" s="18">
        <f t="shared" si="3"/>
        <v>9000</v>
      </c>
      <c r="AD38" s="18">
        <f t="shared" si="4"/>
        <v>9000</v>
      </c>
      <c r="AE38" s="18">
        <f t="shared" si="5"/>
        <v>8000</v>
      </c>
    </row>
    <row r="39" spans="1:31" ht="15" customHeight="1" x14ac:dyDescent="0.35">
      <c r="A39" s="8">
        <v>35</v>
      </c>
      <c r="B39" s="9" t="s">
        <v>410</v>
      </c>
      <c r="C39" s="8" t="s">
        <v>403</v>
      </c>
      <c r="D39" s="36">
        <v>12000</v>
      </c>
      <c r="E39" s="36">
        <v>12000</v>
      </c>
      <c r="F39" s="36">
        <v>15000</v>
      </c>
      <c r="G39" s="36">
        <v>15000</v>
      </c>
      <c r="H39" s="36">
        <v>15000</v>
      </c>
      <c r="I39" s="36">
        <v>15000</v>
      </c>
      <c r="J39" s="36">
        <v>15000</v>
      </c>
      <c r="K39" s="36">
        <v>15000</v>
      </c>
      <c r="L39" s="36">
        <v>15000</v>
      </c>
      <c r="M39" s="36">
        <v>15000</v>
      </c>
      <c r="N39" s="36">
        <v>15000</v>
      </c>
      <c r="O39" s="36">
        <v>15000</v>
      </c>
      <c r="P39" s="36">
        <v>15000</v>
      </c>
      <c r="Q39" s="36">
        <v>15000</v>
      </c>
      <c r="R39" s="36">
        <v>15000</v>
      </c>
      <c r="S39" s="36">
        <v>0</v>
      </c>
      <c r="T39" s="36">
        <v>0</v>
      </c>
      <c r="U39" s="36">
        <v>15000</v>
      </c>
      <c r="V39" s="36">
        <v>15000</v>
      </c>
      <c r="W39" s="36">
        <v>15000</v>
      </c>
      <c r="X39" s="36">
        <v>15000</v>
      </c>
      <c r="Y39" s="36">
        <v>15000</v>
      </c>
      <c r="Z39" s="18">
        <f t="shared" si="0"/>
        <v>13800</v>
      </c>
      <c r="AA39" s="18">
        <f t="shared" si="1"/>
        <v>15000</v>
      </c>
      <c r="AB39" s="18">
        <f t="shared" si="2"/>
        <v>15000</v>
      </c>
      <c r="AC39" s="18">
        <f t="shared" si="3"/>
        <v>15000</v>
      </c>
      <c r="AD39" s="18">
        <f t="shared" si="4"/>
        <v>15000</v>
      </c>
      <c r="AE39" s="18">
        <f t="shared" si="5"/>
        <v>14700</v>
      </c>
    </row>
    <row r="40" spans="1:31" ht="15" customHeight="1" x14ac:dyDescent="0.35">
      <c r="A40" s="8">
        <v>36</v>
      </c>
      <c r="B40" s="9" t="s">
        <v>411</v>
      </c>
      <c r="C40" s="8" t="s">
        <v>403</v>
      </c>
      <c r="D40" s="36">
        <v>4000</v>
      </c>
      <c r="E40" s="36">
        <v>4000</v>
      </c>
      <c r="F40" s="36">
        <v>4000</v>
      </c>
      <c r="G40" s="36">
        <v>4000</v>
      </c>
      <c r="H40" s="36">
        <v>4000</v>
      </c>
      <c r="I40" s="36">
        <v>4000</v>
      </c>
      <c r="J40" s="36">
        <v>4000</v>
      </c>
      <c r="K40" s="36">
        <v>4000</v>
      </c>
      <c r="L40" s="36">
        <v>4000</v>
      </c>
      <c r="M40" s="36">
        <v>4000</v>
      </c>
      <c r="N40" s="36">
        <v>7000</v>
      </c>
      <c r="O40" s="36">
        <v>7000</v>
      </c>
      <c r="P40" s="36">
        <v>7000</v>
      </c>
      <c r="Q40" s="36">
        <v>7000</v>
      </c>
      <c r="R40" s="36">
        <v>7000</v>
      </c>
      <c r="S40" s="36">
        <v>0</v>
      </c>
      <c r="T40" s="36">
        <v>0</v>
      </c>
      <c r="U40" s="36">
        <v>7000</v>
      </c>
      <c r="V40" s="36">
        <v>7000</v>
      </c>
      <c r="W40" s="36">
        <v>7000</v>
      </c>
      <c r="X40" s="36">
        <v>7000</v>
      </c>
      <c r="Y40" s="36">
        <v>7000</v>
      </c>
      <c r="Z40" s="18">
        <f t="shared" si="0"/>
        <v>4000</v>
      </c>
      <c r="AA40" s="18">
        <f t="shared" si="1"/>
        <v>4000</v>
      </c>
      <c r="AB40" s="18">
        <f t="shared" si="2"/>
        <v>7000</v>
      </c>
      <c r="AC40" s="18">
        <f t="shared" si="3"/>
        <v>7000</v>
      </c>
      <c r="AD40" s="18">
        <f t="shared" si="4"/>
        <v>7000</v>
      </c>
      <c r="AE40" s="18">
        <f t="shared" si="5"/>
        <v>5500</v>
      </c>
    </row>
    <row r="41" spans="1:31" ht="15" customHeight="1" x14ac:dyDescent="0.35">
      <c r="A41" s="8">
        <v>37</v>
      </c>
      <c r="B41" s="9" t="s">
        <v>412</v>
      </c>
      <c r="C41" s="8" t="s">
        <v>403</v>
      </c>
      <c r="D41" s="36">
        <v>4000</v>
      </c>
      <c r="E41" s="36">
        <v>4000</v>
      </c>
      <c r="F41" s="36">
        <v>4000</v>
      </c>
      <c r="G41" s="36">
        <v>4000</v>
      </c>
      <c r="H41" s="36">
        <v>4000</v>
      </c>
      <c r="I41" s="36">
        <v>4000</v>
      </c>
      <c r="J41" s="36">
        <v>4000</v>
      </c>
      <c r="K41" s="36">
        <v>4000</v>
      </c>
      <c r="L41" s="36">
        <v>4000</v>
      </c>
      <c r="M41" s="36">
        <v>4000</v>
      </c>
      <c r="N41" s="36">
        <v>4000</v>
      </c>
      <c r="O41" s="36">
        <v>4000</v>
      </c>
      <c r="P41" s="36">
        <v>4000</v>
      </c>
      <c r="Q41" s="36">
        <v>4000</v>
      </c>
      <c r="R41" s="36">
        <v>5000</v>
      </c>
      <c r="S41" s="36">
        <v>0</v>
      </c>
      <c r="T41" s="36">
        <v>0</v>
      </c>
      <c r="U41" s="36">
        <v>5000</v>
      </c>
      <c r="V41" s="36">
        <v>5000</v>
      </c>
      <c r="W41" s="36">
        <v>5000</v>
      </c>
      <c r="X41" s="36">
        <v>5000</v>
      </c>
      <c r="Y41" s="36">
        <v>5000</v>
      </c>
      <c r="Z41" s="18">
        <f t="shared" si="0"/>
        <v>4000</v>
      </c>
      <c r="AA41" s="18">
        <f t="shared" si="1"/>
        <v>4000</v>
      </c>
      <c r="AB41" s="18">
        <f t="shared" si="2"/>
        <v>4200</v>
      </c>
      <c r="AC41" s="18">
        <f t="shared" si="3"/>
        <v>5000</v>
      </c>
      <c r="AD41" s="18">
        <f t="shared" si="4"/>
        <v>5000</v>
      </c>
      <c r="AE41" s="18">
        <f t="shared" si="5"/>
        <v>4300</v>
      </c>
    </row>
    <row r="42" spans="1:31" ht="15" customHeight="1" x14ac:dyDescent="0.35">
      <c r="A42" s="8">
        <v>38</v>
      </c>
      <c r="B42" s="9" t="s">
        <v>413</v>
      </c>
      <c r="C42" s="8" t="s">
        <v>403</v>
      </c>
      <c r="D42" s="36">
        <v>5000</v>
      </c>
      <c r="E42" s="36">
        <v>5000</v>
      </c>
      <c r="F42" s="36">
        <v>5000</v>
      </c>
      <c r="G42" s="36">
        <v>5000</v>
      </c>
      <c r="H42" s="36">
        <v>5000</v>
      </c>
      <c r="I42" s="36">
        <v>5000</v>
      </c>
      <c r="J42" s="36">
        <v>5000</v>
      </c>
      <c r="K42" s="36">
        <v>5000</v>
      </c>
      <c r="L42" s="36">
        <v>5000</v>
      </c>
      <c r="M42" s="36">
        <v>5000</v>
      </c>
      <c r="N42" s="36">
        <v>4000</v>
      </c>
      <c r="O42" s="36">
        <v>4000</v>
      </c>
      <c r="P42" s="36">
        <v>4000</v>
      </c>
      <c r="Q42" s="36">
        <v>4000</v>
      </c>
      <c r="R42" s="36">
        <v>5000</v>
      </c>
      <c r="S42" s="36">
        <v>0</v>
      </c>
      <c r="T42" s="36">
        <v>0</v>
      </c>
      <c r="U42" s="36">
        <v>5000</v>
      </c>
      <c r="V42" s="36">
        <v>5000</v>
      </c>
      <c r="W42" s="36">
        <v>5000</v>
      </c>
      <c r="X42" s="36">
        <v>5000</v>
      </c>
      <c r="Y42" s="36">
        <v>5000</v>
      </c>
      <c r="Z42" s="18">
        <f t="shared" si="0"/>
        <v>5000</v>
      </c>
      <c r="AA42" s="18">
        <f t="shared" si="1"/>
        <v>5000</v>
      </c>
      <c r="AB42" s="18">
        <f t="shared" si="2"/>
        <v>4200</v>
      </c>
      <c r="AC42" s="18">
        <f t="shared" si="3"/>
        <v>5000</v>
      </c>
      <c r="AD42" s="18">
        <f t="shared" si="4"/>
        <v>5000</v>
      </c>
      <c r="AE42" s="18">
        <f t="shared" si="5"/>
        <v>4800</v>
      </c>
    </row>
    <row r="43" spans="1:31" ht="15" customHeight="1" x14ac:dyDescent="0.35">
      <c r="A43" s="8">
        <v>39</v>
      </c>
      <c r="B43" s="9" t="s">
        <v>414</v>
      </c>
      <c r="C43" s="8" t="s">
        <v>403</v>
      </c>
      <c r="D43" s="36">
        <v>5000</v>
      </c>
      <c r="E43" s="36">
        <v>5000</v>
      </c>
      <c r="F43" s="36">
        <v>7000</v>
      </c>
      <c r="G43" s="36">
        <v>7000</v>
      </c>
      <c r="H43" s="36">
        <v>7000</v>
      </c>
      <c r="I43" s="36">
        <v>7000</v>
      </c>
      <c r="J43" s="36">
        <v>7000</v>
      </c>
      <c r="K43" s="36">
        <v>7000</v>
      </c>
      <c r="L43" s="36">
        <v>7000</v>
      </c>
      <c r="M43" s="36">
        <v>7000</v>
      </c>
      <c r="N43" s="36">
        <v>7000</v>
      </c>
      <c r="O43" s="36">
        <v>7000</v>
      </c>
      <c r="P43" s="36">
        <v>7000</v>
      </c>
      <c r="Q43" s="36">
        <v>7000</v>
      </c>
      <c r="R43" s="36">
        <v>7000</v>
      </c>
      <c r="S43" s="36">
        <v>0</v>
      </c>
      <c r="T43" s="36">
        <v>0</v>
      </c>
      <c r="U43" s="36">
        <v>7000</v>
      </c>
      <c r="V43" s="36">
        <v>7000</v>
      </c>
      <c r="W43" s="36">
        <v>7000</v>
      </c>
      <c r="X43" s="36">
        <v>7000</v>
      </c>
      <c r="Y43" s="36">
        <v>7000</v>
      </c>
      <c r="Z43" s="18">
        <f t="shared" si="0"/>
        <v>6200</v>
      </c>
      <c r="AA43" s="18">
        <f t="shared" si="1"/>
        <v>7000</v>
      </c>
      <c r="AB43" s="18">
        <f t="shared" si="2"/>
        <v>7000</v>
      </c>
      <c r="AC43" s="18">
        <f t="shared" si="3"/>
        <v>7000</v>
      </c>
      <c r="AD43" s="18">
        <f t="shared" si="4"/>
        <v>7000</v>
      </c>
      <c r="AE43" s="18">
        <f t="shared" si="5"/>
        <v>6800</v>
      </c>
    </row>
    <row r="44" spans="1:31" ht="15" customHeight="1" x14ac:dyDescent="0.35">
      <c r="A44" s="8">
        <v>40</v>
      </c>
      <c r="B44" s="9" t="s">
        <v>415</v>
      </c>
      <c r="C44" s="8" t="s">
        <v>403</v>
      </c>
      <c r="D44" s="36">
        <v>4000</v>
      </c>
      <c r="E44" s="36">
        <v>4000</v>
      </c>
      <c r="F44" s="36">
        <v>4000</v>
      </c>
      <c r="G44" s="36">
        <v>4000</v>
      </c>
      <c r="H44" s="36">
        <v>4000</v>
      </c>
      <c r="I44" s="36">
        <v>4000</v>
      </c>
      <c r="J44" s="36">
        <v>4000</v>
      </c>
      <c r="K44" s="36">
        <v>4000</v>
      </c>
      <c r="L44" s="36">
        <v>4000</v>
      </c>
      <c r="M44" s="36">
        <v>4000</v>
      </c>
      <c r="N44" s="36">
        <v>4000</v>
      </c>
      <c r="O44" s="36">
        <v>4000</v>
      </c>
      <c r="P44" s="36">
        <v>4000</v>
      </c>
      <c r="Q44" s="36">
        <v>4000</v>
      </c>
      <c r="R44" s="36">
        <v>5000</v>
      </c>
      <c r="S44" s="36">
        <v>0</v>
      </c>
      <c r="T44" s="36">
        <v>0</v>
      </c>
      <c r="U44" s="36">
        <v>5000</v>
      </c>
      <c r="V44" s="36">
        <v>5000</v>
      </c>
      <c r="W44" s="36">
        <v>5000</v>
      </c>
      <c r="X44" s="36">
        <v>5000</v>
      </c>
      <c r="Y44" s="36">
        <v>5000</v>
      </c>
      <c r="Z44" s="18">
        <f t="shared" si="0"/>
        <v>4000</v>
      </c>
      <c r="AA44" s="18">
        <f t="shared" si="1"/>
        <v>4000</v>
      </c>
      <c r="AB44" s="18">
        <f t="shared" si="2"/>
        <v>4200</v>
      </c>
      <c r="AC44" s="18">
        <f t="shared" si="3"/>
        <v>5000</v>
      </c>
      <c r="AD44" s="18">
        <f t="shared" si="4"/>
        <v>5000</v>
      </c>
      <c r="AE44" s="18">
        <f t="shared" si="5"/>
        <v>4300</v>
      </c>
    </row>
    <row r="45" spans="1:31" ht="15" customHeight="1" x14ac:dyDescent="0.35">
      <c r="A45" s="8">
        <v>41</v>
      </c>
      <c r="B45" s="9" t="s">
        <v>416</v>
      </c>
      <c r="C45" s="8" t="s">
        <v>453</v>
      </c>
      <c r="D45" s="36">
        <v>60000</v>
      </c>
      <c r="E45" s="36">
        <v>60000</v>
      </c>
      <c r="F45" s="36">
        <v>60000</v>
      </c>
      <c r="G45" s="36">
        <v>60000</v>
      </c>
      <c r="H45" s="36">
        <v>60000</v>
      </c>
      <c r="I45" s="36">
        <v>60000</v>
      </c>
      <c r="J45" s="36">
        <v>60000</v>
      </c>
      <c r="K45" s="36">
        <v>60000</v>
      </c>
      <c r="L45" s="36">
        <v>60000</v>
      </c>
      <c r="M45" s="36">
        <v>60000</v>
      </c>
      <c r="N45" s="36">
        <v>60000</v>
      </c>
      <c r="O45" s="36">
        <v>60000</v>
      </c>
      <c r="P45" s="36">
        <v>60000</v>
      </c>
      <c r="Q45" s="36">
        <v>65000</v>
      </c>
      <c r="R45" s="36">
        <v>65000</v>
      </c>
      <c r="S45" s="36">
        <v>0</v>
      </c>
      <c r="T45" s="36">
        <v>0</v>
      </c>
      <c r="U45" s="36">
        <v>65000</v>
      </c>
      <c r="V45" s="36">
        <v>65000</v>
      </c>
      <c r="W45" s="36">
        <v>65000</v>
      </c>
      <c r="X45" s="36">
        <v>65000</v>
      </c>
      <c r="Y45" s="36">
        <v>65000</v>
      </c>
      <c r="Z45" s="18">
        <f t="shared" si="0"/>
        <v>60000</v>
      </c>
      <c r="AA45" s="18">
        <f t="shared" si="1"/>
        <v>60000</v>
      </c>
      <c r="AB45" s="18">
        <f t="shared" si="2"/>
        <v>62000</v>
      </c>
      <c r="AC45" s="18">
        <f t="shared" si="3"/>
        <v>65000</v>
      </c>
      <c r="AD45" s="18">
        <f t="shared" si="4"/>
        <v>65000</v>
      </c>
      <c r="AE45" s="18">
        <f t="shared" si="5"/>
        <v>61750</v>
      </c>
    </row>
    <row r="46" spans="1:31" ht="15" customHeight="1" x14ac:dyDescent="0.35">
      <c r="A46" s="8">
        <v>42</v>
      </c>
      <c r="B46" s="9" t="s">
        <v>417</v>
      </c>
      <c r="C46" s="8" t="s">
        <v>403</v>
      </c>
      <c r="D46" s="36">
        <v>35000</v>
      </c>
      <c r="E46" s="36">
        <v>35000</v>
      </c>
      <c r="F46" s="36">
        <v>35000</v>
      </c>
      <c r="G46" s="36">
        <v>35000</v>
      </c>
      <c r="H46" s="36">
        <v>35000</v>
      </c>
      <c r="I46" s="36">
        <v>35000</v>
      </c>
      <c r="J46" s="36">
        <v>35000</v>
      </c>
      <c r="K46" s="36">
        <v>35000</v>
      </c>
      <c r="L46" s="36">
        <v>35000</v>
      </c>
      <c r="M46" s="36">
        <v>35000</v>
      </c>
      <c r="N46" s="36">
        <v>35000</v>
      </c>
      <c r="O46" s="36">
        <v>35000</v>
      </c>
      <c r="P46" s="36">
        <v>40000</v>
      </c>
      <c r="Q46" s="36">
        <v>40000</v>
      </c>
      <c r="R46" s="36">
        <v>40000</v>
      </c>
      <c r="S46" s="36">
        <v>0</v>
      </c>
      <c r="T46" s="36">
        <v>0</v>
      </c>
      <c r="U46" s="36">
        <v>40000</v>
      </c>
      <c r="V46" s="36">
        <v>40000</v>
      </c>
      <c r="W46" s="36">
        <v>40000</v>
      </c>
      <c r="X46" s="36">
        <v>40000</v>
      </c>
      <c r="Y46" s="36">
        <v>40000</v>
      </c>
      <c r="Z46" s="18">
        <f t="shared" si="0"/>
        <v>35000</v>
      </c>
      <c r="AA46" s="18">
        <f t="shared" si="1"/>
        <v>35000</v>
      </c>
      <c r="AB46" s="18">
        <f t="shared" si="2"/>
        <v>38000</v>
      </c>
      <c r="AC46" s="18">
        <f t="shared" si="3"/>
        <v>40000</v>
      </c>
      <c r="AD46" s="18">
        <f t="shared" si="4"/>
        <v>40000</v>
      </c>
      <c r="AE46" s="18">
        <f t="shared" si="5"/>
        <v>37000</v>
      </c>
    </row>
    <row r="47" spans="1:31" ht="15" customHeight="1" x14ac:dyDescent="0.35">
      <c r="A47" s="8">
        <v>43</v>
      </c>
      <c r="B47" s="9" t="s">
        <v>418</v>
      </c>
      <c r="C47" s="8" t="s">
        <v>403</v>
      </c>
      <c r="D47" s="36">
        <v>30000</v>
      </c>
      <c r="E47" s="36">
        <v>30000</v>
      </c>
      <c r="F47" s="36">
        <v>30000</v>
      </c>
      <c r="G47" s="36">
        <v>30000</v>
      </c>
      <c r="H47" s="36">
        <v>30000</v>
      </c>
      <c r="I47" s="36">
        <v>30000</v>
      </c>
      <c r="J47" s="36">
        <v>30000</v>
      </c>
      <c r="K47" s="36">
        <v>30000</v>
      </c>
      <c r="L47" s="36">
        <v>30000</v>
      </c>
      <c r="M47" s="36">
        <v>30000</v>
      </c>
      <c r="N47" s="36">
        <v>36000</v>
      </c>
      <c r="O47" s="36">
        <v>36000</v>
      </c>
      <c r="P47" s="36">
        <v>36000</v>
      </c>
      <c r="Q47" s="36">
        <v>35000</v>
      </c>
      <c r="R47" s="36">
        <v>35000</v>
      </c>
      <c r="S47" s="36">
        <v>0</v>
      </c>
      <c r="T47" s="36">
        <v>0</v>
      </c>
      <c r="U47" s="36">
        <v>35000</v>
      </c>
      <c r="V47" s="36">
        <v>35000</v>
      </c>
      <c r="W47" s="36">
        <v>35000</v>
      </c>
      <c r="X47" s="36">
        <v>35000</v>
      </c>
      <c r="Y47" s="36">
        <v>35000</v>
      </c>
      <c r="Z47" s="18">
        <f t="shared" si="0"/>
        <v>30000</v>
      </c>
      <c r="AA47" s="18">
        <f t="shared" si="1"/>
        <v>30000</v>
      </c>
      <c r="AB47" s="18">
        <f t="shared" si="2"/>
        <v>35600</v>
      </c>
      <c r="AC47" s="18">
        <f t="shared" si="3"/>
        <v>35000</v>
      </c>
      <c r="AD47" s="18">
        <f t="shared" si="4"/>
        <v>35000</v>
      </c>
      <c r="AE47" s="18">
        <f t="shared" si="5"/>
        <v>32650</v>
      </c>
    </row>
    <row r="48" spans="1:31" ht="15" customHeight="1" x14ac:dyDescent="0.35">
      <c r="A48" s="8">
        <v>44</v>
      </c>
      <c r="B48" s="9" t="s">
        <v>419</v>
      </c>
      <c r="C48" s="8" t="s">
        <v>403</v>
      </c>
      <c r="D48" s="36">
        <v>16000</v>
      </c>
      <c r="E48" s="36">
        <v>16000</v>
      </c>
      <c r="F48" s="36">
        <v>18000</v>
      </c>
      <c r="G48" s="36">
        <v>18000</v>
      </c>
      <c r="H48" s="36">
        <v>18000</v>
      </c>
      <c r="I48" s="36">
        <v>20000</v>
      </c>
      <c r="J48" s="36">
        <v>20000</v>
      </c>
      <c r="K48" s="36">
        <v>20000</v>
      </c>
      <c r="L48" s="36">
        <v>20000</v>
      </c>
      <c r="M48" s="36">
        <v>20000</v>
      </c>
      <c r="N48" s="36">
        <v>22000</v>
      </c>
      <c r="O48" s="36">
        <v>22000</v>
      </c>
      <c r="P48" s="36">
        <v>24000</v>
      </c>
      <c r="Q48" s="36">
        <v>28000</v>
      </c>
      <c r="R48" s="36">
        <v>28000</v>
      </c>
      <c r="S48" s="36">
        <v>0</v>
      </c>
      <c r="T48" s="36">
        <v>0</v>
      </c>
      <c r="U48" s="36">
        <v>28000</v>
      </c>
      <c r="V48" s="36">
        <v>28000</v>
      </c>
      <c r="W48" s="36">
        <v>28000</v>
      </c>
      <c r="X48" s="36">
        <v>28000</v>
      </c>
      <c r="Y48" s="36">
        <v>28000</v>
      </c>
      <c r="Z48" s="18">
        <f t="shared" si="0"/>
        <v>17200</v>
      </c>
      <c r="AA48" s="18">
        <f t="shared" si="1"/>
        <v>20000</v>
      </c>
      <c r="AB48" s="18">
        <f t="shared" si="2"/>
        <v>24800</v>
      </c>
      <c r="AC48" s="18">
        <f t="shared" si="3"/>
        <v>28000</v>
      </c>
      <c r="AD48" s="18">
        <f t="shared" si="4"/>
        <v>28000</v>
      </c>
      <c r="AE48" s="18">
        <f t="shared" si="5"/>
        <v>22500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4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5" customWidth="1"/>
    <col min="2" max="2" width="22" customWidth="1"/>
    <col min="3" max="3" width="6" customWidth="1"/>
    <col min="4" max="25" width="11" customWidth="1"/>
    <col min="26" max="30" width="13" customWidth="1"/>
    <col min="31" max="31" width="14" customWidth="1"/>
  </cols>
  <sheetData>
    <row r="1" spans="1:31" ht="26.25" customHeight="1" x14ac:dyDescent="0.35">
      <c r="A1" s="5" t="s">
        <v>505</v>
      </c>
      <c r="B1" s="5"/>
      <c r="C1" s="5"/>
      <c r="D1" s="5"/>
    </row>
    <row r="2" spans="1:31" ht="18.75" customHeight="1" x14ac:dyDescent="0.35">
      <c r="A2" s="4" t="s">
        <v>371</v>
      </c>
      <c r="B2" s="4"/>
      <c r="C2" s="4"/>
      <c r="D2" s="4"/>
    </row>
    <row r="4" spans="1:31" ht="25.5" customHeight="1" x14ac:dyDescent="0.35">
      <c r="A4" s="6" t="s">
        <v>1</v>
      </c>
      <c r="B4" s="6" t="s">
        <v>372</v>
      </c>
      <c r="C4" s="6" t="s">
        <v>373</v>
      </c>
      <c r="D4" s="6" t="s">
        <v>506</v>
      </c>
      <c r="E4" s="6" t="s">
        <v>507</v>
      </c>
      <c r="F4" s="6" t="s">
        <v>508</v>
      </c>
      <c r="G4" s="6" t="s">
        <v>509</v>
      </c>
      <c r="H4" s="6" t="s">
        <v>510</v>
      </c>
      <c r="I4" s="6" t="s">
        <v>511</v>
      </c>
      <c r="J4" s="6" t="s">
        <v>512</v>
      </c>
      <c r="K4" s="6" t="s">
        <v>513</v>
      </c>
      <c r="L4" s="6" t="s">
        <v>514</v>
      </c>
      <c r="M4" s="6" t="s">
        <v>515</v>
      </c>
      <c r="N4" s="6" t="s">
        <v>516</v>
      </c>
      <c r="O4" s="6" t="s">
        <v>517</v>
      </c>
      <c r="P4" s="6" t="s">
        <v>518</v>
      </c>
      <c r="Q4" s="6" t="s">
        <v>519</v>
      </c>
      <c r="R4" s="6" t="s">
        <v>520</v>
      </c>
      <c r="S4" s="6" t="s">
        <v>521</v>
      </c>
      <c r="T4" s="6" t="s">
        <v>522</v>
      </c>
      <c r="U4" s="6" t="s">
        <v>523</v>
      </c>
      <c r="V4" s="6" t="s">
        <v>524</v>
      </c>
      <c r="W4" s="6" t="s">
        <v>525</v>
      </c>
      <c r="X4" s="6" t="s">
        <v>526</v>
      </c>
      <c r="Y4" s="6" t="s">
        <v>527</v>
      </c>
      <c r="Z4" s="34" t="s">
        <v>528</v>
      </c>
      <c r="AA4" s="34" t="s">
        <v>529</v>
      </c>
      <c r="AB4" s="34" t="s">
        <v>530</v>
      </c>
      <c r="AC4" s="34" t="s">
        <v>531</v>
      </c>
      <c r="AD4" s="34" t="s">
        <v>532</v>
      </c>
      <c r="AE4" s="35" t="s">
        <v>533</v>
      </c>
    </row>
    <row r="5" spans="1:31" ht="15" customHeight="1" x14ac:dyDescent="0.35">
      <c r="A5" s="8">
        <v>1</v>
      </c>
      <c r="B5" s="9" t="s">
        <v>330</v>
      </c>
      <c r="C5" s="8" t="s">
        <v>403</v>
      </c>
      <c r="D5" s="36">
        <v>12500</v>
      </c>
      <c r="E5" s="36">
        <v>12500</v>
      </c>
      <c r="F5" s="36">
        <v>0</v>
      </c>
      <c r="G5" s="36">
        <v>12500</v>
      </c>
      <c r="H5" s="36">
        <v>12500</v>
      </c>
      <c r="I5" s="36">
        <v>12500</v>
      </c>
      <c r="J5" s="36">
        <v>12500</v>
      </c>
      <c r="K5" s="36">
        <v>12500</v>
      </c>
      <c r="L5" s="36">
        <v>12500</v>
      </c>
      <c r="M5" s="36">
        <v>12500</v>
      </c>
      <c r="N5" s="36">
        <v>12500</v>
      </c>
      <c r="O5" s="36">
        <v>12500</v>
      </c>
      <c r="P5" s="36">
        <v>12500</v>
      </c>
      <c r="Q5" s="36">
        <v>13500</v>
      </c>
      <c r="R5" s="36">
        <v>13500</v>
      </c>
      <c r="S5" s="36">
        <v>13500</v>
      </c>
      <c r="T5" s="36">
        <v>13500</v>
      </c>
      <c r="U5" s="36">
        <v>13500</v>
      </c>
      <c r="V5" s="36">
        <v>13500</v>
      </c>
      <c r="W5" s="36">
        <v>13500</v>
      </c>
      <c r="X5" s="36">
        <v>13500</v>
      </c>
      <c r="Y5" s="36">
        <v>13500</v>
      </c>
      <c r="Z5" s="18">
        <f t="shared" ref="Z5:Z48" si="0">IFERROR(AVERAGEIF(D5:F5,"&lt;&gt;0"),"")</f>
        <v>12500</v>
      </c>
      <c r="AA5" s="18">
        <f t="shared" ref="AA5:AA48" si="1">IFERROR(AVERAGEIF(G5:K5,"&lt;&gt;0"),"")</f>
        <v>12500</v>
      </c>
      <c r="AB5" s="18">
        <f t="shared" ref="AB5:AB48" si="2">IFERROR(AVERAGEIF(L5:P5,"&lt;&gt;0"),"")</f>
        <v>12500</v>
      </c>
      <c r="AC5" s="18">
        <f t="shared" ref="AC5:AC48" si="3">IFERROR(AVERAGEIF(Q5:U5,"&lt;&gt;0"),"")</f>
        <v>13500</v>
      </c>
      <c r="AD5" s="18">
        <f t="shared" ref="AD5:AD48" si="4">IFERROR(AVERAGEIF(V5:Y5,"&lt;&gt;0"),"")</f>
        <v>13500</v>
      </c>
      <c r="AE5" s="18">
        <f t="shared" ref="AE5:AE48" si="5">IFERROR(AVERAGEIF(D5:Y5,"&lt;&gt;0"),"")</f>
        <v>12928.571428571429</v>
      </c>
    </row>
    <row r="6" spans="1:31" ht="15" customHeight="1" x14ac:dyDescent="0.35">
      <c r="A6" s="8">
        <v>2</v>
      </c>
      <c r="B6" s="9" t="s">
        <v>331</v>
      </c>
      <c r="C6" s="8" t="s">
        <v>403</v>
      </c>
      <c r="D6" s="36">
        <v>14000</v>
      </c>
      <c r="E6" s="36">
        <v>14000</v>
      </c>
      <c r="F6" s="36">
        <v>0</v>
      </c>
      <c r="G6" s="36">
        <v>14000</v>
      </c>
      <c r="H6" s="36">
        <v>14000</v>
      </c>
      <c r="I6" s="36">
        <v>14000</v>
      </c>
      <c r="J6" s="36">
        <v>14000</v>
      </c>
      <c r="K6" s="36">
        <v>14000</v>
      </c>
      <c r="L6" s="36">
        <v>14000</v>
      </c>
      <c r="M6" s="36">
        <v>14000</v>
      </c>
      <c r="N6" s="36">
        <v>14000</v>
      </c>
      <c r="O6" s="36">
        <v>14000</v>
      </c>
      <c r="P6" s="36">
        <v>14000</v>
      </c>
      <c r="Q6" s="36">
        <v>14900</v>
      </c>
      <c r="R6" s="36">
        <v>14900</v>
      </c>
      <c r="S6" s="36">
        <v>14900</v>
      </c>
      <c r="T6" s="36">
        <v>14900</v>
      </c>
      <c r="U6" s="36">
        <v>14900</v>
      </c>
      <c r="V6" s="36">
        <v>14900</v>
      </c>
      <c r="W6" s="36">
        <v>14900</v>
      </c>
      <c r="X6" s="36">
        <v>14900</v>
      </c>
      <c r="Y6" s="36">
        <v>14900</v>
      </c>
      <c r="Z6" s="18">
        <f t="shared" si="0"/>
        <v>14000</v>
      </c>
      <c r="AA6" s="18">
        <f t="shared" si="1"/>
        <v>14000</v>
      </c>
      <c r="AB6" s="18">
        <f t="shared" si="2"/>
        <v>14000</v>
      </c>
      <c r="AC6" s="18">
        <f t="shared" si="3"/>
        <v>14900</v>
      </c>
      <c r="AD6" s="18">
        <f t="shared" si="4"/>
        <v>14900</v>
      </c>
      <c r="AE6" s="18">
        <f t="shared" si="5"/>
        <v>14385.714285714286</v>
      </c>
    </row>
    <row r="7" spans="1:31" ht="15" customHeight="1" x14ac:dyDescent="0.35">
      <c r="A7" s="8">
        <v>3</v>
      </c>
      <c r="B7" s="9" t="s">
        <v>332</v>
      </c>
      <c r="C7" s="8" t="s">
        <v>403</v>
      </c>
      <c r="D7" s="36">
        <v>12500</v>
      </c>
      <c r="E7" s="36">
        <v>12500</v>
      </c>
      <c r="F7" s="36">
        <v>0</v>
      </c>
      <c r="G7" s="36">
        <v>12500</v>
      </c>
      <c r="H7" s="36">
        <v>12500</v>
      </c>
      <c r="I7" s="36">
        <v>12500</v>
      </c>
      <c r="J7" s="36">
        <v>12500</v>
      </c>
      <c r="K7" s="36">
        <v>12500</v>
      </c>
      <c r="L7" s="36">
        <v>12500</v>
      </c>
      <c r="M7" s="36">
        <v>12500</v>
      </c>
      <c r="N7" s="36">
        <v>12500</v>
      </c>
      <c r="O7" s="36">
        <v>12500</v>
      </c>
      <c r="P7" s="36">
        <v>12500</v>
      </c>
      <c r="Q7" s="36">
        <v>12500</v>
      </c>
      <c r="R7" s="36">
        <v>12500</v>
      </c>
      <c r="S7" s="36">
        <v>12500</v>
      </c>
      <c r="T7" s="36">
        <v>12500</v>
      </c>
      <c r="U7" s="36">
        <v>12500</v>
      </c>
      <c r="V7" s="36">
        <v>12500</v>
      </c>
      <c r="W7" s="36">
        <v>12500</v>
      </c>
      <c r="X7" s="36">
        <v>12500</v>
      </c>
      <c r="Y7" s="36">
        <v>12500</v>
      </c>
      <c r="Z7" s="18">
        <f t="shared" si="0"/>
        <v>12500</v>
      </c>
      <c r="AA7" s="18">
        <f t="shared" si="1"/>
        <v>12500</v>
      </c>
      <c r="AB7" s="18">
        <f t="shared" si="2"/>
        <v>12500</v>
      </c>
      <c r="AC7" s="18">
        <f t="shared" si="3"/>
        <v>12500</v>
      </c>
      <c r="AD7" s="18">
        <f t="shared" si="4"/>
        <v>12500</v>
      </c>
      <c r="AE7" s="18">
        <f t="shared" si="5"/>
        <v>12500</v>
      </c>
    </row>
    <row r="8" spans="1:31" ht="15" customHeight="1" x14ac:dyDescent="0.35">
      <c r="A8" s="8">
        <v>4</v>
      </c>
      <c r="B8" s="9" t="s">
        <v>404</v>
      </c>
      <c r="C8" s="8" t="s">
        <v>403</v>
      </c>
      <c r="D8" s="36">
        <v>11000</v>
      </c>
      <c r="E8" s="36">
        <v>11000</v>
      </c>
      <c r="F8" s="36">
        <v>0</v>
      </c>
      <c r="G8" s="36">
        <v>11000</v>
      </c>
      <c r="H8" s="36">
        <v>11000</v>
      </c>
      <c r="I8" s="36">
        <v>11000</v>
      </c>
      <c r="J8" s="36">
        <v>11000</v>
      </c>
      <c r="K8" s="36">
        <v>11000</v>
      </c>
      <c r="L8" s="36">
        <v>11000</v>
      </c>
      <c r="M8" s="36">
        <v>11000</v>
      </c>
      <c r="N8" s="36">
        <v>11000</v>
      </c>
      <c r="O8" s="36">
        <v>11000</v>
      </c>
      <c r="P8" s="36">
        <v>11000</v>
      </c>
      <c r="Q8" s="36">
        <v>11000</v>
      </c>
      <c r="R8" s="36">
        <v>11000</v>
      </c>
      <c r="S8" s="36">
        <v>11000</v>
      </c>
      <c r="T8" s="36">
        <v>11000</v>
      </c>
      <c r="U8" s="36">
        <v>11000</v>
      </c>
      <c r="V8" s="36">
        <v>11000</v>
      </c>
      <c r="W8" s="36">
        <v>11000</v>
      </c>
      <c r="X8" s="36">
        <v>11000</v>
      </c>
      <c r="Y8" s="36">
        <v>11000</v>
      </c>
      <c r="Z8" s="18">
        <f t="shared" si="0"/>
        <v>11000</v>
      </c>
      <c r="AA8" s="18">
        <f t="shared" si="1"/>
        <v>11000</v>
      </c>
      <c r="AB8" s="18">
        <f t="shared" si="2"/>
        <v>11000</v>
      </c>
      <c r="AC8" s="18">
        <f t="shared" si="3"/>
        <v>11000</v>
      </c>
      <c r="AD8" s="18">
        <f t="shared" si="4"/>
        <v>11000</v>
      </c>
      <c r="AE8" s="18">
        <f t="shared" si="5"/>
        <v>11000</v>
      </c>
    </row>
    <row r="9" spans="1:31" ht="15" customHeight="1" x14ac:dyDescent="0.35">
      <c r="A9" s="8">
        <v>5</v>
      </c>
      <c r="B9" s="9" t="s">
        <v>356</v>
      </c>
      <c r="C9" s="8" t="s">
        <v>403</v>
      </c>
      <c r="D9" s="36">
        <v>31000</v>
      </c>
      <c r="E9" s="36">
        <v>30000</v>
      </c>
      <c r="F9" s="36">
        <v>0</v>
      </c>
      <c r="G9" s="36">
        <v>28000</v>
      </c>
      <c r="H9" s="36">
        <v>28000</v>
      </c>
      <c r="I9" s="36">
        <v>32000</v>
      </c>
      <c r="J9" s="36">
        <v>32000</v>
      </c>
      <c r="K9" s="36">
        <v>32000</v>
      </c>
      <c r="L9" s="36">
        <v>32000</v>
      </c>
      <c r="M9" s="36">
        <v>32000</v>
      </c>
      <c r="N9" s="36">
        <v>34000</v>
      </c>
      <c r="O9" s="36">
        <v>34000</v>
      </c>
      <c r="P9" s="36">
        <v>32000</v>
      </c>
      <c r="Q9" s="36">
        <v>34000</v>
      </c>
      <c r="R9" s="36">
        <v>34000</v>
      </c>
      <c r="S9" s="36">
        <v>34000</v>
      </c>
      <c r="T9" s="36">
        <v>34000</v>
      </c>
      <c r="U9" s="36">
        <v>34000</v>
      </c>
      <c r="V9" s="36">
        <v>36000</v>
      </c>
      <c r="W9" s="36">
        <v>36000</v>
      </c>
      <c r="X9" s="36">
        <v>36000</v>
      </c>
      <c r="Y9" s="36">
        <v>36000</v>
      </c>
      <c r="Z9" s="18">
        <f t="shared" si="0"/>
        <v>30500</v>
      </c>
      <c r="AA9" s="18">
        <f t="shared" si="1"/>
        <v>30400</v>
      </c>
      <c r="AB9" s="18">
        <f t="shared" si="2"/>
        <v>32800</v>
      </c>
      <c r="AC9" s="18">
        <f t="shared" si="3"/>
        <v>34000</v>
      </c>
      <c r="AD9" s="18">
        <f t="shared" si="4"/>
        <v>36000</v>
      </c>
      <c r="AE9" s="18">
        <f t="shared" si="5"/>
        <v>32904.761904761908</v>
      </c>
    </row>
    <row r="10" spans="1:31" ht="15" customHeight="1" x14ac:dyDescent="0.35">
      <c r="A10" s="8">
        <v>6</v>
      </c>
      <c r="B10" s="9" t="s">
        <v>357</v>
      </c>
      <c r="C10" s="8" t="s">
        <v>403</v>
      </c>
      <c r="D10" s="36">
        <v>30000</v>
      </c>
      <c r="E10" s="36">
        <v>30000</v>
      </c>
      <c r="F10" s="36">
        <v>0</v>
      </c>
      <c r="G10" s="36">
        <v>30000</v>
      </c>
      <c r="H10" s="36">
        <v>30000</v>
      </c>
      <c r="I10" s="36">
        <v>32000</v>
      </c>
      <c r="J10" s="36">
        <v>32000</v>
      </c>
      <c r="K10" s="36">
        <v>32000</v>
      </c>
      <c r="L10" s="36">
        <v>33000</v>
      </c>
      <c r="M10" s="36">
        <v>33000</v>
      </c>
      <c r="N10" s="36">
        <v>32000</v>
      </c>
      <c r="O10" s="36">
        <v>32000</v>
      </c>
      <c r="P10" s="36">
        <v>32000</v>
      </c>
      <c r="Q10" s="36">
        <v>36000</v>
      </c>
      <c r="R10" s="36">
        <v>36000</v>
      </c>
      <c r="S10" s="36">
        <v>36000</v>
      </c>
      <c r="T10" s="36">
        <v>36000</v>
      </c>
      <c r="U10" s="36">
        <v>36000</v>
      </c>
      <c r="V10" s="36">
        <v>40000</v>
      </c>
      <c r="W10" s="36">
        <v>40000</v>
      </c>
      <c r="X10" s="36">
        <v>40000</v>
      </c>
      <c r="Y10" s="36">
        <v>40000</v>
      </c>
      <c r="Z10" s="18">
        <f t="shared" si="0"/>
        <v>30000</v>
      </c>
      <c r="AA10" s="18">
        <f t="shared" si="1"/>
        <v>31200</v>
      </c>
      <c r="AB10" s="18">
        <f t="shared" si="2"/>
        <v>32400</v>
      </c>
      <c r="AC10" s="18">
        <f t="shared" si="3"/>
        <v>36000</v>
      </c>
      <c r="AD10" s="18">
        <f t="shared" si="4"/>
        <v>40000</v>
      </c>
      <c r="AE10" s="18">
        <f t="shared" si="5"/>
        <v>34190.476190476191</v>
      </c>
    </row>
    <row r="11" spans="1:31" ht="15" customHeight="1" x14ac:dyDescent="0.35">
      <c r="A11" s="8">
        <v>7</v>
      </c>
      <c r="B11" s="9" t="s">
        <v>343</v>
      </c>
      <c r="C11" s="8" t="s">
        <v>403</v>
      </c>
      <c r="D11" s="36">
        <v>70000</v>
      </c>
      <c r="E11" s="36">
        <v>65000</v>
      </c>
      <c r="F11" s="36">
        <v>0</v>
      </c>
      <c r="G11" s="36">
        <v>60000</v>
      </c>
      <c r="H11" s="36">
        <v>60000</v>
      </c>
      <c r="I11" s="36">
        <v>62000</v>
      </c>
      <c r="J11" s="36">
        <v>62000</v>
      </c>
      <c r="K11" s="36">
        <v>62000</v>
      </c>
      <c r="L11" s="36">
        <v>60000</v>
      </c>
      <c r="M11" s="36">
        <v>60000</v>
      </c>
      <c r="N11" s="36">
        <v>50000</v>
      </c>
      <c r="O11" s="36">
        <v>50000</v>
      </c>
      <c r="P11" s="36">
        <v>50000</v>
      </c>
      <c r="Q11" s="36">
        <v>50000</v>
      </c>
      <c r="R11" s="36">
        <v>50000</v>
      </c>
      <c r="S11" s="36">
        <v>50000</v>
      </c>
      <c r="T11" s="36">
        <v>48000</v>
      </c>
      <c r="U11" s="36">
        <v>48000</v>
      </c>
      <c r="V11" s="36">
        <v>44000</v>
      </c>
      <c r="W11" s="36">
        <v>44000</v>
      </c>
      <c r="X11" s="36">
        <v>44000</v>
      </c>
      <c r="Y11" s="36">
        <v>38000</v>
      </c>
      <c r="Z11" s="18">
        <f t="shared" si="0"/>
        <v>67500</v>
      </c>
      <c r="AA11" s="18">
        <f t="shared" si="1"/>
        <v>61200</v>
      </c>
      <c r="AB11" s="18">
        <f t="shared" si="2"/>
        <v>54000</v>
      </c>
      <c r="AC11" s="18">
        <f t="shared" si="3"/>
        <v>49200</v>
      </c>
      <c r="AD11" s="18">
        <f t="shared" si="4"/>
        <v>42500</v>
      </c>
      <c r="AE11" s="18">
        <f t="shared" si="5"/>
        <v>53666.666666666664</v>
      </c>
    </row>
    <row r="12" spans="1:31" ht="15" customHeight="1" x14ac:dyDescent="0.35">
      <c r="A12" s="8">
        <v>8</v>
      </c>
      <c r="B12" s="9" t="s">
        <v>350</v>
      </c>
      <c r="C12" s="8" t="s">
        <v>403</v>
      </c>
      <c r="D12" s="36">
        <v>28000</v>
      </c>
      <c r="E12" s="36">
        <v>28000</v>
      </c>
      <c r="F12" s="36">
        <v>0</v>
      </c>
      <c r="G12" s="36">
        <v>30000</v>
      </c>
      <c r="H12" s="36">
        <v>30000</v>
      </c>
      <c r="I12" s="36">
        <v>30000</v>
      </c>
      <c r="J12" s="36">
        <v>30000</v>
      </c>
      <c r="K12" s="36">
        <v>30000</v>
      </c>
      <c r="L12" s="36">
        <v>28000</v>
      </c>
      <c r="M12" s="36">
        <v>28000</v>
      </c>
      <c r="N12" s="36">
        <v>28000</v>
      </c>
      <c r="O12" s="36">
        <v>28000</v>
      </c>
      <c r="P12" s="36">
        <v>28000</v>
      </c>
      <c r="Q12" s="36">
        <v>28000</v>
      </c>
      <c r="R12" s="36">
        <v>28000</v>
      </c>
      <c r="S12" s="36">
        <v>28000</v>
      </c>
      <c r="T12" s="36">
        <v>32000</v>
      </c>
      <c r="U12" s="36">
        <v>32000</v>
      </c>
      <c r="V12" s="36">
        <v>32000</v>
      </c>
      <c r="W12" s="36">
        <v>32000</v>
      </c>
      <c r="X12" s="36">
        <v>32000</v>
      </c>
      <c r="Y12" s="36">
        <v>36000</v>
      </c>
      <c r="Z12" s="18">
        <f t="shared" si="0"/>
        <v>28000</v>
      </c>
      <c r="AA12" s="18">
        <f t="shared" si="1"/>
        <v>30000</v>
      </c>
      <c r="AB12" s="18">
        <f t="shared" si="2"/>
        <v>28000</v>
      </c>
      <c r="AC12" s="18">
        <f t="shared" si="3"/>
        <v>29600</v>
      </c>
      <c r="AD12" s="18">
        <f t="shared" si="4"/>
        <v>33000</v>
      </c>
      <c r="AE12" s="18">
        <f t="shared" si="5"/>
        <v>29809.523809523809</v>
      </c>
    </row>
    <row r="13" spans="1:31" ht="15" customHeight="1" x14ac:dyDescent="0.35">
      <c r="A13" s="8">
        <v>9</v>
      </c>
      <c r="B13" s="9" t="s">
        <v>345</v>
      </c>
      <c r="C13" s="8" t="s">
        <v>403</v>
      </c>
      <c r="D13" s="36">
        <v>17300</v>
      </c>
      <c r="E13" s="36">
        <v>17300</v>
      </c>
      <c r="F13" s="36">
        <v>0</v>
      </c>
      <c r="G13" s="36">
        <v>17300</v>
      </c>
      <c r="H13" s="36">
        <v>17300</v>
      </c>
      <c r="I13" s="36">
        <v>17300</v>
      </c>
      <c r="J13" s="36">
        <v>17300</v>
      </c>
      <c r="K13" s="36">
        <v>17300</v>
      </c>
      <c r="L13" s="36">
        <v>17300</v>
      </c>
      <c r="M13" s="36">
        <v>17300</v>
      </c>
      <c r="N13" s="36">
        <v>17300</v>
      </c>
      <c r="O13" s="36">
        <v>17300</v>
      </c>
      <c r="P13" s="36">
        <v>17300</v>
      </c>
      <c r="Q13" s="36">
        <v>17300</v>
      </c>
      <c r="R13" s="36">
        <v>17300</v>
      </c>
      <c r="S13" s="36">
        <v>17300</v>
      </c>
      <c r="T13" s="36">
        <v>17300</v>
      </c>
      <c r="U13" s="36">
        <v>17300</v>
      </c>
      <c r="V13" s="36">
        <v>17300</v>
      </c>
      <c r="W13" s="36">
        <v>17300</v>
      </c>
      <c r="X13" s="36">
        <v>17300</v>
      </c>
      <c r="Y13" s="36">
        <v>16500</v>
      </c>
      <c r="Z13" s="18">
        <f t="shared" si="0"/>
        <v>17300</v>
      </c>
      <c r="AA13" s="18">
        <f t="shared" si="1"/>
        <v>17300</v>
      </c>
      <c r="AB13" s="18">
        <f t="shared" si="2"/>
        <v>17300</v>
      </c>
      <c r="AC13" s="18">
        <f t="shared" si="3"/>
        <v>17300</v>
      </c>
      <c r="AD13" s="18">
        <f t="shared" si="4"/>
        <v>17100</v>
      </c>
      <c r="AE13" s="18">
        <f t="shared" si="5"/>
        <v>17261.904761904763</v>
      </c>
    </row>
    <row r="14" spans="1:31" ht="15" customHeight="1" x14ac:dyDescent="0.35">
      <c r="A14" s="8">
        <v>10</v>
      </c>
      <c r="B14" s="9" t="s">
        <v>336</v>
      </c>
      <c r="C14" s="8" t="s">
        <v>449</v>
      </c>
      <c r="D14" s="36">
        <v>19350</v>
      </c>
      <c r="E14" s="36">
        <v>19350</v>
      </c>
      <c r="F14" s="36">
        <v>0</v>
      </c>
      <c r="G14" s="36">
        <v>19350</v>
      </c>
      <c r="H14" s="36">
        <v>19350</v>
      </c>
      <c r="I14" s="36">
        <v>19350</v>
      </c>
      <c r="J14" s="36">
        <v>19350</v>
      </c>
      <c r="K14" s="36">
        <v>19350</v>
      </c>
      <c r="L14" s="36">
        <v>19350</v>
      </c>
      <c r="M14" s="36">
        <v>19350</v>
      </c>
      <c r="N14" s="36">
        <v>19350</v>
      </c>
      <c r="O14" s="36">
        <v>19350</v>
      </c>
      <c r="P14" s="36">
        <v>19350</v>
      </c>
      <c r="Q14" s="36">
        <v>19350</v>
      </c>
      <c r="R14" s="36">
        <v>19350</v>
      </c>
      <c r="S14" s="36">
        <v>19350</v>
      </c>
      <c r="T14" s="36">
        <v>19350</v>
      </c>
      <c r="U14" s="36">
        <v>19350</v>
      </c>
      <c r="V14" s="36">
        <v>19350</v>
      </c>
      <c r="W14" s="36">
        <v>19350</v>
      </c>
      <c r="X14" s="36">
        <v>19350</v>
      </c>
      <c r="Y14" s="36">
        <v>18900</v>
      </c>
      <c r="Z14" s="18">
        <f t="shared" si="0"/>
        <v>19350</v>
      </c>
      <c r="AA14" s="18">
        <f t="shared" si="1"/>
        <v>19350</v>
      </c>
      <c r="AB14" s="18">
        <f t="shared" si="2"/>
        <v>19350</v>
      </c>
      <c r="AC14" s="18">
        <f t="shared" si="3"/>
        <v>19350</v>
      </c>
      <c r="AD14" s="18">
        <f t="shared" si="4"/>
        <v>19237.5</v>
      </c>
      <c r="AE14" s="18">
        <f t="shared" si="5"/>
        <v>19328.571428571428</v>
      </c>
    </row>
    <row r="15" spans="1:31" ht="21.75" customHeight="1" x14ac:dyDescent="0.35">
      <c r="A15" s="8">
        <v>11</v>
      </c>
      <c r="B15" s="9" t="s">
        <v>337</v>
      </c>
      <c r="C15" s="8" t="s">
        <v>449</v>
      </c>
      <c r="D15" s="36">
        <v>22000</v>
      </c>
      <c r="E15" s="36">
        <v>22000</v>
      </c>
      <c r="F15" s="36">
        <v>0</v>
      </c>
      <c r="G15" s="36">
        <v>22000</v>
      </c>
      <c r="H15" s="36">
        <v>22000</v>
      </c>
      <c r="I15" s="36">
        <v>22000</v>
      </c>
      <c r="J15" s="36">
        <v>22000</v>
      </c>
      <c r="K15" s="36">
        <v>22000</v>
      </c>
      <c r="L15" s="36">
        <v>22000</v>
      </c>
      <c r="M15" s="36">
        <v>22000</v>
      </c>
      <c r="N15" s="36">
        <v>22000</v>
      </c>
      <c r="O15" s="36">
        <v>22000</v>
      </c>
      <c r="P15" s="36">
        <v>22000</v>
      </c>
      <c r="Q15" s="36">
        <v>22000</v>
      </c>
      <c r="R15" s="36">
        <v>22000</v>
      </c>
      <c r="S15" s="36">
        <v>22000</v>
      </c>
      <c r="T15" s="36">
        <v>22000</v>
      </c>
      <c r="U15" s="36">
        <v>22000</v>
      </c>
      <c r="V15" s="36">
        <v>22000</v>
      </c>
      <c r="W15" s="36">
        <v>22000</v>
      </c>
      <c r="X15" s="36">
        <v>22000</v>
      </c>
      <c r="Y15" s="36">
        <v>22000</v>
      </c>
      <c r="Z15" s="18">
        <f t="shared" si="0"/>
        <v>22000</v>
      </c>
      <c r="AA15" s="18">
        <f t="shared" si="1"/>
        <v>22000</v>
      </c>
      <c r="AB15" s="18">
        <f t="shared" si="2"/>
        <v>22000</v>
      </c>
      <c r="AC15" s="18">
        <f t="shared" si="3"/>
        <v>22000</v>
      </c>
      <c r="AD15" s="18">
        <f t="shared" si="4"/>
        <v>22000</v>
      </c>
      <c r="AE15" s="18">
        <f t="shared" si="5"/>
        <v>22000</v>
      </c>
    </row>
    <row r="16" spans="1:31" ht="15" customHeight="1" x14ac:dyDescent="0.35">
      <c r="A16" s="8">
        <v>12</v>
      </c>
      <c r="B16" s="9" t="s">
        <v>338</v>
      </c>
      <c r="C16" s="8" t="s">
        <v>449</v>
      </c>
      <c r="D16" s="36">
        <v>15700</v>
      </c>
      <c r="E16" s="36">
        <v>15700</v>
      </c>
      <c r="F16" s="36">
        <v>0</v>
      </c>
      <c r="G16" s="36">
        <v>15700</v>
      </c>
      <c r="H16" s="36">
        <v>15700</v>
      </c>
      <c r="I16" s="36">
        <v>15700</v>
      </c>
      <c r="J16" s="36">
        <v>15700</v>
      </c>
      <c r="K16" s="36">
        <v>15700</v>
      </c>
      <c r="L16" s="36">
        <v>15700</v>
      </c>
      <c r="M16" s="36">
        <v>15700</v>
      </c>
      <c r="N16" s="36">
        <v>15700</v>
      </c>
      <c r="O16" s="36">
        <v>15700</v>
      </c>
      <c r="P16" s="36">
        <v>15700</v>
      </c>
      <c r="Q16" s="36">
        <v>15700</v>
      </c>
      <c r="R16" s="36">
        <v>15700</v>
      </c>
      <c r="S16" s="36">
        <v>15700</v>
      </c>
      <c r="T16" s="36">
        <v>15700</v>
      </c>
      <c r="U16" s="36">
        <v>15700</v>
      </c>
      <c r="V16" s="36">
        <v>15700</v>
      </c>
      <c r="W16" s="36">
        <v>15700</v>
      </c>
      <c r="X16" s="36">
        <v>15700</v>
      </c>
      <c r="Y16" s="36">
        <v>15700</v>
      </c>
      <c r="Z16" s="18">
        <f t="shared" si="0"/>
        <v>15700</v>
      </c>
      <c r="AA16" s="18">
        <f t="shared" si="1"/>
        <v>15700</v>
      </c>
      <c r="AB16" s="18">
        <f t="shared" si="2"/>
        <v>15700</v>
      </c>
      <c r="AC16" s="18">
        <f t="shared" si="3"/>
        <v>15700</v>
      </c>
      <c r="AD16" s="18">
        <f t="shared" si="4"/>
        <v>15700</v>
      </c>
      <c r="AE16" s="18">
        <f t="shared" si="5"/>
        <v>15700</v>
      </c>
    </row>
    <row r="17" spans="1:31" ht="15" customHeight="1" x14ac:dyDescent="0.35">
      <c r="A17" s="8">
        <v>13</v>
      </c>
      <c r="B17" s="9" t="s">
        <v>333</v>
      </c>
      <c r="C17" s="8" t="s">
        <v>403</v>
      </c>
      <c r="D17" s="36">
        <v>11000</v>
      </c>
      <c r="E17" s="36">
        <v>11000</v>
      </c>
      <c r="F17" s="36">
        <v>0</v>
      </c>
      <c r="G17" s="36">
        <v>11000</v>
      </c>
      <c r="H17" s="36">
        <v>11000</v>
      </c>
      <c r="I17" s="36">
        <v>11000</v>
      </c>
      <c r="J17" s="36">
        <v>11000</v>
      </c>
      <c r="K17" s="36">
        <v>11000</v>
      </c>
      <c r="L17" s="36">
        <v>11000</v>
      </c>
      <c r="M17" s="36">
        <v>11000</v>
      </c>
      <c r="N17" s="36">
        <v>11000</v>
      </c>
      <c r="O17" s="36">
        <v>11000</v>
      </c>
      <c r="P17" s="36">
        <v>11000</v>
      </c>
      <c r="Q17" s="36">
        <v>11000</v>
      </c>
      <c r="R17" s="36">
        <v>11000</v>
      </c>
      <c r="S17" s="36">
        <v>11000</v>
      </c>
      <c r="T17" s="36">
        <v>11000</v>
      </c>
      <c r="U17" s="36">
        <v>11000</v>
      </c>
      <c r="V17" s="36">
        <v>11000</v>
      </c>
      <c r="W17" s="36">
        <v>11000</v>
      </c>
      <c r="X17" s="36">
        <v>11000</v>
      </c>
      <c r="Y17" s="36">
        <v>11000</v>
      </c>
      <c r="Z17" s="18">
        <f t="shared" si="0"/>
        <v>11000</v>
      </c>
      <c r="AA17" s="18">
        <f t="shared" si="1"/>
        <v>11000</v>
      </c>
      <c r="AB17" s="18">
        <f t="shared" si="2"/>
        <v>11000</v>
      </c>
      <c r="AC17" s="18">
        <f t="shared" si="3"/>
        <v>11000</v>
      </c>
      <c r="AD17" s="18">
        <f t="shared" si="4"/>
        <v>11000</v>
      </c>
      <c r="AE17" s="18">
        <f t="shared" si="5"/>
        <v>11000</v>
      </c>
    </row>
    <row r="18" spans="1:31" ht="15" customHeight="1" x14ac:dyDescent="0.35">
      <c r="A18" s="8">
        <v>14</v>
      </c>
      <c r="B18" s="9" t="s">
        <v>335</v>
      </c>
      <c r="C18" s="8" t="s">
        <v>403</v>
      </c>
      <c r="D18" s="36">
        <v>35000</v>
      </c>
      <c r="E18" s="36">
        <v>35000</v>
      </c>
      <c r="F18" s="36">
        <v>0</v>
      </c>
      <c r="G18" s="36">
        <v>33000</v>
      </c>
      <c r="H18" s="36">
        <v>33000</v>
      </c>
      <c r="I18" s="36">
        <v>32000</v>
      </c>
      <c r="J18" s="36">
        <v>32000</v>
      </c>
      <c r="K18" s="36">
        <v>32000</v>
      </c>
      <c r="L18" s="36">
        <v>33000</v>
      </c>
      <c r="M18" s="36">
        <v>33000</v>
      </c>
      <c r="N18" s="36">
        <v>33000</v>
      </c>
      <c r="O18" s="36">
        <v>33000</v>
      </c>
      <c r="P18" s="36">
        <v>33000</v>
      </c>
      <c r="Q18" s="36">
        <v>33000</v>
      </c>
      <c r="R18" s="36">
        <v>33000</v>
      </c>
      <c r="S18" s="36">
        <v>33000</v>
      </c>
      <c r="T18" s="36">
        <v>32000</v>
      </c>
      <c r="U18" s="36">
        <v>32000</v>
      </c>
      <c r="V18" s="36">
        <v>32000</v>
      </c>
      <c r="W18" s="36">
        <v>32000</v>
      </c>
      <c r="X18" s="36">
        <v>32000</v>
      </c>
      <c r="Y18" s="36">
        <v>34000</v>
      </c>
      <c r="Z18" s="18">
        <f t="shared" si="0"/>
        <v>35000</v>
      </c>
      <c r="AA18" s="18">
        <f t="shared" si="1"/>
        <v>32400</v>
      </c>
      <c r="AB18" s="18">
        <f t="shared" si="2"/>
        <v>33000</v>
      </c>
      <c r="AC18" s="18">
        <f t="shared" si="3"/>
        <v>32600</v>
      </c>
      <c r="AD18" s="18">
        <f t="shared" si="4"/>
        <v>32500</v>
      </c>
      <c r="AE18" s="18">
        <f t="shared" si="5"/>
        <v>32857.142857142855</v>
      </c>
    </row>
    <row r="19" spans="1:31" ht="15" customHeight="1" x14ac:dyDescent="0.35">
      <c r="A19" s="8">
        <v>15</v>
      </c>
      <c r="B19" s="9" t="s">
        <v>344</v>
      </c>
      <c r="C19" s="8" t="s">
        <v>403</v>
      </c>
      <c r="D19" s="36">
        <v>26500</v>
      </c>
      <c r="E19" s="36">
        <v>26500</v>
      </c>
      <c r="F19" s="36">
        <v>0</v>
      </c>
      <c r="G19" s="36">
        <v>27000</v>
      </c>
      <c r="H19" s="36">
        <v>27000</v>
      </c>
      <c r="I19" s="36">
        <v>25000</v>
      </c>
      <c r="J19" s="36">
        <v>25000</v>
      </c>
      <c r="K19" s="36">
        <v>25000</v>
      </c>
      <c r="L19" s="36">
        <v>26000</v>
      </c>
      <c r="M19" s="36">
        <v>26000</v>
      </c>
      <c r="N19" s="36">
        <v>26000</v>
      </c>
      <c r="O19" s="36">
        <v>26000</v>
      </c>
      <c r="P19" s="36">
        <v>25500</v>
      </c>
      <c r="Q19" s="36">
        <v>26000</v>
      </c>
      <c r="R19" s="36">
        <v>26000</v>
      </c>
      <c r="S19" s="36">
        <v>26000</v>
      </c>
      <c r="T19" s="36">
        <v>25000</v>
      </c>
      <c r="U19" s="36">
        <v>25000</v>
      </c>
      <c r="V19" s="36">
        <v>25000</v>
      </c>
      <c r="W19" s="36">
        <v>25000</v>
      </c>
      <c r="X19" s="36">
        <v>25000</v>
      </c>
      <c r="Y19" s="36">
        <v>25000</v>
      </c>
      <c r="Z19" s="18">
        <f t="shared" si="0"/>
        <v>26500</v>
      </c>
      <c r="AA19" s="18">
        <f t="shared" si="1"/>
        <v>25800</v>
      </c>
      <c r="AB19" s="18">
        <f t="shared" si="2"/>
        <v>25900</v>
      </c>
      <c r="AC19" s="18">
        <f t="shared" si="3"/>
        <v>25600</v>
      </c>
      <c r="AD19" s="18">
        <f t="shared" si="4"/>
        <v>25000</v>
      </c>
      <c r="AE19" s="18">
        <f t="shared" si="5"/>
        <v>25690.476190476191</v>
      </c>
    </row>
    <row r="20" spans="1:31" ht="15" customHeight="1" x14ac:dyDescent="0.35">
      <c r="A20" s="8">
        <v>16</v>
      </c>
      <c r="B20" s="9" t="s">
        <v>358</v>
      </c>
      <c r="C20" s="8" t="s">
        <v>403</v>
      </c>
      <c r="D20" s="36">
        <v>114000</v>
      </c>
      <c r="E20" s="36">
        <v>114000</v>
      </c>
      <c r="F20" s="36">
        <v>0</v>
      </c>
      <c r="G20" s="36">
        <v>114000</v>
      </c>
      <c r="H20" s="36">
        <v>114000</v>
      </c>
      <c r="I20" s="36">
        <v>114000</v>
      </c>
      <c r="J20" s="36">
        <v>114000</v>
      </c>
      <c r="K20" s="36">
        <v>114000</v>
      </c>
      <c r="L20" s="36">
        <v>114000</v>
      </c>
      <c r="M20" s="36">
        <v>114000</v>
      </c>
      <c r="N20" s="36">
        <v>114000</v>
      </c>
      <c r="O20" s="36">
        <v>114000</v>
      </c>
      <c r="P20" s="36">
        <v>114000</v>
      </c>
      <c r="Q20" s="36">
        <v>114000</v>
      </c>
      <c r="R20" s="36">
        <v>114000</v>
      </c>
      <c r="S20" s="36">
        <v>114000</v>
      </c>
      <c r="T20" s="36">
        <v>114000</v>
      </c>
      <c r="U20" s="36">
        <v>114000</v>
      </c>
      <c r="V20" s="36">
        <v>114000</v>
      </c>
      <c r="W20" s="36">
        <v>114000</v>
      </c>
      <c r="X20" s="36">
        <v>114000</v>
      </c>
      <c r="Y20" s="36">
        <v>115000</v>
      </c>
      <c r="Z20" s="18">
        <f t="shared" si="0"/>
        <v>114000</v>
      </c>
      <c r="AA20" s="18">
        <f t="shared" si="1"/>
        <v>114000</v>
      </c>
      <c r="AB20" s="18">
        <f t="shared" si="2"/>
        <v>114000</v>
      </c>
      <c r="AC20" s="18">
        <f t="shared" si="3"/>
        <v>114000</v>
      </c>
      <c r="AD20" s="18">
        <f t="shared" si="4"/>
        <v>114250</v>
      </c>
      <c r="AE20" s="18">
        <f t="shared" si="5"/>
        <v>114047.61904761905</v>
      </c>
    </row>
    <row r="21" spans="1:31" ht="15" customHeight="1" x14ac:dyDescent="0.35">
      <c r="A21" s="8">
        <v>17</v>
      </c>
      <c r="B21" s="9" t="s">
        <v>359</v>
      </c>
      <c r="C21" s="8" t="s">
        <v>403</v>
      </c>
      <c r="D21" s="36">
        <v>70000</v>
      </c>
      <c r="E21" s="36">
        <v>70000</v>
      </c>
      <c r="F21" s="36">
        <v>0</v>
      </c>
      <c r="G21" s="36">
        <v>70000</v>
      </c>
      <c r="H21" s="36">
        <v>70000</v>
      </c>
      <c r="I21" s="36">
        <v>70000</v>
      </c>
      <c r="J21" s="36">
        <v>70000</v>
      </c>
      <c r="K21" s="36">
        <v>70000</v>
      </c>
      <c r="L21" s="36">
        <v>70000</v>
      </c>
      <c r="M21" s="36">
        <v>70000</v>
      </c>
      <c r="N21" s="36">
        <v>70000</v>
      </c>
      <c r="O21" s="36">
        <v>70000</v>
      </c>
      <c r="P21" s="36">
        <v>70000</v>
      </c>
      <c r="Q21" s="36">
        <v>70000</v>
      </c>
      <c r="R21" s="36">
        <v>70000</v>
      </c>
      <c r="S21" s="36">
        <v>70000</v>
      </c>
      <c r="T21" s="36">
        <v>70000</v>
      </c>
      <c r="U21" s="36">
        <v>70000</v>
      </c>
      <c r="V21" s="36">
        <v>70000</v>
      </c>
      <c r="W21" s="36">
        <v>70000</v>
      </c>
      <c r="X21" s="36">
        <v>70000</v>
      </c>
      <c r="Y21" s="36">
        <v>70000</v>
      </c>
      <c r="Z21" s="18">
        <f t="shared" si="0"/>
        <v>70000</v>
      </c>
      <c r="AA21" s="18">
        <f t="shared" si="1"/>
        <v>70000</v>
      </c>
      <c r="AB21" s="18">
        <f t="shared" si="2"/>
        <v>70000</v>
      </c>
      <c r="AC21" s="18">
        <f t="shared" si="3"/>
        <v>70000</v>
      </c>
      <c r="AD21" s="18">
        <f t="shared" si="4"/>
        <v>70000</v>
      </c>
      <c r="AE21" s="18">
        <f t="shared" si="5"/>
        <v>70000</v>
      </c>
    </row>
    <row r="22" spans="1:31" ht="15" customHeight="1" x14ac:dyDescent="0.35">
      <c r="A22" s="8">
        <v>18</v>
      </c>
      <c r="B22" s="9" t="s">
        <v>360</v>
      </c>
      <c r="C22" s="8" t="s">
        <v>403</v>
      </c>
      <c r="D22" s="36">
        <v>80000</v>
      </c>
      <c r="E22" s="36">
        <v>80000</v>
      </c>
      <c r="F22" s="36">
        <v>0</v>
      </c>
      <c r="G22" s="36">
        <v>80000</v>
      </c>
      <c r="H22" s="36">
        <v>80000</v>
      </c>
      <c r="I22" s="36">
        <v>80000</v>
      </c>
      <c r="J22" s="36">
        <v>80000</v>
      </c>
      <c r="K22" s="36">
        <v>80000</v>
      </c>
      <c r="L22" s="36">
        <v>80000</v>
      </c>
      <c r="M22" s="36">
        <v>80000</v>
      </c>
      <c r="N22" s="36">
        <v>80000</v>
      </c>
      <c r="O22" s="36">
        <v>80000</v>
      </c>
      <c r="P22" s="36">
        <v>80000</v>
      </c>
      <c r="Q22" s="36">
        <v>80000</v>
      </c>
      <c r="R22" s="36">
        <v>80000</v>
      </c>
      <c r="S22" s="36">
        <v>80000</v>
      </c>
      <c r="T22" s="36">
        <v>80000</v>
      </c>
      <c r="U22" s="36">
        <v>80000</v>
      </c>
      <c r="V22" s="36">
        <v>80000</v>
      </c>
      <c r="W22" s="36">
        <v>80000</v>
      </c>
      <c r="X22" s="36">
        <v>80000</v>
      </c>
      <c r="Y22" s="36">
        <v>80000</v>
      </c>
      <c r="Z22" s="18">
        <f t="shared" si="0"/>
        <v>80000</v>
      </c>
      <c r="AA22" s="18">
        <f t="shared" si="1"/>
        <v>80000</v>
      </c>
      <c r="AB22" s="18">
        <f t="shared" si="2"/>
        <v>80000</v>
      </c>
      <c r="AC22" s="18">
        <f t="shared" si="3"/>
        <v>80000</v>
      </c>
      <c r="AD22" s="18">
        <f t="shared" si="4"/>
        <v>80000</v>
      </c>
      <c r="AE22" s="18">
        <f t="shared" si="5"/>
        <v>80000</v>
      </c>
    </row>
    <row r="23" spans="1:31" ht="15" customHeight="1" x14ac:dyDescent="0.35">
      <c r="A23" s="8">
        <v>19</v>
      </c>
      <c r="B23" s="9" t="s">
        <v>405</v>
      </c>
      <c r="C23" s="8" t="s">
        <v>403</v>
      </c>
      <c r="D23" s="36">
        <v>45000</v>
      </c>
      <c r="E23" s="36">
        <v>45000</v>
      </c>
      <c r="F23" s="36">
        <v>0</v>
      </c>
      <c r="G23" s="36">
        <v>45000</v>
      </c>
      <c r="H23" s="36">
        <v>45000</v>
      </c>
      <c r="I23" s="36">
        <v>45000</v>
      </c>
      <c r="J23" s="36">
        <v>45000</v>
      </c>
      <c r="K23" s="36">
        <v>45000</v>
      </c>
      <c r="L23" s="36">
        <v>45000</v>
      </c>
      <c r="M23" s="36">
        <v>45000</v>
      </c>
      <c r="N23" s="36">
        <v>45000</v>
      </c>
      <c r="O23" s="36">
        <v>45000</v>
      </c>
      <c r="P23" s="36">
        <v>45000</v>
      </c>
      <c r="Q23" s="36">
        <v>45000</v>
      </c>
      <c r="R23" s="36">
        <v>45000</v>
      </c>
      <c r="S23" s="36">
        <v>45000</v>
      </c>
      <c r="T23" s="36">
        <v>45000</v>
      </c>
      <c r="U23" s="36">
        <v>45000</v>
      </c>
      <c r="V23" s="36">
        <v>45000</v>
      </c>
      <c r="W23" s="36">
        <v>45000</v>
      </c>
      <c r="X23" s="36">
        <v>45000</v>
      </c>
      <c r="Y23" s="36">
        <v>45000</v>
      </c>
      <c r="Z23" s="18">
        <f t="shared" si="0"/>
        <v>45000</v>
      </c>
      <c r="AA23" s="18">
        <f t="shared" si="1"/>
        <v>45000</v>
      </c>
      <c r="AB23" s="18">
        <f t="shared" si="2"/>
        <v>45000</v>
      </c>
      <c r="AC23" s="18">
        <f t="shared" si="3"/>
        <v>45000</v>
      </c>
      <c r="AD23" s="18">
        <f t="shared" si="4"/>
        <v>45000</v>
      </c>
      <c r="AE23" s="18">
        <f t="shared" si="5"/>
        <v>45000</v>
      </c>
    </row>
    <row r="24" spans="1:31" ht="15" customHeight="1" x14ac:dyDescent="0.35">
      <c r="A24" s="8">
        <v>20</v>
      </c>
      <c r="B24" s="9" t="s">
        <v>346</v>
      </c>
      <c r="C24" s="8" t="s">
        <v>403</v>
      </c>
      <c r="D24" s="36">
        <v>45000</v>
      </c>
      <c r="E24" s="36">
        <v>45000</v>
      </c>
      <c r="F24" s="36">
        <v>0</v>
      </c>
      <c r="G24" s="36">
        <v>45000</v>
      </c>
      <c r="H24" s="36">
        <v>45000</v>
      </c>
      <c r="I24" s="36">
        <v>45000</v>
      </c>
      <c r="J24" s="36">
        <v>45000</v>
      </c>
      <c r="K24" s="36">
        <v>45000</v>
      </c>
      <c r="L24" s="36">
        <v>45000</v>
      </c>
      <c r="M24" s="36">
        <v>45000</v>
      </c>
      <c r="N24" s="36">
        <v>45000</v>
      </c>
      <c r="O24" s="36">
        <v>45000</v>
      </c>
      <c r="P24" s="36">
        <v>45000</v>
      </c>
      <c r="Q24" s="36">
        <v>45000</v>
      </c>
      <c r="R24" s="36">
        <v>45000</v>
      </c>
      <c r="S24" s="36">
        <v>45000</v>
      </c>
      <c r="T24" s="36">
        <v>45000</v>
      </c>
      <c r="U24" s="36">
        <v>45000</v>
      </c>
      <c r="V24" s="36">
        <v>45000</v>
      </c>
      <c r="W24" s="36">
        <v>45000</v>
      </c>
      <c r="X24" s="36">
        <v>45000</v>
      </c>
      <c r="Y24" s="36">
        <v>45000</v>
      </c>
      <c r="Z24" s="18">
        <f t="shared" si="0"/>
        <v>45000</v>
      </c>
      <c r="AA24" s="18">
        <f t="shared" si="1"/>
        <v>45000</v>
      </c>
      <c r="AB24" s="18">
        <f t="shared" si="2"/>
        <v>45000</v>
      </c>
      <c r="AC24" s="18">
        <f t="shared" si="3"/>
        <v>45000</v>
      </c>
      <c r="AD24" s="18">
        <f t="shared" si="4"/>
        <v>45000</v>
      </c>
      <c r="AE24" s="18">
        <f t="shared" si="5"/>
        <v>45000</v>
      </c>
    </row>
    <row r="25" spans="1:31" ht="15" customHeight="1" x14ac:dyDescent="0.35">
      <c r="A25" s="8">
        <v>21</v>
      </c>
      <c r="B25" s="9" t="s">
        <v>406</v>
      </c>
      <c r="C25" s="8" t="s">
        <v>403</v>
      </c>
      <c r="D25" s="36">
        <v>80000</v>
      </c>
      <c r="E25" s="36">
        <v>80000</v>
      </c>
      <c r="F25" s="36">
        <v>0</v>
      </c>
      <c r="G25" s="36">
        <v>80000</v>
      </c>
      <c r="H25" s="36">
        <v>80000</v>
      </c>
      <c r="I25" s="36">
        <v>80000</v>
      </c>
      <c r="J25" s="36">
        <v>80000</v>
      </c>
      <c r="K25" s="36">
        <v>80000</v>
      </c>
      <c r="L25" s="36">
        <v>80000</v>
      </c>
      <c r="M25" s="36">
        <v>80000</v>
      </c>
      <c r="N25" s="36">
        <v>80000</v>
      </c>
      <c r="O25" s="36">
        <v>80000</v>
      </c>
      <c r="P25" s="36">
        <v>80000</v>
      </c>
      <c r="Q25" s="36">
        <v>80000</v>
      </c>
      <c r="R25" s="36">
        <v>80000</v>
      </c>
      <c r="S25" s="36">
        <v>80000</v>
      </c>
      <c r="T25" s="36">
        <v>80000</v>
      </c>
      <c r="U25" s="36">
        <v>80000</v>
      </c>
      <c r="V25" s="36">
        <v>80000</v>
      </c>
      <c r="W25" s="36">
        <v>80000</v>
      </c>
      <c r="X25" s="36">
        <v>80000</v>
      </c>
      <c r="Y25" s="36">
        <v>80000</v>
      </c>
      <c r="Z25" s="18">
        <f t="shared" si="0"/>
        <v>80000</v>
      </c>
      <c r="AA25" s="18">
        <f t="shared" si="1"/>
        <v>80000</v>
      </c>
      <c r="AB25" s="18">
        <f t="shared" si="2"/>
        <v>80000</v>
      </c>
      <c r="AC25" s="18">
        <f t="shared" si="3"/>
        <v>80000</v>
      </c>
      <c r="AD25" s="18">
        <f t="shared" si="4"/>
        <v>80000</v>
      </c>
      <c r="AE25" s="18">
        <f t="shared" si="5"/>
        <v>80000</v>
      </c>
    </row>
    <row r="26" spans="1:31" ht="21.75" customHeight="1" x14ac:dyDescent="0.35">
      <c r="A26" s="8">
        <v>22</v>
      </c>
      <c r="B26" s="9" t="s">
        <v>353</v>
      </c>
      <c r="C26" s="8" t="s">
        <v>450</v>
      </c>
      <c r="D26" s="36">
        <v>2800</v>
      </c>
      <c r="E26" s="36">
        <v>2800</v>
      </c>
      <c r="F26" s="36">
        <v>0</v>
      </c>
      <c r="G26" s="36">
        <v>2800</v>
      </c>
      <c r="H26" s="36">
        <v>2800</v>
      </c>
      <c r="I26" s="36">
        <v>2800</v>
      </c>
      <c r="J26" s="36">
        <v>2800</v>
      </c>
      <c r="K26" s="36">
        <v>2800</v>
      </c>
      <c r="L26" s="36">
        <v>2800</v>
      </c>
      <c r="M26" s="36">
        <v>2800</v>
      </c>
      <c r="N26" s="36">
        <v>2800</v>
      </c>
      <c r="O26" s="36">
        <v>2800</v>
      </c>
      <c r="P26" s="36">
        <v>2800</v>
      </c>
      <c r="Q26" s="36">
        <v>2800</v>
      </c>
      <c r="R26" s="36">
        <v>2800</v>
      </c>
      <c r="S26" s="36">
        <v>2800</v>
      </c>
      <c r="T26" s="36">
        <v>2800</v>
      </c>
      <c r="U26" s="36">
        <v>2800</v>
      </c>
      <c r="V26" s="36">
        <v>2800</v>
      </c>
      <c r="W26" s="36">
        <v>2800</v>
      </c>
      <c r="X26" s="36">
        <v>2800</v>
      </c>
      <c r="Y26" s="36">
        <v>2800</v>
      </c>
      <c r="Z26" s="18">
        <f t="shared" si="0"/>
        <v>2800</v>
      </c>
      <c r="AA26" s="18">
        <f t="shared" si="1"/>
        <v>2800</v>
      </c>
      <c r="AB26" s="18">
        <f t="shared" si="2"/>
        <v>2800</v>
      </c>
      <c r="AC26" s="18">
        <f t="shared" si="3"/>
        <v>2800</v>
      </c>
      <c r="AD26" s="18">
        <f t="shared" si="4"/>
        <v>2800</v>
      </c>
      <c r="AE26" s="18">
        <f t="shared" si="5"/>
        <v>2800</v>
      </c>
    </row>
    <row r="27" spans="1:31" ht="15" customHeight="1" x14ac:dyDescent="0.35">
      <c r="A27" s="8">
        <v>23</v>
      </c>
      <c r="B27" s="9" t="s">
        <v>351</v>
      </c>
      <c r="C27" s="8" t="s">
        <v>403</v>
      </c>
      <c r="D27" s="36">
        <v>28000</v>
      </c>
      <c r="E27" s="36">
        <v>28000</v>
      </c>
      <c r="F27" s="36">
        <v>0</v>
      </c>
      <c r="G27" s="36">
        <v>28000</v>
      </c>
      <c r="H27" s="36">
        <v>28000</v>
      </c>
      <c r="I27" s="36">
        <v>30000</v>
      </c>
      <c r="J27" s="36">
        <v>30000</v>
      </c>
      <c r="K27" s="36">
        <v>30000</v>
      </c>
      <c r="L27" s="36">
        <v>28000</v>
      </c>
      <c r="M27" s="36">
        <v>28000</v>
      </c>
      <c r="N27" s="36">
        <v>28000</v>
      </c>
      <c r="O27" s="36">
        <v>28000</v>
      </c>
      <c r="P27" s="36">
        <v>28000</v>
      </c>
      <c r="Q27" s="36">
        <v>28000</v>
      </c>
      <c r="R27" s="36">
        <v>28000</v>
      </c>
      <c r="S27" s="36">
        <v>28000</v>
      </c>
      <c r="T27" s="36">
        <v>27000</v>
      </c>
      <c r="U27" s="36">
        <v>27000</v>
      </c>
      <c r="V27" s="36">
        <v>27000</v>
      </c>
      <c r="W27" s="36">
        <v>27000</v>
      </c>
      <c r="X27" s="36">
        <v>27000</v>
      </c>
      <c r="Y27" s="36">
        <v>27000</v>
      </c>
      <c r="Z27" s="18">
        <f t="shared" si="0"/>
        <v>28000</v>
      </c>
      <c r="AA27" s="18">
        <f t="shared" si="1"/>
        <v>29200</v>
      </c>
      <c r="AB27" s="18">
        <f t="shared" si="2"/>
        <v>28000</v>
      </c>
      <c r="AC27" s="18">
        <f t="shared" si="3"/>
        <v>27600</v>
      </c>
      <c r="AD27" s="18">
        <f t="shared" si="4"/>
        <v>27000</v>
      </c>
      <c r="AE27" s="18">
        <f t="shared" si="5"/>
        <v>28000</v>
      </c>
    </row>
    <row r="28" spans="1:31" ht="15" customHeight="1" x14ac:dyDescent="0.35">
      <c r="A28" s="8">
        <v>24</v>
      </c>
      <c r="B28" s="9" t="s">
        <v>352</v>
      </c>
      <c r="C28" s="8" t="s">
        <v>403</v>
      </c>
      <c r="D28" s="36">
        <v>38000</v>
      </c>
      <c r="E28" s="36">
        <v>38000</v>
      </c>
      <c r="F28" s="36">
        <v>0</v>
      </c>
      <c r="G28" s="36">
        <v>38000</v>
      </c>
      <c r="H28" s="36">
        <v>38000</v>
      </c>
      <c r="I28" s="36">
        <v>38000</v>
      </c>
      <c r="J28" s="36">
        <v>38000</v>
      </c>
      <c r="K28" s="36">
        <v>38000</v>
      </c>
      <c r="L28" s="36">
        <v>38000</v>
      </c>
      <c r="M28" s="36">
        <v>38000</v>
      </c>
      <c r="N28" s="36">
        <v>38000</v>
      </c>
      <c r="O28" s="36">
        <v>38000</v>
      </c>
      <c r="P28" s="36">
        <v>38000</v>
      </c>
      <c r="Q28" s="36">
        <v>38000</v>
      </c>
      <c r="R28" s="36">
        <v>38000</v>
      </c>
      <c r="S28" s="36">
        <v>38000</v>
      </c>
      <c r="T28" s="36">
        <v>38000</v>
      </c>
      <c r="U28" s="36">
        <v>38000</v>
      </c>
      <c r="V28" s="36">
        <v>38000</v>
      </c>
      <c r="W28" s="36">
        <v>38000</v>
      </c>
      <c r="X28" s="36">
        <v>38000</v>
      </c>
      <c r="Y28" s="36">
        <v>38000</v>
      </c>
      <c r="Z28" s="18">
        <f t="shared" si="0"/>
        <v>38000</v>
      </c>
      <c r="AA28" s="18">
        <f t="shared" si="1"/>
        <v>38000</v>
      </c>
      <c r="AB28" s="18">
        <f t="shared" si="2"/>
        <v>38000</v>
      </c>
      <c r="AC28" s="18">
        <f t="shared" si="3"/>
        <v>38000</v>
      </c>
      <c r="AD28" s="18">
        <f t="shared" si="4"/>
        <v>38000</v>
      </c>
      <c r="AE28" s="18">
        <f t="shared" si="5"/>
        <v>38000</v>
      </c>
    </row>
    <row r="29" spans="1:31" ht="15" customHeight="1" x14ac:dyDescent="0.35">
      <c r="A29" s="8">
        <v>25</v>
      </c>
      <c r="B29" s="9" t="s">
        <v>407</v>
      </c>
      <c r="C29" s="8" t="s">
        <v>403</v>
      </c>
      <c r="D29" s="36">
        <v>30000</v>
      </c>
      <c r="E29" s="36">
        <v>30000</v>
      </c>
      <c r="F29" s="36">
        <v>0</v>
      </c>
      <c r="G29" s="36">
        <v>32000</v>
      </c>
      <c r="H29" s="36">
        <v>32000</v>
      </c>
      <c r="I29" s="36">
        <v>32000</v>
      </c>
      <c r="J29" s="36">
        <v>32000</v>
      </c>
      <c r="K29" s="36">
        <v>32000</v>
      </c>
      <c r="L29" s="36">
        <v>32000</v>
      </c>
      <c r="M29" s="36">
        <v>32000</v>
      </c>
      <c r="N29" s="36">
        <v>32000</v>
      </c>
      <c r="O29" s="36">
        <v>32000</v>
      </c>
      <c r="P29" s="36">
        <v>30000</v>
      </c>
      <c r="Q29" s="36">
        <v>30000</v>
      </c>
      <c r="R29" s="36">
        <v>30000</v>
      </c>
      <c r="S29" s="36">
        <v>30000</v>
      </c>
      <c r="T29" s="36">
        <v>30000</v>
      </c>
      <c r="U29" s="36">
        <v>30000</v>
      </c>
      <c r="V29" s="36">
        <v>30000</v>
      </c>
      <c r="W29" s="36">
        <v>30000</v>
      </c>
      <c r="X29" s="36">
        <v>30000</v>
      </c>
      <c r="Y29" s="36">
        <v>32000</v>
      </c>
      <c r="Z29" s="18">
        <f t="shared" si="0"/>
        <v>30000</v>
      </c>
      <c r="AA29" s="18">
        <f t="shared" si="1"/>
        <v>32000</v>
      </c>
      <c r="AB29" s="18">
        <f t="shared" si="2"/>
        <v>31600</v>
      </c>
      <c r="AC29" s="18">
        <f t="shared" si="3"/>
        <v>30000</v>
      </c>
      <c r="AD29" s="18">
        <f t="shared" si="4"/>
        <v>30500</v>
      </c>
      <c r="AE29" s="18">
        <f t="shared" si="5"/>
        <v>30952.380952380954</v>
      </c>
    </row>
    <row r="30" spans="1:31" ht="15" customHeight="1" x14ac:dyDescent="0.35">
      <c r="A30" s="8">
        <v>26</v>
      </c>
      <c r="B30" s="9" t="s">
        <v>408</v>
      </c>
      <c r="C30" s="8" t="s">
        <v>403</v>
      </c>
      <c r="D30" s="36">
        <v>8000</v>
      </c>
      <c r="E30" s="36">
        <v>8000</v>
      </c>
      <c r="F30" s="36">
        <v>0</v>
      </c>
      <c r="G30" s="36">
        <v>8000</v>
      </c>
      <c r="H30" s="36">
        <v>8000</v>
      </c>
      <c r="I30" s="36">
        <v>8000</v>
      </c>
      <c r="J30" s="36">
        <v>8000</v>
      </c>
      <c r="K30" s="36">
        <v>8000</v>
      </c>
      <c r="L30" s="36">
        <v>8000</v>
      </c>
      <c r="M30" s="36">
        <v>8000</v>
      </c>
      <c r="N30" s="36">
        <v>8000</v>
      </c>
      <c r="O30" s="36">
        <v>8000</v>
      </c>
      <c r="P30" s="36">
        <v>8000</v>
      </c>
      <c r="Q30" s="36">
        <v>8000</v>
      </c>
      <c r="R30" s="36">
        <v>8000</v>
      </c>
      <c r="S30" s="36">
        <v>8000</v>
      </c>
      <c r="T30" s="36">
        <v>8000</v>
      </c>
      <c r="U30" s="36">
        <v>8000</v>
      </c>
      <c r="V30" s="36">
        <v>8000</v>
      </c>
      <c r="W30" s="36">
        <v>8000</v>
      </c>
      <c r="X30" s="36">
        <v>8000</v>
      </c>
      <c r="Y30" s="36">
        <v>8000</v>
      </c>
      <c r="Z30" s="18">
        <f t="shared" si="0"/>
        <v>8000</v>
      </c>
      <c r="AA30" s="18">
        <f t="shared" si="1"/>
        <v>8000</v>
      </c>
      <c r="AB30" s="18">
        <f t="shared" si="2"/>
        <v>8000</v>
      </c>
      <c r="AC30" s="18">
        <f t="shared" si="3"/>
        <v>8000</v>
      </c>
      <c r="AD30" s="18">
        <f t="shared" si="4"/>
        <v>8000</v>
      </c>
      <c r="AE30" s="18">
        <f t="shared" si="5"/>
        <v>8000</v>
      </c>
    </row>
    <row r="31" spans="1:31" ht="15" customHeight="1" x14ac:dyDescent="0.35">
      <c r="A31" s="8">
        <v>27</v>
      </c>
      <c r="B31" s="9" t="s">
        <v>354</v>
      </c>
      <c r="C31" s="8" t="s">
        <v>451</v>
      </c>
      <c r="D31" s="36">
        <v>10500</v>
      </c>
      <c r="E31" s="36">
        <v>10500</v>
      </c>
      <c r="F31" s="36">
        <v>0</v>
      </c>
      <c r="G31" s="36">
        <v>10500</v>
      </c>
      <c r="H31" s="36">
        <v>10500</v>
      </c>
      <c r="I31" s="36">
        <v>10500</v>
      </c>
      <c r="J31" s="36">
        <v>10500</v>
      </c>
      <c r="K31" s="36">
        <v>10500</v>
      </c>
      <c r="L31" s="36">
        <v>10500</v>
      </c>
      <c r="M31" s="36">
        <v>10500</v>
      </c>
      <c r="N31" s="36">
        <v>10500</v>
      </c>
      <c r="O31" s="36">
        <v>10500</v>
      </c>
      <c r="P31" s="36">
        <v>10500</v>
      </c>
      <c r="Q31" s="36">
        <v>10500</v>
      </c>
      <c r="R31" s="36">
        <v>10500</v>
      </c>
      <c r="S31" s="36">
        <v>10500</v>
      </c>
      <c r="T31" s="36">
        <v>10500</v>
      </c>
      <c r="U31" s="36">
        <v>10500</v>
      </c>
      <c r="V31" s="36">
        <v>10500</v>
      </c>
      <c r="W31" s="36">
        <v>10500</v>
      </c>
      <c r="X31" s="36">
        <v>10500</v>
      </c>
      <c r="Y31" s="36">
        <v>10500</v>
      </c>
      <c r="Z31" s="18">
        <f t="shared" si="0"/>
        <v>10500</v>
      </c>
      <c r="AA31" s="18">
        <f t="shared" si="1"/>
        <v>10500</v>
      </c>
      <c r="AB31" s="18">
        <f t="shared" si="2"/>
        <v>10500</v>
      </c>
      <c r="AC31" s="18">
        <f t="shared" si="3"/>
        <v>10500</v>
      </c>
      <c r="AD31" s="18">
        <f t="shared" si="4"/>
        <v>10500</v>
      </c>
      <c r="AE31" s="18">
        <f t="shared" si="5"/>
        <v>10500</v>
      </c>
    </row>
    <row r="32" spans="1:31" ht="15" customHeight="1" x14ac:dyDescent="0.35">
      <c r="A32" s="8">
        <v>28</v>
      </c>
      <c r="B32" s="9" t="s">
        <v>348</v>
      </c>
      <c r="C32" s="8" t="s">
        <v>452</v>
      </c>
      <c r="D32" s="36">
        <v>42000</v>
      </c>
      <c r="E32" s="36">
        <v>42000</v>
      </c>
      <c r="F32" s="36">
        <v>0</v>
      </c>
      <c r="G32" s="36">
        <v>42000</v>
      </c>
      <c r="H32" s="36">
        <v>42000</v>
      </c>
      <c r="I32" s="36">
        <v>42000</v>
      </c>
      <c r="J32" s="36">
        <v>42000</v>
      </c>
      <c r="K32" s="36">
        <v>42000</v>
      </c>
      <c r="L32" s="36">
        <v>42000</v>
      </c>
      <c r="M32" s="36">
        <v>42000</v>
      </c>
      <c r="N32" s="36">
        <v>42000</v>
      </c>
      <c r="O32" s="36">
        <v>42000</v>
      </c>
      <c r="P32" s="36">
        <v>42000</v>
      </c>
      <c r="Q32" s="36">
        <v>42000</v>
      </c>
      <c r="R32" s="36">
        <v>42000</v>
      </c>
      <c r="S32" s="36">
        <v>42000</v>
      </c>
      <c r="T32" s="36">
        <v>42000</v>
      </c>
      <c r="U32" s="36">
        <v>42000</v>
      </c>
      <c r="V32" s="36">
        <v>42000</v>
      </c>
      <c r="W32" s="36">
        <v>42000</v>
      </c>
      <c r="X32" s="36">
        <v>42000</v>
      </c>
      <c r="Y32" s="36">
        <v>42000</v>
      </c>
      <c r="Z32" s="18">
        <f t="shared" si="0"/>
        <v>42000</v>
      </c>
      <c r="AA32" s="18">
        <f t="shared" si="1"/>
        <v>42000</v>
      </c>
      <c r="AB32" s="18">
        <f t="shared" si="2"/>
        <v>42000</v>
      </c>
      <c r="AC32" s="18">
        <f t="shared" si="3"/>
        <v>42000</v>
      </c>
      <c r="AD32" s="18">
        <f t="shared" si="4"/>
        <v>42000</v>
      </c>
      <c r="AE32" s="18">
        <f t="shared" si="5"/>
        <v>42000</v>
      </c>
    </row>
    <row r="33" spans="1:31" ht="15" customHeight="1" x14ac:dyDescent="0.35">
      <c r="A33" s="8">
        <v>29</v>
      </c>
      <c r="B33" s="9" t="s">
        <v>361</v>
      </c>
      <c r="C33" s="8" t="s">
        <v>403</v>
      </c>
      <c r="D33" s="36">
        <v>11000</v>
      </c>
      <c r="E33" s="36">
        <v>11000</v>
      </c>
      <c r="F33" s="36">
        <v>0</v>
      </c>
      <c r="G33" s="36">
        <v>11000</v>
      </c>
      <c r="H33" s="36">
        <v>11000</v>
      </c>
      <c r="I33" s="36">
        <v>11000</v>
      </c>
      <c r="J33" s="36">
        <v>11000</v>
      </c>
      <c r="K33" s="36">
        <v>11000</v>
      </c>
      <c r="L33" s="36">
        <v>11000</v>
      </c>
      <c r="M33" s="36">
        <v>11000</v>
      </c>
      <c r="N33" s="36">
        <v>11000</v>
      </c>
      <c r="O33" s="36">
        <v>11000</v>
      </c>
      <c r="P33" s="36">
        <v>11000</v>
      </c>
      <c r="Q33" s="36">
        <v>11000</v>
      </c>
      <c r="R33" s="36">
        <v>11000</v>
      </c>
      <c r="S33" s="36">
        <v>11000</v>
      </c>
      <c r="T33" s="36">
        <v>11000</v>
      </c>
      <c r="U33" s="36">
        <v>11000</v>
      </c>
      <c r="V33" s="36">
        <v>11000</v>
      </c>
      <c r="W33" s="36">
        <v>11000</v>
      </c>
      <c r="X33" s="36">
        <v>11000</v>
      </c>
      <c r="Y33" s="36">
        <v>11000</v>
      </c>
      <c r="Z33" s="18">
        <f t="shared" si="0"/>
        <v>11000</v>
      </c>
      <c r="AA33" s="18">
        <f t="shared" si="1"/>
        <v>11000</v>
      </c>
      <c r="AB33" s="18">
        <f t="shared" si="2"/>
        <v>11000</v>
      </c>
      <c r="AC33" s="18">
        <f t="shared" si="3"/>
        <v>11000</v>
      </c>
      <c r="AD33" s="18">
        <f t="shared" si="4"/>
        <v>11000</v>
      </c>
      <c r="AE33" s="18">
        <f t="shared" si="5"/>
        <v>11000</v>
      </c>
    </row>
    <row r="34" spans="1:31" ht="15" customHeight="1" x14ac:dyDescent="0.35">
      <c r="A34" s="8">
        <v>30</v>
      </c>
      <c r="B34" s="9" t="s">
        <v>334</v>
      </c>
      <c r="C34" s="8" t="s">
        <v>403</v>
      </c>
      <c r="D34" s="36">
        <v>6000</v>
      </c>
      <c r="E34" s="36">
        <v>6000</v>
      </c>
      <c r="F34" s="36">
        <v>0</v>
      </c>
      <c r="G34" s="36">
        <v>6000</v>
      </c>
      <c r="H34" s="36">
        <v>6000</v>
      </c>
      <c r="I34" s="36">
        <v>6000</v>
      </c>
      <c r="J34" s="36">
        <v>6000</v>
      </c>
      <c r="K34" s="36">
        <v>6000</v>
      </c>
      <c r="L34" s="36">
        <v>6000</v>
      </c>
      <c r="M34" s="36">
        <v>6000</v>
      </c>
      <c r="N34" s="36">
        <v>6000</v>
      </c>
      <c r="O34" s="36">
        <v>6000</v>
      </c>
      <c r="P34" s="36">
        <v>6000</v>
      </c>
      <c r="Q34" s="36">
        <v>6000</v>
      </c>
      <c r="R34" s="36">
        <v>6000</v>
      </c>
      <c r="S34" s="36">
        <v>6000</v>
      </c>
      <c r="T34" s="36">
        <v>6000</v>
      </c>
      <c r="U34" s="36">
        <v>6000</v>
      </c>
      <c r="V34" s="36">
        <v>6000</v>
      </c>
      <c r="W34" s="36">
        <v>6000</v>
      </c>
      <c r="X34" s="36">
        <v>6000</v>
      </c>
      <c r="Y34" s="36">
        <v>6000</v>
      </c>
      <c r="Z34" s="18">
        <f t="shared" si="0"/>
        <v>6000</v>
      </c>
      <c r="AA34" s="18">
        <f t="shared" si="1"/>
        <v>6000</v>
      </c>
      <c r="AB34" s="18">
        <f t="shared" si="2"/>
        <v>6000</v>
      </c>
      <c r="AC34" s="18">
        <f t="shared" si="3"/>
        <v>6000</v>
      </c>
      <c r="AD34" s="18">
        <f t="shared" si="4"/>
        <v>6000</v>
      </c>
      <c r="AE34" s="18">
        <f t="shared" si="5"/>
        <v>6000</v>
      </c>
    </row>
    <row r="35" spans="1:31" ht="15" customHeight="1" x14ac:dyDescent="0.35">
      <c r="A35" s="8">
        <v>31</v>
      </c>
      <c r="B35" s="9" t="s">
        <v>339</v>
      </c>
      <c r="C35" s="8" t="s">
        <v>403</v>
      </c>
      <c r="D35" s="36">
        <v>70000</v>
      </c>
      <c r="E35" s="36">
        <v>70000</v>
      </c>
      <c r="F35" s="36">
        <v>0</v>
      </c>
      <c r="G35" s="36">
        <v>70000</v>
      </c>
      <c r="H35" s="36">
        <v>70000</v>
      </c>
      <c r="I35" s="36">
        <v>70000</v>
      </c>
      <c r="J35" s="36">
        <v>70000</v>
      </c>
      <c r="K35" s="36">
        <v>70000</v>
      </c>
      <c r="L35" s="36">
        <v>70000</v>
      </c>
      <c r="M35" s="36">
        <v>70000</v>
      </c>
      <c r="N35" s="36">
        <v>70000</v>
      </c>
      <c r="O35" s="36">
        <v>70000</v>
      </c>
      <c r="P35" s="36">
        <v>70000</v>
      </c>
      <c r="Q35" s="36">
        <v>70000</v>
      </c>
      <c r="R35" s="36">
        <v>70000</v>
      </c>
      <c r="S35" s="36">
        <v>70000</v>
      </c>
      <c r="T35" s="36">
        <v>70000</v>
      </c>
      <c r="U35" s="36">
        <v>70000</v>
      </c>
      <c r="V35" s="36">
        <v>70000</v>
      </c>
      <c r="W35" s="36">
        <v>70000</v>
      </c>
      <c r="X35" s="36">
        <v>70000</v>
      </c>
      <c r="Y35" s="36">
        <v>70000</v>
      </c>
      <c r="Z35" s="18">
        <f t="shared" si="0"/>
        <v>70000</v>
      </c>
      <c r="AA35" s="18">
        <f t="shared" si="1"/>
        <v>70000</v>
      </c>
      <c r="AB35" s="18">
        <f t="shared" si="2"/>
        <v>70000</v>
      </c>
      <c r="AC35" s="18">
        <f t="shared" si="3"/>
        <v>70000</v>
      </c>
      <c r="AD35" s="18">
        <f t="shared" si="4"/>
        <v>70000</v>
      </c>
      <c r="AE35" s="18">
        <f t="shared" si="5"/>
        <v>70000</v>
      </c>
    </row>
    <row r="36" spans="1:31" ht="15" customHeight="1" x14ac:dyDescent="0.35">
      <c r="A36" s="8">
        <v>32</v>
      </c>
      <c r="B36" s="9" t="s">
        <v>341</v>
      </c>
      <c r="C36" s="8" t="s">
        <v>403</v>
      </c>
      <c r="D36" s="36">
        <v>12000</v>
      </c>
      <c r="E36" s="36">
        <v>12000</v>
      </c>
      <c r="F36" s="36">
        <v>0</v>
      </c>
      <c r="G36" s="36">
        <v>12000</v>
      </c>
      <c r="H36" s="36">
        <v>12000</v>
      </c>
      <c r="I36" s="36">
        <v>12000</v>
      </c>
      <c r="J36" s="36">
        <v>12000</v>
      </c>
      <c r="K36" s="36">
        <v>12000</v>
      </c>
      <c r="L36" s="36">
        <v>12000</v>
      </c>
      <c r="M36" s="36">
        <v>12000</v>
      </c>
      <c r="N36" s="36">
        <v>12000</v>
      </c>
      <c r="O36" s="36">
        <v>12000</v>
      </c>
      <c r="P36" s="36">
        <v>12000</v>
      </c>
      <c r="Q36" s="36">
        <v>12000</v>
      </c>
      <c r="R36" s="36">
        <v>12000</v>
      </c>
      <c r="S36" s="36">
        <v>12000</v>
      </c>
      <c r="T36" s="36">
        <v>12000</v>
      </c>
      <c r="U36" s="36">
        <v>12000</v>
      </c>
      <c r="V36" s="36">
        <v>12000</v>
      </c>
      <c r="W36" s="36">
        <v>12000</v>
      </c>
      <c r="X36" s="36">
        <v>12000</v>
      </c>
      <c r="Y36" s="36">
        <v>12000</v>
      </c>
      <c r="Z36" s="18">
        <f t="shared" si="0"/>
        <v>12000</v>
      </c>
      <c r="AA36" s="18">
        <f t="shared" si="1"/>
        <v>12000</v>
      </c>
      <c r="AB36" s="18">
        <f t="shared" si="2"/>
        <v>12000</v>
      </c>
      <c r="AC36" s="18">
        <f t="shared" si="3"/>
        <v>12000</v>
      </c>
      <c r="AD36" s="18">
        <f t="shared" si="4"/>
        <v>12000</v>
      </c>
      <c r="AE36" s="18">
        <f t="shared" si="5"/>
        <v>12000</v>
      </c>
    </row>
    <row r="37" spans="1:31" ht="15" customHeight="1" x14ac:dyDescent="0.35">
      <c r="A37" s="8">
        <v>33</v>
      </c>
      <c r="B37" s="9" t="s">
        <v>362</v>
      </c>
      <c r="C37" s="8" t="s">
        <v>403</v>
      </c>
      <c r="D37" s="36">
        <v>8000</v>
      </c>
      <c r="E37" s="36">
        <v>8000</v>
      </c>
      <c r="F37" s="36">
        <v>0</v>
      </c>
      <c r="G37" s="36">
        <v>8000</v>
      </c>
      <c r="H37" s="36">
        <v>8000</v>
      </c>
      <c r="I37" s="36">
        <v>8000</v>
      </c>
      <c r="J37" s="36">
        <v>8000</v>
      </c>
      <c r="K37" s="36">
        <v>8000</v>
      </c>
      <c r="L37" s="36">
        <v>8000</v>
      </c>
      <c r="M37" s="36">
        <v>8000</v>
      </c>
      <c r="N37" s="36">
        <v>8000</v>
      </c>
      <c r="O37" s="36">
        <v>8000</v>
      </c>
      <c r="P37" s="36">
        <v>8000</v>
      </c>
      <c r="Q37" s="36">
        <v>8000</v>
      </c>
      <c r="R37" s="36">
        <v>8000</v>
      </c>
      <c r="S37" s="36">
        <v>8000</v>
      </c>
      <c r="T37" s="36">
        <v>8000</v>
      </c>
      <c r="U37" s="36">
        <v>8000</v>
      </c>
      <c r="V37" s="36">
        <v>8000</v>
      </c>
      <c r="W37" s="36">
        <v>8000</v>
      </c>
      <c r="X37" s="36">
        <v>8000</v>
      </c>
      <c r="Y37" s="36">
        <v>8000</v>
      </c>
      <c r="Z37" s="18">
        <f t="shared" si="0"/>
        <v>8000</v>
      </c>
      <c r="AA37" s="18">
        <f t="shared" si="1"/>
        <v>8000</v>
      </c>
      <c r="AB37" s="18">
        <f t="shared" si="2"/>
        <v>8000</v>
      </c>
      <c r="AC37" s="18">
        <f t="shared" si="3"/>
        <v>8000</v>
      </c>
      <c r="AD37" s="18">
        <f t="shared" si="4"/>
        <v>8000</v>
      </c>
      <c r="AE37" s="18">
        <f t="shared" si="5"/>
        <v>8000</v>
      </c>
    </row>
    <row r="38" spans="1:31" ht="15" customHeight="1" x14ac:dyDescent="0.35">
      <c r="A38" s="8">
        <v>34</v>
      </c>
      <c r="B38" s="9" t="s">
        <v>409</v>
      </c>
      <c r="C38" s="8" t="s">
        <v>403</v>
      </c>
      <c r="D38" s="36">
        <v>9000</v>
      </c>
      <c r="E38" s="36">
        <v>9000</v>
      </c>
      <c r="F38" s="36">
        <v>0</v>
      </c>
      <c r="G38" s="36">
        <v>9000</v>
      </c>
      <c r="H38" s="36">
        <v>9000</v>
      </c>
      <c r="I38" s="36">
        <v>10000</v>
      </c>
      <c r="J38" s="36">
        <v>10000</v>
      </c>
      <c r="K38" s="36">
        <v>10000</v>
      </c>
      <c r="L38" s="36">
        <v>10000</v>
      </c>
      <c r="M38" s="36">
        <v>10000</v>
      </c>
      <c r="N38" s="36">
        <v>10000</v>
      </c>
      <c r="O38" s="36">
        <v>10000</v>
      </c>
      <c r="P38" s="36">
        <v>10000</v>
      </c>
      <c r="Q38" s="36">
        <v>10000</v>
      </c>
      <c r="R38" s="36">
        <v>10000</v>
      </c>
      <c r="S38" s="36">
        <v>10000</v>
      </c>
      <c r="T38" s="36">
        <v>10000</v>
      </c>
      <c r="U38" s="36">
        <v>10000</v>
      </c>
      <c r="V38" s="36">
        <v>10000</v>
      </c>
      <c r="W38" s="36">
        <v>10000</v>
      </c>
      <c r="X38" s="36">
        <v>10000</v>
      </c>
      <c r="Y38" s="36">
        <v>10000</v>
      </c>
      <c r="Z38" s="18">
        <f t="shared" si="0"/>
        <v>9000</v>
      </c>
      <c r="AA38" s="18">
        <f t="shared" si="1"/>
        <v>9600</v>
      </c>
      <c r="AB38" s="18">
        <f t="shared" si="2"/>
        <v>10000</v>
      </c>
      <c r="AC38" s="18">
        <f t="shared" si="3"/>
        <v>10000</v>
      </c>
      <c r="AD38" s="18">
        <f t="shared" si="4"/>
        <v>10000</v>
      </c>
      <c r="AE38" s="18">
        <f t="shared" si="5"/>
        <v>9809.5238095238092</v>
      </c>
    </row>
    <row r="39" spans="1:31" ht="15" customHeight="1" x14ac:dyDescent="0.35">
      <c r="A39" s="8">
        <v>35</v>
      </c>
      <c r="B39" s="9" t="s">
        <v>410</v>
      </c>
      <c r="C39" s="8" t="s">
        <v>403</v>
      </c>
      <c r="D39" s="36">
        <v>15000</v>
      </c>
      <c r="E39" s="36">
        <v>15000</v>
      </c>
      <c r="F39" s="36">
        <v>0</v>
      </c>
      <c r="G39" s="36">
        <v>15000</v>
      </c>
      <c r="H39" s="36">
        <v>15000</v>
      </c>
      <c r="I39" s="36">
        <v>15000</v>
      </c>
      <c r="J39" s="36">
        <v>15000</v>
      </c>
      <c r="K39" s="36">
        <v>15000</v>
      </c>
      <c r="L39" s="36">
        <v>15000</v>
      </c>
      <c r="M39" s="36">
        <v>15000</v>
      </c>
      <c r="N39" s="36">
        <v>15000</v>
      </c>
      <c r="O39" s="36">
        <v>15000</v>
      </c>
      <c r="P39" s="36">
        <v>15000</v>
      </c>
      <c r="Q39" s="36">
        <v>15000</v>
      </c>
      <c r="R39" s="36">
        <v>15000</v>
      </c>
      <c r="S39" s="36">
        <v>15000</v>
      </c>
      <c r="T39" s="36">
        <v>15000</v>
      </c>
      <c r="U39" s="36">
        <v>15000</v>
      </c>
      <c r="V39" s="36">
        <v>15000</v>
      </c>
      <c r="W39" s="36">
        <v>15000</v>
      </c>
      <c r="X39" s="36">
        <v>15000</v>
      </c>
      <c r="Y39" s="36">
        <v>15000</v>
      </c>
      <c r="Z39" s="18">
        <f t="shared" si="0"/>
        <v>15000</v>
      </c>
      <c r="AA39" s="18">
        <f t="shared" si="1"/>
        <v>15000</v>
      </c>
      <c r="AB39" s="18">
        <f t="shared" si="2"/>
        <v>15000</v>
      </c>
      <c r="AC39" s="18">
        <f t="shared" si="3"/>
        <v>15000</v>
      </c>
      <c r="AD39" s="18">
        <f t="shared" si="4"/>
        <v>15000</v>
      </c>
      <c r="AE39" s="18">
        <f t="shared" si="5"/>
        <v>15000</v>
      </c>
    </row>
    <row r="40" spans="1:31" ht="15" customHeight="1" x14ac:dyDescent="0.35">
      <c r="A40" s="8">
        <v>36</v>
      </c>
      <c r="B40" s="9" t="s">
        <v>411</v>
      </c>
      <c r="C40" s="8" t="s">
        <v>403</v>
      </c>
      <c r="D40" s="36">
        <v>7000</v>
      </c>
      <c r="E40" s="36">
        <v>7000</v>
      </c>
      <c r="F40" s="36">
        <v>0</v>
      </c>
      <c r="G40" s="36">
        <v>7000</v>
      </c>
      <c r="H40" s="36">
        <v>7000</v>
      </c>
      <c r="I40" s="36">
        <v>6000</v>
      </c>
      <c r="J40" s="36">
        <v>6000</v>
      </c>
      <c r="K40" s="36">
        <v>6000</v>
      </c>
      <c r="L40" s="36">
        <v>6000</v>
      </c>
      <c r="M40" s="36">
        <v>6000</v>
      </c>
      <c r="N40" s="36">
        <v>6000</v>
      </c>
      <c r="O40" s="36">
        <v>6000</v>
      </c>
      <c r="P40" s="36">
        <v>6000</v>
      </c>
      <c r="Q40" s="36">
        <v>6000</v>
      </c>
      <c r="R40" s="36">
        <v>6000</v>
      </c>
      <c r="S40" s="36">
        <v>6000</v>
      </c>
      <c r="T40" s="36">
        <v>6000</v>
      </c>
      <c r="U40" s="36">
        <v>6000</v>
      </c>
      <c r="V40" s="36">
        <v>6000</v>
      </c>
      <c r="W40" s="36">
        <v>6000</v>
      </c>
      <c r="X40" s="36">
        <v>6000</v>
      </c>
      <c r="Y40" s="36">
        <v>6000</v>
      </c>
      <c r="Z40" s="18">
        <f t="shared" si="0"/>
        <v>7000</v>
      </c>
      <c r="AA40" s="18">
        <f t="shared" si="1"/>
        <v>6400</v>
      </c>
      <c r="AB40" s="18">
        <f t="shared" si="2"/>
        <v>6000</v>
      </c>
      <c r="AC40" s="18">
        <f t="shared" si="3"/>
        <v>6000</v>
      </c>
      <c r="AD40" s="18">
        <f t="shared" si="4"/>
        <v>6000</v>
      </c>
      <c r="AE40" s="18">
        <f t="shared" si="5"/>
        <v>6190.4761904761908</v>
      </c>
    </row>
    <row r="41" spans="1:31" ht="15" customHeight="1" x14ac:dyDescent="0.35">
      <c r="A41" s="8">
        <v>37</v>
      </c>
      <c r="B41" s="9" t="s">
        <v>412</v>
      </c>
      <c r="C41" s="8" t="s">
        <v>403</v>
      </c>
      <c r="D41" s="36">
        <v>5000</v>
      </c>
      <c r="E41" s="36">
        <v>5000</v>
      </c>
      <c r="F41" s="36">
        <v>0</v>
      </c>
      <c r="G41" s="36">
        <v>5000</v>
      </c>
      <c r="H41" s="36">
        <v>5000</v>
      </c>
      <c r="I41" s="36">
        <v>5000</v>
      </c>
      <c r="J41" s="36">
        <v>5000</v>
      </c>
      <c r="K41" s="36">
        <v>5000</v>
      </c>
      <c r="L41" s="36">
        <v>5000</v>
      </c>
      <c r="M41" s="36">
        <v>5000</v>
      </c>
      <c r="N41" s="36">
        <v>5000</v>
      </c>
      <c r="O41" s="36">
        <v>5000</v>
      </c>
      <c r="P41" s="36">
        <v>5000</v>
      </c>
      <c r="Q41" s="36">
        <v>5000</v>
      </c>
      <c r="R41" s="36">
        <v>5000</v>
      </c>
      <c r="S41" s="36">
        <v>5000</v>
      </c>
      <c r="T41" s="36">
        <v>5000</v>
      </c>
      <c r="U41" s="36">
        <v>5000</v>
      </c>
      <c r="V41" s="36">
        <v>5000</v>
      </c>
      <c r="W41" s="36">
        <v>5000</v>
      </c>
      <c r="X41" s="36">
        <v>5000</v>
      </c>
      <c r="Y41" s="36">
        <v>5000</v>
      </c>
      <c r="Z41" s="18">
        <f t="shared" si="0"/>
        <v>5000</v>
      </c>
      <c r="AA41" s="18">
        <f t="shared" si="1"/>
        <v>5000</v>
      </c>
      <c r="AB41" s="18">
        <f t="shared" si="2"/>
        <v>5000</v>
      </c>
      <c r="AC41" s="18">
        <f t="shared" si="3"/>
        <v>5000</v>
      </c>
      <c r="AD41" s="18">
        <f t="shared" si="4"/>
        <v>5000</v>
      </c>
      <c r="AE41" s="18">
        <f t="shared" si="5"/>
        <v>5000</v>
      </c>
    </row>
    <row r="42" spans="1:31" ht="15" customHeight="1" x14ac:dyDescent="0.35">
      <c r="A42" s="8">
        <v>38</v>
      </c>
      <c r="B42" s="9" t="s">
        <v>413</v>
      </c>
      <c r="C42" s="8" t="s">
        <v>403</v>
      </c>
      <c r="D42" s="36">
        <v>5000</v>
      </c>
      <c r="E42" s="36">
        <v>5000</v>
      </c>
      <c r="F42" s="36">
        <v>0</v>
      </c>
      <c r="G42" s="36">
        <v>5000</v>
      </c>
      <c r="H42" s="36">
        <v>5000</v>
      </c>
      <c r="I42" s="36">
        <v>5000</v>
      </c>
      <c r="J42" s="36">
        <v>5000</v>
      </c>
      <c r="K42" s="36">
        <v>5000</v>
      </c>
      <c r="L42" s="36">
        <v>5000</v>
      </c>
      <c r="M42" s="36">
        <v>5000</v>
      </c>
      <c r="N42" s="36">
        <v>5000</v>
      </c>
      <c r="O42" s="36">
        <v>5000</v>
      </c>
      <c r="P42" s="36">
        <v>5000</v>
      </c>
      <c r="Q42" s="36">
        <v>5000</v>
      </c>
      <c r="R42" s="36">
        <v>5000</v>
      </c>
      <c r="S42" s="36">
        <v>5000</v>
      </c>
      <c r="T42" s="36">
        <v>5000</v>
      </c>
      <c r="U42" s="36">
        <v>5000</v>
      </c>
      <c r="V42" s="36">
        <v>5000</v>
      </c>
      <c r="W42" s="36">
        <v>5000</v>
      </c>
      <c r="X42" s="36">
        <v>5000</v>
      </c>
      <c r="Y42" s="36">
        <v>5000</v>
      </c>
      <c r="Z42" s="18">
        <f t="shared" si="0"/>
        <v>5000</v>
      </c>
      <c r="AA42" s="18">
        <f t="shared" si="1"/>
        <v>5000</v>
      </c>
      <c r="AB42" s="18">
        <f t="shared" si="2"/>
        <v>5000</v>
      </c>
      <c r="AC42" s="18">
        <f t="shared" si="3"/>
        <v>5000</v>
      </c>
      <c r="AD42" s="18">
        <f t="shared" si="4"/>
        <v>5000</v>
      </c>
      <c r="AE42" s="18">
        <f t="shared" si="5"/>
        <v>5000</v>
      </c>
    </row>
    <row r="43" spans="1:31" ht="15" customHeight="1" x14ac:dyDescent="0.35">
      <c r="A43" s="8">
        <v>39</v>
      </c>
      <c r="B43" s="9" t="s">
        <v>414</v>
      </c>
      <c r="C43" s="8" t="s">
        <v>403</v>
      </c>
      <c r="D43" s="36">
        <v>7000</v>
      </c>
      <c r="E43" s="36">
        <v>7000</v>
      </c>
      <c r="F43" s="36">
        <v>0</v>
      </c>
      <c r="G43" s="36">
        <v>7000</v>
      </c>
      <c r="H43" s="36">
        <v>7000</v>
      </c>
      <c r="I43" s="36">
        <v>7000</v>
      </c>
      <c r="J43" s="36">
        <v>7000</v>
      </c>
      <c r="K43" s="36">
        <v>7000</v>
      </c>
      <c r="L43" s="36">
        <v>7000</v>
      </c>
      <c r="M43" s="36">
        <v>7000</v>
      </c>
      <c r="N43" s="36">
        <v>7000</v>
      </c>
      <c r="O43" s="36">
        <v>7000</v>
      </c>
      <c r="P43" s="36">
        <v>7000</v>
      </c>
      <c r="Q43" s="36">
        <v>7000</v>
      </c>
      <c r="R43" s="36">
        <v>7000</v>
      </c>
      <c r="S43" s="36">
        <v>7000</v>
      </c>
      <c r="T43" s="36">
        <v>7000</v>
      </c>
      <c r="U43" s="36">
        <v>7000</v>
      </c>
      <c r="V43" s="36">
        <v>7000</v>
      </c>
      <c r="W43" s="36">
        <v>7000</v>
      </c>
      <c r="X43" s="36">
        <v>7000</v>
      </c>
      <c r="Y43" s="36">
        <v>7000</v>
      </c>
      <c r="Z43" s="18">
        <f t="shared" si="0"/>
        <v>7000</v>
      </c>
      <c r="AA43" s="18">
        <f t="shared" si="1"/>
        <v>7000</v>
      </c>
      <c r="AB43" s="18">
        <f t="shared" si="2"/>
        <v>7000</v>
      </c>
      <c r="AC43" s="18">
        <f t="shared" si="3"/>
        <v>7000</v>
      </c>
      <c r="AD43" s="18">
        <f t="shared" si="4"/>
        <v>7000</v>
      </c>
      <c r="AE43" s="18">
        <f t="shared" si="5"/>
        <v>7000</v>
      </c>
    </row>
    <row r="44" spans="1:31" ht="15" customHeight="1" x14ac:dyDescent="0.35">
      <c r="A44" s="8">
        <v>40</v>
      </c>
      <c r="B44" s="9" t="s">
        <v>415</v>
      </c>
      <c r="C44" s="8" t="s">
        <v>403</v>
      </c>
      <c r="D44" s="36">
        <v>5000</v>
      </c>
      <c r="E44" s="36">
        <v>5000</v>
      </c>
      <c r="F44" s="36">
        <v>0</v>
      </c>
      <c r="G44" s="36">
        <v>5000</v>
      </c>
      <c r="H44" s="36">
        <v>5000</v>
      </c>
      <c r="I44" s="36">
        <v>5000</v>
      </c>
      <c r="J44" s="36">
        <v>5000</v>
      </c>
      <c r="K44" s="36">
        <v>5000</v>
      </c>
      <c r="L44" s="36">
        <v>5000</v>
      </c>
      <c r="M44" s="36">
        <v>5000</v>
      </c>
      <c r="N44" s="36">
        <v>5000</v>
      </c>
      <c r="O44" s="36">
        <v>5000</v>
      </c>
      <c r="P44" s="36">
        <v>5000</v>
      </c>
      <c r="Q44" s="36">
        <v>5000</v>
      </c>
      <c r="R44" s="36">
        <v>5000</v>
      </c>
      <c r="S44" s="36">
        <v>5000</v>
      </c>
      <c r="T44" s="36">
        <v>5000</v>
      </c>
      <c r="U44" s="36">
        <v>5000</v>
      </c>
      <c r="V44" s="36">
        <v>5000</v>
      </c>
      <c r="W44" s="36">
        <v>5000</v>
      </c>
      <c r="X44" s="36">
        <v>5000</v>
      </c>
      <c r="Y44" s="36">
        <v>5000</v>
      </c>
      <c r="Z44" s="18">
        <f t="shared" si="0"/>
        <v>5000</v>
      </c>
      <c r="AA44" s="18">
        <f t="shared" si="1"/>
        <v>5000</v>
      </c>
      <c r="AB44" s="18">
        <f t="shared" si="2"/>
        <v>5000</v>
      </c>
      <c r="AC44" s="18">
        <f t="shared" si="3"/>
        <v>5000</v>
      </c>
      <c r="AD44" s="18">
        <f t="shared" si="4"/>
        <v>5000</v>
      </c>
      <c r="AE44" s="18">
        <f t="shared" si="5"/>
        <v>5000</v>
      </c>
    </row>
    <row r="45" spans="1:31" ht="15" customHeight="1" x14ac:dyDescent="0.35">
      <c r="A45" s="8">
        <v>41</v>
      </c>
      <c r="B45" s="9" t="s">
        <v>416</v>
      </c>
      <c r="C45" s="8" t="s">
        <v>453</v>
      </c>
      <c r="D45" s="36">
        <v>65000</v>
      </c>
      <c r="E45" s="36">
        <v>65000</v>
      </c>
      <c r="F45" s="36">
        <v>0</v>
      </c>
      <c r="G45" s="36">
        <v>65000</v>
      </c>
      <c r="H45" s="36">
        <v>65000</v>
      </c>
      <c r="I45" s="36">
        <v>65000</v>
      </c>
      <c r="J45" s="36">
        <v>65000</v>
      </c>
      <c r="K45" s="36">
        <v>65000</v>
      </c>
      <c r="L45" s="36">
        <v>65000</v>
      </c>
      <c r="M45" s="36">
        <v>65000</v>
      </c>
      <c r="N45" s="36">
        <v>65000</v>
      </c>
      <c r="O45" s="36">
        <v>65000</v>
      </c>
      <c r="P45" s="36">
        <v>65000</v>
      </c>
      <c r="Q45" s="36">
        <v>65000</v>
      </c>
      <c r="R45" s="36">
        <v>65000</v>
      </c>
      <c r="S45" s="36">
        <v>65000</v>
      </c>
      <c r="T45" s="36">
        <v>65000</v>
      </c>
      <c r="U45" s="36">
        <v>65000</v>
      </c>
      <c r="V45" s="36">
        <v>65000</v>
      </c>
      <c r="W45" s="36">
        <v>65000</v>
      </c>
      <c r="X45" s="36">
        <v>65000</v>
      </c>
      <c r="Y45" s="36">
        <v>65000</v>
      </c>
      <c r="Z45" s="18">
        <f t="shared" si="0"/>
        <v>65000</v>
      </c>
      <c r="AA45" s="18">
        <f t="shared" si="1"/>
        <v>65000</v>
      </c>
      <c r="AB45" s="18">
        <f t="shared" si="2"/>
        <v>65000</v>
      </c>
      <c r="AC45" s="18">
        <f t="shared" si="3"/>
        <v>65000</v>
      </c>
      <c r="AD45" s="18">
        <f t="shared" si="4"/>
        <v>65000</v>
      </c>
      <c r="AE45" s="18">
        <f t="shared" si="5"/>
        <v>65000</v>
      </c>
    </row>
    <row r="46" spans="1:31" ht="15" customHeight="1" x14ac:dyDescent="0.35">
      <c r="A46" s="8">
        <v>42</v>
      </c>
      <c r="B46" s="9" t="s">
        <v>417</v>
      </c>
      <c r="C46" s="8" t="s">
        <v>403</v>
      </c>
      <c r="D46" s="36">
        <v>40000</v>
      </c>
      <c r="E46" s="36">
        <v>40000</v>
      </c>
      <c r="F46" s="36">
        <v>0</v>
      </c>
      <c r="G46" s="36">
        <v>40000</v>
      </c>
      <c r="H46" s="36">
        <v>40000</v>
      </c>
      <c r="I46" s="36">
        <v>40000</v>
      </c>
      <c r="J46" s="36">
        <v>40000</v>
      </c>
      <c r="K46" s="36">
        <v>40000</v>
      </c>
      <c r="L46" s="36">
        <v>40000</v>
      </c>
      <c r="M46" s="36">
        <v>40000</v>
      </c>
      <c r="N46" s="36">
        <v>40000</v>
      </c>
      <c r="O46" s="36">
        <v>40000</v>
      </c>
      <c r="P46" s="36">
        <v>40000</v>
      </c>
      <c r="Q46" s="36">
        <v>40000</v>
      </c>
      <c r="R46" s="36">
        <v>40000</v>
      </c>
      <c r="S46" s="36">
        <v>40000</v>
      </c>
      <c r="T46" s="36">
        <v>40000</v>
      </c>
      <c r="U46" s="36">
        <v>40000</v>
      </c>
      <c r="V46" s="36">
        <v>40000</v>
      </c>
      <c r="W46" s="36">
        <v>40000</v>
      </c>
      <c r="X46" s="36">
        <v>40000</v>
      </c>
      <c r="Y46" s="36">
        <v>40000</v>
      </c>
      <c r="Z46" s="18">
        <f t="shared" si="0"/>
        <v>40000</v>
      </c>
      <c r="AA46" s="18">
        <f t="shared" si="1"/>
        <v>40000</v>
      </c>
      <c r="AB46" s="18">
        <f t="shared" si="2"/>
        <v>40000</v>
      </c>
      <c r="AC46" s="18">
        <f t="shared" si="3"/>
        <v>40000</v>
      </c>
      <c r="AD46" s="18">
        <f t="shared" si="4"/>
        <v>40000</v>
      </c>
      <c r="AE46" s="18">
        <f t="shared" si="5"/>
        <v>40000</v>
      </c>
    </row>
    <row r="47" spans="1:31" ht="15" customHeight="1" x14ac:dyDescent="0.35">
      <c r="A47" s="8">
        <v>43</v>
      </c>
      <c r="B47" s="9" t="s">
        <v>418</v>
      </c>
      <c r="C47" s="8" t="s">
        <v>403</v>
      </c>
      <c r="D47" s="36">
        <v>35000</v>
      </c>
      <c r="E47" s="36">
        <v>35000</v>
      </c>
      <c r="F47" s="36">
        <v>0</v>
      </c>
      <c r="G47" s="36">
        <v>35000</v>
      </c>
      <c r="H47" s="36">
        <v>35000</v>
      </c>
      <c r="I47" s="36">
        <v>31000</v>
      </c>
      <c r="J47" s="36">
        <v>31000</v>
      </c>
      <c r="K47" s="36">
        <v>31000</v>
      </c>
      <c r="L47" s="36">
        <v>31000</v>
      </c>
      <c r="M47" s="36">
        <v>31000</v>
      </c>
      <c r="N47" s="36">
        <v>31000</v>
      </c>
      <c r="O47" s="36">
        <v>31000</v>
      </c>
      <c r="P47" s="36">
        <v>31000</v>
      </c>
      <c r="Q47" s="36">
        <v>31000</v>
      </c>
      <c r="R47" s="36">
        <v>31000</v>
      </c>
      <c r="S47" s="36">
        <v>31000</v>
      </c>
      <c r="T47" s="36">
        <v>31000</v>
      </c>
      <c r="U47" s="36">
        <v>31000</v>
      </c>
      <c r="V47" s="36">
        <v>31000</v>
      </c>
      <c r="W47" s="36">
        <v>31000</v>
      </c>
      <c r="X47" s="36">
        <v>31000</v>
      </c>
      <c r="Y47" s="36">
        <v>30000</v>
      </c>
      <c r="Z47" s="18">
        <f t="shared" si="0"/>
        <v>35000</v>
      </c>
      <c r="AA47" s="18">
        <f t="shared" si="1"/>
        <v>32600</v>
      </c>
      <c r="AB47" s="18">
        <f t="shared" si="2"/>
        <v>31000</v>
      </c>
      <c r="AC47" s="18">
        <f t="shared" si="3"/>
        <v>31000</v>
      </c>
      <c r="AD47" s="18">
        <f t="shared" si="4"/>
        <v>30750</v>
      </c>
      <c r="AE47" s="18">
        <f t="shared" si="5"/>
        <v>31714.285714285714</v>
      </c>
    </row>
    <row r="48" spans="1:31" ht="15" customHeight="1" x14ac:dyDescent="0.35">
      <c r="A48" s="8">
        <v>44</v>
      </c>
      <c r="B48" s="9" t="s">
        <v>419</v>
      </c>
      <c r="C48" s="8" t="s">
        <v>403</v>
      </c>
      <c r="D48" s="36">
        <v>28000</v>
      </c>
      <c r="E48" s="36">
        <v>28000</v>
      </c>
      <c r="F48" s="36">
        <v>0</v>
      </c>
      <c r="G48" s="36">
        <v>28000</v>
      </c>
      <c r="H48" s="36">
        <v>28000</v>
      </c>
      <c r="I48" s="36">
        <v>28000</v>
      </c>
      <c r="J48" s="36">
        <v>28000</v>
      </c>
      <c r="K48" s="36">
        <v>28000</v>
      </c>
      <c r="L48" s="36">
        <v>28000</v>
      </c>
      <c r="M48" s="36">
        <v>28000</v>
      </c>
      <c r="N48" s="36">
        <v>28000</v>
      </c>
      <c r="O48" s="36">
        <v>28000</v>
      </c>
      <c r="P48" s="36">
        <v>28000</v>
      </c>
      <c r="Q48" s="36">
        <v>28000</v>
      </c>
      <c r="R48" s="36">
        <v>28000</v>
      </c>
      <c r="S48" s="36">
        <v>28000</v>
      </c>
      <c r="T48" s="36">
        <v>28000</v>
      </c>
      <c r="U48" s="36">
        <v>28000</v>
      </c>
      <c r="V48" s="36">
        <v>28000</v>
      </c>
      <c r="W48" s="36">
        <v>28000</v>
      </c>
      <c r="X48" s="36">
        <v>28000</v>
      </c>
      <c r="Y48" s="36">
        <v>28000</v>
      </c>
      <c r="Z48" s="18">
        <f t="shared" si="0"/>
        <v>28000</v>
      </c>
      <c r="AA48" s="18">
        <f t="shared" si="1"/>
        <v>28000</v>
      </c>
      <c r="AB48" s="18">
        <f t="shared" si="2"/>
        <v>28000</v>
      </c>
      <c r="AC48" s="18">
        <f t="shared" si="3"/>
        <v>28000</v>
      </c>
      <c r="AD48" s="18">
        <f t="shared" si="4"/>
        <v>28000</v>
      </c>
      <c r="AE48" s="18">
        <f t="shared" si="5"/>
        <v>28000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4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5" customWidth="1"/>
    <col min="2" max="2" width="22" customWidth="1"/>
    <col min="3" max="3" width="6" customWidth="1"/>
    <col min="4" max="24" width="11" customWidth="1"/>
    <col min="25" max="29" width="13" customWidth="1"/>
    <col min="30" max="30" width="14" customWidth="1"/>
  </cols>
  <sheetData>
    <row r="1" spans="1:30" ht="26.25" customHeight="1" x14ac:dyDescent="0.35">
      <c r="A1" s="5" t="s">
        <v>534</v>
      </c>
      <c r="B1" s="5"/>
      <c r="C1" s="5"/>
      <c r="D1" s="5"/>
    </row>
    <row r="2" spans="1:30" ht="18.75" customHeight="1" x14ac:dyDescent="0.35">
      <c r="A2" s="4" t="s">
        <v>371</v>
      </c>
      <c r="B2" s="4"/>
      <c r="C2" s="4"/>
      <c r="D2" s="4"/>
    </row>
    <row r="4" spans="1:30" ht="25.5" customHeight="1" x14ac:dyDescent="0.35">
      <c r="A4" s="6" t="s">
        <v>1</v>
      </c>
      <c r="B4" s="6" t="s">
        <v>372</v>
      </c>
      <c r="C4" s="6" t="s">
        <v>373</v>
      </c>
      <c r="D4" s="6" t="s">
        <v>535</v>
      </c>
      <c r="E4" s="6" t="s">
        <v>536</v>
      </c>
      <c r="F4" s="6" t="s">
        <v>537</v>
      </c>
      <c r="G4" s="6" t="s">
        <v>538</v>
      </c>
      <c r="H4" s="6" t="s">
        <v>539</v>
      </c>
      <c r="I4" s="6" t="s">
        <v>540</v>
      </c>
      <c r="J4" s="6" t="s">
        <v>541</v>
      </c>
      <c r="K4" s="6" t="s">
        <v>542</v>
      </c>
      <c r="L4" s="6" t="s">
        <v>543</v>
      </c>
      <c r="M4" s="6" t="s">
        <v>544</v>
      </c>
      <c r="N4" s="6" t="s">
        <v>545</v>
      </c>
      <c r="O4" s="6" t="s">
        <v>546</v>
      </c>
      <c r="P4" s="6" t="s">
        <v>547</v>
      </c>
      <c r="Q4" s="6" t="s">
        <v>548</v>
      </c>
      <c r="R4" s="6" t="s">
        <v>549</v>
      </c>
      <c r="S4" s="6" t="s">
        <v>550</v>
      </c>
      <c r="T4" s="6" t="s">
        <v>551</v>
      </c>
      <c r="U4" s="6" t="s">
        <v>552</v>
      </c>
      <c r="V4" s="6" t="s">
        <v>553</v>
      </c>
      <c r="W4" s="6" t="s">
        <v>554</v>
      </c>
      <c r="X4" s="6" t="s">
        <v>555</v>
      </c>
      <c r="Y4" s="34" t="s">
        <v>556</v>
      </c>
      <c r="Z4" s="34" t="s">
        <v>557</v>
      </c>
      <c r="AA4" s="34" t="s">
        <v>558</v>
      </c>
      <c r="AB4" s="34" t="s">
        <v>559</v>
      </c>
      <c r="AC4" s="34" t="s">
        <v>560</v>
      </c>
      <c r="AD4" s="35" t="s">
        <v>561</v>
      </c>
    </row>
    <row r="5" spans="1:30" ht="15" customHeight="1" x14ac:dyDescent="0.35">
      <c r="A5" s="8">
        <v>1</v>
      </c>
      <c r="B5" s="9" t="s">
        <v>330</v>
      </c>
      <c r="C5" s="8" t="s">
        <v>403</v>
      </c>
      <c r="D5" s="36">
        <v>0</v>
      </c>
      <c r="E5" s="36">
        <v>13500</v>
      </c>
      <c r="F5" s="36">
        <v>13500</v>
      </c>
      <c r="G5" s="36">
        <v>13500</v>
      </c>
      <c r="H5" s="36">
        <v>13500</v>
      </c>
      <c r="I5" s="36">
        <v>13500</v>
      </c>
      <c r="J5" s="36">
        <v>13450</v>
      </c>
      <c r="K5" s="36">
        <v>13450</v>
      </c>
      <c r="L5" s="36">
        <v>13450</v>
      </c>
      <c r="M5" s="36">
        <v>0</v>
      </c>
      <c r="N5" s="36">
        <v>0</v>
      </c>
      <c r="O5" s="36">
        <v>13450</v>
      </c>
      <c r="P5" s="36">
        <v>13450</v>
      </c>
      <c r="Q5" s="36">
        <v>13450</v>
      </c>
      <c r="R5" s="36">
        <v>13400</v>
      </c>
      <c r="S5" s="36">
        <v>13400</v>
      </c>
      <c r="T5" s="36">
        <v>13300</v>
      </c>
      <c r="U5" s="36">
        <v>13200</v>
      </c>
      <c r="V5" s="36">
        <v>0</v>
      </c>
      <c r="W5" s="36">
        <v>0</v>
      </c>
      <c r="X5" s="36">
        <v>12900</v>
      </c>
      <c r="Y5" s="18" t="str">
        <f t="shared" ref="Y5:Y48" si="0">IFERROR(AVERAGEIF(D5:D5,"&lt;&gt;0"),"")</f>
        <v/>
      </c>
      <c r="Z5" s="18">
        <f t="shared" ref="Z5:Z48" si="1">IFERROR(AVERAGEIF(E5:I5,"&lt;&gt;0"),"")</f>
        <v>13500</v>
      </c>
      <c r="AA5" s="18">
        <f t="shared" ref="AA5:AA48" si="2">IFERROR(AVERAGEIF(J5:N5,"&lt;&gt;0"),"")</f>
        <v>13450</v>
      </c>
      <c r="AB5" s="18">
        <f t="shared" ref="AB5:AB48" si="3">IFERROR(AVERAGEIF(O5:S5,"&lt;&gt;0"),"")</f>
        <v>13430</v>
      </c>
      <c r="AC5" s="18">
        <f t="shared" ref="AC5:AC48" si="4">IFERROR(AVERAGEIF(T5:X5,"&lt;&gt;0"),"")</f>
        <v>13133.333333333334</v>
      </c>
      <c r="AD5" s="18">
        <f t="shared" ref="AD5:AD48" si="5">IFERROR(AVERAGEIF(D5:X5,"&lt;&gt;0"),"")</f>
        <v>13400</v>
      </c>
    </row>
    <row r="6" spans="1:30" ht="15" customHeight="1" x14ac:dyDescent="0.35">
      <c r="A6" s="8">
        <v>2</v>
      </c>
      <c r="B6" s="9" t="s">
        <v>331</v>
      </c>
      <c r="C6" s="8" t="s">
        <v>403</v>
      </c>
      <c r="D6" s="36">
        <v>0</v>
      </c>
      <c r="E6" s="36">
        <v>14900</v>
      </c>
      <c r="F6" s="36">
        <v>14900</v>
      </c>
      <c r="G6" s="36">
        <v>14900</v>
      </c>
      <c r="H6" s="36">
        <v>14900</v>
      </c>
      <c r="I6" s="36">
        <v>14900</v>
      </c>
      <c r="J6" s="36">
        <v>14875</v>
      </c>
      <c r="K6" s="36">
        <v>14875</v>
      </c>
      <c r="L6" s="36">
        <v>14875</v>
      </c>
      <c r="M6" s="36">
        <v>0</v>
      </c>
      <c r="N6" s="36">
        <v>0</v>
      </c>
      <c r="O6" s="36">
        <v>14850</v>
      </c>
      <c r="P6" s="36">
        <v>14850</v>
      </c>
      <c r="Q6" s="36">
        <v>14850</v>
      </c>
      <c r="R6" s="36">
        <v>14800</v>
      </c>
      <c r="S6" s="36">
        <v>14800</v>
      </c>
      <c r="T6" s="36">
        <v>14700</v>
      </c>
      <c r="U6" s="36">
        <v>14700</v>
      </c>
      <c r="V6" s="36">
        <v>0</v>
      </c>
      <c r="W6" s="36">
        <v>0</v>
      </c>
      <c r="X6" s="36">
        <v>14500</v>
      </c>
      <c r="Y6" s="18" t="str">
        <f t="shared" si="0"/>
        <v/>
      </c>
      <c r="Z6" s="18">
        <f t="shared" si="1"/>
        <v>14900</v>
      </c>
      <c r="AA6" s="18">
        <f t="shared" si="2"/>
        <v>14875</v>
      </c>
      <c r="AB6" s="18">
        <f t="shared" si="3"/>
        <v>14830</v>
      </c>
      <c r="AC6" s="18">
        <f t="shared" si="4"/>
        <v>14633.333333333334</v>
      </c>
      <c r="AD6" s="18">
        <f t="shared" si="5"/>
        <v>14823.4375</v>
      </c>
    </row>
    <row r="7" spans="1:30" ht="15" customHeight="1" x14ac:dyDescent="0.35">
      <c r="A7" s="8">
        <v>3</v>
      </c>
      <c r="B7" s="9" t="s">
        <v>332</v>
      </c>
      <c r="C7" s="8" t="s">
        <v>403</v>
      </c>
      <c r="D7" s="36">
        <v>0</v>
      </c>
      <c r="E7" s="36">
        <v>12500</v>
      </c>
      <c r="F7" s="36">
        <v>12500</v>
      </c>
      <c r="G7" s="36">
        <v>12500</v>
      </c>
      <c r="H7" s="36">
        <v>12500</v>
      </c>
      <c r="I7" s="36">
        <v>12500</v>
      </c>
      <c r="J7" s="36">
        <v>12500</v>
      </c>
      <c r="K7" s="36">
        <v>12500</v>
      </c>
      <c r="L7" s="36">
        <v>12500</v>
      </c>
      <c r="M7" s="36">
        <v>0</v>
      </c>
      <c r="N7" s="36">
        <v>0</v>
      </c>
      <c r="O7" s="36">
        <v>12500</v>
      </c>
      <c r="P7" s="36">
        <v>12500</v>
      </c>
      <c r="Q7" s="36">
        <v>12500</v>
      </c>
      <c r="R7" s="36">
        <v>12500</v>
      </c>
      <c r="S7" s="36">
        <v>12500</v>
      </c>
      <c r="T7" s="36">
        <v>12000</v>
      </c>
      <c r="U7" s="36">
        <v>12000</v>
      </c>
      <c r="V7" s="36">
        <v>0</v>
      </c>
      <c r="W7" s="36">
        <v>0</v>
      </c>
      <c r="X7" s="36">
        <v>11800</v>
      </c>
      <c r="Y7" s="18" t="str">
        <f t="shared" si="0"/>
        <v/>
      </c>
      <c r="Z7" s="18">
        <f t="shared" si="1"/>
        <v>12500</v>
      </c>
      <c r="AA7" s="18">
        <f t="shared" si="2"/>
        <v>12500</v>
      </c>
      <c r="AB7" s="18">
        <f t="shared" si="3"/>
        <v>12500</v>
      </c>
      <c r="AC7" s="18">
        <f t="shared" si="4"/>
        <v>11933.333333333334</v>
      </c>
      <c r="AD7" s="18">
        <f t="shared" si="5"/>
        <v>12393.75</v>
      </c>
    </row>
    <row r="8" spans="1:30" ht="15" customHeight="1" x14ac:dyDescent="0.35">
      <c r="A8" s="8">
        <v>4</v>
      </c>
      <c r="B8" s="9" t="s">
        <v>404</v>
      </c>
      <c r="C8" s="8" t="s">
        <v>403</v>
      </c>
      <c r="D8" s="36">
        <v>0</v>
      </c>
      <c r="E8" s="36">
        <v>11000</v>
      </c>
      <c r="F8" s="36">
        <v>11000</v>
      </c>
      <c r="G8" s="36">
        <v>11000</v>
      </c>
      <c r="H8" s="36">
        <v>11000</v>
      </c>
      <c r="I8" s="36">
        <v>11000</v>
      </c>
      <c r="J8" s="36">
        <v>11000</v>
      </c>
      <c r="K8" s="36">
        <v>11000</v>
      </c>
      <c r="L8" s="36">
        <v>11000</v>
      </c>
      <c r="M8" s="36">
        <v>0</v>
      </c>
      <c r="N8" s="36">
        <v>0</v>
      </c>
      <c r="O8" s="36">
        <v>11000</v>
      </c>
      <c r="P8" s="36">
        <v>11000</v>
      </c>
      <c r="Q8" s="36">
        <v>11000</v>
      </c>
      <c r="R8" s="36">
        <v>11000</v>
      </c>
      <c r="S8" s="36">
        <v>11000</v>
      </c>
      <c r="T8" s="36">
        <v>11000</v>
      </c>
      <c r="U8" s="36">
        <v>11000</v>
      </c>
      <c r="V8" s="36">
        <v>0</v>
      </c>
      <c r="W8" s="36">
        <v>0</v>
      </c>
      <c r="X8" s="36">
        <v>11000</v>
      </c>
      <c r="Y8" s="18" t="str">
        <f t="shared" si="0"/>
        <v/>
      </c>
      <c r="Z8" s="18">
        <f t="shared" si="1"/>
        <v>11000</v>
      </c>
      <c r="AA8" s="18">
        <f t="shared" si="2"/>
        <v>11000</v>
      </c>
      <c r="AB8" s="18">
        <f t="shared" si="3"/>
        <v>11000</v>
      </c>
      <c r="AC8" s="18">
        <f t="shared" si="4"/>
        <v>11000</v>
      </c>
      <c r="AD8" s="18">
        <f t="shared" si="5"/>
        <v>11000</v>
      </c>
    </row>
    <row r="9" spans="1:30" ht="15" customHeight="1" x14ac:dyDescent="0.35">
      <c r="A9" s="8">
        <v>5</v>
      </c>
      <c r="B9" s="9" t="s">
        <v>356</v>
      </c>
      <c r="C9" s="8" t="s">
        <v>403</v>
      </c>
      <c r="D9" s="36">
        <v>0</v>
      </c>
      <c r="E9" s="36">
        <v>35000</v>
      </c>
      <c r="F9" s="36">
        <v>35000</v>
      </c>
      <c r="G9" s="36">
        <v>35000</v>
      </c>
      <c r="H9" s="36">
        <v>35000</v>
      </c>
      <c r="I9" s="36">
        <v>35000</v>
      </c>
      <c r="J9" s="36">
        <v>40000</v>
      </c>
      <c r="K9" s="36">
        <v>40000</v>
      </c>
      <c r="L9" s="36">
        <v>42000</v>
      </c>
      <c r="M9" s="36">
        <v>0</v>
      </c>
      <c r="N9" s="36">
        <v>0</v>
      </c>
      <c r="O9" s="36">
        <v>42000</v>
      </c>
      <c r="P9" s="36">
        <v>42000</v>
      </c>
      <c r="Q9" s="36">
        <v>42000</v>
      </c>
      <c r="R9" s="36">
        <v>42000</v>
      </c>
      <c r="S9" s="36">
        <v>45000</v>
      </c>
      <c r="T9" s="36">
        <v>46000</v>
      </c>
      <c r="U9" s="36">
        <v>46000</v>
      </c>
      <c r="V9" s="36">
        <v>0</v>
      </c>
      <c r="W9" s="36">
        <v>0</v>
      </c>
      <c r="X9" s="36">
        <v>46000</v>
      </c>
      <c r="Y9" s="18" t="str">
        <f t="shared" si="0"/>
        <v/>
      </c>
      <c r="Z9" s="18">
        <f t="shared" si="1"/>
        <v>35000</v>
      </c>
      <c r="AA9" s="18">
        <f t="shared" si="2"/>
        <v>40666.666666666664</v>
      </c>
      <c r="AB9" s="18">
        <f t="shared" si="3"/>
        <v>42600</v>
      </c>
      <c r="AC9" s="18">
        <f t="shared" si="4"/>
        <v>46000</v>
      </c>
      <c r="AD9" s="18">
        <f t="shared" si="5"/>
        <v>40500</v>
      </c>
    </row>
    <row r="10" spans="1:30" ht="15" customHeight="1" x14ac:dyDescent="0.35">
      <c r="A10" s="8">
        <v>6</v>
      </c>
      <c r="B10" s="9" t="s">
        <v>357</v>
      </c>
      <c r="C10" s="8" t="s">
        <v>403</v>
      </c>
      <c r="D10" s="36">
        <v>0</v>
      </c>
      <c r="E10" s="36">
        <v>40000</v>
      </c>
      <c r="F10" s="36">
        <v>40000</v>
      </c>
      <c r="G10" s="36">
        <v>40000</v>
      </c>
      <c r="H10" s="36">
        <v>40000</v>
      </c>
      <c r="I10" s="36">
        <v>40000</v>
      </c>
      <c r="J10" s="36">
        <v>46000</v>
      </c>
      <c r="K10" s="36">
        <v>46000</v>
      </c>
      <c r="L10" s="36">
        <v>48000</v>
      </c>
      <c r="M10" s="36">
        <v>0</v>
      </c>
      <c r="N10" s="36">
        <v>0</v>
      </c>
      <c r="O10" s="36">
        <v>46000</v>
      </c>
      <c r="P10" s="36">
        <v>46000</v>
      </c>
      <c r="Q10" s="36">
        <v>46000</v>
      </c>
      <c r="R10" s="36">
        <v>46000</v>
      </c>
      <c r="S10" s="36">
        <v>50000</v>
      </c>
      <c r="T10" s="36">
        <v>51000</v>
      </c>
      <c r="U10" s="36">
        <v>51000</v>
      </c>
      <c r="V10" s="36">
        <v>0</v>
      </c>
      <c r="W10" s="36">
        <v>0</v>
      </c>
      <c r="X10" s="36">
        <v>50000</v>
      </c>
      <c r="Y10" s="18" t="str">
        <f t="shared" si="0"/>
        <v/>
      </c>
      <c r="Z10" s="18">
        <f t="shared" si="1"/>
        <v>40000</v>
      </c>
      <c r="AA10" s="18">
        <f t="shared" si="2"/>
        <v>46666.666666666664</v>
      </c>
      <c r="AB10" s="18">
        <f t="shared" si="3"/>
        <v>46800</v>
      </c>
      <c r="AC10" s="18">
        <f t="shared" si="4"/>
        <v>50666.666666666664</v>
      </c>
      <c r="AD10" s="18">
        <f t="shared" si="5"/>
        <v>45375</v>
      </c>
    </row>
    <row r="11" spans="1:30" ht="15" customHeight="1" x14ac:dyDescent="0.35">
      <c r="A11" s="8">
        <v>7</v>
      </c>
      <c r="B11" s="9" t="s">
        <v>343</v>
      </c>
      <c r="C11" s="8" t="s">
        <v>403</v>
      </c>
      <c r="D11" s="36">
        <v>0</v>
      </c>
      <c r="E11" s="36">
        <v>65000</v>
      </c>
      <c r="F11" s="36">
        <v>65000</v>
      </c>
      <c r="G11" s="36">
        <v>65000</v>
      </c>
      <c r="H11" s="36">
        <v>65000</v>
      </c>
      <c r="I11" s="36">
        <v>65000</v>
      </c>
      <c r="J11" s="36">
        <v>75000</v>
      </c>
      <c r="K11" s="36">
        <v>75000</v>
      </c>
      <c r="L11" s="36">
        <v>70000</v>
      </c>
      <c r="M11" s="36">
        <v>0</v>
      </c>
      <c r="N11" s="36">
        <v>0</v>
      </c>
      <c r="O11" s="36">
        <v>79000</v>
      </c>
      <c r="P11" s="36">
        <v>79000</v>
      </c>
      <c r="Q11" s="36">
        <v>79000</v>
      </c>
      <c r="R11" s="36">
        <v>71000</v>
      </c>
      <c r="S11" s="36">
        <v>80000</v>
      </c>
      <c r="T11" s="36">
        <v>74000</v>
      </c>
      <c r="U11" s="36">
        <v>73000</v>
      </c>
      <c r="V11" s="36">
        <v>0</v>
      </c>
      <c r="W11" s="36">
        <v>0</v>
      </c>
      <c r="X11" s="36">
        <v>70000</v>
      </c>
      <c r="Y11" s="18" t="str">
        <f t="shared" si="0"/>
        <v/>
      </c>
      <c r="Z11" s="18">
        <f t="shared" si="1"/>
        <v>65000</v>
      </c>
      <c r="AA11" s="18">
        <f t="shared" si="2"/>
        <v>73333.333333333328</v>
      </c>
      <c r="AB11" s="18">
        <f t="shared" si="3"/>
        <v>77600</v>
      </c>
      <c r="AC11" s="18">
        <f t="shared" si="4"/>
        <v>72333.333333333328</v>
      </c>
      <c r="AD11" s="18">
        <f t="shared" si="5"/>
        <v>71875</v>
      </c>
    </row>
    <row r="12" spans="1:30" ht="15" customHeight="1" x14ac:dyDescent="0.35">
      <c r="A12" s="8">
        <v>8</v>
      </c>
      <c r="B12" s="9" t="s">
        <v>350</v>
      </c>
      <c r="C12" s="8" t="s">
        <v>403</v>
      </c>
      <c r="D12" s="36">
        <v>0</v>
      </c>
      <c r="E12" s="36">
        <v>37000</v>
      </c>
      <c r="F12" s="36">
        <v>37000</v>
      </c>
      <c r="G12" s="36">
        <v>37000</v>
      </c>
      <c r="H12" s="36">
        <v>37000</v>
      </c>
      <c r="I12" s="36">
        <v>37000</v>
      </c>
      <c r="J12" s="36">
        <v>36000</v>
      </c>
      <c r="K12" s="36">
        <v>36000</v>
      </c>
      <c r="L12" s="36">
        <v>36000</v>
      </c>
      <c r="M12" s="36">
        <v>0</v>
      </c>
      <c r="N12" s="36">
        <v>0</v>
      </c>
      <c r="O12" s="36">
        <v>36000</v>
      </c>
      <c r="P12" s="36">
        <v>36000</v>
      </c>
      <c r="Q12" s="36">
        <v>36000</v>
      </c>
      <c r="R12" s="36">
        <v>40000</v>
      </c>
      <c r="S12" s="36">
        <v>40000</v>
      </c>
      <c r="T12" s="36">
        <v>39000</v>
      </c>
      <c r="U12" s="36">
        <v>38000</v>
      </c>
      <c r="V12" s="36">
        <v>0</v>
      </c>
      <c r="W12" s="36">
        <v>0</v>
      </c>
      <c r="X12" s="36">
        <v>35000</v>
      </c>
      <c r="Y12" s="18" t="str">
        <f t="shared" si="0"/>
        <v/>
      </c>
      <c r="Z12" s="18">
        <f t="shared" si="1"/>
        <v>37000</v>
      </c>
      <c r="AA12" s="18">
        <f t="shared" si="2"/>
        <v>36000</v>
      </c>
      <c r="AB12" s="18">
        <f t="shared" si="3"/>
        <v>37600</v>
      </c>
      <c r="AC12" s="18">
        <f t="shared" si="4"/>
        <v>37333.333333333336</v>
      </c>
      <c r="AD12" s="18">
        <f t="shared" si="5"/>
        <v>37062.5</v>
      </c>
    </row>
    <row r="13" spans="1:30" ht="15" customHeight="1" x14ac:dyDescent="0.35">
      <c r="A13" s="8">
        <v>9</v>
      </c>
      <c r="B13" s="9" t="s">
        <v>345</v>
      </c>
      <c r="C13" s="8" t="s">
        <v>403</v>
      </c>
      <c r="D13" s="36">
        <v>0</v>
      </c>
      <c r="E13" s="36">
        <v>16500</v>
      </c>
      <c r="F13" s="36">
        <v>16500</v>
      </c>
      <c r="G13" s="36">
        <v>16500</v>
      </c>
      <c r="H13" s="36">
        <v>16500</v>
      </c>
      <c r="I13" s="36">
        <v>16500</v>
      </c>
      <c r="J13" s="36">
        <v>16500</v>
      </c>
      <c r="K13" s="36">
        <v>16500</v>
      </c>
      <c r="L13" s="36">
        <v>16500</v>
      </c>
      <c r="M13" s="36">
        <v>0</v>
      </c>
      <c r="N13" s="36">
        <v>0</v>
      </c>
      <c r="O13" s="36">
        <v>16500</v>
      </c>
      <c r="P13" s="36">
        <v>16500</v>
      </c>
      <c r="Q13" s="36">
        <v>16500</v>
      </c>
      <c r="R13" s="36">
        <v>16500</v>
      </c>
      <c r="S13" s="36">
        <v>16500</v>
      </c>
      <c r="T13" s="36">
        <v>16500</v>
      </c>
      <c r="U13" s="36">
        <v>16500</v>
      </c>
      <c r="V13" s="36">
        <v>0</v>
      </c>
      <c r="W13" s="36">
        <v>0</v>
      </c>
      <c r="X13" s="36">
        <v>16500</v>
      </c>
      <c r="Y13" s="18" t="str">
        <f t="shared" si="0"/>
        <v/>
      </c>
      <c r="Z13" s="18">
        <f t="shared" si="1"/>
        <v>16500</v>
      </c>
      <c r="AA13" s="18">
        <f t="shared" si="2"/>
        <v>16500</v>
      </c>
      <c r="AB13" s="18">
        <f t="shared" si="3"/>
        <v>16500</v>
      </c>
      <c r="AC13" s="18">
        <f t="shared" si="4"/>
        <v>16500</v>
      </c>
      <c r="AD13" s="18">
        <f t="shared" si="5"/>
        <v>16500</v>
      </c>
    </row>
    <row r="14" spans="1:30" ht="15" customHeight="1" x14ac:dyDescent="0.35">
      <c r="A14" s="8">
        <v>10</v>
      </c>
      <c r="B14" s="9" t="s">
        <v>336</v>
      </c>
      <c r="C14" s="8" t="s">
        <v>449</v>
      </c>
      <c r="D14" s="36">
        <v>0</v>
      </c>
      <c r="E14" s="36">
        <v>18900</v>
      </c>
      <c r="F14" s="36">
        <v>18900</v>
      </c>
      <c r="G14" s="36">
        <v>18900</v>
      </c>
      <c r="H14" s="36">
        <v>18900</v>
      </c>
      <c r="I14" s="36">
        <v>18900</v>
      </c>
      <c r="J14" s="36">
        <v>18900</v>
      </c>
      <c r="K14" s="36">
        <v>18900</v>
      </c>
      <c r="L14" s="36">
        <v>18900</v>
      </c>
      <c r="M14" s="36">
        <v>0</v>
      </c>
      <c r="N14" s="36">
        <v>0</v>
      </c>
      <c r="O14" s="36">
        <v>18450</v>
      </c>
      <c r="P14" s="36">
        <v>18450</v>
      </c>
      <c r="Q14" s="36">
        <v>18450</v>
      </c>
      <c r="R14" s="36">
        <v>18450</v>
      </c>
      <c r="S14" s="36">
        <v>18450</v>
      </c>
      <c r="T14" s="36">
        <v>18450</v>
      </c>
      <c r="U14" s="36">
        <v>18450</v>
      </c>
      <c r="V14" s="36">
        <v>0</v>
      </c>
      <c r="W14" s="36">
        <v>0</v>
      </c>
      <c r="X14" s="36">
        <v>18450</v>
      </c>
      <c r="Y14" s="18" t="str">
        <f t="shared" si="0"/>
        <v/>
      </c>
      <c r="Z14" s="18">
        <f t="shared" si="1"/>
        <v>18900</v>
      </c>
      <c r="AA14" s="18">
        <f t="shared" si="2"/>
        <v>18900</v>
      </c>
      <c r="AB14" s="18">
        <f t="shared" si="3"/>
        <v>18450</v>
      </c>
      <c r="AC14" s="18">
        <f t="shared" si="4"/>
        <v>18450</v>
      </c>
      <c r="AD14" s="18">
        <f t="shared" si="5"/>
        <v>18675</v>
      </c>
    </row>
    <row r="15" spans="1:30" ht="21.75" customHeight="1" x14ac:dyDescent="0.35">
      <c r="A15" s="8">
        <v>11</v>
      </c>
      <c r="B15" s="9" t="s">
        <v>337</v>
      </c>
      <c r="C15" s="8" t="s">
        <v>449</v>
      </c>
      <c r="D15" s="36">
        <v>0</v>
      </c>
      <c r="E15" s="36">
        <v>23000</v>
      </c>
      <c r="F15" s="36">
        <v>23000</v>
      </c>
      <c r="G15" s="36">
        <v>23000</v>
      </c>
      <c r="H15" s="36">
        <v>23000</v>
      </c>
      <c r="I15" s="36">
        <v>23000</v>
      </c>
      <c r="J15" s="36">
        <v>23000</v>
      </c>
      <c r="K15" s="36">
        <v>23000</v>
      </c>
      <c r="L15" s="36">
        <v>23000</v>
      </c>
      <c r="M15" s="36">
        <v>0</v>
      </c>
      <c r="N15" s="36">
        <v>0</v>
      </c>
      <c r="O15" s="36">
        <v>23000</v>
      </c>
      <c r="P15" s="36">
        <v>23000</v>
      </c>
      <c r="Q15" s="36">
        <v>23000</v>
      </c>
      <c r="R15" s="36">
        <v>23000</v>
      </c>
      <c r="S15" s="36">
        <v>23000</v>
      </c>
      <c r="T15" s="36">
        <v>23000</v>
      </c>
      <c r="U15" s="36">
        <v>23000</v>
      </c>
      <c r="V15" s="36">
        <v>0</v>
      </c>
      <c r="W15" s="36">
        <v>0</v>
      </c>
      <c r="X15" s="36">
        <v>23000</v>
      </c>
      <c r="Y15" s="18" t="str">
        <f t="shared" si="0"/>
        <v/>
      </c>
      <c r="Z15" s="18">
        <f t="shared" si="1"/>
        <v>23000</v>
      </c>
      <c r="AA15" s="18">
        <f t="shared" si="2"/>
        <v>23000</v>
      </c>
      <c r="AB15" s="18">
        <f t="shared" si="3"/>
        <v>23000</v>
      </c>
      <c r="AC15" s="18">
        <f t="shared" si="4"/>
        <v>23000</v>
      </c>
      <c r="AD15" s="18">
        <f t="shared" si="5"/>
        <v>23000</v>
      </c>
    </row>
    <row r="16" spans="1:30" ht="15" customHeight="1" x14ac:dyDescent="0.35">
      <c r="A16" s="8">
        <v>12</v>
      </c>
      <c r="B16" s="9" t="s">
        <v>338</v>
      </c>
      <c r="C16" s="8" t="s">
        <v>449</v>
      </c>
      <c r="D16" s="36">
        <v>0</v>
      </c>
      <c r="E16" s="36">
        <v>15700</v>
      </c>
      <c r="F16" s="36">
        <v>15700</v>
      </c>
      <c r="G16" s="36">
        <v>15700</v>
      </c>
      <c r="H16" s="36">
        <v>15700</v>
      </c>
      <c r="I16" s="36">
        <v>15700</v>
      </c>
      <c r="J16" s="36">
        <v>15700</v>
      </c>
      <c r="K16" s="36">
        <v>15700</v>
      </c>
      <c r="L16" s="36">
        <v>15700</v>
      </c>
      <c r="M16" s="36">
        <v>0</v>
      </c>
      <c r="N16" s="36">
        <v>0</v>
      </c>
      <c r="O16" s="36">
        <v>15500</v>
      </c>
      <c r="P16" s="36">
        <v>15500</v>
      </c>
      <c r="Q16" s="36">
        <v>15500</v>
      </c>
      <c r="R16" s="36">
        <v>15500</v>
      </c>
      <c r="S16" s="36">
        <v>15500</v>
      </c>
      <c r="T16" s="36">
        <v>15500</v>
      </c>
      <c r="U16" s="36">
        <v>15500</v>
      </c>
      <c r="V16" s="36">
        <v>0</v>
      </c>
      <c r="W16" s="36">
        <v>0</v>
      </c>
      <c r="X16" s="36">
        <v>15500</v>
      </c>
      <c r="Y16" s="18" t="str">
        <f t="shared" si="0"/>
        <v/>
      </c>
      <c r="Z16" s="18">
        <f t="shared" si="1"/>
        <v>15700</v>
      </c>
      <c r="AA16" s="18">
        <f t="shared" si="2"/>
        <v>15700</v>
      </c>
      <c r="AB16" s="18">
        <f t="shared" si="3"/>
        <v>15500</v>
      </c>
      <c r="AC16" s="18">
        <f t="shared" si="4"/>
        <v>15500</v>
      </c>
      <c r="AD16" s="18">
        <f t="shared" si="5"/>
        <v>15600</v>
      </c>
    </row>
    <row r="17" spans="1:30" ht="15" customHeight="1" x14ac:dyDescent="0.35">
      <c r="A17" s="8">
        <v>13</v>
      </c>
      <c r="B17" s="9" t="s">
        <v>333</v>
      </c>
      <c r="C17" s="8" t="s">
        <v>403</v>
      </c>
      <c r="D17" s="36">
        <v>0</v>
      </c>
      <c r="E17" s="36">
        <v>11000</v>
      </c>
      <c r="F17" s="36">
        <v>11000</v>
      </c>
      <c r="G17" s="36">
        <v>11000</v>
      </c>
      <c r="H17" s="36">
        <v>11000</v>
      </c>
      <c r="I17" s="36">
        <v>11000</v>
      </c>
      <c r="J17" s="36">
        <v>11000</v>
      </c>
      <c r="K17" s="36">
        <v>11000</v>
      </c>
      <c r="L17" s="36">
        <v>11000</v>
      </c>
      <c r="M17" s="36">
        <v>0</v>
      </c>
      <c r="N17" s="36">
        <v>0</v>
      </c>
      <c r="O17" s="36">
        <v>11000</v>
      </c>
      <c r="P17" s="36">
        <v>11000</v>
      </c>
      <c r="Q17" s="36">
        <v>11000</v>
      </c>
      <c r="R17" s="36">
        <v>11000</v>
      </c>
      <c r="S17" s="36">
        <v>11000</v>
      </c>
      <c r="T17" s="36">
        <v>11000</v>
      </c>
      <c r="U17" s="36">
        <v>11000</v>
      </c>
      <c r="V17" s="36">
        <v>0</v>
      </c>
      <c r="W17" s="36">
        <v>0</v>
      </c>
      <c r="X17" s="36">
        <v>11000</v>
      </c>
      <c r="Y17" s="18" t="str">
        <f t="shared" si="0"/>
        <v/>
      </c>
      <c r="Z17" s="18">
        <f t="shared" si="1"/>
        <v>11000</v>
      </c>
      <c r="AA17" s="18">
        <f t="shared" si="2"/>
        <v>11000</v>
      </c>
      <c r="AB17" s="18">
        <f t="shared" si="3"/>
        <v>11000</v>
      </c>
      <c r="AC17" s="18">
        <f t="shared" si="4"/>
        <v>11000</v>
      </c>
      <c r="AD17" s="18">
        <f t="shared" si="5"/>
        <v>11000</v>
      </c>
    </row>
    <row r="18" spans="1:30" ht="15" customHeight="1" x14ac:dyDescent="0.35">
      <c r="A18" s="8">
        <v>14</v>
      </c>
      <c r="B18" s="9" t="s">
        <v>335</v>
      </c>
      <c r="C18" s="8" t="s">
        <v>403</v>
      </c>
      <c r="D18" s="36">
        <v>0</v>
      </c>
      <c r="E18" s="36">
        <v>34000</v>
      </c>
      <c r="F18" s="36">
        <v>34000</v>
      </c>
      <c r="G18" s="36">
        <v>34000</v>
      </c>
      <c r="H18" s="36">
        <v>34000</v>
      </c>
      <c r="I18" s="36">
        <v>34000</v>
      </c>
      <c r="J18" s="36">
        <v>34000</v>
      </c>
      <c r="K18" s="36">
        <v>34000</v>
      </c>
      <c r="L18" s="36">
        <v>33000</v>
      </c>
      <c r="M18" s="36">
        <v>0</v>
      </c>
      <c r="N18" s="36">
        <v>0</v>
      </c>
      <c r="O18" s="36">
        <v>32000</v>
      </c>
      <c r="P18" s="36">
        <v>32000</v>
      </c>
      <c r="Q18" s="36">
        <v>32000</v>
      </c>
      <c r="R18" s="36">
        <v>32000</v>
      </c>
      <c r="S18" s="36">
        <v>32000</v>
      </c>
      <c r="T18" s="36">
        <v>32000</v>
      </c>
      <c r="U18" s="36">
        <v>32000</v>
      </c>
      <c r="V18" s="36">
        <v>0</v>
      </c>
      <c r="W18" s="36">
        <v>0</v>
      </c>
      <c r="X18" s="36">
        <v>32000</v>
      </c>
      <c r="Y18" s="18" t="str">
        <f t="shared" si="0"/>
        <v/>
      </c>
      <c r="Z18" s="18">
        <f t="shared" si="1"/>
        <v>34000</v>
      </c>
      <c r="AA18" s="18">
        <f t="shared" si="2"/>
        <v>33666.666666666664</v>
      </c>
      <c r="AB18" s="18">
        <f t="shared" si="3"/>
        <v>32000</v>
      </c>
      <c r="AC18" s="18">
        <f t="shared" si="4"/>
        <v>32000</v>
      </c>
      <c r="AD18" s="18">
        <f t="shared" si="5"/>
        <v>32937.5</v>
      </c>
    </row>
    <row r="19" spans="1:30" ht="15" customHeight="1" x14ac:dyDescent="0.35">
      <c r="A19" s="8">
        <v>15</v>
      </c>
      <c r="B19" s="9" t="s">
        <v>344</v>
      </c>
      <c r="C19" s="8" t="s">
        <v>403</v>
      </c>
      <c r="D19" s="36">
        <v>0</v>
      </c>
      <c r="E19" s="36">
        <v>25000</v>
      </c>
      <c r="F19" s="36">
        <v>25000</v>
      </c>
      <c r="G19" s="36">
        <v>25000</v>
      </c>
      <c r="H19" s="36">
        <v>25000</v>
      </c>
      <c r="I19" s="36">
        <v>25000</v>
      </c>
      <c r="J19" s="36">
        <v>25000</v>
      </c>
      <c r="K19" s="36">
        <v>25000</v>
      </c>
      <c r="L19" s="36">
        <v>24500</v>
      </c>
      <c r="M19" s="36">
        <v>0</v>
      </c>
      <c r="N19" s="36">
        <v>0</v>
      </c>
      <c r="O19" s="36">
        <v>24000</v>
      </c>
      <c r="P19" s="36">
        <v>24000</v>
      </c>
      <c r="Q19" s="36">
        <v>24000</v>
      </c>
      <c r="R19" s="36">
        <v>24000</v>
      </c>
      <c r="S19" s="36">
        <v>24000</v>
      </c>
      <c r="T19" s="36">
        <v>25000</v>
      </c>
      <c r="U19" s="36">
        <v>25000</v>
      </c>
      <c r="V19" s="36">
        <v>0</v>
      </c>
      <c r="W19" s="36">
        <v>0</v>
      </c>
      <c r="X19" s="36">
        <v>25000</v>
      </c>
      <c r="Y19" s="18" t="str">
        <f t="shared" si="0"/>
        <v/>
      </c>
      <c r="Z19" s="18">
        <f t="shared" si="1"/>
        <v>25000</v>
      </c>
      <c r="AA19" s="18">
        <f t="shared" si="2"/>
        <v>24833.333333333332</v>
      </c>
      <c r="AB19" s="18">
        <f t="shared" si="3"/>
        <v>24000</v>
      </c>
      <c r="AC19" s="18">
        <f t="shared" si="4"/>
        <v>25000</v>
      </c>
      <c r="AD19" s="18">
        <f t="shared" si="5"/>
        <v>24656.25</v>
      </c>
    </row>
    <row r="20" spans="1:30" ht="15" customHeight="1" x14ac:dyDescent="0.35">
      <c r="A20" s="8">
        <v>16</v>
      </c>
      <c r="B20" s="9" t="s">
        <v>358</v>
      </c>
      <c r="C20" s="8" t="s">
        <v>403</v>
      </c>
      <c r="D20" s="36">
        <v>0</v>
      </c>
      <c r="E20" s="36">
        <v>115000</v>
      </c>
      <c r="F20" s="36">
        <v>115000</v>
      </c>
      <c r="G20" s="36">
        <v>115000</v>
      </c>
      <c r="H20" s="36">
        <v>115000</v>
      </c>
      <c r="I20" s="36">
        <v>115000</v>
      </c>
      <c r="J20" s="36">
        <v>115000</v>
      </c>
      <c r="K20" s="36">
        <v>115000</v>
      </c>
      <c r="L20" s="36">
        <v>115000</v>
      </c>
      <c r="M20" s="36">
        <v>0</v>
      </c>
      <c r="N20" s="36">
        <v>0</v>
      </c>
      <c r="O20" s="36">
        <v>115000</v>
      </c>
      <c r="P20" s="36">
        <v>115000</v>
      </c>
      <c r="Q20" s="36">
        <v>115000</v>
      </c>
      <c r="R20" s="36">
        <v>115000</v>
      </c>
      <c r="S20" s="36">
        <v>115000</v>
      </c>
      <c r="T20" s="36">
        <v>115000</v>
      </c>
      <c r="U20" s="36">
        <v>115000</v>
      </c>
      <c r="V20" s="36">
        <v>0</v>
      </c>
      <c r="W20" s="36">
        <v>0</v>
      </c>
      <c r="X20" s="36">
        <v>115000</v>
      </c>
      <c r="Y20" s="18" t="str">
        <f t="shared" si="0"/>
        <v/>
      </c>
      <c r="Z20" s="18">
        <f t="shared" si="1"/>
        <v>115000</v>
      </c>
      <c r="AA20" s="18">
        <f t="shared" si="2"/>
        <v>115000</v>
      </c>
      <c r="AB20" s="18">
        <f t="shared" si="3"/>
        <v>115000</v>
      </c>
      <c r="AC20" s="18">
        <f t="shared" si="4"/>
        <v>115000</v>
      </c>
      <c r="AD20" s="18">
        <f t="shared" si="5"/>
        <v>115000</v>
      </c>
    </row>
    <row r="21" spans="1:30" ht="15" customHeight="1" x14ac:dyDescent="0.35">
      <c r="A21" s="8">
        <v>17</v>
      </c>
      <c r="B21" s="9" t="s">
        <v>359</v>
      </c>
      <c r="C21" s="8" t="s">
        <v>403</v>
      </c>
      <c r="D21" s="36">
        <v>0</v>
      </c>
      <c r="E21" s="36">
        <v>70000</v>
      </c>
      <c r="F21" s="36">
        <v>70000</v>
      </c>
      <c r="G21" s="36">
        <v>70000</v>
      </c>
      <c r="H21" s="36">
        <v>70000</v>
      </c>
      <c r="I21" s="36">
        <v>70000</v>
      </c>
      <c r="J21" s="36">
        <v>70000</v>
      </c>
      <c r="K21" s="36">
        <v>70000</v>
      </c>
      <c r="L21" s="36">
        <v>70000</v>
      </c>
      <c r="M21" s="36">
        <v>0</v>
      </c>
      <c r="N21" s="36">
        <v>0</v>
      </c>
      <c r="O21" s="36">
        <v>70000</v>
      </c>
      <c r="P21" s="36">
        <v>70000</v>
      </c>
      <c r="Q21" s="36">
        <v>70000</v>
      </c>
      <c r="R21" s="36">
        <v>70000</v>
      </c>
      <c r="S21" s="36">
        <v>70000</v>
      </c>
      <c r="T21" s="36">
        <v>70000</v>
      </c>
      <c r="U21" s="36">
        <v>70000</v>
      </c>
      <c r="V21" s="36">
        <v>0</v>
      </c>
      <c r="W21" s="36">
        <v>0</v>
      </c>
      <c r="X21" s="36">
        <v>70000</v>
      </c>
      <c r="Y21" s="18" t="str">
        <f t="shared" si="0"/>
        <v/>
      </c>
      <c r="Z21" s="18">
        <f t="shared" si="1"/>
        <v>70000</v>
      </c>
      <c r="AA21" s="18">
        <f t="shared" si="2"/>
        <v>70000</v>
      </c>
      <c r="AB21" s="18">
        <f t="shared" si="3"/>
        <v>70000</v>
      </c>
      <c r="AC21" s="18">
        <f t="shared" si="4"/>
        <v>70000</v>
      </c>
      <c r="AD21" s="18">
        <f t="shared" si="5"/>
        <v>70000</v>
      </c>
    </row>
    <row r="22" spans="1:30" ht="15" customHeight="1" x14ac:dyDescent="0.35">
      <c r="A22" s="8">
        <v>18</v>
      </c>
      <c r="B22" s="9" t="s">
        <v>360</v>
      </c>
      <c r="C22" s="8" t="s">
        <v>403</v>
      </c>
      <c r="D22" s="36">
        <v>0</v>
      </c>
      <c r="E22" s="36">
        <v>80000</v>
      </c>
      <c r="F22" s="36">
        <v>80000</v>
      </c>
      <c r="G22" s="36">
        <v>80000</v>
      </c>
      <c r="H22" s="36">
        <v>80000</v>
      </c>
      <c r="I22" s="36">
        <v>80000</v>
      </c>
      <c r="J22" s="36">
        <v>80000</v>
      </c>
      <c r="K22" s="36">
        <v>80000</v>
      </c>
      <c r="L22" s="36">
        <v>80000</v>
      </c>
      <c r="M22" s="36">
        <v>0</v>
      </c>
      <c r="N22" s="36">
        <v>0</v>
      </c>
      <c r="O22" s="36">
        <v>80000</v>
      </c>
      <c r="P22" s="36">
        <v>80000</v>
      </c>
      <c r="Q22" s="36">
        <v>80000</v>
      </c>
      <c r="R22" s="36">
        <v>80000</v>
      </c>
      <c r="S22" s="36">
        <v>80000</v>
      </c>
      <c r="T22" s="36">
        <v>80000</v>
      </c>
      <c r="U22" s="36">
        <v>80000</v>
      </c>
      <c r="V22" s="36">
        <v>0</v>
      </c>
      <c r="W22" s="36">
        <v>0</v>
      </c>
      <c r="X22" s="36">
        <v>80000</v>
      </c>
      <c r="Y22" s="18" t="str">
        <f t="shared" si="0"/>
        <v/>
      </c>
      <c r="Z22" s="18">
        <f t="shared" si="1"/>
        <v>80000</v>
      </c>
      <c r="AA22" s="18">
        <f t="shared" si="2"/>
        <v>80000</v>
      </c>
      <c r="AB22" s="18">
        <f t="shared" si="3"/>
        <v>80000</v>
      </c>
      <c r="AC22" s="18">
        <f t="shared" si="4"/>
        <v>80000</v>
      </c>
      <c r="AD22" s="18">
        <f t="shared" si="5"/>
        <v>80000</v>
      </c>
    </row>
    <row r="23" spans="1:30" ht="15" customHeight="1" x14ac:dyDescent="0.35">
      <c r="A23" s="8">
        <v>19</v>
      </c>
      <c r="B23" s="9" t="s">
        <v>405</v>
      </c>
      <c r="C23" s="8" t="s">
        <v>403</v>
      </c>
      <c r="D23" s="36">
        <v>0</v>
      </c>
      <c r="E23" s="36">
        <v>45000</v>
      </c>
      <c r="F23" s="36">
        <v>45000</v>
      </c>
      <c r="G23" s="36">
        <v>45000</v>
      </c>
      <c r="H23" s="36">
        <v>45000</v>
      </c>
      <c r="I23" s="36">
        <v>45000</v>
      </c>
      <c r="J23" s="36">
        <v>35000</v>
      </c>
      <c r="K23" s="36">
        <v>35000</v>
      </c>
      <c r="L23" s="36">
        <v>35000</v>
      </c>
      <c r="M23" s="36">
        <v>0</v>
      </c>
      <c r="N23" s="36">
        <v>0</v>
      </c>
      <c r="O23" s="36">
        <v>35000</v>
      </c>
      <c r="P23" s="36">
        <v>35000</v>
      </c>
      <c r="Q23" s="36">
        <v>35000</v>
      </c>
      <c r="R23" s="36">
        <v>35000</v>
      </c>
      <c r="S23" s="36">
        <v>35000</v>
      </c>
      <c r="T23" s="36">
        <v>35000</v>
      </c>
      <c r="U23" s="36">
        <v>35000</v>
      </c>
      <c r="V23" s="36">
        <v>0</v>
      </c>
      <c r="W23" s="36">
        <v>0</v>
      </c>
      <c r="X23" s="36">
        <v>35000</v>
      </c>
      <c r="Y23" s="18" t="str">
        <f t="shared" si="0"/>
        <v/>
      </c>
      <c r="Z23" s="18">
        <f t="shared" si="1"/>
        <v>45000</v>
      </c>
      <c r="AA23" s="18">
        <f t="shared" si="2"/>
        <v>35000</v>
      </c>
      <c r="AB23" s="18">
        <f t="shared" si="3"/>
        <v>35000</v>
      </c>
      <c r="AC23" s="18">
        <f t="shared" si="4"/>
        <v>35000</v>
      </c>
      <c r="AD23" s="18">
        <f t="shared" si="5"/>
        <v>38125</v>
      </c>
    </row>
    <row r="24" spans="1:30" ht="15" customHeight="1" x14ac:dyDescent="0.35">
      <c r="A24" s="8">
        <v>20</v>
      </c>
      <c r="B24" s="9" t="s">
        <v>346</v>
      </c>
      <c r="C24" s="8" t="s">
        <v>403</v>
      </c>
      <c r="D24" s="36">
        <v>0</v>
      </c>
      <c r="E24" s="36">
        <v>45000</v>
      </c>
      <c r="F24" s="36">
        <v>45000</v>
      </c>
      <c r="G24" s="36">
        <v>45000</v>
      </c>
      <c r="H24" s="36">
        <v>45000</v>
      </c>
      <c r="I24" s="36">
        <v>45000</v>
      </c>
      <c r="J24" s="36">
        <v>45000</v>
      </c>
      <c r="K24" s="36">
        <v>45000</v>
      </c>
      <c r="L24" s="36">
        <v>45000</v>
      </c>
      <c r="M24" s="36">
        <v>0</v>
      </c>
      <c r="N24" s="36">
        <v>0</v>
      </c>
      <c r="O24" s="36">
        <v>45000</v>
      </c>
      <c r="P24" s="36">
        <v>45000</v>
      </c>
      <c r="Q24" s="36">
        <v>45000</v>
      </c>
      <c r="R24" s="36">
        <v>45000</v>
      </c>
      <c r="S24" s="36">
        <v>45000</v>
      </c>
      <c r="T24" s="36">
        <v>45000</v>
      </c>
      <c r="U24" s="36">
        <v>45000</v>
      </c>
      <c r="V24" s="36">
        <v>0</v>
      </c>
      <c r="W24" s="36">
        <v>0</v>
      </c>
      <c r="X24" s="36">
        <v>45000</v>
      </c>
      <c r="Y24" s="18" t="str">
        <f t="shared" si="0"/>
        <v/>
      </c>
      <c r="Z24" s="18">
        <f t="shared" si="1"/>
        <v>45000</v>
      </c>
      <c r="AA24" s="18">
        <f t="shared" si="2"/>
        <v>45000</v>
      </c>
      <c r="AB24" s="18">
        <f t="shared" si="3"/>
        <v>45000</v>
      </c>
      <c r="AC24" s="18">
        <f t="shared" si="4"/>
        <v>45000</v>
      </c>
      <c r="AD24" s="18">
        <f t="shared" si="5"/>
        <v>45000</v>
      </c>
    </row>
    <row r="25" spans="1:30" ht="15" customHeight="1" x14ac:dyDescent="0.35">
      <c r="A25" s="8">
        <v>21</v>
      </c>
      <c r="B25" s="9" t="s">
        <v>406</v>
      </c>
      <c r="C25" s="8" t="s">
        <v>403</v>
      </c>
      <c r="D25" s="36">
        <v>0</v>
      </c>
      <c r="E25" s="36">
        <v>80000</v>
      </c>
      <c r="F25" s="36">
        <v>80000</v>
      </c>
      <c r="G25" s="36">
        <v>80000</v>
      </c>
      <c r="H25" s="36">
        <v>80000</v>
      </c>
      <c r="I25" s="36">
        <v>80000</v>
      </c>
      <c r="J25" s="36">
        <v>80000</v>
      </c>
      <c r="K25" s="36">
        <v>80000</v>
      </c>
      <c r="L25" s="36">
        <v>80000</v>
      </c>
      <c r="M25" s="36">
        <v>0</v>
      </c>
      <c r="N25" s="36">
        <v>0</v>
      </c>
      <c r="O25" s="36">
        <v>80000</v>
      </c>
      <c r="P25" s="36">
        <v>80000</v>
      </c>
      <c r="Q25" s="36">
        <v>80000</v>
      </c>
      <c r="R25" s="36">
        <v>80000</v>
      </c>
      <c r="S25" s="36">
        <v>80000</v>
      </c>
      <c r="T25" s="36">
        <v>80000</v>
      </c>
      <c r="U25" s="36">
        <v>80000</v>
      </c>
      <c r="V25" s="36">
        <v>0</v>
      </c>
      <c r="W25" s="36">
        <v>0</v>
      </c>
      <c r="X25" s="36">
        <v>80000</v>
      </c>
      <c r="Y25" s="18" t="str">
        <f t="shared" si="0"/>
        <v/>
      </c>
      <c r="Z25" s="18">
        <f t="shared" si="1"/>
        <v>80000</v>
      </c>
      <c r="AA25" s="18">
        <f t="shared" si="2"/>
        <v>80000</v>
      </c>
      <c r="AB25" s="18">
        <f t="shared" si="3"/>
        <v>80000</v>
      </c>
      <c r="AC25" s="18">
        <f t="shared" si="4"/>
        <v>80000</v>
      </c>
      <c r="AD25" s="18">
        <f t="shared" si="5"/>
        <v>80000</v>
      </c>
    </row>
    <row r="26" spans="1:30" ht="21.75" customHeight="1" x14ac:dyDescent="0.35">
      <c r="A26" s="8">
        <v>22</v>
      </c>
      <c r="B26" s="9" t="s">
        <v>353</v>
      </c>
      <c r="C26" s="8" t="s">
        <v>450</v>
      </c>
      <c r="D26" s="36">
        <v>0</v>
      </c>
      <c r="E26" s="36">
        <v>2800</v>
      </c>
      <c r="F26" s="36">
        <v>2800</v>
      </c>
      <c r="G26" s="36">
        <v>2800</v>
      </c>
      <c r="H26" s="36">
        <v>2800</v>
      </c>
      <c r="I26" s="36">
        <v>2800</v>
      </c>
      <c r="J26" s="36">
        <v>2800</v>
      </c>
      <c r="K26" s="36">
        <v>2800</v>
      </c>
      <c r="L26" s="36">
        <v>2800</v>
      </c>
      <c r="M26" s="36">
        <v>0</v>
      </c>
      <c r="N26" s="36">
        <v>0</v>
      </c>
      <c r="O26" s="36">
        <v>2800</v>
      </c>
      <c r="P26" s="36">
        <v>2800</v>
      </c>
      <c r="Q26" s="36">
        <v>2800</v>
      </c>
      <c r="R26" s="36">
        <v>2800</v>
      </c>
      <c r="S26" s="36">
        <v>2800</v>
      </c>
      <c r="T26" s="36">
        <v>2800</v>
      </c>
      <c r="U26" s="36">
        <v>2800</v>
      </c>
      <c r="V26" s="36">
        <v>0</v>
      </c>
      <c r="W26" s="36">
        <v>0</v>
      </c>
      <c r="X26" s="36">
        <v>2800</v>
      </c>
      <c r="Y26" s="18" t="str">
        <f t="shared" si="0"/>
        <v/>
      </c>
      <c r="Z26" s="18">
        <f t="shared" si="1"/>
        <v>2800</v>
      </c>
      <c r="AA26" s="18">
        <f t="shared" si="2"/>
        <v>2800</v>
      </c>
      <c r="AB26" s="18">
        <f t="shared" si="3"/>
        <v>2800</v>
      </c>
      <c r="AC26" s="18">
        <f t="shared" si="4"/>
        <v>2800</v>
      </c>
      <c r="AD26" s="18">
        <f t="shared" si="5"/>
        <v>2800</v>
      </c>
    </row>
    <row r="27" spans="1:30" ht="15" customHeight="1" x14ac:dyDescent="0.35">
      <c r="A27" s="8">
        <v>23</v>
      </c>
      <c r="B27" s="9" t="s">
        <v>351</v>
      </c>
      <c r="C27" s="8" t="s">
        <v>403</v>
      </c>
      <c r="D27" s="36">
        <v>0</v>
      </c>
      <c r="E27" s="36">
        <v>29000</v>
      </c>
      <c r="F27" s="36">
        <v>29000</v>
      </c>
      <c r="G27" s="36">
        <v>29000</v>
      </c>
      <c r="H27" s="36">
        <v>29000</v>
      </c>
      <c r="I27" s="36">
        <v>29000</v>
      </c>
      <c r="J27" s="36">
        <v>29000</v>
      </c>
      <c r="K27" s="36">
        <v>29000</v>
      </c>
      <c r="L27" s="36">
        <v>28000</v>
      </c>
      <c r="M27" s="36">
        <v>0</v>
      </c>
      <c r="N27" s="36">
        <v>0</v>
      </c>
      <c r="O27" s="36">
        <v>28000</v>
      </c>
      <c r="P27" s="36">
        <v>28000</v>
      </c>
      <c r="Q27" s="36">
        <v>28000</v>
      </c>
      <c r="R27" s="36">
        <v>27000</v>
      </c>
      <c r="S27" s="36">
        <v>27000</v>
      </c>
      <c r="T27" s="36">
        <v>27000</v>
      </c>
      <c r="U27" s="36">
        <v>27000</v>
      </c>
      <c r="V27" s="36">
        <v>0</v>
      </c>
      <c r="W27" s="36">
        <v>0</v>
      </c>
      <c r="X27" s="36">
        <v>27000</v>
      </c>
      <c r="Y27" s="18" t="str">
        <f t="shared" si="0"/>
        <v/>
      </c>
      <c r="Z27" s="18">
        <f t="shared" si="1"/>
        <v>29000</v>
      </c>
      <c r="AA27" s="18">
        <f t="shared" si="2"/>
        <v>28666.666666666668</v>
      </c>
      <c r="AB27" s="18">
        <f t="shared" si="3"/>
        <v>27600</v>
      </c>
      <c r="AC27" s="18">
        <f t="shared" si="4"/>
        <v>27000</v>
      </c>
      <c r="AD27" s="18">
        <f t="shared" si="5"/>
        <v>28125</v>
      </c>
    </row>
    <row r="28" spans="1:30" ht="15" customHeight="1" x14ac:dyDescent="0.35">
      <c r="A28" s="8">
        <v>24</v>
      </c>
      <c r="B28" s="9" t="s">
        <v>352</v>
      </c>
      <c r="C28" s="8" t="s">
        <v>403</v>
      </c>
      <c r="D28" s="36">
        <v>0</v>
      </c>
      <c r="E28" s="36">
        <v>38000</v>
      </c>
      <c r="F28" s="36">
        <v>38000</v>
      </c>
      <c r="G28" s="36">
        <v>38000</v>
      </c>
      <c r="H28" s="36">
        <v>38000</v>
      </c>
      <c r="I28" s="36">
        <v>38000</v>
      </c>
      <c r="J28" s="36">
        <v>38000</v>
      </c>
      <c r="K28" s="36">
        <v>38000</v>
      </c>
      <c r="L28" s="36">
        <v>38000</v>
      </c>
      <c r="M28" s="36">
        <v>0</v>
      </c>
      <c r="N28" s="36">
        <v>0</v>
      </c>
      <c r="O28" s="36">
        <v>38000</v>
      </c>
      <c r="P28" s="36">
        <v>38000</v>
      </c>
      <c r="Q28" s="36">
        <v>38000</v>
      </c>
      <c r="R28" s="36">
        <v>38000</v>
      </c>
      <c r="S28" s="36">
        <v>38000</v>
      </c>
      <c r="T28" s="36">
        <v>38000</v>
      </c>
      <c r="U28" s="36">
        <v>38000</v>
      </c>
      <c r="V28" s="36">
        <v>0</v>
      </c>
      <c r="W28" s="36">
        <v>0</v>
      </c>
      <c r="X28" s="36">
        <v>38000</v>
      </c>
      <c r="Y28" s="18" t="str">
        <f t="shared" si="0"/>
        <v/>
      </c>
      <c r="Z28" s="18">
        <f t="shared" si="1"/>
        <v>38000</v>
      </c>
      <c r="AA28" s="18">
        <f t="shared" si="2"/>
        <v>38000</v>
      </c>
      <c r="AB28" s="18">
        <f t="shared" si="3"/>
        <v>38000</v>
      </c>
      <c r="AC28" s="18">
        <f t="shared" si="4"/>
        <v>38000</v>
      </c>
      <c r="AD28" s="18">
        <f t="shared" si="5"/>
        <v>38000</v>
      </c>
    </row>
    <row r="29" spans="1:30" ht="15" customHeight="1" x14ac:dyDescent="0.35">
      <c r="A29" s="8">
        <v>25</v>
      </c>
      <c r="B29" s="9" t="s">
        <v>407</v>
      </c>
      <c r="C29" s="8" t="s">
        <v>403</v>
      </c>
      <c r="D29" s="36">
        <v>0</v>
      </c>
      <c r="E29" s="36">
        <v>30000</v>
      </c>
      <c r="F29" s="36">
        <v>30000</v>
      </c>
      <c r="G29" s="36">
        <v>30000</v>
      </c>
      <c r="H29" s="36">
        <v>30000</v>
      </c>
      <c r="I29" s="36">
        <v>30000</v>
      </c>
      <c r="J29" s="36">
        <v>32000</v>
      </c>
      <c r="K29" s="36">
        <v>32000</v>
      </c>
      <c r="L29" s="36">
        <v>32000</v>
      </c>
      <c r="M29" s="36">
        <v>0</v>
      </c>
      <c r="N29" s="36">
        <v>0</v>
      </c>
      <c r="O29" s="36">
        <v>32000</v>
      </c>
      <c r="P29" s="36">
        <v>32000</v>
      </c>
      <c r="Q29" s="36">
        <v>32000</v>
      </c>
      <c r="R29" s="36">
        <v>32000</v>
      </c>
      <c r="S29" s="36">
        <v>32000</v>
      </c>
      <c r="T29" s="36">
        <v>32000</v>
      </c>
      <c r="U29" s="36">
        <v>32000</v>
      </c>
      <c r="V29" s="36">
        <v>0</v>
      </c>
      <c r="W29" s="36">
        <v>0</v>
      </c>
      <c r="X29" s="36">
        <v>32000</v>
      </c>
      <c r="Y29" s="18" t="str">
        <f t="shared" si="0"/>
        <v/>
      </c>
      <c r="Z29" s="18">
        <f t="shared" si="1"/>
        <v>30000</v>
      </c>
      <c r="AA29" s="18">
        <f t="shared" si="2"/>
        <v>32000</v>
      </c>
      <c r="AB29" s="18">
        <f t="shared" si="3"/>
        <v>32000</v>
      </c>
      <c r="AC29" s="18">
        <f t="shared" si="4"/>
        <v>32000</v>
      </c>
      <c r="AD29" s="18">
        <f t="shared" si="5"/>
        <v>31375</v>
      </c>
    </row>
    <row r="30" spans="1:30" ht="15" customHeight="1" x14ac:dyDescent="0.35">
      <c r="A30" s="8">
        <v>26</v>
      </c>
      <c r="B30" s="9" t="s">
        <v>408</v>
      </c>
      <c r="C30" s="8" t="s">
        <v>403</v>
      </c>
      <c r="D30" s="36">
        <v>0</v>
      </c>
      <c r="E30" s="36">
        <v>8000</v>
      </c>
      <c r="F30" s="36">
        <v>8000</v>
      </c>
      <c r="G30" s="36">
        <v>8000</v>
      </c>
      <c r="H30" s="36">
        <v>8000</v>
      </c>
      <c r="I30" s="36">
        <v>8000</v>
      </c>
      <c r="J30" s="36">
        <v>8000</v>
      </c>
      <c r="K30" s="36">
        <v>8000</v>
      </c>
      <c r="L30" s="36">
        <v>8000</v>
      </c>
      <c r="M30" s="36">
        <v>0</v>
      </c>
      <c r="N30" s="36">
        <v>0</v>
      </c>
      <c r="O30" s="36">
        <v>8000</v>
      </c>
      <c r="P30" s="36">
        <v>8000</v>
      </c>
      <c r="Q30" s="36">
        <v>8000</v>
      </c>
      <c r="R30" s="36">
        <v>8000</v>
      </c>
      <c r="S30" s="36">
        <v>8000</v>
      </c>
      <c r="T30" s="36">
        <v>8000</v>
      </c>
      <c r="U30" s="36">
        <v>8000</v>
      </c>
      <c r="V30" s="36">
        <v>0</v>
      </c>
      <c r="W30" s="36">
        <v>0</v>
      </c>
      <c r="X30" s="36">
        <v>8000</v>
      </c>
      <c r="Y30" s="18" t="str">
        <f t="shared" si="0"/>
        <v/>
      </c>
      <c r="Z30" s="18">
        <f t="shared" si="1"/>
        <v>8000</v>
      </c>
      <c r="AA30" s="18">
        <f t="shared" si="2"/>
        <v>8000</v>
      </c>
      <c r="AB30" s="18">
        <f t="shared" si="3"/>
        <v>8000</v>
      </c>
      <c r="AC30" s="18">
        <f t="shared" si="4"/>
        <v>8000</v>
      </c>
      <c r="AD30" s="18">
        <f t="shared" si="5"/>
        <v>8000</v>
      </c>
    </row>
    <row r="31" spans="1:30" ht="15" customHeight="1" x14ac:dyDescent="0.35">
      <c r="A31" s="8">
        <v>27</v>
      </c>
      <c r="B31" s="9" t="s">
        <v>354</v>
      </c>
      <c r="C31" s="8" t="s">
        <v>451</v>
      </c>
      <c r="D31" s="36">
        <v>0</v>
      </c>
      <c r="E31" s="36">
        <v>10500</v>
      </c>
      <c r="F31" s="36">
        <v>10500</v>
      </c>
      <c r="G31" s="36">
        <v>10500</v>
      </c>
      <c r="H31" s="36">
        <v>10500</v>
      </c>
      <c r="I31" s="36">
        <v>10500</v>
      </c>
      <c r="J31" s="36">
        <v>10500</v>
      </c>
      <c r="K31" s="36">
        <v>10500</v>
      </c>
      <c r="L31" s="36">
        <v>10500</v>
      </c>
      <c r="M31" s="36">
        <v>0</v>
      </c>
      <c r="N31" s="36">
        <v>0</v>
      </c>
      <c r="O31" s="36">
        <v>10500</v>
      </c>
      <c r="P31" s="36">
        <v>10500</v>
      </c>
      <c r="Q31" s="36">
        <v>10500</v>
      </c>
      <c r="R31" s="36">
        <v>10500</v>
      </c>
      <c r="S31" s="36">
        <v>10500</v>
      </c>
      <c r="T31" s="36">
        <v>10500</v>
      </c>
      <c r="U31" s="36">
        <v>10500</v>
      </c>
      <c r="V31" s="36">
        <v>0</v>
      </c>
      <c r="W31" s="36">
        <v>0</v>
      </c>
      <c r="X31" s="36">
        <v>10500</v>
      </c>
      <c r="Y31" s="18" t="str">
        <f t="shared" si="0"/>
        <v/>
      </c>
      <c r="Z31" s="18">
        <f t="shared" si="1"/>
        <v>10500</v>
      </c>
      <c r="AA31" s="18">
        <f t="shared" si="2"/>
        <v>10500</v>
      </c>
      <c r="AB31" s="18">
        <f t="shared" si="3"/>
        <v>10500</v>
      </c>
      <c r="AC31" s="18">
        <f t="shared" si="4"/>
        <v>10500</v>
      </c>
      <c r="AD31" s="18">
        <f t="shared" si="5"/>
        <v>10500</v>
      </c>
    </row>
    <row r="32" spans="1:30" ht="15" customHeight="1" x14ac:dyDescent="0.35">
      <c r="A32" s="8">
        <v>28</v>
      </c>
      <c r="B32" s="9" t="s">
        <v>348</v>
      </c>
      <c r="C32" s="8" t="s">
        <v>452</v>
      </c>
      <c r="D32" s="36">
        <v>0</v>
      </c>
      <c r="E32" s="36">
        <v>42000</v>
      </c>
      <c r="F32" s="36">
        <v>42000</v>
      </c>
      <c r="G32" s="36">
        <v>42000</v>
      </c>
      <c r="H32" s="36">
        <v>42000</v>
      </c>
      <c r="I32" s="36">
        <v>42000</v>
      </c>
      <c r="J32" s="36">
        <v>42000</v>
      </c>
      <c r="K32" s="36">
        <v>42000</v>
      </c>
      <c r="L32" s="36">
        <v>42000</v>
      </c>
      <c r="M32" s="36">
        <v>0</v>
      </c>
      <c r="N32" s="36">
        <v>0</v>
      </c>
      <c r="O32" s="36">
        <v>42000</v>
      </c>
      <c r="P32" s="36">
        <v>42000</v>
      </c>
      <c r="Q32" s="36">
        <v>42000</v>
      </c>
      <c r="R32" s="36">
        <v>42000</v>
      </c>
      <c r="S32" s="36">
        <v>42000</v>
      </c>
      <c r="T32" s="36">
        <v>42000</v>
      </c>
      <c r="U32" s="36">
        <v>42000</v>
      </c>
      <c r="V32" s="36">
        <v>0</v>
      </c>
      <c r="W32" s="36">
        <v>0</v>
      </c>
      <c r="X32" s="36">
        <v>42000</v>
      </c>
      <c r="Y32" s="18" t="str">
        <f t="shared" si="0"/>
        <v/>
      </c>
      <c r="Z32" s="18">
        <f t="shared" si="1"/>
        <v>42000</v>
      </c>
      <c r="AA32" s="18">
        <f t="shared" si="2"/>
        <v>42000</v>
      </c>
      <c r="AB32" s="18">
        <f t="shared" si="3"/>
        <v>42000</v>
      </c>
      <c r="AC32" s="18">
        <f t="shared" si="4"/>
        <v>42000</v>
      </c>
      <c r="AD32" s="18">
        <f t="shared" si="5"/>
        <v>42000</v>
      </c>
    </row>
    <row r="33" spans="1:30" ht="15" customHeight="1" x14ac:dyDescent="0.35">
      <c r="A33" s="8">
        <v>29</v>
      </c>
      <c r="B33" s="9" t="s">
        <v>361</v>
      </c>
      <c r="C33" s="8" t="s">
        <v>403</v>
      </c>
      <c r="D33" s="36">
        <v>0</v>
      </c>
      <c r="E33" s="36">
        <v>11000</v>
      </c>
      <c r="F33" s="36">
        <v>11000</v>
      </c>
      <c r="G33" s="36">
        <v>11000</v>
      </c>
      <c r="H33" s="36">
        <v>11000</v>
      </c>
      <c r="I33" s="36">
        <v>11000</v>
      </c>
      <c r="J33" s="36">
        <v>11000</v>
      </c>
      <c r="K33" s="36">
        <v>11000</v>
      </c>
      <c r="L33" s="36">
        <v>11000</v>
      </c>
      <c r="M33" s="36">
        <v>0</v>
      </c>
      <c r="N33" s="36">
        <v>0</v>
      </c>
      <c r="O33" s="36">
        <v>11000</v>
      </c>
      <c r="P33" s="36">
        <v>11000</v>
      </c>
      <c r="Q33" s="36">
        <v>11000</v>
      </c>
      <c r="R33" s="36">
        <v>11000</v>
      </c>
      <c r="S33" s="36">
        <v>11000</v>
      </c>
      <c r="T33" s="36">
        <v>11000</v>
      </c>
      <c r="U33" s="36">
        <v>11000</v>
      </c>
      <c r="V33" s="36">
        <v>0</v>
      </c>
      <c r="W33" s="36">
        <v>0</v>
      </c>
      <c r="X33" s="36">
        <v>11000</v>
      </c>
      <c r="Y33" s="18" t="str">
        <f t="shared" si="0"/>
        <v/>
      </c>
      <c r="Z33" s="18">
        <f t="shared" si="1"/>
        <v>11000</v>
      </c>
      <c r="AA33" s="18">
        <f t="shared" si="2"/>
        <v>11000</v>
      </c>
      <c r="AB33" s="18">
        <f t="shared" si="3"/>
        <v>11000</v>
      </c>
      <c r="AC33" s="18">
        <f t="shared" si="4"/>
        <v>11000</v>
      </c>
      <c r="AD33" s="18">
        <f t="shared" si="5"/>
        <v>11000</v>
      </c>
    </row>
    <row r="34" spans="1:30" ht="15" customHeight="1" x14ac:dyDescent="0.35">
      <c r="A34" s="8">
        <v>30</v>
      </c>
      <c r="B34" s="9" t="s">
        <v>334</v>
      </c>
      <c r="C34" s="8" t="s">
        <v>403</v>
      </c>
      <c r="D34" s="36">
        <v>0</v>
      </c>
      <c r="E34" s="36">
        <v>6000</v>
      </c>
      <c r="F34" s="36">
        <v>6000</v>
      </c>
      <c r="G34" s="36">
        <v>6000</v>
      </c>
      <c r="H34" s="36">
        <v>6000</v>
      </c>
      <c r="I34" s="36">
        <v>6000</v>
      </c>
      <c r="J34" s="36">
        <v>6000</v>
      </c>
      <c r="K34" s="36">
        <v>6000</v>
      </c>
      <c r="L34" s="36">
        <v>6000</v>
      </c>
      <c r="M34" s="36">
        <v>0</v>
      </c>
      <c r="N34" s="36">
        <v>0</v>
      </c>
      <c r="O34" s="36">
        <v>6000</v>
      </c>
      <c r="P34" s="36">
        <v>6000</v>
      </c>
      <c r="Q34" s="36">
        <v>6000</v>
      </c>
      <c r="R34" s="36">
        <v>6000</v>
      </c>
      <c r="S34" s="36">
        <v>6000</v>
      </c>
      <c r="T34" s="36">
        <v>6000</v>
      </c>
      <c r="U34" s="36">
        <v>6000</v>
      </c>
      <c r="V34" s="36">
        <v>0</v>
      </c>
      <c r="W34" s="36">
        <v>0</v>
      </c>
      <c r="X34" s="36">
        <v>6000</v>
      </c>
      <c r="Y34" s="18" t="str">
        <f t="shared" si="0"/>
        <v/>
      </c>
      <c r="Z34" s="18">
        <f t="shared" si="1"/>
        <v>6000</v>
      </c>
      <c r="AA34" s="18">
        <f t="shared" si="2"/>
        <v>6000</v>
      </c>
      <c r="AB34" s="18">
        <f t="shared" si="3"/>
        <v>6000</v>
      </c>
      <c r="AC34" s="18">
        <f t="shared" si="4"/>
        <v>6000</v>
      </c>
      <c r="AD34" s="18">
        <f t="shared" si="5"/>
        <v>6000</v>
      </c>
    </row>
    <row r="35" spans="1:30" ht="15" customHeight="1" x14ac:dyDescent="0.35">
      <c r="A35" s="8">
        <v>31</v>
      </c>
      <c r="B35" s="9" t="s">
        <v>339</v>
      </c>
      <c r="C35" s="8" t="s">
        <v>403</v>
      </c>
      <c r="D35" s="36">
        <v>0</v>
      </c>
      <c r="E35" s="36">
        <v>70000</v>
      </c>
      <c r="F35" s="36">
        <v>70000</v>
      </c>
      <c r="G35" s="36">
        <v>70000</v>
      </c>
      <c r="H35" s="36">
        <v>70000</v>
      </c>
      <c r="I35" s="36">
        <v>70000</v>
      </c>
      <c r="J35" s="36">
        <v>70000</v>
      </c>
      <c r="K35" s="36">
        <v>70000</v>
      </c>
      <c r="L35" s="36">
        <v>70000</v>
      </c>
      <c r="M35" s="36">
        <v>0</v>
      </c>
      <c r="N35" s="36">
        <v>0</v>
      </c>
      <c r="O35" s="36">
        <v>70000</v>
      </c>
      <c r="P35" s="36">
        <v>70000</v>
      </c>
      <c r="Q35" s="36">
        <v>70000</v>
      </c>
      <c r="R35" s="36">
        <v>70000</v>
      </c>
      <c r="S35" s="36">
        <v>70000</v>
      </c>
      <c r="T35" s="36">
        <v>70000</v>
      </c>
      <c r="U35" s="36">
        <v>70000</v>
      </c>
      <c r="V35" s="36">
        <v>0</v>
      </c>
      <c r="W35" s="36">
        <v>0</v>
      </c>
      <c r="X35" s="36">
        <v>70000</v>
      </c>
      <c r="Y35" s="18" t="str">
        <f t="shared" si="0"/>
        <v/>
      </c>
      <c r="Z35" s="18">
        <f t="shared" si="1"/>
        <v>70000</v>
      </c>
      <c r="AA35" s="18">
        <f t="shared" si="2"/>
        <v>70000</v>
      </c>
      <c r="AB35" s="18">
        <f t="shared" si="3"/>
        <v>70000</v>
      </c>
      <c r="AC35" s="18">
        <f t="shared" si="4"/>
        <v>70000</v>
      </c>
      <c r="AD35" s="18">
        <f t="shared" si="5"/>
        <v>70000</v>
      </c>
    </row>
    <row r="36" spans="1:30" ht="15" customHeight="1" x14ac:dyDescent="0.35">
      <c r="A36" s="8">
        <v>32</v>
      </c>
      <c r="B36" s="9" t="s">
        <v>341</v>
      </c>
      <c r="C36" s="8" t="s">
        <v>403</v>
      </c>
      <c r="D36" s="36">
        <v>0</v>
      </c>
      <c r="E36" s="36">
        <v>12000</v>
      </c>
      <c r="F36" s="36">
        <v>12000</v>
      </c>
      <c r="G36" s="36">
        <v>12000</v>
      </c>
      <c r="H36" s="36">
        <v>12000</v>
      </c>
      <c r="I36" s="36">
        <v>12000</v>
      </c>
      <c r="J36" s="36">
        <v>12000</v>
      </c>
      <c r="K36" s="36">
        <v>12000</v>
      </c>
      <c r="L36" s="36">
        <v>12000</v>
      </c>
      <c r="M36" s="36">
        <v>0</v>
      </c>
      <c r="N36" s="36">
        <v>0</v>
      </c>
      <c r="O36" s="36">
        <v>12000</v>
      </c>
      <c r="P36" s="36">
        <v>12000</v>
      </c>
      <c r="Q36" s="36">
        <v>12000</v>
      </c>
      <c r="R36" s="36">
        <v>12000</v>
      </c>
      <c r="S36" s="36">
        <v>12000</v>
      </c>
      <c r="T36" s="36">
        <v>12000</v>
      </c>
      <c r="U36" s="36">
        <v>12000</v>
      </c>
      <c r="V36" s="36">
        <v>0</v>
      </c>
      <c r="W36" s="36">
        <v>0</v>
      </c>
      <c r="X36" s="36">
        <v>12000</v>
      </c>
      <c r="Y36" s="18" t="str">
        <f t="shared" si="0"/>
        <v/>
      </c>
      <c r="Z36" s="18">
        <f t="shared" si="1"/>
        <v>12000</v>
      </c>
      <c r="AA36" s="18">
        <f t="shared" si="2"/>
        <v>12000</v>
      </c>
      <c r="AB36" s="18">
        <f t="shared" si="3"/>
        <v>12000</v>
      </c>
      <c r="AC36" s="18">
        <f t="shared" si="4"/>
        <v>12000</v>
      </c>
      <c r="AD36" s="18">
        <f t="shared" si="5"/>
        <v>12000</v>
      </c>
    </row>
    <row r="37" spans="1:30" ht="15" customHeight="1" x14ac:dyDescent="0.35">
      <c r="A37" s="8">
        <v>33</v>
      </c>
      <c r="B37" s="9" t="s">
        <v>362</v>
      </c>
      <c r="C37" s="8" t="s">
        <v>403</v>
      </c>
      <c r="D37" s="36">
        <v>0</v>
      </c>
      <c r="E37" s="36">
        <v>8000</v>
      </c>
      <c r="F37" s="36">
        <v>8000</v>
      </c>
      <c r="G37" s="36">
        <v>8000</v>
      </c>
      <c r="H37" s="36">
        <v>8000</v>
      </c>
      <c r="I37" s="36">
        <v>8000</v>
      </c>
      <c r="J37" s="36">
        <v>8000</v>
      </c>
      <c r="K37" s="36">
        <v>8000</v>
      </c>
      <c r="L37" s="36">
        <v>8000</v>
      </c>
      <c r="M37" s="36">
        <v>0</v>
      </c>
      <c r="N37" s="36">
        <v>0</v>
      </c>
      <c r="O37" s="36">
        <v>8000</v>
      </c>
      <c r="P37" s="36">
        <v>8000</v>
      </c>
      <c r="Q37" s="36">
        <v>8000</v>
      </c>
      <c r="R37" s="36">
        <v>8000</v>
      </c>
      <c r="S37" s="36">
        <v>8000</v>
      </c>
      <c r="T37" s="36">
        <v>8000</v>
      </c>
      <c r="U37" s="36">
        <v>8000</v>
      </c>
      <c r="V37" s="36">
        <v>0</v>
      </c>
      <c r="W37" s="36">
        <v>0</v>
      </c>
      <c r="X37" s="36">
        <v>8000</v>
      </c>
      <c r="Y37" s="18" t="str">
        <f t="shared" si="0"/>
        <v/>
      </c>
      <c r="Z37" s="18">
        <f t="shared" si="1"/>
        <v>8000</v>
      </c>
      <c r="AA37" s="18">
        <f t="shared" si="2"/>
        <v>8000</v>
      </c>
      <c r="AB37" s="18">
        <f t="shared" si="3"/>
        <v>8000</v>
      </c>
      <c r="AC37" s="18">
        <f t="shared" si="4"/>
        <v>8000</v>
      </c>
      <c r="AD37" s="18">
        <f t="shared" si="5"/>
        <v>8000</v>
      </c>
    </row>
    <row r="38" spans="1:30" ht="15" customHeight="1" x14ac:dyDescent="0.35">
      <c r="A38" s="8">
        <v>34</v>
      </c>
      <c r="B38" s="9" t="s">
        <v>409</v>
      </c>
      <c r="C38" s="8" t="s">
        <v>403</v>
      </c>
      <c r="D38" s="36">
        <v>0</v>
      </c>
      <c r="E38" s="36">
        <v>10000</v>
      </c>
      <c r="F38" s="36">
        <v>10000</v>
      </c>
      <c r="G38" s="36">
        <v>10000</v>
      </c>
      <c r="H38" s="36">
        <v>10000</v>
      </c>
      <c r="I38" s="36">
        <v>10000</v>
      </c>
      <c r="J38" s="36">
        <v>10000</v>
      </c>
      <c r="K38" s="36">
        <v>10000</v>
      </c>
      <c r="L38" s="36">
        <v>10000</v>
      </c>
      <c r="M38" s="36">
        <v>0</v>
      </c>
      <c r="N38" s="36">
        <v>0</v>
      </c>
      <c r="O38" s="36">
        <v>10000</v>
      </c>
      <c r="P38" s="36">
        <v>10000</v>
      </c>
      <c r="Q38" s="36">
        <v>10000</v>
      </c>
      <c r="R38" s="36">
        <v>10000</v>
      </c>
      <c r="S38" s="36">
        <v>10000</v>
      </c>
      <c r="T38" s="36">
        <v>10000</v>
      </c>
      <c r="U38" s="36">
        <v>10000</v>
      </c>
      <c r="V38" s="36">
        <v>0</v>
      </c>
      <c r="W38" s="36">
        <v>0</v>
      </c>
      <c r="X38" s="36">
        <v>10000</v>
      </c>
      <c r="Y38" s="18" t="str">
        <f t="shared" si="0"/>
        <v/>
      </c>
      <c r="Z38" s="18">
        <f t="shared" si="1"/>
        <v>10000</v>
      </c>
      <c r="AA38" s="18">
        <f t="shared" si="2"/>
        <v>10000</v>
      </c>
      <c r="AB38" s="18">
        <f t="shared" si="3"/>
        <v>10000</v>
      </c>
      <c r="AC38" s="18">
        <f t="shared" si="4"/>
        <v>10000</v>
      </c>
      <c r="AD38" s="18">
        <f t="shared" si="5"/>
        <v>10000</v>
      </c>
    </row>
    <row r="39" spans="1:30" ht="15" customHeight="1" x14ac:dyDescent="0.35">
      <c r="A39" s="8">
        <v>35</v>
      </c>
      <c r="B39" s="9" t="s">
        <v>410</v>
      </c>
      <c r="C39" s="8" t="s">
        <v>403</v>
      </c>
      <c r="D39" s="36">
        <v>0</v>
      </c>
      <c r="E39" s="36">
        <v>15000</v>
      </c>
      <c r="F39" s="36">
        <v>15000</v>
      </c>
      <c r="G39" s="36">
        <v>15000</v>
      </c>
      <c r="H39" s="36">
        <v>15000</v>
      </c>
      <c r="I39" s="36">
        <v>15000</v>
      </c>
      <c r="J39" s="36">
        <v>15000</v>
      </c>
      <c r="K39" s="36">
        <v>15000</v>
      </c>
      <c r="L39" s="36">
        <v>15000</v>
      </c>
      <c r="M39" s="36">
        <v>0</v>
      </c>
      <c r="N39" s="36">
        <v>0</v>
      </c>
      <c r="O39" s="36">
        <v>15000</v>
      </c>
      <c r="P39" s="36">
        <v>15000</v>
      </c>
      <c r="Q39" s="36">
        <v>15000</v>
      </c>
      <c r="R39" s="36">
        <v>15000</v>
      </c>
      <c r="S39" s="36">
        <v>15000</v>
      </c>
      <c r="T39" s="36">
        <v>15000</v>
      </c>
      <c r="U39" s="36">
        <v>15000</v>
      </c>
      <c r="V39" s="36">
        <v>0</v>
      </c>
      <c r="W39" s="36">
        <v>0</v>
      </c>
      <c r="X39" s="36">
        <v>15000</v>
      </c>
      <c r="Y39" s="18" t="str">
        <f t="shared" si="0"/>
        <v/>
      </c>
      <c r="Z39" s="18">
        <f t="shared" si="1"/>
        <v>15000</v>
      </c>
      <c r="AA39" s="18">
        <f t="shared" si="2"/>
        <v>15000</v>
      </c>
      <c r="AB39" s="18">
        <f t="shared" si="3"/>
        <v>15000</v>
      </c>
      <c r="AC39" s="18">
        <f t="shared" si="4"/>
        <v>15000</v>
      </c>
      <c r="AD39" s="18">
        <f t="shared" si="5"/>
        <v>15000</v>
      </c>
    </row>
    <row r="40" spans="1:30" ht="15" customHeight="1" x14ac:dyDescent="0.35">
      <c r="A40" s="8">
        <v>36</v>
      </c>
      <c r="B40" s="9" t="s">
        <v>411</v>
      </c>
      <c r="C40" s="8" t="s">
        <v>403</v>
      </c>
      <c r="D40" s="36">
        <v>0</v>
      </c>
      <c r="E40" s="36">
        <v>6000</v>
      </c>
      <c r="F40" s="36">
        <v>6000</v>
      </c>
      <c r="G40" s="36">
        <v>6000</v>
      </c>
      <c r="H40" s="36">
        <v>6000</v>
      </c>
      <c r="I40" s="36">
        <v>6000</v>
      </c>
      <c r="J40" s="36">
        <v>14000</v>
      </c>
      <c r="K40" s="36">
        <v>14000</v>
      </c>
      <c r="L40" s="36">
        <v>14000</v>
      </c>
      <c r="M40" s="36">
        <v>0</v>
      </c>
      <c r="N40" s="36">
        <v>0</v>
      </c>
      <c r="O40" s="36">
        <v>14000</v>
      </c>
      <c r="P40" s="36">
        <v>14000</v>
      </c>
      <c r="Q40" s="36">
        <v>14000</v>
      </c>
      <c r="R40" s="36">
        <v>14000</v>
      </c>
      <c r="S40" s="36">
        <v>14000</v>
      </c>
      <c r="T40" s="36">
        <v>14000</v>
      </c>
      <c r="U40" s="36">
        <v>14000</v>
      </c>
      <c r="V40" s="36">
        <v>0</v>
      </c>
      <c r="W40" s="36">
        <v>0</v>
      </c>
      <c r="X40" s="36">
        <v>14000</v>
      </c>
      <c r="Y40" s="18" t="str">
        <f t="shared" si="0"/>
        <v/>
      </c>
      <c r="Z40" s="18">
        <f t="shared" si="1"/>
        <v>6000</v>
      </c>
      <c r="AA40" s="18">
        <f t="shared" si="2"/>
        <v>14000</v>
      </c>
      <c r="AB40" s="18">
        <f t="shared" si="3"/>
        <v>14000</v>
      </c>
      <c r="AC40" s="18">
        <f t="shared" si="4"/>
        <v>14000</v>
      </c>
      <c r="AD40" s="18">
        <f t="shared" si="5"/>
        <v>11500</v>
      </c>
    </row>
    <row r="41" spans="1:30" ht="15" customHeight="1" x14ac:dyDescent="0.35">
      <c r="A41" s="8">
        <v>37</v>
      </c>
      <c r="B41" s="9" t="s">
        <v>412</v>
      </c>
      <c r="C41" s="8" t="s">
        <v>403</v>
      </c>
      <c r="D41" s="36">
        <v>0</v>
      </c>
      <c r="E41" s="36">
        <v>5000</v>
      </c>
      <c r="F41" s="36">
        <v>5000</v>
      </c>
      <c r="G41" s="36">
        <v>5000</v>
      </c>
      <c r="H41" s="36">
        <v>5000</v>
      </c>
      <c r="I41" s="36">
        <v>5000</v>
      </c>
      <c r="J41" s="36">
        <v>7000</v>
      </c>
      <c r="K41" s="36">
        <v>7000</v>
      </c>
      <c r="L41" s="36">
        <v>7000</v>
      </c>
      <c r="M41" s="36">
        <v>0</v>
      </c>
      <c r="N41" s="36">
        <v>0</v>
      </c>
      <c r="O41" s="36">
        <v>7000</v>
      </c>
      <c r="P41" s="36">
        <v>7000</v>
      </c>
      <c r="Q41" s="36">
        <v>7000</v>
      </c>
      <c r="R41" s="36">
        <v>7000</v>
      </c>
      <c r="S41" s="36">
        <v>7000</v>
      </c>
      <c r="T41" s="36">
        <v>7000</v>
      </c>
      <c r="U41" s="36">
        <v>7000</v>
      </c>
      <c r="V41" s="36">
        <v>0</v>
      </c>
      <c r="W41" s="36">
        <v>0</v>
      </c>
      <c r="X41" s="36">
        <v>7000</v>
      </c>
      <c r="Y41" s="18" t="str">
        <f t="shared" si="0"/>
        <v/>
      </c>
      <c r="Z41" s="18">
        <f t="shared" si="1"/>
        <v>5000</v>
      </c>
      <c r="AA41" s="18">
        <f t="shared" si="2"/>
        <v>7000</v>
      </c>
      <c r="AB41" s="18">
        <f t="shared" si="3"/>
        <v>7000</v>
      </c>
      <c r="AC41" s="18">
        <f t="shared" si="4"/>
        <v>7000</v>
      </c>
      <c r="AD41" s="18">
        <f t="shared" si="5"/>
        <v>6375</v>
      </c>
    </row>
    <row r="42" spans="1:30" ht="15" customHeight="1" x14ac:dyDescent="0.35">
      <c r="A42" s="8">
        <v>38</v>
      </c>
      <c r="B42" s="9" t="s">
        <v>413</v>
      </c>
      <c r="C42" s="8" t="s">
        <v>403</v>
      </c>
      <c r="D42" s="36">
        <v>0</v>
      </c>
      <c r="E42" s="36">
        <v>5000</v>
      </c>
      <c r="F42" s="36">
        <v>5000</v>
      </c>
      <c r="G42" s="36">
        <v>5000</v>
      </c>
      <c r="H42" s="36">
        <v>5000</v>
      </c>
      <c r="I42" s="36">
        <v>5000</v>
      </c>
      <c r="J42" s="36">
        <v>7000</v>
      </c>
      <c r="K42" s="36">
        <v>7000</v>
      </c>
      <c r="L42" s="36">
        <v>7000</v>
      </c>
      <c r="M42" s="36">
        <v>0</v>
      </c>
      <c r="N42" s="36">
        <v>0</v>
      </c>
      <c r="O42" s="36">
        <v>7000</v>
      </c>
      <c r="P42" s="36">
        <v>7000</v>
      </c>
      <c r="Q42" s="36">
        <v>7000</v>
      </c>
      <c r="R42" s="36">
        <v>7000</v>
      </c>
      <c r="S42" s="36">
        <v>7000</v>
      </c>
      <c r="T42" s="36">
        <v>7000</v>
      </c>
      <c r="U42" s="36">
        <v>7000</v>
      </c>
      <c r="V42" s="36">
        <v>0</v>
      </c>
      <c r="W42" s="36">
        <v>0</v>
      </c>
      <c r="X42" s="36">
        <v>7000</v>
      </c>
      <c r="Y42" s="18" t="str">
        <f t="shared" si="0"/>
        <v/>
      </c>
      <c r="Z42" s="18">
        <f t="shared" si="1"/>
        <v>5000</v>
      </c>
      <c r="AA42" s="18">
        <f t="shared" si="2"/>
        <v>7000</v>
      </c>
      <c r="AB42" s="18">
        <f t="shared" si="3"/>
        <v>7000</v>
      </c>
      <c r="AC42" s="18">
        <f t="shared" si="4"/>
        <v>7000</v>
      </c>
      <c r="AD42" s="18">
        <f t="shared" si="5"/>
        <v>6375</v>
      </c>
    </row>
    <row r="43" spans="1:30" ht="15" customHeight="1" x14ac:dyDescent="0.35">
      <c r="A43" s="8">
        <v>39</v>
      </c>
      <c r="B43" s="9" t="s">
        <v>414</v>
      </c>
      <c r="C43" s="8" t="s">
        <v>403</v>
      </c>
      <c r="D43" s="36">
        <v>0</v>
      </c>
      <c r="E43" s="36">
        <v>7000</v>
      </c>
      <c r="F43" s="36">
        <v>7000</v>
      </c>
      <c r="G43" s="36">
        <v>7000</v>
      </c>
      <c r="H43" s="36">
        <v>7000</v>
      </c>
      <c r="I43" s="36">
        <v>7000</v>
      </c>
      <c r="J43" s="36">
        <v>7000</v>
      </c>
      <c r="K43" s="36">
        <v>7000</v>
      </c>
      <c r="L43" s="36">
        <v>7000</v>
      </c>
      <c r="M43" s="36">
        <v>0</v>
      </c>
      <c r="N43" s="36">
        <v>0</v>
      </c>
      <c r="O43" s="36">
        <v>7000</v>
      </c>
      <c r="P43" s="36">
        <v>7000</v>
      </c>
      <c r="Q43" s="36">
        <v>7000</v>
      </c>
      <c r="R43" s="36">
        <v>7000</v>
      </c>
      <c r="S43" s="36">
        <v>7000</v>
      </c>
      <c r="T43" s="36">
        <v>7000</v>
      </c>
      <c r="U43" s="36">
        <v>7000</v>
      </c>
      <c r="V43" s="36">
        <v>0</v>
      </c>
      <c r="W43" s="36">
        <v>0</v>
      </c>
      <c r="X43" s="36">
        <v>7000</v>
      </c>
      <c r="Y43" s="18" t="str">
        <f t="shared" si="0"/>
        <v/>
      </c>
      <c r="Z43" s="18">
        <f t="shared" si="1"/>
        <v>7000</v>
      </c>
      <c r="AA43" s="18">
        <f t="shared" si="2"/>
        <v>7000</v>
      </c>
      <c r="AB43" s="18">
        <f t="shared" si="3"/>
        <v>7000</v>
      </c>
      <c r="AC43" s="18">
        <f t="shared" si="4"/>
        <v>7000</v>
      </c>
      <c r="AD43" s="18">
        <f t="shared" si="5"/>
        <v>7000</v>
      </c>
    </row>
    <row r="44" spans="1:30" ht="15" customHeight="1" x14ac:dyDescent="0.35">
      <c r="A44" s="8">
        <v>40</v>
      </c>
      <c r="B44" s="9" t="s">
        <v>415</v>
      </c>
      <c r="C44" s="8" t="s">
        <v>403</v>
      </c>
      <c r="D44" s="36">
        <v>0</v>
      </c>
      <c r="E44" s="36">
        <v>5000</v>
      </c>
      <c r="F44" s="36">
        <v>5000</v>
      </c>
      <c r="G44" s="36">
        <v>5000</v>
      </c>
      <c r="H44" s="36">
        <v>5000</v>
      </c>
      <c r="I44" s="36">
        <v>5000</v>
      </c>
      <c r="J44" s="36">
        <v>5000</v>
      </c>
      <c r="K44" s="36">
        <v>5000</v>
      </c>
      <c r="L44" s="36">
        <v>5000</v>
      </c>
      <c r="M44" s="36">
        <v>0</v>
      </c>
      <c r="N44" s="36">
        <v>0</v>
      </c>
      <c r="O44" s="36">
        <v>5000</v>
      </c>
      <c r="P44" s="36">
        <v>5000</v>
      </c>
      <c r="Q44" s="36">
        <v>5000</v>
      </c>
      <c r="R44" s="36">
        <v>5000</v>
      </c>
      <c r="S44" s="36">
        <v>5000</v>
      </c>
      <c r="T44" s="36">
        <v>5000</v>
      </c>
      <c r="U44" s="36">
        <v>5000</v>
      </c>
      <c r="V44" s="36">
        <v>0</v>
      </c>
      <c r="W44" s="36">
        <v>0</v>
      </c>
      <c r="X44" s="36">
        <v>5000</v>
      </c>
      <c r="Y44" s="18" t="str">
        <f t="shared" si="0"/>
        <v/>
      </c>
      <c r="Z44" s="18">
        <f t="shared" si="1"/>
        <v>5000</v>
      </c>
      <c r="AA44" s="18">
        <f t="shared" si="2"/>
        <v>5000</v>
      </c>
      <c r="AB44" s="18">
        <f t="shared" si="3"/>
        <v>5000</v>
      </c>
      <c r="AC44" s="18">
        <f t="shared" si="4"/>
        <v>5000</v>
      </c>
      <c r="AD44" s="18">
        <f t="shared" si="5"/>
        <v>5000</v>
      </c>
    </row>
    <row r="45" spans="1:30" ht="15" customHeight="1" x14ac:dyDescent="0.35">
      <c r="A45" s="8">
        <v>41</v>
      </c>
      <c r="B45" s="9" t="s">
        <v>416</v>
      </c>
      <c r="C45" s="8" t="s">
        <v>453</v>
      </c>
      <c r="D45" s="36">
        <v>0</v>
      </c>
      <c r="E45" s="36">
        <v>65000</v>
      </c>
      <c r="F45" s="36">
        <v>65000</v>
      </c>
      <c r="G45" s="36">
        <v>65000</v>
      </c>
      <c r="H45" s="36">
        <v>65000</v>
      </c>
      <c r="I45" s="36">
        <v>65000</v>
      </c>
      <c r="J45" s="36">
        <v>65000</v>
      </c>
      <c r="K45" s="36">
        <v>65000</v>
      </c>
      <c r="L45" s="36">
        <v>65000</v>
      </c>
      <c r="M45" s="36">
        <v>0</v>
      </c>
      <c r="N45" s="36">
        <v>0</v>
      </c>
      <c r="O45" s="36">
        <v>65000</v>
      </c>
      <c r="P45" s="36">
        <v>65000</v>
      </c>
      <c r="Q45" s="36">
        <v>65000</v>
      </c>
      <c r="R45" s="36">
        <v>65000</v>
      </c>
      <c r="S45" s="36">
        <v>65000</v>
      </c>
      <c r="T45" s="36">
        <v>65000</v>
      </c>
      <c r="U45" s="36">
        <v>65000</v>
      </c>
      <c r="V45" s="36">
        <v>0</v>
      </c>
      <c r="W45" s="36">
        <v>0</v>
      </c>
      <c r="X45" s="36">
        <v>65000</v>
      </c>
      <c r="Y45" s="18" t="str">
        <f t="shared" si="0"/>
        <v/>
      </c>
      <c r="Z45" s="18">
        <f t="shared" si="1"/>
        <v>65000</v>
      </c>
      <c r="AA45" s="18">
        <f t="shared" si="2"/>
        <v>65000</v>
      </c>
      <c r="AB45" s="18">
        <f t="shared" si="3"/>
        <v>65000</v>
      </c>
      <c r="AC45" s="18">
        <f t="shared" si="4"/>
        <v>65000</v>
      </c>
      <c r="AD45" s="18">
        <f t="shared" si="5"/>
        <v>65000</v>
      </c>
    </row>
    <row r="46" spans="1:30" ht="15" customHeight="1" x14ac:dyDescent="0.35">
      <c r="A46" s="8">
        <v>42</v>
      </c>
      <c r="B46" s="9" t="s">
        <v>417</v>
      </c>
      <c r="C46" s="8" t="s">
        <v>403</v>
      </c>
      <c r="D46" s="36">
        <v>0</v>
      </c>
      <c r="E46" s="36">
        <v>40000</v>
      </c>
      <c r="F46" s="36">
        <v>40000</v>
      </c>
      <c r="G46" s="36">
        <v>40000</v>
      </c>
      <c r="H46" s="36">
        <v>40000</v>
      </c>
      <c r="I46" s="36">
        <v>40000</v>
      </c>
      <c r="J46" s="36">
        <v>40000</v>
      </c>
      <c r="K46" s="36">
        <v>40000</v>
      </c>
      <c r="L46" s="36">
        <v>40000</v>
      </c>
      <c r="M46" s="36">
        <v>0</v>
      </c>
      <c r="N46" s="36">
        <v>0</v>
      </c>
      <c r="O46" s="36">
        <v>40000</v>
      </c>
      <c r="P46" s="36">
        <v>40000</v>
      </c>
      <c r="Q46" s="36">
        <v>40000</v>
      </c>
      <c r="R46" s="36">
        <v>40000</v>
      </c>
      <c r="S46" s="36">
        <v>40000</v>
      </c>
      <c r="T46" s="36">
        <v>40000</v>
      </c>
      <c r="U46" s="36">
        <v>40000</v>
      </c>
      <c r="V46" s="36">
        <v>0</v>
      </c>
      <c r="W46" s="36">
        <v>0</v>
      </c>
      <c r="X46" s="36">
        <v>40000</v>
      </c>
      <c r="Y46" s="18" t="str">
        <f t="shared" si="0"/>
        <v/>
      </c>
      <c r="Z46" s="18">
        <f t="shared" si="1"/>
        <v>40000</v>
      </c>
      <c r="AA46" s="18">
        <f t="shared" si="2"/>
        <v>40000</v>
      </c>
      <c r="AB46" s="18">
        <f t="shared" si="3"/>
        <v>40000</v>
      </c>
      <c r="AC46" s="18">
        <f t="shared" si="4"/>
        <v>40000</v>
      </c>
      <c r="AD46" s="18">
        <f t="shared" si="5"/>
        <v>40000</v>
      </c>
    </row>
    <row r="47" spans="1:30" ht="15" customHeight="1" x14ac:dyDescent="0.35">
      <c r="A47" s="8">
        <v>43</v>
      </c>
      <c r="B47" s="9" t="s">
        <v>418</v>
      </c>
      <c r="C47" s="8" t="s">
        <v>403</v>
      </c>
      <c r="D47" s="36">
        <v>0</v>
      </c>
      <c r="E47" s="36">
        <v>30000</v>
      </c>
      <c r="F47" s="36">
        <v>30000</v>
      </c>
      <c r="G47" s="36">
        <v>30000</v>
      </c>
      <c r="H47" s="36">
        <v>30000</v>
      </c>
      <c r="I47" s="36">
        <v>30000</v>
      </c>
      <c r="J47" s="36">
        <v>32000</v>
      </c>
      <c r="K47" s="36">
        <v>32000</v>
      </c>
      <c r="L47" s="36">
        <v>32000</v>
      </c>
      <c r="M47" s="36">
        <v>0</v>
      </c>
      <c r="N47" s="36">
        <v>0</v>
      </c>
      <c r="O47" s="36">
        <v>32000</v>
      </c>
      <c r="P47" s="36">
        <v>32000</v>
      </c>
      <c r="Q47" s="36">
        <v>32000</v>
      </c>
      <c r="R47" s="36">
        <v>32000</v>
      </c>
      <c r="S47" s="36">
        <v>32000</v>
      </c>
      <c r="T47" s="36">
        <v>32000</v>
      </c>
      <c r="U47" s="36">
        <v>32000</v>
      </c>
      <c r="V47" s="36">
        <v>0</v>
      </c>
      <c r="W47" s="36">
        <v>0</v>
      </c>
      <c r="X47" s="36">
        <v>32000</v>
      </c>
      <c r="Y47" s="18" t="str">
        <f t="shared" si="0"/>
        <v/>
      </c>
      <c r="Z47" s="18">
        <f t="shared" si="1"/>
        <v>30000</v>
      </c>
      <c r="AA47" s="18">
        <f t="shared" si="2"/>
        <v>32000</v>
      </c>
      <c r="AB47" s="18">
        <f t="shared" si="3"/>
        <v>32000</v>
      </c>
      <c r="AC47" s="18">
        <f t="shared" si="4"/>
        <v>32000</v>
      </c>
      <c r="AD47" s="18">
        <f t="shared" si="5"/>
        <v>31375</v>
      </c>
    </row>
    <row r="48" spans="1:30" ht="15" customHeight="1" x14ac:dyDescent="0.35">
      <c r="A48" s="8">
        <v>44</v>
      </c>
      <c r="B48" s="9" t="s">
        <v>419</v>
      </c>
      <c r="C48" s="8" t="s">
        <v>403</v>
      </c>
      <c r="D48" s="36">
        <v>0</v>
      </c>
      <c r="E48" s="36">
        <v>28000</v>
      </c>
      <c r="F48" s="36">
        <v>28000</v>
      </c>
      <c r="G48" s="36">
        <v>28000</v>
      </c>
      <c r="H48" s="36">
        <v>28000</v>
      </c>
      <c r="I48" s="36">
        <v>28000</v>
      </c>
      <c r="J48" s="36">
        <v>28000</v>
      </c>
      <c r="K48" s="36">
        <v>28000</v>
      </c>
      <c r="L48" s="36">
        <v>28000</v>
      </c>
      <c r="M48" s="36">
        <v>0</v>
      </c>
      <c r="N48" s="36">
        <v>0</v>
      </c>
      <c r="O48" s="36">
        <v>28000</v>
      </c>
      <c r="P48" s="36">
        <v>28000</v>
      </c>
      <c r="Q48" s="36">
        <v>28000</v>
      </c>
      <c r="R48" s="36">
        <v>28000</v>
      </c>
      <c r="S48" s="36">
        <v>28000</v>
      </c>
      <c r="T48" s="36">
        <v>28000</v>
      </c>
      <c r="U48" s="36">
        <v>28000</v>
      </c>
      <c r="V48" s="36">
        <v>0</v>
      </c>
      <c r="W48" s="36">
        <v>0</v>
      </c>
      <c r="X48" s="36">
        <v>28000</v>
      </c>
      <c r="Y48" s="18" t="str">
        <f t="shared" si="0"/>
        <v/>
      </c>
      <c r="Z48" s="18">
        <f t="shared" si="1"/>
        <v>28000</v>
      </c>
      <c r="AA48" s="18">
        <f t="shared" si="2"/>
        <v>28000</v>
      </c>
      <c r="AB48" s="18">
        <f t="shared" si="3"/>
        <v>28000</v>
      </c>
      <c r="AC48" s="18">
        <f t="shared" si="4"/>
        <v>28000</v>
      </c>
      <c r="AD48" s="18">
        <f t="shared" si="5"/>
        <v>28000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4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5" customWidth="1"/>
    <col min="2" max="2" width="22" customWidth="1"/>
    <col min="3" max="3" width="6" customWidth="1"/>
    <col min="4" max="25" width="11" customWidth="1"/>
    <col min="26" max="30" width="13" customWidth="1"/>
    <col min="31" max="31" width="14" customWidth="1"/>
  </cols>
  <sheetData>
    <row r="1" spans="1:31" ht="26.25" customHeight="1" x14ac:dyDescent="0.35">
      <c r="A1" s="5" t="s">
        <v>562</v>
      </c>
      <c r="B1" s="5"/>
      <c r="C1" s="5"/>
      <c r="D1" s="5"/>
    </row>
    <row r="2" spans="1:31" ht="18.75" customHeight="1" x14ac:dyDescent="0.35">
      <c r="A2" s="4" t="s">
        <v>371</v>
      </c>
      <c r="B2" s="4"/>
      <c r="C2" s="4"/>
      <c r="D2" s="4"/>
    </row>
    <row r="4" spans="1:31" ht="25.5" customHeight="1" x14ac:dyDescent="0.35">
      <c r="A4" s="6" t="s">
        <v>1</v>
      </c>
      <c r="B4" s="6" t="s">
        <v>372</v>
      </c>
      <c r="C4" s="6" t="s">
        <v>373</v>
      </c>
      <c r="D4" s="6" t="s">
        <v>563</v>
      </c>
      <c r="E4" s="6" t="s">
        <v>564</v>
      </c>
      <c r="F4" s="6" t="s">
        <v>565</v>
      </c>
      <c r="G4" s="6" t="s">
        <v>566</v>
      </c>
      <c r="H4" s="6" t="s">
        <v>567</v>
      </c>
      <c r="I4" s="6" t="s">
        <v>568</v>
      </c>
      <c r="J4" s="6" t="s">
        <v>569</v>
      </c>
      <c r="K4" s="6" t="s">
        <v>570</v>
      </c>
      <c r="L4" s="6" t="s">
        <v>571</v>
      </c>
      <c r="M4" s="6" t="s">
        <v>572</v>
      </c>
      <c r="N4" s="6" t="s">
        <v>573</v>
      </c>
      <c r="O4" s="6" t="s">
        <v>574</v>
      </c>
      <c r="P4" s="6" t="s">
        <v>575</v>
      </c>
      <c r="Q4" s="6" t="s">
        <v>576</v>
      </c>
      <c r="R4" s="6" t="s">
        <v>577</v>
      </c>
      <c r="S4" s="6" t="s">
        <v>578</v>
      </c>
      <c r="T4" s="6" t="s">
        <v>579</v>
      </c>
      <c r="U4" s="6" t="s">
        <v>580</v>
      </c>
      <c r="V4" s="6" t="s">
        <v>581</v>
      </c>
      <c r="W4" s="6" t="s">
        <v>582</v>
      </c>
      <c r="X4" s="6" t="s">
        <v>583</v>
      </c>
      <c r="Y4" s="6" t="s">
        <v>584</v>
      </c>
      <c r="Z4" s="34" t="s">
        <v>397</v>
      </c>
      <c r="AA4" s="34" t="s">
        <v>398</v>
      </c>
      <c r="AB4" s="34" t="s">
        <v>399</v>
      </c>
      <c r="AC4" s="34" t="s">
        <v>400</v>
      </c>
      <c r="AD4" s="34" t="s">
        <v>585</v>
      </c>
      <c r="AE4" s="35" t="s">
        <v>586</v>
      </c>
    </row>
    <row r="5" spans="1:31" ht="15" customHeight="1" x14ac:dyDescent="0.35">
      <c r="A5" s="8">
        <v>1</v>
      </c>
      <c r="B5" s="9" t="s">
        <v>330</v>
      </c>
      <c r="C5" s="8" t="s">
        <v>403</v>
      </c>
      <c r="D5" s="36">
        <v>0</v>
      </c>
      <c r="E5" s="36">
        <v>12700</v>
      </c>
      <c r="F5" s="36">
        <v>12700</v>
      </c>
      <c r="G5" s="36">
        <v>12700</v>
      </c>
      <c r="H5" s="36">
        <v>12700</v>
      </c>
      <c r="I5" s="36">
        <v>12700</v>
      </c>
      <c r="J5" s="36">
        <v>12700</v>
      </c>
      <c r="K5" s="36">
        <v>12000</v>
      </c>
      <c r="L5" s="36">
        <v>12500</v>
      </c>
      <c r="M5" s="36">
        <v>12500</v>
      </c>
      <c r="N5" s="36">
        <v>12500</v>
      </c>
      <c r="O5" s="36">
        <v>0</v>
      </c>
      <c r="P5" s="36">
        <v>12500</v>
      </c>
      <c r="Q5" s="36">
        <v>12500</v>
      </c>
      <c r="R5" s="36">
        <v>12500</v>
      </c>
      <c r="S5" s="36">
        <v>12500</v>
      </c>
      <c r="T5" s="36">
        <v>12500</v>
      </c>
      <c r="U5" s="36">
        <v>12500</v>
      </c>
      <c r="V5" s="36">
        <v>12500</v>
      </c>
      <c r="W5" s="36">
        <v>12500</v>
      </c>
      <c r="X5" s="36">
        <v>12500</v>
      </c>
      <c r="Y5" s="36">
        <v>12500</v>
      </c>
      <c r="Z5" s="18">
        <f t="shared" ref="Z5:Z48" si="0">IFERROR(AVERAGEIF(D5:H5,"&lt;&gt;0"),"")</f>
        <v>12700</v>
      </c>
      <c r="AA5" s="18">
        <f t="shared" ref="AA5:AA48" si="1">IFERROR(AVERAGEIF(I5:M5,"&lt;&gt;0"),"")</f>
        <v>12480</v>
      </c>
      <c r="AB5" s="18">
        <f t="shared" ref="AB5:AB48" si="2">IFERROR(AVERAGEIF(N5:R5,"&lt;&gt;0"),"")</f>
        <v>12500</v>
      </c>
      <c r="AC5" s="18">
        <f t="shared" ref="AC5:AC48" si="3">IFERROR(AVERAGEIF(S5:W5,"&lt;&gt;0"),"")</f>
        <v>12500</v>
      </c>
      <c r="AD5" s="18">
        <f t="shared" ref="AD5:AD48" si="4">IFERROR(AVERAGEIF(X5:Y5,"&lt;&gt;0"),"")</f>
        <v>12500</v>
      </c>
      <c r="AE5" s="18">
        <f t="shared" ref="AE5:AE48" si="5">IFERROR(AVERAGEIF(D5:Y5,"&lt;&gt;0"),"")</f>
        <v>12535</v>
      </c>
    </row>
    <row r="6" spans="1:31" ht="15" customHeight="1" x14ac:dyDescent="0.35">
      <c r="A6" s="8">
        <v>2</v>
      </c>
      <c r="B6" s="9" t="s">
        <v>331</v>
      </c>
      <c r="C6" s="8" t="s">
        <v>403</v>
      </c>
      <c r="D6" s="36">
        <v>0</v>
      </c>
      <c r="E6" s="36">
        <v>14300</v>
      </c>
      <c r="F6" s="36">
        <v>14300</v>
      </c>
      <c r="G6" s="36">
        <v>14300</v>
      </c>
      <c r="H6" s="36">
        <v>14300</v>
      </c>
      <c r="I6" s="36">
        <v>14300</v>
      </c>
      <c r="J6" s="36">
        <v>14300</v>
      </c>
      <c r="K6" s="36">
        <v>14300</v>
      </c>
      <c r="L6" s="36">
        <v>14300</v>
      </c>
      <c r="M6" s="36">
        <v>14300</v>
      </c>
      <c r="N6" s="36">
        <v>14300</v>
      </c>
      <c r="O6" s="36">
        <v>0</v>
      </c>
      <c r="P6" s="36">
        <v>14300</v>
      </c>
      <c r="Q6" s="36">
        <v>14300</v>
      </c>
      <c r="R6" s="36">
        <v>14300</v>
      </c>
      <c r="S6" s="36">
        <v>14300</v>
      </c>
      <c r="T6" s="36">
        <v>14300</v>
      </c>
      <c r="U6" s="36">
        <v>14300</v>
      </c>
      <c r="V6" s="36">
        <v>14300</v>
      </c>
      <c r="W6" s="36">
        <v>14300</v>
      </c>
      <c r="X6" s="36">
        <v>14300</v>
      </c>
      <c r="Y6" s="36">
        <v>14300</v>
      </c>
      <c r="Z6" s="18">
        <f t="shared" si="0"/>
        <v>14300</v>
      </c>
      <c r="AA6" s="18">
        <f t="shared" si="1"/>
        <v>14300</v>
      </c>
      <c r="AB6" s="18">
        <f t="shared" si="2"/>
        <v>14300</v>
      </c>
      <c r="AC6" s="18">
        <f t="shared" si="3"/>
        <v>14300</v>
      </c>
      <c r="AD6" s="18">
        <f t="shared" si="4"/>
        <v>14300</v>
      </c>
      <c r="AE6" s="18">
        <f t="shared" si="5"/>
        <v>14300</v>
      </c>
    </row>
    <row r="7" spans="1:31" ht="15" customHeight="1" x14ac:dyDescent="0.35">
      <c r="A7" s="8">
        <v>3</v>
      </c>
      <c r="B7" s="9" t="s">
        <v>332</v>
      </c>
      <c r="C7" s="8" t="s">
        <v>403</v>
      </c>
      <c r="D7" s="36">
        <v>0</v>
      </c>
      <c r="E7" s="36">
        <v>11800</v>
      </c>
      <c r="F7" s="36">
        <v>11800</v>
      </c>
      <c r="G7" s="36">
        <v>11800</v>
      </c>
      <c r="H7" s="36">
        <v>11800</v>
      </c>
      <c r="I7" s="36">
        <v>11800</v>
      </c>
      <c r="J7" s="36">
        <v>11800</v>
      </c>
      <c r="K7" s="36">
        <v>11800</v>
      </c>
      <c r="L7" s="36">
        <v>11800</v>
      </c>
      <c r="M7" s="36">
        <v>11800</v>
      </c>
      <c r="N7" s="36">
        <v>11800</v>
      </c>
      <c r="O7" s="36">
        <v>0</v>
      </c>
      <c r="P7" s="36">
        <v>11800</v>
      </c>
      <c r="Q7" s="36">
        <v>12500</v>
      </c>
      <c r="R7" s="36">
        <v>11800</v>
      </c>
      <c r="S7" s="36">
        <v>11800</v>
      </c>
      <c r="T7" s="36">
        <v>11800</v>
      </c>
      <c r="U7" s="36">
        <v>11800</v>
      </c>
      <c r="V7" s="36">
        <v>11800</v>
      </c>
      <c r="W7" s="36">
        <v>11800</v>
      </c>
      <c r="X7" s="36">
        <v>11800</v>
      </c>
      <c r="Y7" s="36">
        <v>11800</v>
      </c>
      <c r="Z7" s="18">
        <f t="shared" si="0"/>
        <v>11800</v>
      </c>
      <c r="AA7" s="18">
        <f t="shared" si="1"/>
        <v>11800</v>
      </c>
      <c r="AB7" s="18">
        <f t="shared" si="2"/>
        <v>11975</v>
      </c>
      <c r="AC7" s="18">
        <f t="shared" si="3"/>
        <v>11800</v>
      </c>
      <c r="AD7" s="18">
        <f t="shared" si="4"/>
        <v>11800</v>
      </c>
      <c r="AE7" s="18">
        <f t="shared" si="5"/>
        <v>11835</v>
      </c>
    </row>
    <row r="8" spans="1:31" ht="15" customHeight="1" x14ac:dyDescent="0.35">
      <c r="A8" s="8">
        <v>4</v>
      </c>
      <c r="B8" s="9" t="s">
        <v>404</v>
      </c>
      <c r="C8" s="8" t="s">
        <v>403</v>
      </c>
      <c r="D8" s="36">
        <v>0</v>
      </c>
      <c r="E8" s="36">
        <v>11000</v>
      </c>
      <c r="F8" s="36">
        <v>11000</v>
      </c>
      <c r="G8" s="36">
        <v>11000</v>
      </c>
      <c r="H8" s="36">
        <v>11000</v>
      </c>
      <c r="I8" s="36">
        <v>11000</v>
      </c>
      <c r="J8" s="36">
        <v>11000</v>
      </c>
      <c r="K8" s="36">
        <v>11000</v>
      </c>
      <c r="L8" s="36">
        <v>11000</v>
      </c>
      <c r="M8" s="36">
        <v>11000</v>
      </c>
      <c r="N8" s="36">
        <v>11000</v>
      </c>
      <c r="O8" s="36">
        <v>0</v>
      </c>
      <c r="P8" s="36">
        <v>11000</v>
      </c>
      <c r="Q8" s="36">
        <v>11000</v>
      </c>
      <c r="R8" s="36">
        <v>11000</v>
      </c>
      <c r="S8" s="36">
        <v>11000</v>
      </c>
      <c r="T8" s="36">
        <v>11000</v>
      </c>
      <c r="U8" s="36">
        <v>11000</v>
      </c>
      <c r="V8" s="36">
        <v>11000</v>
      </c>
      <c r="W8" s="36">
        <v>11000</v>
      </c>
      <c r="X8" s="36">
        <v>11000</v>
      </c>
      <c r="Y8" s="36">
        <v>11000</v>
      </c>
      <c r="Z8" s="18">
        <f t="shared" si="0"/>
        <v>11000</v>
      </c>
      <c r="AA8" s="18">
        <f t="shared" si="1"/>
        <v>11000</v>
      </c>
      <c r="AB8" s="18">
        <f t="shared" si="2"/>
        <v>11000</v>
      </c>
      <c r="AC8" s="18">
        <f t="shared" si="3"/>
        <v>11000</v>
      </c>
      <c r="AD8" s="18">
        <f t="shared" si="4"/>
        <v>11000</v>
      </c>
      <c r="AE8" s="18">
        <f t="shared" si="5"/>
        <v>11000</v>
      </c>
    </row>
    <row r="9" spans="1:31" ht="15" customHeight="1" x14ac:dyDescent="0.35">
      <c r="A9" s="8">
        <v>5</v>
      </c>
      <c r="B9" s="9" t="s">
        <v>356</v>
      </c>
      <c r="C9" s="8" t="s">
        <v>403</v>
      </c>
      <c r="D9" s="36">
        <v>0</v>
      </c>
      <c r="E9" s="36">
        <v>46000</v>
      </c>
      <c r="F9" s="36">
        <v>44000</v>
      </c>
      <c r="G9" s="36">
        <v>44000</v>
      </c>
      <c r="H9" s="36">
        <v>40000</v>
      </c>
      <c r="I9" s="36">
        <v>40000</v>
      </c>
      <c r="J9" s="36">
        <v>40000</v>
      </c>
      <c r="K9" s="36">
        <v>40000</v>
      </c>
      <c r="L9" s="36">
        <v>40000</v>
      </c>
      <c r="M9" s="36">
        <v>38000</v>
      </c>
      <c r="N9" s="36">
        <v>35000</v>
      </c>
      <c r="O9" s="36">
        <v>0</v>
      </c>
      <c r="P9" s="36">
        <v>30000</v>
      </c>
      <c r="Q9" s="36">
        <v>32000</v>
      </c>
      <c r="R9" s="36">
        <v>32000</v>
      </c>
      <c r="S9" s="36">
        <v>32000</v>
      </c>
      <c r="T9" s="36">
        <v>32000</v>
      </c>
      <c r="U9" s="36">
        <v>32000</v>
      </c>
      <c r="V9" s="36">
        <v>32000</v>
      </c>
      <c r="W9" s="36">
        <v>32000</v>
      </c>
      <c r="X9" s="36">
        <v>32000</v>
      </c>
      <c r="Y9" s="36">
        <v>30000</v>
      </c>
      <c r="Z9" s="18">
        <f t="shared" si="0"/>
        <v>43500</v>
      </c>
      <c r="AA9" s="18">
        <f t="shared" si="1"/>
        <v>39600</v>
      </c>
      <c r="AB9" s="18">
        <f t="shared" si="2"/>
        <v>32250</v>
      </c>
      <c r="AC9" s="18">
        <f t="shared" si="3"/>
        <v>32000</v>
      </c>
      <c r="AD9" s="18">
        <f t="shared" si="4"/>
        <v>31000</v>
      </c>
      <c r="AE9" s="18">
        <f t="shared" si="5"/>
        <v>36150</v>
      </c>
    </row>
    <row r="10" spans="1:31" ht="15" customHeight="1" x14ac:dyDescent="0.35">
      <c r="A10" s="8">
        <v>6</v>
      </c>
      <c r="B10" s="9" t="s">
        <v>357</v>
      </c>
      <c r="C10" s="8" t="s">
        <v>403</v>
      </c>
      <c r="D10" s="36">
        <v>0</v>
      </c>
      <c r="E10" s="36">
        <v>50000</v>
      </c>
      <c r="F10" s="36">
        <v>48000</v>
      </c>
      <c r="G10" s="36">
        <v>48000</v>
      </c>
      <c r="H10" s="36">
        <v>48000</v>
      </c>
      <c r="I10" s="36">
        <v>48000</v>
      </c>
      <c r="J10" s="36">
        <v>48000</v>
      </c>
      <c r="K10" s="36">
        <v>48000</v>
      </c>
      <c r="L10" s="36">
        <v>48000</v>
      </c>
      <c r="M10" s="36">
        <v>45000</v>
      </c>
      <c r="N10" s="36">
        <v>36000</v>
      </c>
      <c r="O10" s="36">
        <v>0</v>
      </c>
      <c r="P10" s="36">
        <v>30000</v>
      </c>
      <c r="Q10" s="36">
        <v>32000</v>
      </c>
      <c r="R10" s="36">
        <v>32000</v>
      </c>
      <c r="S10" s="36">
        <v>28000</v>
      </c>
      <c r="T10" s="36">
        <v>28000</v>
      </c>
      <c r="U10" s="36">
        <v>28000</v>
      </c>
      <c r="V10" s="36">
        <v>28000</v>
      </c>
      <c r="W10" s="36">
        <v>28000</v>
      </c>
      <c r="X10" s="36">
        <v>28000</v>
      </c>
      <c r="Y10" s="36">
        <v>28000</v>
      </c>
      <c r="Z10" s="18">
        <f t="shared" si="0"/>
        <v>48500</v>
      </c>
      <c r="AA10" s="18">
        <f t="shared" si="1"/>
        <v>47400</v>
      </c>
      <c r="AB10" s="18">
        <f t="shared" si="2"/>
        <v>32500</v>
      </c>
      <c r="AC10" s="18">
        <f t="shared" si="3"/>
        <v>28000</v>
      </c>
      <c r="AD10" s="18">
        <f t="shared" si="4"/>
        <v>28000</v>
      </c>
      <c r="AE10" s="18">
        <f t="shared" si="5"/>
        <v>37850</v>
      </c>
    </row>
    <row r="11" spans="1:31" ht="15" customHeight="1" x14ac:dyDescent="0.35">
      <c r="A11" s="8">
        <v>7</v>
      </c>
      <c r="B11" s="9" t="s">
        <v>343</v>
      </c>
      <c r="C11" s="8" t="s">
        <v>403</v>
      </c>
      <c r="D11" s="36">
        <v>0</v>
      </c>
      <c r="E11" s="36">
        <v>65000</v>
      </c>
      <c r="F11" s="36">
        <v>65000</v>
      </c>
      <c r="G11" s="36">
        <v>63000</v>
      </c>
      <c r="H11" s="36">
        <v>62000</v>
      </c>
      <c r="I11" s="36">
        <v>62000</v>
      </c>
      <c r="J11" s="36">
        <v>62000</v>
      </c>
      <c r="K11" s="36">
        <v>62000</v>
      </c>
      <c r="L11" s="36">
        <v>62000</v>
      </c>
      <c r="M11" s="36">
        <v>60000</v>
      </c>
      <c r="N11" s="36">
        <v>60000</v>
      </c>
      <c r="O11" s="36">
        <v>0</v>
      </c>
      <c r="P11" s="36">
        <v>57000</v>
      </c>
      <c r="Q11" s="36">
        <v>57000</v>
      </c>
      <c r="R11" s="36">
        <v>55000</v>
      </c>
      <c r="S11" s="36">
        <v>50000</v>
      </c>
      <c r="T11" s="36">
        <v>50000</v>
      </c>
      <c r="U11" s="36">
        <v>50000</v>
      </c>
      <c r="V11" s="36">
        <v>50000</v>
      </c>
      <c r="W11" s="36">
        <v>50000</v>
      </c>
      <c r="X11" s="36">
        <v>50000</v>
      </c>
      <c r="Y11" s="36">
        <v>45000</v>
      </c>
      <c r="Z11" s="18">
        <f t="shared" si="0"/>
        <v>63750</v>
      </c>
      <c r="AA11" s="18">
        <f t="shared" si="1"/>
        <v>61600</v>
      </c>
      <c r="AB11" s="18">
        <f t="shared" si="2"/>
        <v>57250</v>
      </c>
      <c r="AC11" s="18">
        <f t="shared" si="3"/>
        <v>50000</v>
      </c>
      <c r="AD11" s="18">
        <f t="shared" si="4"/>
        <v>47500</v>
      </c>
      <c r="AE11" s="18">
        <f t="shared" si="5"/>
        <v>56850</v>
      </c>
    </row>
    <row r="12" spans="1:31" ht="15" customHeight="1" x14ac:dyDescent="0.35">
      <c r="A12" s="8">
        <v>8</v>
      </c>
      <c r="B12" s="9" t="s">
        <v>350</v>
      </c>
      <c r="C12" s="8" t="s">
        <v>403</v>
      </c>
      <c r="D12" s="36">
        <v>0</v>
      </c>
      <c r="E12" s="36">
        <v>35000</v>
      </c>
      <c r="F12" s="36">
        <v>35000</v>
      </c>
      <c r="G12" s="36">
        <v>35000</v>
      </c>
      <c r="H12" s="36">
        <v>35000</v>
      </c>
      <c r="I12" s="36">
        <v>35000</v>
      </c>
      <c r="J12" s="36">
        <v>35000</v>
      </c>
      <c r="K12" s="36">
        <v>37000</v>
      </c>
      <c r="L12" s="36">
        <v>37000</v>
      </c>
      <c r="M12" s="36">
        <v>38000</v>
      </c>
      <c r="N12" s="36">
        <v>40000</v>
      </c>
      <c r="O12" s="36">
        <v>0</v>
      </c>
      <c r="P12" s="36">
        <v>40000</v>
      </c>
      <c r="Q12" s="36">
        <v>40000</v>
      </c>
      <c r="R12" s="36">
        <v>38000</v>
      </c>
      <c r="S12" s="36">
        <v>36000</v>
      </c>
      <c r="T12" s="36">
        <v>36000</v>
      </c>
      <c r="U12" s="36">
        <v>36000</v>
      </c>
      <c r="V12" s="36">
        <v>36000</v>
      </c>
      <c r="W12" s="36">
        <v>36000</v>
      </c>
      <c r="X12" s="36">
        <v>36000</v>
      </c>
      <c r="Y12" s="36">
        <v>35000</v>
      </c>
      <c r="Z12" s="18">
        <f t="shared" si="0"/>
        <v>35000</v>
      </c>
      <c r="AA12" s="18">
        <f t="shared" si="1"/>
        <v>36400</v>
      </c>
      <c r="AB12" s="18">
        <f t="shared" si="2"/>
        <v>39500</v>
      </c>
      <c r="AC12" s="18">
        <f t="shared" si="3"/>
        <v>36000</v>
      </c>
      <c r="AD12" s="18">
        <f t="shared" si="4"/>
        <v>35500</v>
      </c>
      <c r="AE12" s="18">
        <f t="shared" si="5"/>
        <v>36550</v>
      </c>
    </row>
    <row r="13" spans="1:31" ht="15" customHeight="1" x14ac:dyDescent="0.35">
      <c r="A13" s="8">
        <v>9</v>
      </c>
      <c r="B13" s="9" t="s">
        <v>345</v>
      </c>
      <c r="C13" s="8" t="s">
        <v>403</v>
      </c>
      <c r="D13" s="36">
        <v>0</v>
      </c>
      <c r="E13" s="36">
        <v>16500</v>
      </c>
      <c r="F13" s="36">
        <v>16500</v>
      </c>
      <c r="G13" s="36">
        <v>16500</v>
      </c>
      <c r="H13" s="36">
        <v>16500</v>
      </c>
      <c r="I13" s="36">
        <v>16500</v>
      </c>
      <c r="J13" s="36">
        <v>16500</v>
      </c>
      <c r="K13" s="36">
        <v>16500</v>
      </c>
      <c r="L13" s="36">
        <v>16500</v>
      </c>
      <c r="M13" s="36">
        <v>16500</v>
      </c>
      <c r="N13" s="36">
        <v>16500</v>
      </c>
      <c r="O13" s="36">
        <v>0</v>
      </c>
      <c r="P13" s="36">
        <v>16500</v>
      </c>
      <c r="Q13" s="36">
        <v>16500</v>
      </c>
      <c r="R13" s="36">
        <v>16500</v>
      </c>
      <c r="S13" s="36">
        <v>16500</v>
      </c>
      <c r="T13" s="36">
        <v>16500</v>
      </c>
      <c r="U13" s="36">
        <v>16500</v>
      </c>
      <c r="V13" s="36">
        <v>16500</v>
      </c>
      <c r="W13" s="36">
        <v>16500</v>
      </c>
      <c r="X13" s="36">
        <v>16500</v>
      </c>
      <c r="Y13" s="36">
        <v>16500</v>
      </c>
      <c r="Z13" s="18">
        <f t="shared" si="0"/>
        <v>16500</v>
      </c>
      <c r="AA13" s="18">
        <f t="shared" si="1"/>
        <v>16500</v>
      </c>
      <c r="AB13" s="18">
        <f t="shared" si="2"/>
        <v>16500</v>
      </c>
      <c r="AC13" s="18">
        <f t="shared" si="3"/>
        <v>16500</v>
      </c>
      <c r="AD13" s="18">
        <f t="shared" si="4"/>
        <v>16500</v>
      </c>
      <c r="AE13" s="18">
        <f t="shared" si="5"/>
        <v>16500</v>
      </c>
    </row>
    <row r="14" spans="1:31" ht="15" customHeight="1" x14ac:dyDescent="0.35">
      <c r="A14" s="8">
        <v>10</v>
      </c>
      <c r="B14" s="9" t="s">
        <v>336</v>
      </c>
      <c r="C14" s="8" t="s">
        <v>449</v>
      </c>
      <c r="D14" s="36">
        <v>0</v>
      </c>
      <c r="E14" s="36">
        <v>18450</v>
      </c>
      <c r="F14" s="36">
        <v>18450</v>
      </c>
      <c r="G14" s="36">
        <v>18450</v>
      </c>
      <c r="H14" s="36">
        <v>18450</v>
      </c>
      <c r="I14" s="36">
        <v>18450</v>
      </c>
      <c r="J14" s="36">
        <v>18450</v>
      </c>
      <c r="K14" s="36">
        <v>18450</v>
      </c>
      <c r="L14" s="36">
        <v>18450</v>
      </c>
      <c r="M14" s="36">
        <v>18450</v>
      </c>
      <c r="N14" s="36">
        <v>18450</v>
      </c>
      <c r="O14" s="36">
        <v>0</v>
      </c>
      <c r="P14" s="36">
        <v>18450</v>
      </c>
      <c r="Q14" s="36">
        <v>18450</v>
      </c>
      <c r="R14" s="36">
        <v>18450</v>
      </c>
      <c r="S14" s="36">
        <v>18450</v>
      </c>
      <c r="T14" s="36">
        <v>18450</v>
      </c>
      <c r="U14" s="36">
        <v>18450</v>
      </c>
      <c r="V14" s="36">
        <v>18450</v>
      </c>
      <c r="W14" s="36">
        <v>18450</v>
      </c>
      <c r="X14" s="36">
        <v>18450</v>
      </c>
      <c r="Y14" s="36">
        <v>18450</v>
      </c>
      <c r="Z14" s="18">
        <f t="shared" si="0"/>
        <v>18450</v>
      </c>
      <c r="AA14" s="18">
        <f t="shared" si="1"/>
        <v>18450</v>
      </c>
      <c r="AB14" s="18">
        <f t="shared" si="2"/>
        <v>18450</v>
      </c>
      <c r="AC14" s="18">
        <f t="shared" si="3"/>
        <v>18450</v>
      </c>
      <c r="AD14" s="18">
        <f t="shared" si="4"/>
        <v>18450</v>
      </c>
      <c r="AE14" s="18">
        <f t="shared" si="5"/>
        <v>18450</v>
      </c>
    </row>
    <row r="15" spans="1:31" ht="21.75" customHeight="1" x14ac:dyDescent="0.35">
      <c r="A15" s="8">
        <v>11</v>
      </c>
      <c r="B15" s="9" t="s">
        <v>337</v>
      </c>
      <c r="C15" s="8" t="s">
        <v>449</v>
      </c>
      <c r="D15" s="36">
        <v>0</v>
      </c>
      <c r="E15" s="36">
        <v>23000</v>
      </c>
      <c r="F15" s="36">
        <v>23000</v>
      </c>
      <c r="G15" s="36">
        <v>23000</v>
      </c>
      <c r="H15" s="36">
        <v>23000</v>
      </c>
      <c r="I15" s="36">
        <v>23000</v>
      </c>
      <c r="J15" s="36">
        <v>23000</v>
      </c>
      <c r="K15" s="36">
        <v>23000</v>
      </c>
      <c r="L15" s="36">
        <v>23000</v>
      </c>
      <c r="M15" s="36">
        <v>23000</v>
      </c>
      <c r="N15" s="36">
        <v>23000</v>
      </c>
      <c r="O15" s="36">
        <v>0</v>
      </c>
      <c r="P15" s="36">
        <v>23000</v>
      </c>
      <c r="Q15" s="36">
        <v>23000</v>
      </c>
      <c r="R15" s="36">
        <v>23000</v>
      </c>
      <c r="S15" s="36">
        <v>23000</v>
      </c>
      <c r="T15" s="36">
        <v>23000</v>
      </c>
      <c r="U15" s="36">
        <v>23000</v>
      </c>
      <c r="V15" s="36">
        <v>23000</v>
      </c>
      <c r="W15" s="36">
        <v>23000</v>
      </c>
      <c r="X15" s="36">
        <v>23000</v>
      </c>
      <c r="Y15" s="36">
        <v>23000</v>
      </c>
      <c r="Z15" s="18">
        <f t="shared" si="0"/>
        <v>23000</v>
      </c>
      <c r="AA15" s="18">
        <f t="shared" si="1"/>
        <v>23000</v>
      </c>
      <c r="AB15" s="18">
        <f t="shared" si="2"/>
        <v>23000</v>
      </c>
      <c r="AC15" s="18">
        <f t="shared" si="3"/>
        <v>23000</v>
      </c>
      <c r="AD15" s="18">
        <f t="shared" si="4"/>
        <v>23000</v>
      </c>
      <c r="AE15" s="18">
        <f t="shared" si="5"/>
        <v>23000</v>
      </c>
    </row>
    <row r="16" spans="1:31" ht="15" customHeight="1" x14ac:dyDescent="0.35">
      <c r="A16" s="8">
        <v>12</v>
      </c>
      <c r="B16" s="9" t="s">
        <v>338</v>
      </c>
      <c r="C16" s="8" t="s">
        <v>449</v>
      </c>
      <c r="D16" s="36">
        <v>0</v>
      </c>
      <c r="E16" s="36">
        <v>15500</v>
      </c>
      <c r="F16" s="36">
        <v>15500</v>
      </c>
      <c r="G16" s="36">
        <v>15500</v>
      </c>
      <c r="H16" s="36">
        <v>15500</v>
      </c>
      <c r="I16" s="36">
        <v>15500</v>
      </c>
      <c r="J16" s="36">
        <v>15500</v>
      </c>
      <c r="K16" s="36">
        <v>15500</v>
      </c>
      <c r="L16" s="36">
        <v>15500</v>
      </c>
      <c r="M16" s="36">
        <v>15500</v>
      </c>
      <c r="N16" s="36">
        <v>15500</v>
      </c>
      <c r="O16" s="36">
        <v>0</v>
      </c>
      <c r="P16" s="36">
        <v>15500</v>
      </c>
      <c r="Q16" s="36">
        <v>15500</v>
      </c>
      <c r="R16" s="36">
        <v>15500</v>
      </c>
      <c r="S16" s="36">
        <v>15500</v>
      </c>
      <c r="T16" s="36">
        <v>15500</v>
      </c>
      <c r="U16" s="36">
        <v>15500</v>
      </c>
      <c r="V16" s="36">
        <v>15500</v>
      </c>
      <c r="W16" s="36">
        <v>15500</v>
      </c>
      <c r="X16" s="36">
        <v>15500</v>
      </c>
      <c r="Y16" s="36">
        <v>15500</v>
      </c>
      <c r="Z16" s="18">
        <f t="shared" si="0"/>
        <v>15500</v>
      </c>
      <c r="AA16" s="18">
        <f t="shared" si="1"/>
        <v>15500</v>
      </c>
      <c r="AB16" s="18">
        <f t="shared" si="2"/>
        <v>15500</v>
      </c>
      <c r="AC16" s="18">
        <f t="shared" si="3"/>
        <v>15500</v>
      </c>
      <c r="AD16" s="18">
        <f t="shared" si="4"/>
        <v>15500</v>
      </c>
      <c r="AE16" s="18">
        <f t="shared" si="5"/>
        <v>15500</v>
      </c>
    </row>
    <row r="17" spans="1:31" ht="15" customHeight="1" x14ac:dyDescent="0.35">
      <c r="A17" s="8">
        <v>13</v>
      </c>
      <c r="B17" s="9" t="s">
        <v>333</v>
      </c>
      <c r="C17" s="8" t="s">
        <v>403</v>
      </c>
      <c r="D17" s="36">
        <v>0</v>
      </c>
      <c r="E17" s="36">
        <v>11000</v>
      </c>
      <c r="F17" s="36">
        <v>11000</v>
      </c>
      <c r="G17" s="36">
        <v>11000</v>
      </c>
      <c r="H17" s="36">
        <v>11000</v>
      </c>
      <c r="I17" s="36">
        <v>11000</v>
      </c>
      <c r="J17" s="36">
        <v>11000</v>
      </c>
      <c r="K17" s="36">
        <v>11000</v>
      </c>
      <c r="L17" s="36">
        <v>11000</v>
      </c>
      <c r="M17" s="36">
        <v>11000</v>
      </c>
      <c r="N17" s="36">
        <v>11000</v>
      </c>
      <c r="O17" s="36">
        <v>0</v>
      </c>
      <c r="P17" s="36">
        <v>11000</v>
      </c>
      <c r="Q17" s="36">
        <v>11000</v>
      </c>
      <c r="R17" s="36">
        <v>11000</v>
      </c>
      <c r="S17" s="36">
        <v>11000</v>
      </c>
      <c r="T17" s="36">
        <v>11000</v>
      </c>
      <c r="U17" s="36">
        <v>11000</v>
      </c>
      <c r="V17" s="36">
        <v>11000</v>
      </c>
      <c r="W17" s="36">
        <v>11000</v>
      </c>
      <c r="X17" s="36">
        <v>11000</v>
      </c>
      <c r="Y17" s="36">
        <v>11000</v>
      </c>
      <c r="Z17" s="18">
        <f t="shared" si="0"/>
        <v>11000</v>
      </c>
      <c r="AA17" s="18">
        <f t="shared" si="1"/>
        <v>11000</v>
      </c>
      <c r="AB17" s="18">
        <f t="shared" si="2"/>
        <v>11000</v>
      </c>
      <c r="AC17" s="18">
        <f t="shared" si="3"/>
        <v>11000</v>
      </c>
      <c r="AD17" s="18">
        <f t="shared" si="4"/>
        <v>11000</v>
      </c>
      <c r="AE17" s="18">
        <f t="shared" si="5"/>
        <v>11000</v>
      </c>
    </row>
    <row r="18" spans="1:31" ht="15" customHeight="1" x14ac:dyDescent="0.35">
      <c r="A18" s="8">
        <v>14</v>
      </c>
      <c r="B18" s="9" t="s">
        <v>335</v>
      </c>
      <c r="C18" s="8" t="s">
        <v>403</v>
      </c>
      <c r="D18" s="36">
        <v>0</v>
      </c>
      <c r="E18" s="36">
        <v>32000</v>
      </c>
      <c r="F18" s="36">
        <v>32000</v>
      </c>
      <c r="G18" s="36">
        <v>32000</v>
      </c>
      <c r="H18" s="36">
        <v>31000</v>
      </c>
      <c r="I18" s="36">
        <v>31000</v>
      </c>
      <c r="J18" s="36">
        <v>29000</v>
      </c>
      <c r="K18" s="36">
        <v>28000</v>
      </c>
      <c r="L18" s="36">
        <v>28000</v>
      </c>
      <c r="M18" s="36">
        <v>30000</v>
      </c>
      <c r="N18" s="36">
        <v>30000</v>
      </c>
      <c r="O18" s="36">
        <v>0</v>
      </c>
      <c r="P18" s="36">
        <v>30000</v>
      </c>
      <c r="Q18" s="36">
        <v>29000</v>
      </c>
      <c r="R18" s="36">
        <v>30000</v>
      </c>
      <c r="S18" s="36">
        <v>30000</v>
      </c>
      <c r="T18" s="36">
        <v>30000</v>
      </c>
      <c r="U18" s="36">
        <v>30000</v>
      </c>
      <c r="V18" s="36">
        <v>30000</v>
      </c>
      <c r="W18" s="36">
        <v>30000</v>
      </c>
      <c r="X18" s="36">
        <v>30000</v>
      </c>
      <c r="Y18" s="36">
        <v>30000</v>
      </c>
      <c r="Z18" s="18">
        <f t="shared" si="0"/>
        <v>31750</v>
      </c>
      <c r="AA18" s="18">
        <f t="shared" si="1"/>
        <v>29200</v>
      </c>
      <c r="AB18" s="18">
        <f t="shared" si="2"/>
        <v>29750</v>
      </c>
      <c r="AC18" s="18">
        <f t="shared" si="3"/>
        <v>30000</v>
      </c>
      <c r="AD18" s="18">
        <f t="shared" si="4"/>
        <v>30000</v>
      </c>
      <c r="AE18" s="18">
        <f t="shared" si="5"/>
        <v>30100</v>
      </c>
    </row>
    <row r="19" spans="1:31" ht="15" customHeight="1" x14ac:dyDescent="0.35">
      <c r="A19" s="8">
        <v>15</v>
      </c>
      <c r="B19" s="9" t="s">
        <v>344</v>
      </c>
      <c r="C19" s="8" t="s">
        <v>403</v>
      </c>
      <c r="D19" s="36">
        <v>0</v>
      </c>
      <c r="E19" s="36">
        <v>24000</v>
      </c>
      <c r="F19" s="36">
        <v>24000</v>
      </c>
      <c r="G19" s="36">
        <v>24000</v>
      </c>
      <c r="H19" s="36">
        <v>24000</v>
      </c>
      <c r="I19" s="36">
        <v>24000</v>
      </c>
      <c r="J19" s="36">
        <v>24500</v>
      </c>
      <c r="K19" s="36">
        <v>24000</v>
      </c>
      <c r="L19" s="36">
        <v>24000</v>
      </c>
      <c r="M19" s="36">
        <v>24500</v>
      </c>
      <c r="N19" s="36">
        <v>24500</v>
      </c>
      <c r="O19" s="36">
        <v>0</v>
      </c>
      <c r="P19" s="36">
        <v>23500</v>
      </c>
      <c r="Q19" s="36">
        <v>24000</v>
      </c>
      <c r="R19" s="36">
        <v>23500</v>
      </c>
      <c r="S19" s="36">
        <v>23000</v>
      </c>
      <c r="T19" s="36">
        <v>23000</v>
      </c>
      <c r="U19" s="36">
        <v>23000</v>
      </c>
      <c r="V19" s="36">
        <v>23000</v>
      </c>
      <c r="W19" s="36">
        <v>23000</v>
      </c>
      <c r="X19" s="36">
        <v>23000</v>
      </c>
      <c r="Y19" s="36">
        <v>23000</v>
      </c>
      <c r="Z19" s="18">
        <f t="shared" si="0"/>
        <v>24000</v>
      </c>
      <c r="AA19" s="18">
        <f t="shared" si="1"/>
        <v>24200</v>
      </c>
      <c r="AB19" s="18">
        <f t="shared" si="2"/>
        <v>23875</v>
      </c>
      <c r="AC19" s="18">
        <f t="shared" si="3"/>
        <v>23000</v>
      </c>
      <c r="AD19" s="18">
        <f t="shared" si="4"/>
        <v>23000</v>
      </c>
      <c r="AE19" s="18">
        <f t="shared" si="5"/>
        <v>23675</v>
      </c>
    </row>
    <row r="20" spans="1:31" ht="15" customHeight="1" x14ac:dyDescent="0.35">
      <c r="A20" s="8">
        <v>16</v>
      </c>
      <c r="B20" s="9" t="s">
        <v>358</v>
      </c>
      <c r="C20" s="8" t="s">
        <v>403</v>
      </c>
      <c r="D20" s="36">
        <v>0</v>
      </c>
      <c r="E20" s="36">
        <v>115000</v>
      </c>
      <c r="F20" s="36">
        <v>115000</v>
      </c>
      <c r="G20" s="36">
        <v>115000</v>
      </c>
      <c r="H20" s="36">
        <v>115000</v>
      </c>
      <c r="I20" s="36">
        <v>115000</v>
      </c>
      <c r="J20" s="36">
        <v>116000</v>
      </c>
      <c r="K20" s="36">
        <v>116000</v>
      </c>
      <c r="L20" s="36">
        <v>116000</v>
      </c>
      <c r="M20" s="36">
        <v>116000</v>
      </c>
      <c r="N20" s="36">
        <v>116000</v>
      </c>
      <c r="O20" s="36">
        <v>0</v>
      </c>
      <c r="P20" s="36">
        <v>118000</v>
      </c>
      <c r="Q20" s="36">
        <v>118000</v>
      </c>
      <c r="R20" s="36">
        <v>120000</v>
      </c>
      <c r="S20" s="36">
        <v>120000</v>
      </c>
      <c r="T20" s="36">
        <v>120000</v>
      </c>
      <c r="U20" s="36">
        <v>120000</v>
      </c>
      <c r="V20" s="36">
        <v>120000</v>
      </c>
      <c r="W20" s="36">
        <v>120000</v>
      </c>
      <c r="X20" s="36">
        <v>120000</v>
      </c>
      <c r="Y20" s="36">
        <v>120000</v>
      </c>
      <c r="Z20" s="18">
        <f t="shared" si="0"/>
        <v>115000</v>
      </c>
      <c r="AA20" s="18">
        <f t="shared" si="1"/>
        <v>115800</v>
      </c>
      <c r="AB20" s="18">
        <f t="shared" si="2"/>
        <v>118000</v>
      </c>
      <c r="AC20" s="18">
        <f t="shared" si="3"/>
        <v>120000</v>
      </c>
      <c r="AD20" s="18">
        <f t="shared" si="4"/>
        <v>120000</v>
      </c>
      <c r="AE20" s="18">
        <f t="shared" si="5"/>
        <v>117550</v>
      </c>
    </row>
    <row r="21" spans="1:31" ht="15" customHeight="1" x14ac:dyDescent="0.35">
      <c r="A21" s="8">
        <v>17</v>
      </c>
      <c r="B21" s="9" t="s">
        <v>359</v>
      </c>
      <c r="C21" s="8" t="s">
        <v>403</v>
      </c>
      <c r="D21" s="36">
        <v>0</v>
      </c>
      <c r="E21" s="36">
        <v>70000</v>
      </c>
      <c r="F21" s="36">
        <v>70000</v>
      </c>
      <c r="G21" s="36">
        <v>70000</v>
      </c>
      <c r="H21" s="36">
        <v>70000</v>
      </c>
      <c r="I21" s="36">
        <v>70000</v>
      </c>
      <c r="J21" s="36">
        <v>70000</v>
      </c>
      <c r="K21" s="36">
        <v>70000</v>
      </c>
      <c r="L21" s="36">
        <v>70000</v>
      </c>
      <c r="M21" s="36">
        <v>70000</v>
      </c>
      <c r="N21" s="36">
        <v>70000</v>
      </c>
      <c r="O21" s="36">
        <v>0</v>
      </c>
      <c r="P21" s="36">
        <v>70000</v>
      </c>
      <c r="Q21" s="36">
        <v>70000</v>
      </c>
      <c r="R21" s="36">
        <v>70000</v>
      </c>
      <c r="S21" s="36">
        <v>70000</v>
      </c>
      <c r="T21" s="36">
        <v>70000</v>
      </c>
      <c r="U21" s="36">
        <v>70000</v>
      </c>
      <c r="V21" s="36">
        <v>70000</v>
      </c>
      <c r="W21" s="36">
        <v>70000</v>
      </c>
      <c r="X21" s="36">
        <v>70000</v>
      </c>
      <c r="Y21" s="36">
        <v>70000</v>
      </c>
      <c r="Z21" s="18">
        <f t="shared" si="0"/>
        <v>70000</v>
      </c>
      <c r="AA21" s="18">
        <f t="shared" si="1"/>
        <v>70000</v>
      </c>
      <c r="AB21" s="18">
        <f t="shared" si="2"/>
        <v>70000</v>
      </c>
      <c r="AC21" s="18">
        <f t="shared" si="3"/>
        <v>70000</v>
      </c>
      <c r="AD21" s="18">
        <f t="shared" si="4"/>
        <v>70000</v>
      </c>
      <c r="AE21" s="18">
        <f t="shared" si="5"/>
        <v>70000</v>
      </c>
    </row>
    <row r="22" spans="1:31" ht="15" customHeight="1" x14ac:dyDescent="0.35">
      <c r="A22" s="8">
        <v>18</v>
      </c>
      <c r="B22" s="9" t="s">
        <v>360</v>
      </c>
      <c r="C22" s="8" t="s">
        <v>403</v>
      </c>
      <c r="D22" s="36">
        <v>0</v>
      </c>
      <c r="E22" s="36">
        <v>80000</v>
      </c>
      <c r="F22" s="36">
        <v>80000</v>
      </c>
      <c r="G22" s="36">
        <v>80000</v>
      </c>
      <c r="H22" s="36">
        <v>80000</v>
      </c>
      <c r="I22" s="36">
        <v>80000</v>
      </c>
      <c r="J22" s="36">
        <v>80000</v>
      </c>
      <c r="K22" s="36">
        <v>80000</v>
      </c>
      <c r="L22" s="36">
        <v>80000</v>
      </c>
      <c r="M22" s="36">
        <v>80000</v>
      </c>
      <c r="N22" s="36">
        <v>80000</v>
      </c>
      <c r="O22" s="36">
        <v>0</v>
      </c>
      <c r="P22" s="36">
        <v>80000</v>
      </c>
      <c r="Q22" s="36">
        <v>80000</v>
      </c>
      <c r="R22" s="36">
        <v>80000</v>
      </c>
      <c r="S22" s="36">
        <v>80000</v>
      </c>
      <c r="T22" s="36">
        <v>80000</v>
      </c>
      <c r="U22" s="36">
        <v>80000</v>
      </c>
      <c r="V22" s="36">
        <v>80000</v>
      </c>
      <c r="W22" s="36">
        <v>80000</v>
      </c>
      <c r="X22" s="36">
        <v>80000</v>
      </c>
      <c r="Y22" s="36">
        <v>80000</v>
      </c>
      <c r="Z22" s="18">
        <f t="shared" si="0"/>
        <v>80000</v>
      </c>
      <c r="AA22" s="18">
        <f t="shared" si="1"/>
        <v>80000</v>
      </c>
      <c r="AB22" s="18">
        <f t="shared" si="2"/>
        <v>80000</v>
      </c>
      <c r="AC22" s="18">
        <f t="shared" si="3"/>
        <v>80000</v>
      </c>
      <c r="AD22" s="18">
        <f t="shared" si="4"/>
        <v>80000</v>
      </c>
      <c r="AE22" s="18">
        <f t="shared" si="5"/>
        <v>80000</v>
      </c>
    </row>
    <row r="23" spans="1:31" ht="15" customHeight="1" x14ac:dyDescent="0.35">
      <c r="A23" s="8">
        <v>19</v>
      </c>
      <c r="B23" s="9" t="s">
        <v>405</v>
      </c>
      <c r="C23" s="8" t="s">
        <v>403</v>
      </c>
      <c r="D23" s="36">
        <v>0</v>
      </c>
      <c r="E23" s="36">
        <v>35000</v>
      </c>
      <c r="F23" s="36">
        <v>35000</v>
      </c>
      <c r="G23" s="36">
        <v>35000</v>
      </c>
      <c r="H23" s="36">
        <v>35000</v>
      </c>
      <c r="I23" s="36">
        <v>35000</v>
      </c>
      <c r="J23" s="36">
        <v>35000</v>
      </c>
      <c r="K23" s="36">
        <v>35000</v>
      </c>
      <c r="L23" s="36">
        <v>35000</v>
      </c>
      <c r="M23" s="36">
        <v>35000</v>
      </c>
      <c r="N23" s="36">
        <v>35000</v>
      </c>
      <c r="O23" s="36">
        <v>0</v>
      </c>
      <c r="P23" s="36">
        <v>35000</v>
      </c>
      <c r="Q23" s="36">
        <v>35000</v>
      </c>
      <c r="R23" s="36">
        <v>35000</v>
      </c>
      <c r="S23" s="36">
        <v>35000</v>
      </c>
      <c r="T23" s="36">
        <v>35000</v>
      </c>
      <c r="U23" s="36">
        <v>35000</v>
      </c>
      <c r="V23" s="36">
        <v>35000</v>
      </c>
      <c r="W23" s="36">
        <v>35000</v>
      </c>
      <c r="X23" s="36">
        <v>35000</v>
      </c>
      <c r="Y23" s="36">
        <v>35000</v>
      </c>
      <c r="Z23" s="18">
        <f t="shared" si="0"/>
        <v>35000</v>
      </c>
      <c r="AA23" s="18">
        <f t="shared" si="1"/>
        <v>35000</v>
      </c>
      <c r="AB23" s="18">
        <f t="shared" si="2"/>
        <v>35000</v>
      </c>
      <c r="AC23" s="18">
        <f t="shared" si="3"/>
        <v>35000</v>
      </c>
      <c r="AD23" s="18">
        <f t="shared" si="4"/>
        <v>35000</v>
      </c>
      <c r="AE23" s="18">
        <f t="shared" si="5"/>
        <v>35000</v>
      </c>
    </row>
    <row r="24" spans="1:31" ht="15" customHeight="1" x14ac:dyDescent="0.35">
      <c r="A24" s="8">
        <v>20</v>
      </c>
      <c r="B24" s="9" t="s">
        <v>346</v>
      </c>
      <c r="C24" s="8" t="s">
        <v>403</v>
      </c>
      <c r="D24" s="36">
        <v>0</v>
      </c>
      <c r="E24" s="36">
        <v>45000</v>
      </c>
      <c r="F24" s="36">
        <v>45000</v>
      </c>
      <c r="G24" s="36">
        <v>45000</v>
      </c>
      <c r="H24" s="36">
        <v>45000</v>
      </c>
      <c r="I24" s="36">
        <v>45000</v>
      </c>
      <c r="J24" s="36">
        <v>45000</v>
      </c>
      <c r="K24" s="36">
        <v>45000</v>
      </c>
      <c r="L24" s="36">
        <v>45000</v>
      </c>
      <c r="M24" s="36">
        <v>45000</v>
      </c>
      <c r="N24" s="36">
        <v>45000</v>
      </c>
      <c r="O24" s="36">
        <v>0</v>
      </c>
      <c r="P24" s="36">
        <v>45000</v>
      </c>
      <c r="Q24" s="36">
        <v>45000</v>
      </c>
      <c r="R24" s="36">
        <v>45000</v>
      </c>
      <c r="S24" s="36">
        <v>45000</v>
      </c>
      <c r="T24" s="36">
        <v>45000</v>
      </c>
      <c r="U24" s="36">
        <v>45000</v>
      </c>
      <c r="V24" s="36">
        <v>45000</v>
      </c>
      <c r="W24" s="36">
        <v>45000</v>
      </c>
      <c r="X24" s="36">
        <v>45000</v>
      </c>
      <c r="Y24" s="36">
        <v>45000</v>
      </c>
      <c r="Z24" s="18">
        <f t="shared" si="0"/>
        <v>45000</v>
      </c>
      <c r="AA24" s="18">
        <f t="shared" si="1"/>
        <v>45000</v>
      </c>
      <c r="AB24" s="18">
        <f t="shared" si="2"/>
        <v>45000</v>
      </c>
      <c r="AC24" s="18">
        <f t="shared" si="3"/>
        <v>45000</v>
      </c>
      <c r="AD24" s="18">
        <f t="shared" si="4"/>
        <v>45000</v>
      </c>
      <c r="AE24" s="18">
        <f t="shared" si="5"/>
        <v>45000</v>
      </c>
    </row>
    <row r="25" spans="1:31" ht="15" customHeight="1" x14ac:dyDescent="0.35">
      <c r="A25" s="8">
        <v>21</v>
      </c>
      <c r="B25" s="9" t="s">
        <v>406</v>
      </c>
      <c r="C25" s="8" t="s">
        <v>403</v>
      </c>
      <c r="D25" s="36">
        <v>0</v>
      </c>
      <c r="E25" s="36">
        <v>80000</v>
      </c>
      <c r="F25" s="36">
        <v>80000</v>
      </c>
      <c r="G25" s="36">
        <v>80000</v>
      </c>
      <c r="H25" s="36">
        <v>80000</v>
      </c>
      <c r="I25" s="36">
        <v>80000</v>
      </c>
      <c r="J25" s="36">
        <v>80000</v>
      </c>
      <c r="K25" s="36">
        <v>80000</v>
      </c>
      <c r="L25" s="36">
        <v>80000</v>
      </c>
      <c r="M25" s="36">
        <v>80000</v>
      </c>
      <c r="N25" s="36">
        <v>80000</v>
      </c>
      <c r="O25" s="36">
        <v>0</v>
      </c>
      <c r="P25" s="36">
        <v>80000</v>
      </c>
      <c r="Q25" s="36">
        <v>80000</v>
      </c>
      <c r="R25" s="36">
        <v>80000</v>
      </c>
      <c r="S25" s="36">
        <v>80000</v>
      </c>
      <c r="T25" s="36">
        <v>80000</v>
      </c>
      <c r="U25" s="36">
        <v>80000</v>
      </c>
      <c r="V25" s="36">
        <v>80000</v>
      </c>
      <c r="W25" s="36">
        <v>80000</v>
      </c>
      <c r="X25" s="36">
        <v>80000</v>
      </c>
      <c r="Y25" s="36">
        <v>80000</v>
      </c>
      <c r="Z25" s="18">
        <f t="shared" si="0"/>
        <v>80000</v>
      </c>
      <c r="AA25" s="18">
        <f t="shared" si="1"/>
        <v>80000</v>
      </c>
      <c r="AB25" s="18">
        <f t="shared" si="2"/>
        <v>80000</v>
      </c>
      <c r="AC25" s="18">
        <f t="shared" si="3"/>
        <v>80000</v>
      </c>
      <c r="AD25" s="18">
        <f t="shared" si="4"/>
        <v>80000</v>
      </c>
      <c r="AE25" s="18">
        <f t="shared" si="5"/>
        <v>80000</v>
      </c>
    </row>
    <row r="26" spans="1:31" ht="21.75" customHeight="1" x14ac:dyDescent="0.35">
      <c r="A26" s="8">
        <v>22</v>
      </c>
      <c r="B26" s="9" t="s">
        <v>353</v>
      </c>
      <c r="C26" s="8" t="s">
        <v>450</v>
      </c>
      <c r="D26" s="36">
        <v>0</v>
      </c>
      <c r="E26" s="36">
        <v>2800</v>
      </c>
      <c r="F26" s="36">
        <v>2800</v>
      </c>
      <c r="G26" s="36">
        <v>2800</v>
      </c>
      <c r="H26" s="36">
        <v>2800</v>
      </c>
      <c r="I26" s="36">
        <v>2800</v>
      </c>
      <c r="J26" s="36">
        <v>2800</v>
      </c>
      <c r="K26" s="36">
        <v>2800</v>
      </c>
      <c r="L26" s="36">
        <v>2800</v>
      </c>
      <c r="M26" s="36">
        <v>2800</v>
      </c>
      <c r="N26" s="36">
        <v>2800</v>
      </c>
      <c r="O26" s="36">
        <v>0</v>
      </c>
      <c r="P26" s="36">
        <v>2800</v>
      </c>
      <c r="Q26" s="36">
        <v>2800</v>
      </c>
      <c r="R26" s="36">
        <v>2800</v>
      </c>
      <c r="S26" s="36">
        <v>2800</v>
      </c>
      <c r="T26" s="36">
        <v>2800</v>
      </c>
      <c r="U26" s="36">
        <v>2800</v>
      </c>
      <c r="V26" s="36">
        <v>2800</v>
      </c>
      <c r="W26" s="36">
        <v>2800</v>
      </c>
      <c r="X26" s="36">
        <v>2800</v>
      </c>
      <c r="Y26" s="36">
        <v>2800</v>
      </c>
      <c r="Z26" s="18">
        <f t="shared" si="0"/>
        <v>2800</v>
      </c>
      <c r="AA26" s="18">
        <f t="shared" si="1"/>
        <v>2800</v>
      </c>
      <c r="AB26" s="18">
        <f t="shared" si="2"/>
        <v>2800</v>
      </c>
      <c r="AC26" s="18">
        <f t="shared" si="3"/>
        <v>2800</v>
      </c>
      <c r="AD26" s="18">
        <f t="shared" si="4"/>
        <v>2800</v>
      </c>
      <c r="AE26" s="18">
        <f t="shared" si="5"/>
        <v>2800</v>
      </c>
    </row>
    <row r="27" spans="1:31" ht="15" customHeight="1" x14ac:dyDescent="0.35">
      <c r="A27" s="8">
        <v>23</v>
      </c>
      <c r="B27" s="9" t="s">
        <v>351</v>
      </c>
      <c r="C27" s="8" t="s">
        <v>403</v>
      </c>
      <c r="D27" s="36">
        <v>0</v>
      </c>
      <c r="E27" s="36">
        <v>27000</v>
      </c>
      <c r="F27" s="36">
        <v>26000</v>
      </c>
      <c r="G27" s="36">
        <v>26000</v>
      </c>
      <c r="H27" s="36">
        <v>26000</v>
      </c>
      <c r="I27" s="36">
        <v>26000</v>
      </c>
      <c r="J27" s="36">
        <v>26000</v>
      </c>
      <c r="K27" s="36">
        <v>28000</v>
      </c>
      <c r="L27" s="36">
        <v>28000</v>
      </c>
      <c r="M27" s="36">
        <v>30000</v>
      </c>
      <c r="N27" s="36">
        <v>35000</v>
      </c>
      <c r="O27" s="36">
        <v>0</v>
      </c>
      <c r="P27" s="36">
        <v>35000</v>
      </c>
      <c r="Q27" s="36">
        <v>35000</v>
      </c>
      <c r="R27" s="36">
        <v>35000</v>
      </c>
      <c r="S27" s="36">
        <v>35000</v>
      </c>
      <c r="T27" s="36">
        <v>35000</v>
      </c>
      <c r="U27" s="36">
        <v>35000</v>
      </c>
      <c r="V27" s="36">
        <v>35000</v>
      </c>
      <c r="W27" s="36">
        <v>35000</v>
      </c>
      <c r="X27" s="36">
        <v>35000</v>
      </c>
      <c r="Y27" s="36">
        <v>35000</v>
      </c>
      <c r="Z27" s="18">
        <f t="shared" si="0"/>
        <v>26250</v>
      </c>
      <c r="AA27" s="18">
        <f t="shared" si="1"/>
        <v>27600</v>
      </c>
      <c r="AB27" s="18">
        <f t="shared" si="2"/>
        <v>35000</v>
      </c>
      <c r="AC27" s="18">
        <f t="shared" si="3"/>
        <v>35000</v>
      </c>
      <c r="AD27" s="18">
        <f t="shared" si="4"/>
        <v>35000</v>
      </c>
      <c r="AE27" s="18">
        <f t="shared" si="5"/>
        <v>31400</v>
      </c>
    </row>
    <row r="28" spans="1:31" ht="15" customHeight="1" x14ac:dyDescent="0.35">
      <c r="A28" s="8">
        <v>24</v>
      </c>
      <c r="B28" s="9" t="s">
        <v>352</v>
      </c>
      <c r="C28" s="8" t="s">
        <v>403</v>
      </c>
      <c r="D28" s="36">
        <v>0</v>
      </c>
      <c r="E28" s="36">
        <v>38000</v>
      </c>
      <c r="F28" s="36">
        <v>38000</v>
      </c>
      <c r="G28" s="36">
        <v>38000</v>
      </c>
      <c r="H28" s="36">
        <v>38000</v>
      </c>
      <c r="I28" s="36">
        <v>38000</v>
      </c>
      <c r="J28" s="36">
        <v>37000</v>
      </c>
      <c r="K28" s="36">
        <v>36000</v>
      </c>
      <c r="L28" s="36">
        <v>36000</v>
      </c>
      <c r="M28" s="36">
        <v>36000</v>
      </c>
      <c r="N28" s="36">
        <v>36000</v>
      </c>
      <c r="O28" s="36">
        <v>0</v>
      </c>
      <c r="P28" s="36">
        <v>36000</v>
      </c>
      <c r="Q28" s="36">
        <v>36000</v>
      </c>
      <c r="R28" s="36">
        <v>36000</v>
      </c>
      <c r="S28" s="36">
        <v>36000</v>
      </c>
      <c r="T28" s="36">
        <v>36000</v>
      </c>
      <c r="U28" s="36">
        <v>36000</v>
      </c>
      <c r="V28" s="36">
        <v>36000</v>
      </c>
      <c r="W28" s="36">
        <v>36000</v>
      </c>
      <c r="X28" s="36">
        <v>36000</v>
      </c>
      <c r="Y28" s="36">
        <v>38000</v>
      </c>
      <c r="Z28" s="18">
        <f t="shared" si="0"/>
        <v>38000</v>
      </c>
      <c r="AA28" s="18">
        <f t="shared" si="1"/>
        <v>36600</v>
      </c>
      <c r="AB28" s="18">
        <f t="shared" si="2"/>
        <v>36000</v>
      </c>
      <c r="AC28" s="18">
        <f t="shared" si="3"/>
        <v>36000</v>
      </c>
      <c r="AD28" s="18">
        <f t="shared" si="4"/>
        <v>37000</v>
      </c>
      <c r="AE28" s="18">
        <f t="shared" si="5"/>
        <v>36650</v>
      </c>
    </row>
    <row r="29" spans="1:31" ht="15" customHeight="1" x14ac:dyDescent="0.35">
      <c r="A29" s="8">
        <v>25</v>
      </c>
      <c r="B29" s="9" t="s">
        <v>407</v>
      </c>
      <c r="C29" s="8" t="s">
        <v>403</v>
      </c>
      <c r="D29" s="36">
        <v>0</v>
      </c>
      <c r="E29" s="36">
        <v>32000</v>
      </c>
      <c r="F29" s="36">
        <v>30000</v>
      </c>
      <c r="G29" s="36">
        <v>30000</v>
      </c>
      <c r="H29" s="36">
        <v>30000</v>
      </c>
      <c r="I29" s="36">
        <v>30000</v>
      </c>
      <c r="J29" s="36">
        <v>30000</v>
      </c>
      <c r="K29" s="36">
        <v>30000</v>
      </c>
      <c r="L29" s="36">
        <v>30000</v>
      </c>
      <c r="M29" s="36">
        <v>30000</v>
      </c>
      <c r="N29" s="36">
        <v>30000</v>
      </c>
      <c r="O29" s="36">
        <v>0</v>
      </c>
      <c r="P29" s="36">
        <v>30000</v>
      </c>
      <c r="Q29" s="36">
        <v>30000</v>
      </c>
      <c r="R29" s="36">
        <v>30000</v>
      </c>
      <c r="S29" s="36">
        <v>30000</v>
      </c>
      <c r="T29" s="36">
        <v>30000</v>
      </c>
      <c r="U29" s="36">
        <v>30000</v>
      </c>
      <c r="V29" s="36">
        <v>30000</v>
      </c>
      <c r="W29" s="36">
        <v>30000</v>
      </c>
      <c r="X29" s="36">
        <v>30000</v>
      </c>
      <c r="Y29" s="36">
        <v>30000</v>
      </c>
      <c r="Z29" s="18">
        <f t="shared" si="0"/>
        <v>30500</v>
      </c>
      <c r="AA29" s="18">
        <f t="shared" si="1"/>
        <v>30000</v>
      </c>
      <c r="AB29" s="18">
        <f t="shared" si="2"/>
        <v>30000</v>
      </c>
      <c r="AC29" s="18">
        <f t="shared" si="3"/>
        <v>30000</v>
      </c>
      <c r="AD29" s="18">
        <f t="shared" si="4"/>
        <v>30000</v>
      </c>
      <c r="AE29" s="18">
        <f t="shared" si="5"/>
        <v>30100</v>
      </c>
    </row>
    <row r="30" spans="1:31" ht="15" customHeight="1" x14ac:dyDescent="0.35">
      <c r="A30" s="8">
        <v>26</v>
      </c>
      <c r="B30" s="9" t="s">
        <v>408</v>
      </c>
      <c r="C30" s="8" t="s">
        <v>403</v>
      </c>
      <c r="D30" s="36">
        <v>0</v>
      </c>
      <c r="E30" s="36">
        <v>8000</v>
      </c>
      <c r="F30" s="36">
        <v>8000</v>
      </c>
      <c r="G30" s="36">
        <v>8000</v>
      </c>
      <c r="H30" s="36">
        <v>8000</v>
      </c>
      <c r="I30" s="36">
        <v>8000</v>
      </c>
      <c r="J30" s="36">
        <v>8000</v>
      </c>
      <c r="K30" s="36">
        <v>8000</v>
      </c>
      <c r="L30" s="36">
        <v>8000</v>
      </c>
      <c r="M30" s="36">
        <v>8000</v>
      </c>
      <c r="N30" s="36">
        <v>8000</v>
      </c>
      <c r="O30" s="36">
        <v>0</v>
      </c>
      <c r="P30" s="36">
        <v>8000</v>
      </c>
      <c r="Q30" s="36">
        <v>8000</v>
      </c>
      <c r="R30" s="36">
        <v>8000</v>
      </c>
      <c r="S30" s="36">
        <v>8000</v>
      </c>
      <c r="T30" s="36">
        <v>8000</v>
      </c>
      <c r="U30" s="36">
        <v>8000</v>
      </c>
      <c r="V30" s="36">
        <v>8000</v>
      </c>
      <c r="W30" s="36">
        <v>8000</v>
      </c>
      <c r="X30" s="36">
        <v>8000</v>
      </c>
      <c r="Y30" s="36">
        <v>8000</v>
      </c>
      <c r="Z30" s="18">
        <f t="shared" si="0"/>
        <v>8000</v>
      </c>
      <c r="AA30" s="18">
        <f t="shared" si="1"/>
        <v>8000</v>
      </c>
      <c r="AB30" s="18">
        <f t="shared" si="2"/>
        <v>8000</v>
      </c>
      <c r="AC30" s="18">
        <f t="shared" si="3"/>
        <v>8000</v>
      </c>
      <c r="AD30" s="18">
        <f t="shared" si="4"/>
        <v>8000</v>
      </c>
      <c r="AE30" s="18">
        <f t="shared" si="5"/>
        <v>8000</v>
      </c>
    </row>
    <row r="31" spans="1:31" ht="15" customHeight="1" x14ac:dyDescent="0.35">
      <c r="A31" s="8">
        <v>27</v>
      </c>
      <c r="B31" s="9" t="s">
        <v>354</v>
      </c>
      <c r="C31" s="8" t="s">
        <v>451</v>
      </c>
      <c r="D31" s="36">
        <v>0</v>
      </c>
      <c r="E31" s="36">
        <v>10500</v>
      </c>
      <c r="F31" s="36">
        <v>10500</v>
      </c>
      <c r="G31" s="36">
        <v>10500</v>
      </c>
      <c r="H31" s="36">
        <v>10500</v>
      </c>
      <c r="I31" s="36">
        <v>10500</v>
      </c>
      <c r="J31" s="36">
        <v>10500</v>
      </c>
      <c r="K31" s="36">
        <v>10500</v>
      </c>
      <c r="L31" s="36">
        <v>10500</v>
      </c>
      <c r="M31" s="36">
        <v>10500</v>
      </c>
      <c r="N31" s="36">
        <v>10500</v>
      </c>
      <c r="O31" s="36">
        <v>0</v>
      </c>
      <c r="P31" s="36">
        <v>10500</v>
      </c>
      <c r="Q31" s="36">
        <v>10500</v>
      </c>
      <c r="R31" s="36">
        <v>10500</v>
      </c>
      <c r="S31" s="36">
        <v>10500</v>
      </c>
      <c r="T31" s="36">
        <v>10500</v>
      </c>
      <c r="U31" s="36">
        <v>10500</v>
      </c>
      <c r="V31" s="36">
        <v>10500</v>
      </c>
      <c r="W31" s="36">
        <v>10500</v>
      </c>
      <c r="X31" s="36">
        <v>10500</v>
      </c>
      <c r="Y31" s="36">
        <v>10500</v>
      </c>
      <c r="Z31" s="18">
        <f t="shared" si="0"/>
        <v>10500</v>
      </c>
      <c r="AA31" s="18">
        <f t="shared" si="1"/>
        <v>10500</v>
      </c>
      <c r="AB31" s="18">
        <f t="shared" si="2"/>
        <v>10500</v>
      </c>
      <c r="AC31" s="18">
        <f t="shared" si="3"/>
        <v>10500</v>
      </c>
      <c r="AD31" s="18">
        <f t="shared" si="4"/>
        <v>10500</v>
      </c>
      <c r="AE31" s="18">
        <f t="shared" si="5"/>
        <v>10500</v>
      </c>
    </row>
    <row r="32" spans="1:31" ht="15" customHeight="1" x14ac:dyDescent="0.35">
      <c r="A32" s="8">
        <v>28</v>
      </c>
      <c r="B32" s="9" t="s">
        <v>348</v>
      </c>
      <c r="C32" s="8" t="s">
        <v>452</v>
      </c>
      <c r="D32" s="36">
        <v>0</v>
      </c>
      <c r="E32" s="36">
        <v>42000</v>
      </c>
      <c r="F32" s="36">
        <v>42000</v>
      </c>
      <c r="G32" s="36">
        <v>42000</v>
      </c>
      <c r="H32" s="36">
        <v>42000</v>
      </c>
      <c r="I32" s="36">
        <v>42000</v>
      </c>
      <c r="J32" s="36">
        <v>42000</v>
      </c>
      <c r="K32" s="36">
        <v>42000</v>
      </c>
      <c r="L32" s="36">
        <v>42000</v>
      </c>
      <c r="M32" s="36">
        <v>42000</v>
      </c>
      <c r="N32" s="36">
        <v>42000</v>
      </c>
      <c r="O32" s="36">
        <v>0</v>
      </c>
      <c r="P32" s="36">
        <v>42000</v>
      </c>
      <c r="Q32" s="36">
        <v>42000</v>
      </c>
      <c r="R32" s="36">
        <v>42000</v>
      </c>
      <c r="S32" s="36">
        <v>42000</v>
      </c>
      <c r="T32" s="36">
        <v>42000</v>
      </c>
      <c r="U32" s="36">
        <v>42000</v>
      </c>
      <c r="V32" s="36">
        <v>42000</v>
      </c>
      <c r="W32" s="36">
        <v>42000</v>
      </c>
      <c r="X32" s="36">
        <v>42000</v>
      </c>
      <c r="Y32" s="36">
        <v>42000</v>
      </c>
      <c r="Z32" s="18">
        <f t="shared" si="0"/>
        <v>42000</v>
      </c>
      <c r="AA32" s="18">
        <f t="shared" si="1"/>
        <v>42000</v>
      </c>
      <c r="AB32" s="18">
        <f t="shared" si="2"/>
        <v>42000</v>
      </c>
      <c r="AC32" s="18">
        <f t="shared" si="3"/>
        <v>42000</v>
      </c>
      <c r="AD32" s="18">
        <f t="shared" si="4"/>
        <v>42000</v>
      </c>
      <c r="AE32" s="18">
        <f t="shared" si="5"/>
        <v>42000</v>
      </c>
    </row>
    <row r="33" spans="1:31" ht="15" customHeight="1" x14ac:dyDescent="0.35">
      <c r="A33" s="8">
        <v>29</v>
      </c>
      <c r="B33" s="9" t="s">
        <v>361</v>
      </c>
      <c r="C33" s="8" t="s">
        <v>403</v>
      </c>
      <c r="D33" s="36">
        <v>0</v>
      </c>
      <c r="E33" s="36">
        <v>11000</v>
      </c>
      <c r="F33" s="36">
        <v>11000</v>
      </c>
      <c r="G33" s="36">
        <v>11000</v>
      </c>
      <c r="H33" s="36">
        <v>11000</v>
      </c>
      <c r="I33" s="36">
        <v>11000</v>
      </c>
      <c r="J33" s="36">
        <v>11000</v>
      </c>
      <c r="K33" s="36">
        <v>11000</v>
      </c>
      <c r="L33" s="36">
        <v>11000</v>
      </c>
      <c r="M33" s="36">
        <v>11000</v>
      </c>
      <c r="N33" s="36">
        <v>11000</v>
      </c>
      <c r="O33" s="36">
        <v>0</v>
      </c>
      <c r="P33" s="36">
        <v>11000</v>
      </c>
      <c r="Q33" s="36">
        <v>11000</v>
      </c>
      <c r="R33" s="36">
        <v>11000</v>
      </c>
      <c r="S33" s="36">
        <v>11000</v>
      </c>
      <c r="T33" s="36">
        <v>11000</v>
      </c>
      <c r="U33" s="36">
        <v>11000</v>
      </c>
      <c r="V33" s="36">
        <v>11000</v>
      </c>
      <c r="W33" s="36">
        <v>11000</v>
      </c>
      <c r="X33" s="36">
        <v>11000</v>
      </c>
      <c r="Y33" s="36">
        <v>11000</v>
      </c>
      <c r="Z33" s="18">
        <f t="shared" si="0"/>
        <v>11000</v>
      </c>
      <c r="AA33" s="18">
        <f t="shared" si="1"/>
        <v>11000</v>
      </c>
      <c r="AB33" s="18">
        <f t="shared" si="2"/>
        <v>11000</v>
      </c>
      <c r="AC33" s="18">
        <f t="shared" si="3"/>
        <v>11000</v>
      </c>
      <c r="AD33" s="18">
        <f t="shared" si="4"/>
        <v>11000</v>
      </c>
      <c r="AE33" s="18">
        <f t="shared" si="5"/>
        <v>11000</v>
      </c>
    </row>
    <row r="34" spans="1:31" ht="15" customHeight="1" x14ac:dyDescent="0.35">
      <c r="A34" s="8">
        <v>30</v>
      </c>
      <c r="B34" s="9" t="s">
        <v>334</v>
      </c>
      <c r="C34" s="8" t="s">
        <v>403</v>
      </c>
      <c r="D34" s="36">
        <v>0</v>
      </c>
      <c r="E34" s="36">
        <v>6000</v>
      </c>
      <c r="F34" s="36">
        <v>6000</v>
      </c>
      <c r="G34" s="36">
        <v>6000</v>
      </c>
      <c r="H34" s="36">
        <v>6000</v>
      </c>
      <c r="I34" s="36">
        <v>6000</v>
      </c>
      <c r="J34" s="36">
        <v>6000</v>
      </c>
      <c r="K34" s="36">
        <v>6000</v>
      </c>
      <c r="L34" s="36">
        <v>6000</v>
      </c>
      <c r="M34" s="36">
        <v>6000</v>
      </c>
      <c r="N34" s="36">
        <v>6000</v>
      </c>
      <c r="O34" s="36">
        <v>0</v>
      </c>
      <c r="P34" s="36">
        <v>6000</v>
      </c>
      <c r="Q34" s="36">
        <v>6000</v>
      </c>
      <c r="R34" s="36">
        <v>6000</v>
      </c>
      <c r="S34" s="36">
        <v>6000</v>
      </c>
      <c r="T34" s="36">
        <v>6000</v>
      </c>
      <c r="U34" s="36">
        <v>6000</v>
      </c>
      <c r="V34" s="36">
        <v>6000</v>
      </c>
      <c r="W34" s="36">
        <v>6000</v>
      </c>
      <c r="X34" s="36">
        <v>6000</v>
      </c>
      <c r="Y34" s="36">
        <v>6000</v>
      </c>
      <c r="Z34" s="18">
        <f t="shared" si="0"/>
        <v>6000</v>
      </c>
      <c r="AA34" s="18">
        <f t="shared" si="1"/>
        <v>6000</v>
      </c>
      <c r="AB34" s="18">
        <f t="shared" si="2"/>
        <v>6000</v>
      </c>
      <c r="AC34" s="18">
        <f t="shared" si="3"/>
        <v>6000</v>
      </c>
      <c r="AD34" s="18">
        <f t="shared" si="4"/>
        <v>6000</v>
      </c>
      <c r="AE34" s="18">
        <f t="shared" si="5"/>
        <v>6000</v>
      </c>
    </row>
    <row r="35" spans="1:31" ht="15" customHeight="1" x14ac:dyDescent="0.35">
      <c r="A35" s="8">
        <v>31</v>
      </c>
      <c r="B35" s="9" t="s">
        <v>339</v>
      </c>
      <c r="C35" s="8" t="s">
        <v>403</v>
      </c>
      <c r="D35" s="36">
        <v>0</v>
      </c>
      <c r="E35" s="36">
        <v>70000</v>
      </c>
      <c r="F35" s="36">
        <v>70000</v>
      </c>
      <c r="G35" s="36">
        <v>70000</v>
      </c>
      <c r="H35" s="36">
        <v>70000</v>
      </c>
      <c r="I35" s="36">
        <v>70000</v>
      </c>
      <c r="J35" s="36">
        <v>70000</v>
      </c>
      <c r="K35" s="36">
        <v>70000</v>
      </c>
      <c r="L35" s="36">
        <v>70000</v>
      </c>
      <c r="M35" s="36">
        <v>70000</v>
      </c>
      <c r="N35" s="36">
        <v>70000</v>
      </c>
      <c r="O35" s="36">
        <v>0</v>
      </c>
      <c r="P35" s="36">
        <v>70000</v>
      </c>
      <c r="Q35" s="36">
        <v>70000</v>
      </c>
      <c r="R35" s="36">
        <v>70000</v>
      </c>
      <c r="S35" s="36">
        <v>70000</v>
      </c>
      <c r="T35" s="36">
        <v>70000</v>
      </c>
      <c r="U35" s="36">
        <v>70000</v>
      </c>
      <c r="V35" s="36">
        <v>70000</v>
      </c>
      <c r="W35" s="36">
        <v>70000</v>
      </c>
      <c r="X35" s="36">
        <v>70000</v>
      </c>
      <c r="Y35" s="36">
        <v>70000</v>
      </c>
      <c r="Z35" s="18">
        <f t="shared" si="0"/>
        <v>70000</v>
      </c>
      <c r="AA35" s="18">
        <f t="shared" si="1"/>
        <v>70000</v>
      </c>
      <c r="AB35" s="18">
        <f t="shared" si="2"/>
        <v>70000</v>
      </c>
      <c r="AC35" s="18">
        <f t="shared" si="3"/>
        <v>70000</v>
      </c>
      <c r="AD35" s="18">
        <f t="shared" si="4"/>
        <v>70000</v>
      </c>
      <c r="AE35" s="18">
        <f t="shared" si="5"/>
        <v>70000</v>
      </c>
    </row>
    <row r="36" spans="1:31" ht="15" customHeight="1" x14ac:dyDescent="0.35">
      <c r="A36" s="8">
        <v>32</v>
      </c>
      <c r="B36" s="9" t="s">
        <v>341</v>
      </c>
      <c r="C36" s="8" t="s">
        <v>403</v>
      </c>
      <c r="D36" s="36">
        <v>0</v>
      </c>
      <c r="E36" s="36">
        <v>12000</v>
      </c>
      <c r="F36" s="36">
        <v>12000</v>
      </c>
      <c r="G36" s="36">
        <v>12000</v>
      </c>
      <c r="H36" s="36">
        <v>12000</v>
      </c>
      <c r="I36" s="36">
        <v>12000</v>
      </c>
      <c r="J36" s="36">
        <v>12000</v>
      </c>
      <c r="K36" s="36">
        <v>12000</v>
      </c>
      <c r="L36" s="36">
        <v>12000</v>
      </c>
      <c r="M36" s="36">
        <v>12000</v>
      </c>
      <c r="N36" s="36">
        <v>12000</v>
      </c>
      <c r="O36" s="36">
        <v>0</v>
      </c>
      <c r="P36" s="36">
        <v>12000</v>
      </c>
      <c r="Q36" s="36">
        <v>12000</v>
      </c>
      <c r="R36" s="36">
        <v>12000</v>
      </c>
      <c r="S36" s="36">
        <v>12000</v>
      </c>
      <c r="T36" s="36">
        <v>12000</v>
      </c>
      <c r="U36" s="36">
        <v>12000</v>
      </c>
      <c r="V36" s="36">
        <v>12000</v>
      </c>
      <c r="W36" s="36">
        <v>12000</v>
      </c>
      <c r="X36" s="36">
        <v>12000</v>
      </c>
      <c r="Y36" s="36">
        <v>12000</v>
      </c>
      <c r="Z36" s="18">
        <f t="shared" si="0"/>
        <v>12000</v>
      </c>
      <c r="AA36" s="18">
        <f t="shared" si="1"/>
        <v>12000</v>
      </c>
      <c r="AB36" s="18">
        <f t="shared" si="2"/>
        <v>12000</v>
      </c>
      <c r="AC36" s="18">
        <f t="shared" si="3"/>
        <v>12000</v>
      </c>
      <c r="AD36" s="18">
        <f t="shared" si="4"/>
        <v>12000</v>
      </c>
      <c r="AE36" s="18">
        <f t="shared" si="5"/>
        <v>12000</v>
      </c>
    </row>
    <row r="37" spans="1:31" ht="15" customHeight="1" x14ac:dyDescent="0.35">
      <c r="A37" s="8">
        <v>33</v>
      </c>
      <c r="B37" s="9" t="s">
        <v>362</v>
      </c>
      <c r="C37" s="8" t="s">
        <v>403</v>
      </c>
      <c r="D37" s="36">
        <v>0</v>
      </c>
      <c r="E37" s="36">
        <v>8000</v>
      </c>
      <c r="F37" s="36">
        <v>8000</v>
      </c>
      <c r="G37" s="36">
        <v>8000</v>
      </c>
      <c r="H37" s="36">
        <v>8000</v>
      </c>
      <c r="I37" s="36">
        <v>8000</v>
      </c>
      <c r="J37" s="36">
        <v>8000</v>
      </c>
      <c r="K37" s="36">
        <v>8000</v>
      </c>
      <c r="L37" s="36">
        <v>8000</v>
      </c>
      <c r="M37" s="36">
        <v>8000</v>
      </c>
      <c r="N37" s="36">
        <v>8000</v>
      </c>
      <c r="O37" s="36">
        <v>0</v>
      </c>
      <c r="P37" s="36">
        <v>8000</v>
      </c>
      <c r="Q37" s="36">
        <v>8000</v>
      </c>
      <c r="R37" s="36">
        <v>8000</v>
      </c>
      <c r="S37" s="36">
        <v>8000</v>
      </c>
      <c r="T37" s="36">
        <v>8000</v>
      </c>
      <c r="U37" s="36">
        <v>8000</v>
      </c>
      <c r="V37" s="36">
        <v>8000</v>
      </c>
      <c r="W37" s="36">
        <v>8000</v>
      </c>
      <c r="X37" s="36">
        <v>8000</v>
      </c>
      <c r="Y37" s="36">
        <v>8000</v>
      </c>
      <c r="Z37" s="18">
        <f t="shared" si="0"/>
        <v>8000</v>
      </c>
      <c r="AA37" s="18">
        <f t="shared" si="1"/>
        <v>8000</v>
      </c>
      <c r="AB37" s="18">
        <f t="shared" si="2"/>
        <v>8000</v>
      </c>
      <c r="AC37" s="18">
        <f t="shared" si="3"/>
        <v>8000</v>
      </c>
      <c r="AD37" s="18">
        <f t="shared" si="4"/>
        <v>8000</v>
      </c>
      <c r="AE37" s="18">
        <f t="shared" si="5"/>
        <v>8000</v>
      </c>
    </row>
    <row r="38" spans="1:31" ht="15" customHeight="1" x14ac:dyDescent="0.35">
      <c r="A38" s="8">
        <v>34</v>
      </c>
      <c r="B38" s="9" t="s">
        <v>409</v>
      </c>
      <c r="C38" s="8" t="s">
        <v>403</v>
      </c>
      <c r="D38" s="36">
        <v>0</v>
      </c>
      <c r="E38" s="36">
        <v>10000</v>
      </c>
      <c r="F38" s="36">
        <v>10000</v>
      </c>
      <c r="G38" s="36">
        <v>10000</v>
      </c>
      <c r="H38" s="36">
        <v>8000</v>
      </c>
      <c r="I38" s="36">
        <v>8000</v>
      </c>
      <c r="J38" s="36">
        <v>8000</v>
      </c>
      <c r="K38" s="36">
        <v>8000</v>
      </c>
      <c r="L38" s="36">
        <v>8000</v>
      </c>
      <c r="M38" s="36">
        <v>8000</v>
      </c>
      <c r="N38" s="36">
        <v>8000</v>
      </c>
      <c r="O38" s="36">
        <v>0</v>
      </c>
      <c r="P38" s="36">
        <v>8000</v>
      </c>
      <c r="Q38" s="36">
        <v>8000</v>
      </c>
      <c r="R38" s="36">
        <v>8000</v>
      </c>
      <c r="S38" s="36">
        <v>8000</v>
      </c>
      <c r="T38" s="36">
        <v>8000</v>
      </c>
      <c r="U38" s="36">
        <v>8000</v>
      </c>
      <c r="V38" s="36">
        <v>8000</v>
      </c>
      <c r="W38" s="36">
        <v>8000</v>
      </c>
      <c r="X38" s="36">
        <v>8000</v>
      </c>
      <c r="Y38" s="36">
        <v>8000</v>
      </c>
      <c r="Z38" s="18">
        <f t="shared" si="0"/>
        <v>9500</v>
      </c>
      <c r="AA38" s="18">
        <f t="shared" si="1"/>
        <v>8000</v>
      </c>
      <c r="AB38" s="18">
        <f t="shared" si="2"/>
        <v>8000</v>
      </c>
      <c r="AC38" s="18">
        <f t="shared" si="3"/>
        <v>8000</v>
      </c>
      <c r="AD38" s="18">
        <f t="shared" si="4"/>
        <v>8000</v>
      </c>
      <c r="AE38" s="18">
        <f t="shared" si="5"/>
        <v>8300</v>
      </c>
    </row>
    <row r="39" spans="1:31" ht="15" customHeight="1" x14ac:dyDescent="0.35">
      <c r="A39" s="8">
        <v>35</v>
      </c>
      <c r="B39" s="9" t="s">
        <v>410</v>
      </c>
      <c r="C39" s="8" t="s">
        <v>403</v>
      </c>
      <c r="D39" s="36">
        <v>0</v>
      </c>
      <c r="E39" s="36">
        <v>15000</v>
      </c>
      <c r="F39" s="36">
        <v>15000</v>
      </c>
      <c r="G39" s="36">
        <v>15000</v>
      </c>
      <c r="H39" s="36">
        <v>15000</v>
      </c>
      <c r="I39" s="36">
        <v>15000</v>
      </c>
      <c r="J39" s="36">
        <v>15000</v>
      </c>
      <c r="K39" s="36">
        <v>15000</v>
      </c>
      <c r="L39" s="36">
        <v>15000</v>
      </c>
      <c r="M39" s="36">
        <v>15000</v>
      </c>
      <c r="N39" s="36">
        <v>15000</v>
      </c>
      <c r="O39" s="36">
        <v>0</v>
      </c>
      <c r="P39" s="36">
        <v>15000</v>
      </c>
      <c r="Q39" s="36">
        <v>15000</v>
      </c>
      <c r="R39" s="36">
        <v>15000</v>
      </c>
      <c r="S39" s="36">
        <v>15000</v>
      </c>
      <c r="T39" s="36">
        <v>15000</v>
      </c>
      <c r="U39" s="36">
        <v>15000</v>
      </c>
      <c r="V39" s="36">
        <v>15000</v>
      </c>
      <c r="W39" s="36">
        <v>15000</v>
      </c>
      <c r="X39" s="36">
        <v>15000</v>
      </c>
      <c r="Y39" s="36">
        <v>15000</v>
      </c>
      <c r="Z39" s="18">
        <f t="shared" si="0"/>
        <v>15000</v>
      </c>
      <c r="AA39" s="18">
        <f t="shared" si="1"/>
        <v>15000</v>
      </c>
      <c r="AB39" s="18">
        <f t="shared" si="2"/>
        <v>15000</v>
      </c>
      <c r="AC39" s="18">
        <f t="shared" si="3"/>
        <v>15000</v>
      </c>
      <c r="AD39" s="18">
        <f t="shared" si="4"/>
        <v>15000</v>
      </c>
      <c r="AE39" s="18">
        <f t="shared" si="5"/>
        <v>15000</v>
      </c>
    </row>
    <row r="40" spans="1:31" ht="15" customHeight="1" x14ac:dyDescent="0.35">
      <c r="A40" s="8">
        <v>36</v>
      </c>
      <c r="B40" s="9" t="s">
        <v>411</v>
      </c>
      <c r="C40" s="8" t="s">
        <v>403</v>
      </c>
      <c r="D40" s="36">
        <v>0</v>
      </c>
      <c r="E40" s="36">
        <v>14000</v>
      </c>
      <c r="F40" s="36">
        <v>14000</v>
      </c>
      <c r="G40" s="36">
        <v>14000</v>
      </c>
      <c r="H40" s="36">
        <v>12000</v>
      </c>
      <c r="I40" s="36">
        <v>12000</v>
      </c>
      <c r="J40" s="36">
        <v>12000</v>
      </c>
      <c r="K40" s="36">
        <v>10000</v>
      </c>
      <c r="L40" s="36">
        <v>10000</v>
      </c>
      <c r="M40" s="36">
        <v>10000</v>
      </c>
      <c r="N40" s="36">
        <v>10000</v>
      </c>
      <c r="O40" s="36">
        <v>0</v>
      </c>
      <c r="P40" s="36">
        <v>10000</v>
      </c>
      <c r="Q40" s="36">
        <v>10000</v>
      </c>
      <c r="R40" s="36">
        <v>10000</v>
      </c>
      <c r="S40" s="36">
        <v>10000</v>
      </c>
      <c r="T40" s="36">
        <v>10000</v>
      </c>
      <c r="U40" s="36">
        <v>10000</v>
      </c>
      <c r="V40" s="36">
        <v>10000</v>
      </c>
      <c r="W40" s="36">
        <v>10000</v>
      </c>
      <c r="X40" s="36">
        <v>10000</v>
      </c>
      <c r="Y40" s="36">
        <v>10000</v>
      </c>
      <c r="Z40" s="18">
        <f t="shared" si="0"/>
        <v>13500</v>
      </c>
      <c r="AA40" s="18">
        <f t="shared" si="1"/>
        <v>10800</v>
      </c>
      <c r="AB40" s="18">
        <f t="shared" si="2"/>
        <v>10000</v>
      </c>
      <c r="AC40" s="18">
        <f t="shared" si="3"/>
        <v>10000</v>
      </c>
      <c r="AD40" s="18">
        <f t="shared" si="4"/>
        <v>10000</v>
      </c>
      <c r="AE40" s="18">
        <f t="shared" si="5"/>
        <v>10900</v>
      </c>
    </row>
    <row r="41" spans="1:31" ht="15" customHeight="1" x14ac:dyDescent="0.35">
      <c r="A41" s="8">
        <v>37</v>
      </c>
      <c r="B41" s="9" t="s">
        <v>412</v>
      </c>
      <c r="C41" s="8" t="s">
        <v>403</v>
      </c>
      <c r="D41" s="36">
        <v>0</v>
      </c>
      <c r="E41" s="36">
        <v>7000</v>
      </c>
      <c r="F41" s="36">
        <v>7000</v>
      </c>
      <c r="G41" s="36">
        <v>7000</v>
      </c>
      <c r="H41" s="36">
        <v>6000</v>
      </c>
      <c r="I41" s="36">
        <v>6000</v>
      </c>
      <c r="J41" s="36">
        <v>6000</v>
      </c>
      <c r="K41" s="36">
        <v>5000</v>
      </c>
      <c r="L41" s="36">
        <v>5000</v>
      </c>
      <c r="M41" s="36">
        <v>5000</v>
      </c>
      <c r="N41" s="36">
        <v>5000</v>
      </c>
      <c r="O41" s="36">
        <v>0</v>
      </c>
      <c r="P41" s="36">
        <v>5000</v>
      </c>
      <c r="Q41" s="36">
        <v>5000</v>
      </c>
      <c r="R41" s="36">
        <v>5000</v>
      </c>
      <c r="S41" s="36">
        <v>5000</v>
      </c>
      <c r="T41" s="36">
        <v>5000</v>
      </c>
      <c r="U41" s="36">
        <v>5000</v>
      </c>
      <c r="V41" s="36">
        <v>5000</v>
      </c>
      <c r="W41" s="36">
        <v>5000</v>
      </c>
      <c r="X41" s="36">
        <v>5000</v>
      </c>
      <c r="Y41" s="36">
        <v>5000</v>
      </c>
      <c r="Z41" s="18">
        <f t="shared" si="0"/>
        <v>6750</v>
      </c>
      <c r="AA41" s="18">
        <f t="shared" si="1"/>
        <v>5400</v>
      </c>
      <c r="AB41" s="18">
        <f t="shared" si="2"/>
        <v>5000</v>
      </c>
      <c r="AC41" s="18">
        <f t="shared" si="3"/>
        <v>5000</v>
      </c>
      <c r="AD41" s="18">
        <f t="shared" si="4"/>
        <v>5000</v>
      </c>
      <c r="AE41" s="18">
        <f t="shared" si="5"/>
        <v>5450</v>
      </c>
    </row>
    <row r="42" spans="1:31" ht="15" customHeight="1" x14ac:dyDescent="0.35">
      <c r="A42" s="8">
        <v>38</v>
      </c>
      <c r="B42" s="9" t="s">
        <v>413</v>
      </c>
      <c r="C42" s="8" t="s">
        <v>403</v>
      </c>
      <c r="D42" s="36">
        <v>0</v>
      </c>
      <c r="E42" s="36">
        <v>7000</v>
      </c>
      <c r="F42" s="36">
        <v>7000</v>
      </c>
      <c r="G42" s="36">
        <v>7000</v>
      </c>
      <c r="H42" s="36">
        <v>6000</v>
      </c>
      <c r="I42" s="36">
        <v>6000</v>
      </c>
      <c r="J42" s="36">
        <v>5000</v>
      </c>
      <c r="K42" s="36">
        <v>5000</v>
      </c>
      <c r="L42" s="36">
        <v>5000</v>
      </c>
      <c r="M42" s="36">
        <v>5000</v>
      </c>
      <c r="N42" s="36">
        <v>5000</v>
      </c>
      <c r="O42" s="36">
        <v>0</v>
      </c>
      <c r="P42" s="36">
        <v>5000</v>
      </c>
      <c r="Q42" s="36">
        <v>5000</v>
      </c>
      <c r="R42" s="36">
        <v>5000</v>
      </c>
      <c r="S42" s="36">
        <v>5000</v>
      </c>
      <c r="T42" s="36">
        <v>5000</v>
      </c>
      <c r="U42" s="36">
        <v>5000</v>
      </c>
      <c r="V42" s="36">
        <v>5000</v>
      </c>
      <c r="W42" s="36">
        <v>5000</v>
      </c>
      <c r="X42" s="36">
        <v>5000</v>
      </c>
      <c r="Y42" s="36">
        <v>5000</v>
      </c>
      <c r="Z42" s="18">
        <f t="shared" si="0"/>
        <v>6750</v>
      </c>
      <c r="AA42" s="18">
        <f t="shared" si="1"/>
        <v>5200</v>
      </c>
      <c r="AB42" s="18">
        <f t="shared" si="2"/>
        <v>5000</v>
      </c>
      <c r="AC42" s="18">
        <f t="shared" si="3"/>
        <v>5000</v>
      </c>
      <c r="AD42" s="18">
        <f t="shared" si="4"/>
        <v>5000</v>
      </c>
      <c r="AE42" s="18">
        <f t="shared" si="5"/>
        <v>5400</v>
      </c>
    </row>
    <row r="43" spans="1:31" ht="15" customHeight="1" x14ac:dyDescent="0.35">
      <c r="A43" s="8">
        <v>39</v>
      </c>
      <c r="B43" s="9" t="s">
        <v>414</v>
      </c>
      <c r="C43" s="8" t="s">
        <v>403</v>
      </c>
      <c r="D43" s="36">
        <v>0</v>
      </c>
      <c r="E43" s="36">
        <v>7000</v>
      </c>
      <c r="F43" s="36">
        <v>7000</v>
      </c>
      <c r="G43" s="36">
        <v>7000</v>
      </c>
      <c r="H43" s="36">
        <v>6000</v>
      </c>
      <c r="I43" s="36">
        <v>6000</v>
      </c>
      <c r="J43" s="36">
        <v>6000</v>
      </c>
      <c r="K43" s="36">
        <v>6000</v>
      </c>
      <c r="L43" s="36">
        <v>6000</v>
      </c>
      <c r="M43" s="36">
        <v>6000</v>
      </c>
      <c r="N43" s="36">
        <v>6000</v>
      </c>
      <c r="O43" s="36">
        <v>0</v>
      </c>
      <c r="P43" s="36">
        <v>6000</v>
      </c>
      <c r="Q43" s="36">
        <v>6000</v>
      </c>
      <c r="R43" s="36">
        <v>6000</v>
      </c>
      <c r="S43" s="36">
        <v>6000</v>
      </c>
      <c r="T43" s="36">
        <v>6000</v>
      </c>
      <c r="U43" s="36">
        <v>6000</v>
      </c>
      <c r="V43" s="36">
        <v>6000</v>
      </c>
      <c r="W43" s="36">
        <v>6000</v>
      </c>
      <c r="X43" s="36">
        <v>6000</v>
      </c>
      <c r="Y43" s="36">
        <v>6000</v>
      </c>
      <c r="Z43" s="18">
        <f t="shared" si="0"/>
        <v>6750</v>
      </c>
      <c r="AA43" s="18">
        <f t="shared" si="1"/>
        <v>6000</v>
      </c>
      <c r="AB43" s="18">
        <f t="shared" si="2"/>
        <v>6000</v>
      </c>
      <c r="AC43" s="18">
        <f t="shared" si="3"/>
        <v>6000</v>
      </c>
      <c r="AD43" s="18">
        <f t="shared" si="4"/>
        <v>6000</v>
      </c>
      <c r="AE43" s="18">
        <f t="shared" si="5"/>
        <v>6150</v>
      </c>
    </row>
    <row r="44" spans="1:31" ht="15" customHeight="1" x14ac:dyDescent="0.35">
      <c r="A44" s="8">
        <v>40</v>
      </c>
      <c r="B44" s="9" t="s">
        <v>415</v>
      </c>
      <c r="C44" s="8" t="s">
        <v>403</v>
      </c>
      <c r="D44" s="36">
        <v>0</v>
      </c>
      <c r="E44" s="36">
        <v>5000</v>
      </c>
      <c r="F44" s="36">
        <v>5000</v>
      </c>
      <c r="G44" s="36">
        <v>5000</v>
      </c>
      <c r="H44" s="36">
        <v>5000</v>
      </c>
      <c r="I44" s="36">
        <v>5000</v>
      </c>
      <c r="J44" s="36">
        <v>5000</v>
      </c>
      <c r="K44" s="36">
        <v>5000</v>
      </c>
      <c r="L44" s="36">
        <v>5000</v>
      </c>
      <c r="M44" s="36">
        <v>5000</v>
      </c>
      <c r="N44" s="36">
        <v>5000</v>
      </c>
      <c r="O44" s="36">
        <v>0</v>
      </c>
      <c r="P44" s="36">
        <v>5000</v>
      </c>
      <c r="Q44" s="36">
        <v>5000</v>
      </c>
      <c r="R44" s="36">
        <v>5000</v>
      </c>
      <c r="S44" s="36">
        <v>5000</v>
      </c>
      <c r="T44" s="36">
        <v>5000</v>
      </c>
      <c r="U44" s="36">
        <v>5000</v>
      </c>
      <c r="V44" s="36">
        <v>5000</v>
      </c>
      <c r="W44" s="36">
        <v>5000</v>
      </c>
      <c r="X44" s="36">
        <v>5000</v>
      </c>
      <c r="Y44" s="36">
        <v>5000</v>
      </c>
      <c r="Z44" s="18">
        <f t="shared" si="0"/>
        <v>5000</v>
      </c>
      <c r="AA44" s="18">
        <f t="shared" si="1"/>
        <v>5000</v>
      </c>
      <c r="AB44" s="18">
        <f t="shared" si="2"/>
        <v>5000</v>
      </c>
      <c r="AC44" s="18">
        <f t="shared" si="3"/>
        <v>5000</v>
      </c>
      <c r="AD44" s="18">
        <f t="shared" si="4"/>
        <v>5000</v>
      </c>
      <c r="AE44" s="18">
        <f t="shared" si="5"/>
        <v>5000</v>
      </c>
    </row>
    <row r="45" spans="1:31" ht="15" customHeight="1" x14ac:dyDescent="0.35">
      <c r="A45" s="8">
        <v>41</v>
      </c>
      <c r="B45" s="9" t="s">
        <v>416</v>
      </c>
      <c r="C45" s="8" t="s">
        <v>453</v>
      </c>
      <c r="D45" s="36">
        <v>0</v>
      </c>
      <c r="E45" s="36">
        <v>65000</v>
      </c>
      <c r="F45" s="36">
        <v>65000</v>
      </c>
      <c r="G45" s="36">
        <v>65000</v>
      </c>
      <c r="H45" s="36">
        <v>65000</v>
      </c>
      <c r="I45" s="36">
        <v>65000</v>
      </c>
      <c r="J45" s="36">
        <v>65000</v>
      </c>
      <c r="K45" s="36">
        <v>65000</v>
      </c>
      <c r="L45" s="36">
        <v>65000</v>
      </c>
      <c r="M45" s="36">
        <v>65000</v>
      </c>
      <c r="N45" s="36">
        <v>65000</v>
      </c>
      <c r="O45" s="36">
        <v>0</v>
      </c>
      <c r="P45" s="36">
        <v>65000</v>
      </c>
      <c r="Q45" s="36">
        <v>65000</v>
      </c>
      <c r="R45" s="36">
        <v>65000</v>
      </c>
      <c r="S45" s="36">
        <v>65000</v>
      </c>
      <c r="T45" s="36">
        <v>65000</v>
      </c>
      <c r="U45" s="36">
        <v>65000</v>
      </c>
      <c r="V45" s="36">
        <v>65000</v>
      </c>
      <c r="W45" s="36">
        <v>65000</v>
      </c>
      <c r="X45" s="36">
        <v>65000</v>
      </c>
      <c r="Y45" s="36">
        <v>65000</v>
      </c>
      <c r="Z45" s="18">
        <f t="shared" si="0"/>
        <v>65000</v>
      </c>
      <c r="AA45" s="18">
        <f t="shared" si="1"/>
        <v>65000</v>
      </c>
      <c r="AB45" s="18">
        <f t="shared" si="2"/>
        <v>65000</v>
      </c>
      <c r="AC45" s="18">
        <f t="shared" si="3"/>
        <v>65000</v>
      </c>
      <c r="AD45" s="18">
        <f t="shared" si="4"/>
        <v>65000</v>
      </c>
      <c r="AE45" s="18">
        <f t="shared" si="5"/>
        <v>65000</v>
      </c>
    </row>
    <row r="46" spans="1:31" ht="15" customHeight="1" x14ac:dyDescent="0.35">
      <c r="A46" s="8">
        <v>42</v>
      </c>
      <c r="B46" s="9" t="s">
        <v>417</v>
      </c>
      <c r="C46" s="8" t="s">
        <v>403</v>
      </c>
      <c r="D46" s="36">
        <v>0</v>
      </c>
      <c r="E46" s="36">
        <v>40000</v>
      </c>
      <c r="F46" s="36">
        <v>40000</v>
      </c>
      <c r="G46" s="36">
        <v>40000</v>
      </c>
      <c r="H46" s="36">
        <v>40000</v>
      </c>
      <c r="I46" s="36">
        <v>40000</v>
      </c>
      <c r="J46" s="36">
        <v>40000</v>
      </c>
      <c r="K46" s="36">
        <v>40000</v>
      </c>
      <c r="L46" s="36">
        <v>40000</v>
      </c>
      <c r="M46" s="36">
        <v>40000</v>
      </c>
      <c r="N46" s="36">
        <v>40000</v>
      </c>
      <c r="O46" s="36">
        <v>0</v>
      </c>
      <c r="P46" s="36">
        <v>40000</v>
      </c>
      <c r="Q46" s="36">
        <v>40000</v>
      </c>
      <c r="R46" s="36">
        <v>40000</v>
      </c>
      <c r="S46" s="36">
        <v>40000</v>
      </c>
      <c r="T46" s="36">
        <v>40000</v>
      </c>
      <c r="U46" s="36">
        <v>40000</v>
      </c>
      <c r="V46" s="36">
        <v>40000</v>
      </c>
      <c r="W46" s="36">
        <v>40000</v>
      </c>
      <c r="X46" s="36">
        <v>40000</v>
      </c>
      <c r="Y46" s="36">
        <v>40000</v>
      </c>
      <c r="Z46" s="18">
        <f t="shared" si="0"/>
        <v>40000</v>
      </c>
      <c r="AA46" s="18">
        <f t="shared" si="1"/>
        <v>40000</v>
      </c>
      <c r="AB46" s="18">
        <f t="shared" si="2"/>
        <v>40000</v>
      </c>
      <c r="AC46" s="18">
        <f t="shared" si="3"/>
        <v>40000</v>
      </c>
      <c r="AD46" s="18">
        <f t="shared" si="4"/>
        <v>40000</v>
      </c>
      <c r="AE46" s="18">
        <f t="shared" si="5"/>
        <v>40000</v>
      </c>
    </row>
    <row r="47" spans="1:31" ht="15" customHeight="1" x14ac:dyDescent="0.35">
      <c r="A47" s="8">
        <v>43</v>
      </c>
      <c r="B47" s="9" t="s">
        <v>418</v>
      </c>
      <c r="C47" s="8" t="s">
        <v>403</v>
      </c>
      <c r="D47" s="36">
        <v>0</v>
      </c>
      <c r="E47" s="36">
        <v>32000</v>
      </c>
      <c r="F47" s="36">
        <v>32000</v>
      </c>
      <c r="G47" s="36">
        <v>32000</v>
      </c>
      <c r="H47" s="36">
        <v>34000</v>
      </c>
      <c r="I47" s="36">
        <v>34000</v>
      </c>
      <c r="J47" s="36">
        <v>34000</v>
      </c>
      <c r="K47" s="36">
        <v>34000</v>
      </c>
      <c r="L47" s="36">
        <v>34000</v>
      </c>
      <c r="M47" s="36">
        <v>34000</v>
      </c>
      <c r="N47" s="36">
        <v>34000</v>
      </c>
      <c r="O47" s="36">
        <v>0</v>
      </c>
      <c r="P47" s="36">
        <v>34000</v>
      </c>
      <c r="Q47" s="36">
        <v>34000</v>
      </c>
      <c r="R47" s="36">
        <v>34000</v>
      </c>
      <c r="S47" s="36">
        <v>34000</v>
      </c>
      <c r="T47" s="36">
        <v>34000</v>
      </c>
      <c r="U47" s="36">
        <v>34000</v>
      </c>
      <c r="V47" s="36">
        <v>34000</v>
      </c>
      <c r="W47" s="36">
        <v>34000</v>
      </c>
      <c r="X47" s="36">
        <v>34000</v>
      </c>
      <c r="Y47" s="36">
        <v>34000</v>
      </c>
      <c r="Z47" s="18">
        <f t="shared" si="0"/>
        <v>32500</v>
      </c>
      <c r="AA47" s="18">
        <f t="shared" si="1"/>
        <v>34000</v>
      </c>
      <c r="AB47" s="18">
        <f t="shared" si="2"/>
        <v>34000</v>
      </c>
      <c r="AC47" s="18">
        <f t="shared" si="3"/>
        <v>34000</v>
      </c>
      <c r="AD47" s="18">
        <f t="shared" si="4"/>
        <v>34000</v>
      </c>
      <c r="AE47" s="18">
        <f t="shared" si="5"/>
        <v>33700</v>
      </c>
    </row>
    <row r="48" spans="1:31" ht="15" customHeight="1" x14ac:dyDescent="0.35">
      <c r="A48" s="8">
        <v>44</v>
      </c>
      <c r="B48" s="9" t="s">
        <v>419</v>
      </c>
      <c r="C48" s="8" t="s">
        <v>403</v>
      </c>
      <c r="D48" s="36">
        <v>0</v>
      </c>
      <c r="E48" s="36">
        <v>28000</v>
      </c>
      <c r="F48" s="36">
        <v>28000</v>
      </c>
      <c r="G48" s="36">
        <v>28000</v>
      </c>
      <c r="H48" s="36">
        <v>28000</v>
      </c>
      <c r="I48" s="36">
        <v>28000</v>
      </c>
      <c r="J48" s="36">
        <v>28000</v>
      </c>
      <c r="K48" s="36">
        <v>28000</v>
      </c>
      <c r="L48" s="36">
        <v>28000</v>
      </c>
      <c r="M48" s="36">
        <v>28000</v>
      </c>
      <c r="N48" s="36">
        <v>28000</v>
      </c>
      <c r="O48" s="36">
        <v>0</v>
      </c>
      <c r="P48" s="36">
        <v>28000</v>
      </c>
      <c r="Q48" s="36">
        <v>28000</v>
      </c>
      <c r="R48" s="36">
        <v>28000</v>
      </c>
      <c r="S48" s="36">
        <v>28000</v>
      </c>
      <c r="T48" s="36">
        <v>28000</v>
      </c>
      <c r="U48" s="36">
        <v>28000</v>
      </c>
      <c r="V48" s="36">
        <v>28000</v>
      </c>
      <c r="W48" s="36">
        <v>28000</v>
      </c>
      <c r="X48" s="36">
        <v>28000</v>
      </c>
      <c r="Y48" s="36">
        <v>28000</v>
      </c>
      <c r="Z48" s="18">
        <f t="shared" si="0"/>
        <v>28000</v>
      </c>
      <c r="AA48" s="18">
        <f t="shared" si="1"/>
        <v>28000</v>
      </c>
      <c r="AB48" s="18">
        <f t="shared" si="2"/>
        <v>28000</v>
      </c>
      <c r="AC48" s="18">
        <f t="shared" si="3"/>
        <v>28000</v>
      </c>
      <c r="AD48" s="18">
        <f t="shared" si="4"/>
        <v>28000</v>
      </c>
      <c r="AE48" s="18">
        <f t="shared" si="5"/>
        <v>28000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4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5" customWidth="1"/>
    <col min="2" max="2" width="22" customWidth="1"/>
    <col min="3" max="3" width="6" customWidth="1"/>
    <col min="4" max="26" width="11" customWidth="1"/>
    <col min="27" max="31" width="13" customWidth="1"/>
    <col min="32" max="32" width="14" customWidth="1"/>
  </cols>
  <sheetData>
    <row r="1" spans="1:32" ht="26.25" customHeight="1" x14ac:dyDescent="0.35">
      <c r="A1" s="5" t="s">
        <v>587</v>
      </c>
      <c r="B1" s="5"/>
      <c r="C1" s="5"/>
      <c r="D1" s="5"/>
    </row>
    <row r="2" spans="1:32" ht="18.75" customHeight="1" x14ac:dyDescent="0.35">
      <c r="A2" s="4" t="s">
        <v>371</v>
      </c>
      <c r="B2" s="4"/>
      <c r="C2" s="4"/>
      <c r="D2" s="4"/>
    </row>
    <row r="4" spans="1:32" ht="25.5" customHeight="1" x14ac:dyDescent="0.35">
      <c r="A4" s="6" t="s">
        <v>1</v>
      </c>
      <c r="B4" s="6" t="s">
        <v>372</v>
      </c>
      <c r="C4" s="6" t="s">
        <v>373</v>
      </c>
      <c r="D4" s="6" t="s">
        <v>588</v>
      </c>
      <c r="E4" s="6" t="s">
        <v>589</v>
      </c>
      <c r="F4" s="6" t="s">
        <v>590</v>
      </c>
      <c r="G4" s="6" t="s">
        <v>591</v>
      </c>
      <c r="H4" s="6" t="s">
        <v>592</v>
      </c>
      <c r="I4" s="6" t="s">
        <v>593</v>
      </c>
      <c r="J4" s="6" t="s">
        <v>594</v>
      </c>
      <c r="K4" s="6" t="s">
        <v>595</v>
      </c>
      <c r="L4" s="6" t="s">
        <v>596</v>
      </c>
      <c r="M4" s="6" t="s">
        <v>597</v>
      </c>
      <c r="N4" s="6" t="s">
        <v>598</v>
      </c>
      <c r="O4" s="6" t="s">
        <v>599</v>
      </c>
      <c r="P4" s="6" t="s">
        <v>600</v>
      </c>
      <c r="Q4" s="6" t="s">
        <v>601</v>
      </c>
      <c r="R4" s="6" t="s">
        <v>602</v>
      </c>
      <c r="S4" s="6" t="s">
        <v>603</v>
      </c>
      <c r="T4" s="6" t="s">
        <v>604</v>
      </c>
      <c r="U4" s="6" t="s">
        <v>605</v>
      </c>
      <c r="V4" s="6" t="s">
        <v>606</v>
      </c>
      <c r="W4" s="6" t="s">
        <v>607</v>
      </c>
      <c r="X4" s="6" t="s">
        <v>608</v>
      </c>
      <c r="Y4" s="6" t="s">
        <v>609</v>
      </c>
      <c r="Z4" s="6" t="s">
        <v>610</v>
      </c>
      <c r="AA4" s="34" t="s">
        <v>528</v>
      </c>
      <c r="AB4" s="34" t="s">
        <v>529</v>
      </c>
      <c r="AC4" s="34" t="s">
        <v>530</v>
      </c>
      <c r="AD4" s="34" t="s">
        <v>531</v>
      </c>
      <c r="AE4" s="34" t="s">
        <v>611</v>
      </c>
      <c r="AF4" s="35" t="s">
        <v>612</v>
      </c>
    </row>
    <row r="5" spans="1:32" ht="15" customHeight="1" x14ac:dyDescent="0.35">
      <c r="A5" s="8">
        <v>1</v>
      </c>
      <c r="B5" s="9" t="s">
        <v>330</v>
      </c>
      <c r="C5" s="8" t="s">
        <v>403</v>
      </c>
      <c r="D5" s="36">
        <v>12500</v>
      </c>
      <c r="E5" s="36">
        <v>12500</v>
      </c>
      <c r="F5" s="36">
        <v>12500</v>
      </c>
      <c r="G5" s="36">
        <v>12500</v>
      </c>
      <c r="H5" s="36">
        <v>12500</v>
      </c>
      <c r="I5" s="36">
        <v>12500</v>
      </c>
      <c r="J5" s="36">
        <v>12500</v>
      </c>
      <c r="K5" s="36">
        <v>12500</v>
      </c>
      <c r="L5" s="36">
        <v>12500</v>
      </c>
      <c r="M5" s="36">
        <v>12500</v>
      </c>
      <c r="N5" s="36">
        <v>12500</v>
      </c>
      <c r="O5" s="36">
        <v>12500</v>
      </c>
      <c r="P5" s="36">
        <v>12500</v>
      </c>
      <c r="Q5" s="36">
        <v>12500</v>
      </c>
      <c r="R5" s="36">
        <v>12500</v>
      </c>
      <c r="S5" s="36">
        <v>12500</v>
      </c>
      <c r="T5" s="36">
        <v>12500</v>
      </c>
      <c r="U5" s="36">
        <v>12500</v>
      </c>
      <c r="V5" s="36">
        <v>12500</v>
      </c>
      <c r="W5" s="36">
        <v>12500</v>
      </c>
      <c r="X5" s="36">
        <v>12500</v>
      </c>
      <c r="Y5" s="36">
        <v>12500</v>
      </c>
      <c r="Z5" s="36">
        <v>12500</v>
      </c>
      <c r="AA5" s="18">
        <f t="shared" ref="AA5:AA48" si="0">IFERROR(AVERAGEIF(D5:F5,"&lt;&gt;0"),"")</f>
        <v>12500</v>
      </c>
      <c r="AB5" s="18">
        <f t="shared" ref="AB5:AB48" si="1">IFERROR(AVERAGEIF(G5:K5,"&lt;&gt;0"),"")</f>
        <v>12500</v>
      </c>
      <c r="AC5" s="18">
        <f t="shared" ref="AC5:AC48" si="2">IFERROR(AVERAGEIF(L5:P5,"&lt;&gt;0"),"")</f>
        <v>12500</v>
      </c>
      <c r="AD5" s="18">
        <f t="shared" ref="AD5:AD48" si="3">IFERROR(AVERAGEIF(Q5:U5,"&lt;&gt;0"),"")</f>
        <v>12500</v>
      </c>
      <c r="AE5" s="18">
        <f t="shared" ref="AE5:AE48" si="4">IFERROR(AVERAGEIF(V5:Z5,"&lt;&gt;0"),"")</f>
        <v>12500</v>
      </c>
      <c r="AF5" s="18">
        <f t="shared" ref="AF5:AF48" si="5">IFERROR(AVERAGEIF(D5:Z5,"&lt;&gt;0"),"")</f>
        <v>12500</v>
      </c>
    </row>
    <row r="6" spans="1:32" ht="15" customHeight="1" x14ac:dyDescent="0.35">
      <c r="A6" s="8">
        <v>2</v>
      </c>
      <c r="B6" s="9" t="s">
        <v>331</v>
      </c>
      <c r="C6" s="8" t="s">
        <v>403</v>
      </c>
      <c r="D6" s="36">
        <v>14300</v>
      </c>
      <c r="E6" s="36">
        <v>14300</v>
      </c>
      <c r="F6" s="36">
        <v>14300</v>
      </c>
      <c r="G6" s="36">
        <v>14300</v>
      </c>
      <c r="H6" s="36">
        <v>14300</v>
      </c>
      <c r="I6" s="36">
        <v>14300</v>
      </c>
      <c r="J6" s="36">
        <v>14300</v>
      </c>
      <c r="K6" s="36">
        <v>14300</v>
      </c>
      <c r="L6" s="36">
        <v>14300</v>
      </c>
      <c r="M6" s="36">
        <v>14300</v>
      </c>
      <c r="N6" s="36">
        <v>14300</v>
      </c>
      <c r="O6" s="36">
        <v>14300</v>
      </c>
      <c r="P6" s="36">
        <v>14300</v>
      </c>
      <c r="Q6" s="36">
        <v>14300</v>
      </c>
      <c r="R6" s="36">
        <v>14300</v>
      </c>
      <c r="S6" s="36">
        <v>14300</v>
      </c>
      <c r="T6" s="36">
        <v>14300</v>
      </c>
      <c r="U6" s="36">
        <v>14300</v>
      </c>
      <c r="V6" s="36">
        <v>14300</v>
      </c>
      <c r="W6" s="36">
        <v>14300</v>
      </c>
      <c r="X6" s="36">
        <v>14300</v>
      </c>
      <c r="Y6" s="36">
        <v>14300</v>
      </c>
      <c r="Z6" s="36">
        <v>14300</v>
      </c>
      <c r="AA6" s="18">
        <f t="shared" si="0"/>
        <v>14300</v>
      </c>
      <c r="AB6" s="18">
        <f t="shared" si="1"/>
        <v>14300</v>
      </c>
      <c r="AC6" s="18">
        <f t="shared" si="2"/>
        <v>14300</v>
      </c>
      <c r="AD6" s="18">
        <f t="shared" si="3"/>
        <v>14300</v>
      </c>
      <c r="AE6" s="18">
        <f t="shared" si="4"/>
        <v>14300</v>
      </c>
      <c r="AF6" s="18">
        <f t="shared" si="5"/>
        <v>14300</v>
      </c>
    </row>
    <row r="7" spans="1:32" ht="15" customHeight="1" x14ac:dyDescent="0.35">
      <c r="A7" s="8">
        <v>3</v>
      </c>
      <c r="B7" s="9" t="s">
        <v>332</v>
      </c>
      <c r="C7" s="8" t="s">
        <v>403</v>
      </c>
      <c r="D7" s="36">
        <v>11800</v>
      </c>
      <c r="E7" s="36">
        <v>11800</v>
      </c>
      <c r="F7" s="36">
        <v>11800</v>
      </c>
      <c r="G7" s="36">
        <v>11800</v>
      </c>
      <c r="H7" s="36">
        <v>11800</v>
      </c>
      <c r="I7" s="36">
        <v>11800</v>
      </c>
      <c r="J7" s="36">
        <v>11800</v>
      </c>
      <c r="K7" s="36">
        <v>11800</v>
      </c>
      <c r="L7" s="36">
        <v>11800</v>
      </c>
      <c r="M7" s="36">
        <v>11800</v>
      </c>
      <c r="N7" s="36">
        <v>11800</v>
      </c>
      <c r="O7" s="36">
        <v>11800</v>
      </c>
      <c r="P7" s="36">
        <v>11800</v>
      </c>
      <c r="Q7" s="36">
        <v>11800</v>
      </c>
      <c r="R7" s="36">
        <v>11800</v>
      </c>
      <c r="S7" s="36">
        <v>11800</v>
      </c>
      <c r="T7" s="36">
        <v>11800</v>
      </c>
      <c r="U7" s="36">
        <v>11800</v>
      </c>
      <c r="V7" s="36">
        <v>11800</v>
      </c>
      <c r="W7" s="36">
        <v>11800</v>
      </c>
      <c r="X7" s="36">
        <v>11800</v>
      </c>
      <c r="Y7" s="36">
        <v>11800</v>
      </c>
      <c r="Z7" s="36">
        <v>11800</v>
      </c>
      <c r="AA7" s="18">
        <f t="shared" si="0"/>
        <v>11800</v>
      </c>
      <c r="AB7" s="18">
        <f t="shared" si="1"/>
        <v>11800</v>
      </c>
      <c r="AC7" s="18">
        <f t="shared" si="2"/>
        <v>11800</v>
      </c>
      <c r="AD7" s="18">
        <f t="shared" si="3"/>
        <v>11800</v>
      </c>
      <c r="AE7" s="18">
        <f t="shared" si="4"/>
        <v>11800</v>
      </c>
      <c r="AF7" s="18">
        <f t="shared" si="5"/>
        <v>11800</v>
      </c>
    </row>
    <row r="8" spans="1:32" ht="15" customHeight="1" x14ac:dyDescent="0.35">
      <c r="A8" s="8">
        <v>4</v>
      </c>
      <c r="B8" s="9" t="s">
        <v>404</v>
      </c>
      <c r="C8" s="8" t="s">
        <v>403</v>
      </c>
      <c r="D8" s="36">
        <v>11000</v>
      </c>
      <c r="E8" s="36">
        <v>11000</v>
      </c>
      <c r="F8" s="36">
        <v>11000</v>
      </c>
      <c r="G8" s="36">
        <v>11000</v>
      </c>
      <c r="H8" s="36">
        <v>11000</v>
      </c>
      <c r="I8" s="36">
        <v>11000</v>
      </c>
      <c r="J8" s="36">
        <v>11000</v>
      </c>
      <c r="K8" s="36">
        <v>11000</v>
      </c>
      <c r="L8" s="36">
        <v>11000</v>
      </c>
      <c r="M8" s="36">
        <v>11000</v>
      </c>
      <c r="N8" s="36">
        <v>11000</v>
      </c>
      <c r="O8" s="36">
        <v>11000</v>
      </c>
      <c r="P8" s="36">
        <v>11000</v>
      </c>
      <c r="Q8" s="36">
        <v>11000</v>
      </c>
      <c r="R8" s="36">
        <v>11000</v>
      </c>
      <c r="S8" s="36">
        <v>11000</v>
      </c>
      <c r="T8" s="36">
        <v>11000</v>
      </c>
      <c r="U8" s="36">
        <v>11000</v>
      </c>
      <c r="V8" s="36">
        <v>11000</v>
      </c>
      <c r="W8" s="36">
        <v>11000</v>
      </c>
      <c r="X8" s="36">
        <v>11000</v>
      </c>
      <c r="Y8" s="36">
        <v>11000</v>
      </c>
      <c r="Z8" s="36">
        <v>11000</v>
      </c>
      <c r="AA8" s="18">
        <f t="shared" si="0"/>
        <v>11000</v>
      </c>
      <c r="AB8" s="18">
        <f t="shared" si="1"/>
        <v>11000</v>
      </c>
      <c r="AC8" s="18">
        <f t="shared" si="2"/>
        <v>11000</v>
      </c>
      <c r="AD8" s="18">
        <f t="shared" si="3"/>
        <v>11000</v>
      </c>
      <c r="AE8" s="18">
        <f t="shared" si="4"/>
        <v>11000</v>
      </c>
      <c r="AF8" s="18">
        <f t="shared" si="5"/>
        <v>11000</v>
      </c>
    </row>
    <row r="9" spans="1:32" ht="15" customHeight="1" x14ac:dyDescent="0.35">
      <c r="A9" s="8">
        <v>5</v>
      </c>
      <c r="B9" s="9" t="s">
        <v>356</v>
      </c>
      <c r="C9" s="8" t="s">
        <v>403</v>
      </c>
      <c r="D9" s="36">
        <v>30000</v>
      </c>
      <c r="E9" s="36">
        <v>30000</v>
      </c>
      <c r="F9" s="36">
        <v>30000</v>
      </c>
      <c r="G9" s="36">
        <v>30000</v>
      </c>
      <c r="H9" s="36">
        <v>30000</v>
      </c>
      <c r="I9" s="36">
        <v>30000</v>
      </c>
      <c r="J9" s="36">
        <v>30000</v>
      </c>
      <c r="K9" s="36">
        <v>30000</v>
      </c>
      <c r="L9" s="36">
        <v>30000</v>
      </c>
      <c r="M9" s="36">
        <v>30000</v>
      </c>
      <c r="N9" s="36">
        <v>30000</v>
      </c>
      <c r="O9" s="36">
        <v>30000</v>
      </c>
      <c r="P9" s="36">
        <v>30000</v>
      </c>
      <c r="Q9" s="36">
        <v>30000</v>
      </c>
      <c r="R9" s="36">
        <v>30000</v>
      </c>
      <c r="S9" s="36">
        <v>30000</v>
      </c>
      <c r="T9" s="36">
        <v>30000</v>
      </c>
      <c r="U9" s="36">
        <v>30000</v>
      </c>
      <c r="V9" s="36">
        <v>30000</v>
      </c>
      <c r="W9" s="36">
        <v>30000</v>
      </c>
      <c r="X9" s="36">
        <v>30000</v>
      </c>
      <c r="Y9" s="36">
        <v>30000</v>
      </c>
      <c r="Z9" s="36">
        <v>30000</v>
      </c>
      <c r="AA9" s="18">
        <f t="shared" si="0"/>
        <v>30000</v>
      </c>
      <c r="AB9" s="18">
        <f t="shared" si="1"/>
        <v>30000</v>
      </c>
      <c r="AC9" s="18">
        <f t="shared" si="2"/>
        <v>30000</v>
      </c>
      <c r="AD9" s="18">
        <f t="shared" si="3"/>
        <v>30000</v>
      </c>
      <c r="AE9" s="18">
        <f t="shared" si="4"/>
        <v>30000</v>
      </c>
      <c r="AF9" s="18">
        <f t="shared" si="5"/>
        <v>30000</v>
      </c>
    </row>
    <row r="10" spans="1:32" ht="15" customHeight="1" x14ac:dyDescent="0.35">
      <c r="A10" s="8">
        <v>6</v>
      </c>
      <c r="B10" s="9" t="s">
        <v>357</v>
      </c>
      <c r="C10" s="8" t="s">
        <v>403</v>
      </c>
      <c r="D10" s="36">
        <v>28000</v>
      </c>
      <c r="E10" s="36">
        <v>28000</v>
      </c>
      <c r="F10" s="36">
        <v>28000</v>
      </c>
      <c r="G10" s="36">
        <v>28000</v>
      </c>
      <c r="H10" s="36">
        <v>28000</v>
      </c>
      <c r="I10" s="36">
        <v>28000</v>
      </c>
      <c r="J10" s="36">
        <v>28000</v>
      </c>
      <c r="K10" s="36">
        <v>28000</v>
      </c>
      <c r="L10" s="36">
        <v>28000</v>
      </c>
      <c r="M10" s="36">
        <v>28000</v>
      </c>
      <c r="N10" s="36">
        <v>28000</v>
      </c>
      <c r="O10" s="36">
        <v>28000</v>
      </c>
      <c r="P10" s="36">
        <v>28000</v>
      </c>
      <c r="Q10" s="36">
        <v>28000</v>
      </c>
      <c r="R10" s="36">
        <v>28000</v>
      </c>
      <c r="S10" s="36">
        <v>28000</v>
      </c>
      <c r="T10" s="36">
        <v>28000</v>
      </c>
      <c r="U10" s="36">
        <v>28000</v>
      </c>
      <c r="V10" s="36">
        <v>28000</v>
      </c>
      <c r="W10" s="36">
        <v>28000</v>
      </c>
      <c r="X10" s="36">
        <v>28000</v>
      </c>
      <c r="Y10" s="36">
        <v>28000</v>
      </c>
      <c r="Z10" s="36">
        <v>28000</v>
      </c>
      <c r="AA10" s="18">
        <f t="shared" si="0"/>
        <v>28000</v>
      </c>
      <c r="AB10" s="18">
        <f t="shared" si="1"/>
        <v>28000</v>
      </c>
      <c r="AC10" s="18">
        <f t="shared" si="2"/>
        <v>28000</v>
      </c>
      <c r="AD10" s="18">
        <f t="shared" si="3"/>
        <v>28000</v>
      </c>
      <c r="AE10" s="18">
        <f t="shared" si="4"/>
        <v>28000</v>
      </c>
      <c r="AF10" s="18">
        <f t="shared" si="5"/>
        <v>28000</v>
      </c>
    </row>
    <row r="11" spans="1:32" ht="15" customHeight="1" x14ac:dyDescent="0.35">
      <c r="A11" s="8">
        <v>7</v>
      </c>
      <c r="B11" s="9" t="s">
        <v>343</v>
      </c>
      <c r="C11" s="8" t="s">
        <v>403</v>
      </c>
      <c r="D11" s="36">
        <v>45000</v>
      </c>
      <c r="E11" s="36">
        <v>45000</v>
      </c>
      <c r="F11" s="36">
        <v>45000</v>
      </c>
      <c r="G11" s="36">
        <v>45000</v>
      </c>
      <c r="H11" s="36">
        <v>45000</v>
      </c>
      <c r="I11" s="36">
        <v>45000</v>
      </c>
      <c r="J11" s="36">
        <v>45000</v>
      </c>
      <c r="K11" s="36">
        <v>45000</v>
      </c>
      <c r="L11" s="36">
        <v>45000</v>
      </c>
      <c r="M11" s="36">
        <v>45000</v>
      </c>
      <c r="N11" s="36">
        <v>45000</v>
      </c>
      <c r="O11" s="36">
        <v>45000</v>
      </c>
      <c r="P11" s="36">
        <v>45000</v>
      </c>
      <c r="Q11" s="36">
        <v>45000</v>
      </c>
      <c r="R11" s="36">
        <v>45000</v>
      </c>
      <c r="S11" s="36">
        <v>45000</v>
      </c>
      <c r="T11" s="36">
        <v>45000</v>
      </c>
      <c r="U11" s="36">
        <v>40000</v>
      </c>
      <c r="V11" s="36">
        <v>40000</v>
      </c>
      <c r="W11" s="36">
        <v>40000</v>
      </c>
      <c r="X11" s="36">
        <v>42000</v>
      </c>
      <c r="Y11" s="36">
        <v>42000</v>
      </c>
      <c r="Z11" s="36">
        <v>42000</v>
      </c>
      <c r="AA11" s="18">
        <f t="shared" si="0"/>
        <v>45000</v>
      </c>
      <c r="AB11" s="18">
        <f t="shared" si="1"/>
        <v>45000</v>
      </c>
      <c r="AC11" s="18">
        <f t="shared" si="2"/>
        <v>45000</v>
      </c>
      <c r="AD11" s="18">
        <f t="shared" si="3"/>
        <v>44000</v>
      </c>
      <c r="AE11" s="18">
        <f t="shared" si="4"/>
        <v>41200</v>
      </c>
      <c r="AF11" s="18">
        <f t="shared" si="5"/>
        <v>43956.521739130432</v>
      </c>
    </row>
    <row r="12" spans="1:32" ht="15" customHeight="1" x14ac:dyDescent="0.35">
      <c r="A12" s="8">
        <v>8</v>
      </c>
      <c r="B12" s="9" t="s">
        <v>350</v>
      </c>
      <c r="C12" s="8" t="s">
        <v>403</v>
      </c>
      <c r="D12" s="36">
        <v>35000</v>
      </c>
      <c r="E12" s="36">
        <v>35000</v>
      </c>
      <c r="F12" s="36">
        <v>35000</v>
      </c>
      <c r="G12" s="36">
        <v>35000</v>
      </c>
      <c r="H12" s="36">
        <v>35000</v>
      </c>
      <c r="I12" s="36">
        <v>35000</v>
      </c>
      <c r="J12" s="36">
        <v>35000</v>
      </c>
      <c r="K12" s="36">
        <v>35000</v>
      </c>
      <c r="L12" s="36">
        <v>35000</v>
      </c>
      <c r="M12" s="36">
        <v>35000</v>
      </c>
      <c r="N12" s="36">
        <v>35000</v>
      </c>
      <c r="O12" s="36">
        <v>35000</v>
      </c>
      <c r="P12" s="36">
        <v>35000</v>
      </c>
      <c r="Q12" s="36">
        <v>35000</v>
      </c>
      <c r="R12" s="36">
        <v>35000</v>
      </c>
      <c r="S12" s="36">
        <v>35000</v>
      </c>
      <c r="T12" s="36">
        <v>35000</v>
      </c>
      <c r="U12" s="36">
        <v>35000</v>
      </c>
      <c r="V12" s="36">
        <v>35000</v>
      </c>
      <c r="W12" s="36">
        <v>35000</v>
      </c>
      <c r="X12" s="36">
        <v>32000</v>
      </c>
      <c r="Y12" s="36">
        <v>32000</v>
      </c>
      <c r="Z12" s="36">
        <v>32000</v>
      </c>
      <c r="AA12" s="18">
        <f t="shared" si="0"/>
        <v>35000</v>
      </c>
      <c r="AB12" s="18">
        <f t="shared" si="1"/>
        <v>35000</v>
      </c>
      <c r="AC12" s="18">
        <f t="shared" si="2"/>
        <v>35000</v>
      </c>
      <c r="AD12" s="18">
        <f t="shared" si="3"/>
        <v>35000</v>
      </c>
      <c r="AE12" s="18">
        <f t="shared" si="4"/>
        <v>33200</v>
      </c>
      <c r="AF12" s="18">
        <f t="shared" si="5"/>
        <v>34608.695652173912</v>
      </c>
    </row>
    <row r="13" spans="1:32" ht="15" customHeight="1" x14ac:dyDescent="0.35">
      <c r="A13" s="8">
        <v>9</v>
      </c>
      <c r="B13" s="9" t="s">
        <v>345</v>
      </c>
      <c r="C13" s="8" t="s">
        <v>403</v>
      </c>
      <c r="D13" s="36">
        <v>16500</v>
      </c>
      <c r="E13" s="36">
        <v>16500</v>
      </c>
      <c r="F13" s="36">
        <v>16500</v>
      </c>
      <c r="G13" s="36">
        <v>16500</v>
      </c>
      <c r="H13" s="36">
        <v>16500</v>
      </c>
      <c r="I13" s="36">
        <v>16500</v>
      </c>
      <c r="J13" s="36">
        <v>16500</v>
      </c>
      <c r="K13" s="36">
        <v>16500</v>
      </c>
      <c r="L13" s="36">
        <v>16500</v>
      </c>
      <c r="M13" s="36">
        <v>16500</v>
      </c>
      <c r="N13" s="36">
        <v>16500</v>
      </c>
      <c r="O13" s="36">
        <v>16500</v>
      </c>
      <c r="P13" s="36">
        <v>16500</v>
      </c>
      <c r="Q13" s="36">
        <v>16500</v>
      </c>
      <c r="R13" s="36">
        <v>16500</v>
      </c>
      <c r="S13" s="36">
        <v>16500</v>
      </c>
      <c r="T13" s="36">
        <v>16500</v>
      </c>
      <c r="U13" s="36">
        <v>16500</v>
      </c>
      <c r="V13" s="36">
        <v>16500</v>
      </c>
      <c r="W13" s="36">
        <v>16500</v>
      </c>
      <c r="X13" s="36">
        <v>16500</v>
      </c>
      <c r="Y13" s="36">
        <v>16500</v>
      </c>
      <c r="Z13" s="36">
        <v>16500</v>
      </c>
      <c r="AA13" s="18">
        <f t="shared" si="0"/>
        <v>16500</v>
      </c>
      <c r="AB13" s="18">
        <f t="shared" si="1"/>
        <v>16500</v>
      </c>
      <c r="AC13" s="18">
        <f t="shared" si="2"/>
        <v>16500</v>
      </c>
      <c r="AD13" s="18">
        <f t="shared" si="3"/>
        <v>16500</v>
      </c>
      <c r="AE13" s="18">
        <f t="shared" si="4"/>
        <v>16500</v>
      </c>
      <c r="AF13" s="18">
        <f t="shared" si="5"/>
        <v>16500</v>
      </c>
    </row>
    <row r="14" spans="1:32" ht="15" customHeight="1" x14ac:dyDescent="0.35">
      <c r="A14" s="8">
        <v>10</v>
      </c>
      <c r="B14" s="9" t="s">
        <v>336</v>
      </c>
      <c r="C14" s="8" t="s">
        <v>449</v>
      </c>
      <c r="D14" s="36">
        <v>18450</v>
      </c>
      <c r="E14" s="36">
        <v>18450</v>
      </c>
      <c r="F14" s="36">
        <v>18450</v>
      </c>
      <c r="G14" s="36">
        <v>18450</v>
      </c>
      <c r="H14" s="36">
        <v>18450</v>
      </c>
      <c r="I14" s="36">
        <v>18450</v>
      </c>
      <c r="J14" s="36">
        <v>18450</v>
      </c>
      <c r="K14" s="36">
        <v>18450</v>
      </c>
      <c r="L14" s="36">
        <v>18450</v>
      </c>
      <c r="M14" s="36">
        <v>18450</v>
      </c>
      <c r="N14" s="36">
        <v>18450</v>
      </c>
      <c r="O14" s="36">
        <v>18450</v>
      </c>
      <c r="P14" s="36">
        <v>18450</v>
      </c>
      <c r="Q14" s="36">
        <v>18450</v>
      </c>
      <c r="R14" s="36">
        <v>18450</v>
      </c>
      <c r="S14" s="36">
        <v>18450</v>
      </c>
      <c r="T14" s="36">
        <v>18450</v>
      </c>
      <c r="U14" s="36">
        <v>18450</v>
      </c>
      <c r="V14" s="36">
        <v>18450</v>
      </c>
      <c r="W14" s="36">
        <v>18450</v>
      </c>
      <c r="X14" s="36">
        <v>18450</v>
      </c>
      <c r="Y14" s="36">
        <v>18450</v>
      </c>
      <c r="Z14" s="36">
        <v>18450</v>
      </c>
      <c r="AA14" s="18">
        <f t="shared" si="0"/>
        <v>18450</v>
      </c>
      <c r="AB14" s="18">
        <f t="shared" si="1"/>
        <v>18450</v>
      </c>
      <c r="AC14" s="18">
        <f t="shared" si="2"/>
        <v>18450</v>
      </c>
      <c r="AD14" s="18">
        <f t="shared" si="3"/>
        <v>18450</v>
      </c>
      <c r="AE14" s="18">
        <f t="shared" si="4"/>
        <v>18450</v>
      </c>
      <c r="AF14" s="18">
        <f t="shared" si="5"/>
        <v>18450</v>
      </c>
    </row>
    <row r="15" spans="1:32" ht="21.75" customHeight="1" x14ac:dyDescent="0.35">
      <c r="A15" s="8">
        <v>11</v>
      </c>
      <c r="B15" s="9" t="s">
        <v>337</v>
      </c>
      <c r="C15" s="8" t="s">
        <v>449</v>
      </c>
      <c r="D15" s="36">
        <v>23000</v>
      </c>
      <c r="E15" s="36">
        <v>23000</v>
      </c>
      <c r="F15" s="36">
        <v>23000</v>
      </c>
      <c r="G15" s="36">
        <v>23000</v>
      </c>
      <c r="H15" s="36">
        <v>23000</v>
      </c>
      <c r="I15" s="36">
        <v>23000</v>
      </c>
      <c r="J15" s="36">
        <v>23000</v>
      </c>
      <c r="K15" s="36">
        <v>23000</v>
      </c>
      <c r="L15" s="36">
        <v>23000</v>
      </c>
      <c r="M15" s="36">
        <v>23000</v>
      </c>
      <c r="N15" s="36">
        <v>23000</v>
      </c>
      <c r="O15" s="36">
        <v>23000</v>
      </c>
      <c r="P15" s="36">
        <v>23000</v>
      </c>
      <c r="Q15" s="36">
        <v>23000</v>
      </c>
      <c r="R15" s="36">
        <v>23000</v>
      </c>
      <c r="S15" s="36">
        <v>23000</v>
      </c>
      <c r="T15" s="36">
        <v>23000</v>
      </c>
      <c r="U15" s="36">
        <v>23000</v>
      </c>
      <c r="V15" s="36">
        <v>23000</v>
      </c>
      <c r="W15" s="36">
        <v>23000</v>
      </c>
      <c r="X15" s="36">
        <v>23000</v>
      </c>
      <c r="Y15" s="36">
        <v>23000</v>
      </c>
      <c r="Z15" s="36">
        <v>23000</v>
      </c>
      <c r="AA15" s="18">
        <f t="shared" si="0"/>
        <v>23000</v>
      </c>
      <c r="AB15" s="18">
        <f t="shared" si="1"/>
        <v>23000</v>
      </c>
      <c r="AC15" s="18">
        <f t="shared" si="2"/>
        <v>23000</v>
      </c>
      <c r="AD15" s="18">
        <f t="shared" si="3"/>
        <v>23000</v>
      </c>
      <c r="AE15" s="18">
        <f t="shared" si="4"/>
        <v>23000</v>
      </c>
      <c r="AF15" s="18">
        <f t="shared" si="5"/>
        <v>23000</v>
      </c>
    </row>
    <row r="16" spans="1:32" ht="15" customHeight="1" x14ac:dyDescent="0.35">
      <c r="A16" s="8">
        <v>12</v>
      </c>
      <c r="B16" s="9" t="s">
        <v>338</v>
      </c>
      <c r="C16" s="8" t="s">
        <v>449</v>
      </c>
      <c r="D16" s="36">
        <v>15500</v>
      </c>
      <c r="E16" s="36">
        <v>15500</v>
      </c>
      <c r="F16" s="36">
        <v>15500</v>
      </c>
      <c r="G16" s="36">
        <v>15500</v>
      </c>
      <c r="H16" s="36">
        <v>15500</v>
      </c>
      <c r="I16" s="36">
        <v>15500</v>
      </c>
      <c r="J16" s="36">
        <v>15500</v>
      </c>
      <c r="K16" s="36">
        <v>15500</v>
      </c>
      <c r="L16" s="36">
        <v>15500</v>
      </c>
      <c r="M16" s="36">
        <v>15500</v>
      </c>
      <c r="N16" s="36">
        <v>15500</v>
      </c>
      <c r="O16" s="36">
        <v>15500</v>
      </c>
      <c r="P16" s="36">
        <v>15500</v>
      </c>
      <c r="Q16" s="36">
        <v>15500</v>
      </c>
      <c r="R16" s="36">
        <v>15500</v>
      </c>
      <c r="S16" s="36">
        <v>15500</v>
      </c>
      <c r="T16" s="36">
        <v>15500</v>
      </c>
      <c r="U16" s="36">
        <v>15500</v>
      </c>
      <c r="V16" s="36">
        <v>15500</v>
      </c>
      <c r="W16" s="36">
        <v>15500</v>
      </c>
      <c r="X16" s="36">
        <v>15500</v>
      </c>
      <c r="Y16" s="36">
        <v>15500</v>
      </c>
      <c r="Z16" s="36">
        <v>15500</v>
      </c>
      <c r="AA16" s="18">
        <f t="shared" si="0"/>
        <v>15500</v>
      </c>
      <c r="AB16" s="18">
        <f t="shared" si="1"/>
        <v>15500</v>
      </c>
      <c r="AC16" s="18">
        <f t="shared" si="2"/>
        <v>15500</v>
      </c>
      <c r="AD16" s="18">
        <f t="shared" si="3"/>
        <v>15500</v>
      </c>
      <c r="AE16" s="18">
        <f t="shared" si="4"/>
        <v>15500</v>
      </c>
      <c r="AF16" s="18">
        <f t="shared" si="5"/>
        <v>15500</v>
      </c>
    </row>
    <row r="17" spans="1:32" ht="15" customHeight="1" x14ac:dyDescent="0.35">
      <c r="A17" s="8">
        <v>13</v>
      </c>
      <c r="B17" s="9" t="s">
        <v>333</v>
      </c>
      <c r="C17" s="8" t="s">
        <v>403</v>
      </c>
      <c r="D17" s="36">
        <v>11000</v>
      </c>
      <c r="E17" s="36">
        <v>11000</v>
      </c>
      <c r="F17" s="36">
        <v>11000</v>
      </c>
      <c r="G17" s="36">
        <v>11000</v>
      </c>
      <c r="H17" s="36">
        <v>11000</v>
      </c>
      <c r="I17" s="36">
        <v>11000</v>
      </c>
      <c r="J17" s="36">
        <v>11000</v>
      </c>
      <c r="K17" s="36">
        <v>11000</v>
      </c>
      <c r="L17" s="36">
        <v>11000</v>
      </c>
      <c r="M17" s="36">
        <v>11000</v>
      </c>
      <c r="N17" s="36">
        <v>11000</v>
      </c>
      <c r="O17" s="36">
        <v>11000</v>
      </c>
      <c r="P17" s="36">
        <v>11000</v>
      </c>
      <c r="Q17" s="36">
        <v>11000</v>
      </c>
      <c r="R17" s="36">
        <v>11000</v>
      </c>
      <c r="S17" s="36">
        <v>11000</v>
      </c>
      <c r="T17" s="36">
        <v>11000</v>
      </c>
      <c r="U17" s="36">
        <v>11000</v>
      </c>
      <c r="V17" s="36">
        <v>11000</v>
      </c>
      <c r="W17" s="36">
        <v>11000</v>
      </c>
      <c r="X17" s="36">
        <v>11000</v>
      </c>
      <c r="Y17" s="36">
        <v>11000</v>
      </c>
      <c r="Z17" s="36">
        <v>11000</v>
      </c>
      <c r="AA17" s="18">
        <f t="shared" si="0"/>
        <v>11000</v>
      </c>
      <c r="AB17" s="18">
        <f t="shared" si="1"/>
        <v>11000</v>
      </c>
      <c r="AC17" s="18">
        <f t="shared" si="2"/>
        <v>11000</v>
      </c>
      <c r="AD17" s="18">
        <f t="shared" si="3"/>
        <v>11000</v>
      </c>
      <c r="AE17" s="18">
        <f t="shared" si="4"/>
        <v>11000</v>
      </c>
      <c r="AF17" s="18">
        <f t="shared" si="5"/>
        <v>11000</v>
      </c>
    </row>
    <row r="18" spans="1:32" ht="15" customHeight="1" x14ac:dyDescent="0.35">
      <c r="A18" s="8">
        <v>14</v>
      </c>
      <c r="B18" s="9" t="s">
        <v>335</v>
      </c>
      <c r="C18" s="8" t="s">
        <v>403</v>
      </c>
      <c r="D18" s="36">
        <v>30000</v>
      </c>
      <c r="E18" s="36">
        <v>30000</v>
      </c>
      <c r="F18" s="36">
        <v>30000</v>
      </c>
      <c r="G18" s="36">
        <v>30000</v>
      </c>
      <c r="H18" s="36">
        <v>30000</v>
      </c>
      <c r="I18" s="36">
        <v>30000</v>
      </c>
      <c r="J18" s="36">
        <v>30000</v>
      </c>
      <c r="K18" s="36">
        <v>30000</v>
      </c>
      <c r="L18" s="36">
        <v>30000</v>
      </c>
      <c r="M18" s="36">
        <v>30000</v>
      </c>
      <c r="N18" s="36">
        <v>30000</v>
      </c>
      <c r="O18" s="36">
        <v>30000</v>
      </c>
      <c r="P18" s="36">
        <v>30000</v>
      </c>
      <c r="Q18" s="36">
        <v>30000</v>
      </c>
      <c r="R18" s="36">
        <v>30000</v>
      </c>
      <c r="S18" s="36">
        <v>30000</v>
      </c>
      <c r="T18" s="36">
        <v>30000</v>
      </c>
      <c r="U18" s="36">
        <v>32000</v>
      </c>
      <c r="V18" s="36">
        <v>32000</v>
      </c>
      <c r="W18" s="36">
        <v>32000</v>
      </c>
      <c r="X18" s="36">
        <v>34000</v>
      </c>
      <c r="Y18" s="36">
        <v>34000</v>
      </c>
      <c r="Z18" s="36">
        <v>34000</v>
      </c>
      <c r="AA18" s="18">
        <f t="shared" si="0"/>
        <v>30000</v>
      </c>
      <c r="AB18" s="18">
        <f t="shared" si="1"/>
        <v>30000</v>
      </c>
      <c r="AC18" s="18">
        <f t="shared" si="2"/>
        <v>30000</v>
      </c>
      <c r="AD18" s="18">
        <f t="shared" si="3"/>
        <v>30400</v>
      </c>
      <c r="AE18" s="18">
        <f t="shared" si="4"/>
        <v>33200</v>
      </c>
      <c r="AF18" s="18">
        <f t="shared" si="5"/>
        <v>30782.608695652172</v>
      </c>
    </row>
    <row r="19" spans="1:32" ht="15" customHeight="1" x14ac:dyDescent="0.35">
      <c r="A19" s="8">
        <v>15</v>
      </c>
      <c r="B19" s="9" t="s">
        <v>344</v>
      </c>
      <c r="C19" s="8" t="s">
        <v>403</v>
      </c>
      <c r="D19" s="36">
        <v>23000</v>
      </c>
      <c r="E19" s="36">
        <v>23000</v>
      </c>
      <c r="F19" s="36">
        <v>23000</v>
      </c>
      <c r="G19" s="36">
        <v>22500</v>
      </c>
      <c r="H19" s="36">
        <v>22500</v>
      </c>
      <c r="I19" s="36">
        <v>22500</v>
      </c>
      <c r="J19" s="36">
        <v>22500</v>
      </c>
      <c r="K19" s="36">
        <v>22500</v>
      </c>
      <c r="L19" s="36">
        <v>22500</v>
      </c>
      <c r="M19" s="36">
        <v>22500</v>
      </c>
      <c r="N19" s="36">
        <v>22500</v>
      </c>
      <c r="O19" s="36">
        <v>22500</v>
      </c>
      <c r="P19" s="36">
        <v>22500</v>
      </c>
      <c r="Q19" s="36">
        <v>22500</v>
      </c>
      <c r="R19" s="36">
        <v>22500</v>
      </c>
      <c r="S19" s="36">
        <v>22500</v>
      </c>
      <c r="T19" s="36">
        <v>22500</v>
      </c>
      <c r="U19" s="36">
        <v>24000</v>
      </c>
      <c r="V19" s="36">
        <v>24000</v>
      </c>
      <c r="W19" s="36">
        <v>24000</v>
      </c>
      <c r="X19" s="36">
        <v>22500</v>
      </c>
      <c r="Y19" s="36">
        <v>22500</v>
      </c>
      <c r="Z19" s="36">
        <v>22500</v>
      </c>
      <c r="AA19" s="18">
        <f t="shared" si="0"/>
        <v>23000</v>
      </c>
      <c r="AB19" s="18">
        <f t="shared" si="1"/>
        <v>22500</v>
      </c>
      <c r="AC19" s="18">
        <f t="shared" si="2"/>
        <v>22500</v>
      </c>
      <c r="AD19" s="18">
        <f t="shared" si="3"/>
        <v>22800</v>
      </c>
      <c r="AE19" s="18">
        <f t="shared" si="4"/>
        <v>23100</v>
      </c>
      <c r="AF19" s="18">
        <f t="shared" si="5"/>
        <v>22760.869565217392</v>
      </c>
    </row>
    <row r="20" spans="1:32" ht="15" customHeight="1" x14ac:dyDescent="0.35">
      <c r="A20" s="8">
        <v>16</v>
      </c>
      <c r="B20" s="9" t="s">
        <v>358</v>
      </c>
      <c r="C20" s="8" t="s">
        <v>403</v>
      </c>
      <c r="D20" s="36">
        <v>120000</v>
      </c>
      <c r="E20" s="36">
        <v>120000</v>
      </c>
      <c r="F20" s="36">
        <v>120000</v>
      </c>
      <c r="G20" s="36">
        <v>120000</v>
      </c>
      <c r="H20" s="36">
        <v>120000</v>
      </c>
      <c r="I20" s="36">
        <v>120000</v>
      </c>
      <c r="J20" s="36">
        <v>120000</v>
      </c>
      <c r="K20" s="36">
        <v>120000</v>
      </c>
      <c r="L20" s="36">
        <v>120000</v>
      </c>
      <c r="M20" s="36">
        <v>120000</v>
      </c>
      <c r="N20" s="36">
        <v>120000</v>
      </c>
      <c r="O20" s="36">
        <v>120000</v>
      </c>
      <c r="P20" s="36">
        <v>120000</v>
      </c>
      <c r="Q20" s="36">
        <v>120000</v>
      </c>
      <c r="R20" s="36">
        <v>120000</v>
      </c>
      <c r="S20" s="36">
        <v>120000</v>
      </c>
      <c r="T20" s="36">
        <v>120000</v>
      </c>
      <c r="U20" s="36">
        <v>120000</v>
      </c>
      <c r="V20" s="36">
        <v>120000</v>
      </c>
      <c r="W20" s="36">
        <v>120000</v>
      </c>
      <c r="X20" s="36">
        <v>120000</v>
      </c>
      <c r="Y20" s="36">
        <v>120000</v>
      </c>
      <c r="Z20" s="36">
        <v>120000</v>
      </c>
      <c r="AA20" s="18">
        <f t="shared" si="0"/>
        <v>120000</v>
      </c>
      <c r="AB20" s="18">
        <f t="shared" si="1"/>
        <v>120000</v>
      </c>
      <c r="AC20" s="18">
        <f t="shared" si="2"/>
        <v>120000</v>
      </c>
      <c r="AD20" s="18">
        <f t="shared" si="3"/>
        <v>120000</v>
      </c>
      <c r="AE20" s="18">
        <f t="shared" si="4"/>
        <v>120000</v>
      </c>
      <c r="AF20" s="18">
        <f t="shared" si="5"/>
        <v>120000</v>
      </c>
    </row>
    <row r="21" spans="1:32" ht="15" customHeight="1" x14ac:dyDescent="0.35">
      <c r="A21" s="8">
        <v>17</v>
      </c>
      <c r="B21" s="9" t="s">
        <v>359</v>
      </c>
      <c r="C21" s="8" t="s">
        <v>403</v>
      </c>
      <c r="D21" s="36">
        <v>70000</v>
      </c>
      <c r="E21" s="36">
        <v>70000</v>
      </c>
      <c r="F21" s="36">
        <v>70000</v>
      </c>
      <c r="G21" s="36">
        <v>70000</v>
      </c>
      <c r="H21" s="36">
        <v>70000</v>
      </c>
      <c r="I21" s="36">
        <v>70000</v>
      </c>
      <c r="J21" s="36">
        <v>70000</v>
      </c>
      <c r="K21" s="36">
        <v>70000</v>
      </c>
      <c r="L21" s="36">
        <v>70000</v>
      </c>
      <c r="M21" s="36">
        <v>70000</v>
      </c>
      <c r="N21" s="36">
        <v>70000</v>
      </c>
      <c r="O21" s="36">
        <v>70000</v>
      </c>
      <c r="P21" s="36">
        <v>70000</v>
      </c>
      <c r="Q21" s="36">
        <v>70000</v>
      </c>
      <c r="R21" s="36">
        <v>70000</v>
      </c>
      <c r="S21" s="36">
        <v>70000</v>
      </c>
      <c r="T21" s="36">
        <v>70000</v>
      </c>
      <c r="U21" s="36">
        <v>70000</v>
      </c>
      <c r="V21" s="36">
        <v>70000</v>
      </c>
      <c r="W21" s="36">
        <v>70000</v>
      </c>
      <c r="X21" s="36">
        <v>70000</v>
      </c>
      <c r="Y21" s="36">
        <v>70000</v>
      </c>
      <c r="Z21" s="36">
        <v>70000</v>
      </c>
      <c r="AA21" s="18">
        <f t="shared" si="0"/>
        <v>70000</v>
      </c>
      <c r="AB21" s="18">
        <f t="shared" si="1"/>
        <v>70000</v>
      </c>
      <c r="AC21" s="18">
        <f t="shared" si="2"/>
        <v>70000</v>
      </c>
      <c r="AD21" s="18">
        <f t="shared" si="3"/>
        <v>70000</v>
      </c>
      <c r="AE21" s="18">
        <f t="shared" si="4"/>
        <v>70000</v>
      </c>
      <c r="AF21" s="18">
        <f t="shared" si="5"/>
        <v>70000</v>
      </c>
    </row>
    <row r="22" spans="1:32" ht="15" customHeight="1" x14ac:dyDescent="0.35">
      <c r="A22" s="8">
        <v>18</v>
      </c>
      <c r="B22" s="9" t="s">
        <v>360</v>
      </c>
      <c r="C22" s="8" t="s">
        <v>403</v>
      </c>
      <c r="D22" s="36">
        <v>80000</v>
      </c>
      <c r="E22" s="36">
        <v>80000</v>
      </c>
      <c r="F22" s="36">
        <v>80000</v>
      </c>
      <c r="G22" s="36">
        <v>80000</v>
      </c>
      <c r="H22" s="36">
        <v>80000</v>
      </c>
      <c r="I22" s="36">
        <v>80000</v>
      </c>
      <c r="J22" s="36">
        <v>80000</v>
      </c>
      <c r="K22" s="36">
        <v>80000</v>
      </c>
      <c r="L22" s="36">
        <v>80000</v>
      </c>
      <c r="M22" s="36">
        <v>80000</v>
      </c>
      <c r="N22" s="36">
        <v>80000</v>
      </c>
      <c r="O22" s="36">
        <v>80000</v>
      </c>
      <c r="P22" s="36">
        <v>80000</v>
      </c>
      <c r="Q22" s="36">
        <v>80000</v>
      </c>
      <c r="R22" s="36">
        <v>80000</v>
      </c>
      <c r="S22" s="36">
        <v>80000</v>
      </c>
      <c r="T22" s="36">
        <v>80000</v>
      </c>
      <c r="U22" s="36">
        <v>80000</v>
      </c>
      <c r="V22" s="36">
        <v>80000</v>
      </c>
      <c r="W22" s="36">
        <v>80000</v>
      </c>
      <c r="X22" s="36">
        <v>80000</v>
      </c>
      <c r="Y22" s="36">
        <v>80000</v>
      </c>
      <c r="Z22" s="36">
        <v>80000</v>
      </c>
      <c r="AA22" s="18">
        <f t="shared" si="0"/>
        <v>80000</v>
      </c>
      <c r="AB22" s="18">
        <f t="shared" si="1"/>
        <v>80000</v>
      </c>
      <c r="AC22" s="18">
        <f t="shared" si="2"/>
        <v>80000</v>
      </c>
      <c r="AD22" s="18">
        <f t="shared" si="3"/>
        <v>80000</v>
      </c>
      <c r="AE22" s="18">
        <f t="shared" si="4"/>
        <v>80000</v>
      </c>
      <c r="AF22" s="18">
        <f t="shared" si="5"/>
        <v>80000</v>
      </c>
    </row>
    <row r="23" spans="1:32" ht="15" customHeight="1" x14ac:dyDescent="0.35">
      <c r="A23" s="8">
        <v>19</v>
      </c>
      <c r="B23" s="9" t="s">
        <v>405</v>
      </c>
      <c r="C23" s="8" t="s">
        <v>403</v>
      </c>
      <c r="D23" s="36">
        <v>35000</v>
      </c>
      <c r="E23" s="36">
        <v>35000</v>
      </c>
      <c r="F23" s="36">
        <v>35000</v>
      </c>
      <c r="G23" s="36">
        <v>35000</v>
      </c>
      <c r="H23" s="36">
        <v>35000</v>
      </c>
      <c r="I23" s="36">
        <v>35000</v>
      </c>
      <c r="J23" s="36">
        <v>35000</v>
      </c>
      <c r="K23" s="36">
        <v>35000</v>
      </c>
      <c r="L23" s="36">
        <v>35000</v>
      </c>
      <c r="M23" s="36">
        <v>35000</v>
      </c>
      <c r="N23" s="36">
        <v>35000</v>
      </c>
      <c r="O23" s="36">
        <v>35000</v>
      </c>
      <c r="P23" s="36">
        <v>35000</v>
      </c>
      <c r="Q23" s="36">
        <v>35000</v>
      </c>
      <c r="R23" s="36">
        <v>35000</v>
      </c>
      <c r="S23" s="36">
        <v>35000</v>
      </c>
      <c r="T23" s="36">
        <v>35000</v>
      </c>
      <c r="U23" s="36">
        <v>35000</v>
      </c>
      <c r="V23" s="36">
        <v>35000</v>
      </c>
      <c r="W23" s="36">
        <v>35000</v>
      </c>
      <c r="X23" s="36">
        <v>35000</v>
      </c>
      <c r="Y23" s="36">
        <v>35000</v>
      </c>
      <c r="Z23" s="36">
        <v>35000</v>
      </c>
      <c r="AA23" s="18">
        <f t="shared" si="0"/>
        <v>35000</v>
      </c>
      <c r="AB23" s="18">
        <f t="shared" si="1"/>
        <v>35000</v>
      </c>
      <c r="AC23" s="18">
        <f t="shared" si="2"/>
        <v>35000</v>
      </c>
      <c r="AD23" s="18">
        <f t="shared" si="3"/>
        <v>35000</v>
      </c>
      <c r="AE23" s="18">
        <f t="shared" si="4"/>
        <v>35000</v>
      </c>
      <c r="AF23" s="18">
        <f t="shared" si="5"/>
        <v>35000</v>
      </c>
    </row>
    <row r="24" spans="1:32" ht="15" customHeight="1" x14ac:dyDescent="0.35">
      <c r="A24" s="8">
        <v>20</v>
      </c>
      <c r="B24" s="9" t="s">
        <v>346</v>
      </c>
      <c r="C24" s="8" t="s">
        <v>403</v>
      </c>
      <c r="D24" s="36">
        <v>45000</v>
      </c>
      <c r="E24" s="36">
        <v>45000</v>
      </c>
      <c r="F24" s="36">
        <v>45000</v>
      </c>
      <c r="G24" s="36">
        <v>45000</v>
      </c>
      <c r="H24" s="36">
        <v>45000</v>
      </c>
      <c r="I24" s="36">
        <v>45000</v>
      </c>
      <c r="J24" s="36">
        <v>45000</v>
      </c>
      <c r="K24" s="36">
        <v>45000</v>
      </c>
      <c r="L24" s="36">
        <v>45000</v>
      </c>
      <c r="M24" s="36">
        <v>45000</v>
      </c>
      <c r="N24" s="36">
        <v>45000</v>
      </c>
      <c r="O24" s="36">
        <v>45000</v>
      </c>
      <c r="P24" s="36">
        <v>45000</v>
      </c>
      <c r="Q24" s="36">
        <v>45000</v>
      </c>
      <c r="R24" s="36">
        <v>45000</v>
      </c>
      <c r="S24" s="36">
        <v>45000</v>
      </c>
      <c r="T24" s="36">
        <v>45000</v>
      </c>
      <c r="U24" s="36">
        <v>45000</v>
      </c>
      <c r="V24" s="36">
        <v>45000</v>
      </c>
      <c r="W24" s="36">
        <v>45000</v>
      </c>
      <c r="X24" s="36">
        <v>45000</v>
      </c>
      <c r="Y24" s="36">
        <v>45000</v>
      </c>
      <c r="Z24" s="36">
        <v>45000</v>
      </c>
      <c r="AA24" s="18">
        <f t="shared" si="0"/>
        <v>45000</v>
      </c>
      <c r="AB24" s="18">
        <f t="shared" si="1"/>
        <v>45000</v>
      </c>
      <c r="AC24" s="18">
        <f t="shared" si="2"/>
        <v>45000</v>
      </c>
      <c r="AD24" s="18">
        <f t="shared" si="3"/>
        <v>45000</v>
      </c>
      <c r="AE24" s="18">
        <f t="shared" si="4"/>
        <v>45000</v>
      </c>
      <c r="AF24" s="18">
        <f t="shared" si="5"/>
        <v>45000</v>
      </c>
    </row>
    <row r="25" spans="1:32" ht="15" customHeight="1" x14ac:dyDescent="0.35">
      <c r="A25" s="8">
        <v>21</v>
      </c>
      <c r="B25" s="9" t="s">
        <v>406</v>
      </c>
      <c r="C25" s="8" t="s">
        <v>403</v>
      </c>
      <c r="D25" s="36">
        <v>80000</v>
      </c>
      <c r="E25" s="36">
        <v>80000</v>
      </c>
      <c r="F25" s="36">
        <v>80000</v>
      </c>
      <c r="G25" s="36">
        <v>80000</v>
      </c>
      <c r="H25" s="36">
        <v>80000</v>
      </c>
      <c r="I25" s="36">
        <v>80000</v>
      </c>
      <c r="J25" s="36">
        <v>80000</v>
      </c>
      <c r="K25" s="36">
        <v>80000</v>
      </c>
      <c r="L25" s="36">
        <v>80000</v>
      </c>
      <c r="M25" s="36">
        <v>80000</v>
      </c>
      <c r="N25" s="36">
        <v>80000</v>
      </c>
      <c r="O25" s="36">
        <v>80000</v>
      </c>
      <c r="P25" s="36">
        <v>80000</v>
      </c>
      <c r="Q25" s="36">
        <v>80000</v>
      </c>
      <c r="R25" s="36">
        <v>80000</v>
      </c>
      <c r="S25" s="36">
        <v>80000</v>
      </c>
      <c r="T25" s="36">
        <v>80000</v>
      </c>
      <c r="U25" s="36">
        <v>80000</v>
      </c>
      <c r="V25" s="36">
        <v>80000</v>
      </c>
      <c r="W25" s="36">
        <v>80000</v>
      </c>
      <c r="X25" s="36">
        <v>80000</v>
      </c>
      <c r="Y25" s="36">
        <v>80000</v>
      </c>
      <c r="Z25" s="36">
        <v>80000</v>
      </c>
      <c r="AA25" s="18">
        <f t="shared" si="0"/>
        <v>80000</v>
      </c>
      <c r="AB25" s="18">
        <f t="shared" si="1"/>
        <v>80000</v>
      </c>
      <c r="AC25" s="18">
        <f t="shared" si="2"/>
        <v>80000</v>
      </c>
      <c r="AD25" s="18">
        <f t="shared" si="3"/>
        <v>80000</v>
      </c>
      <c r="AE25" s="18">
        <f t="shared" si="4"/>
        <v>80000</v>
      </c>
      <c r="AF25" s="18">
        <f t="shared" si="5"/>
        <v>80000</v>
      </c>
    </row>
    <row r="26" spans="1:32" ht="21.75" customHeight="1" x14ac:dyDescent="0.35">
      <c r="A26" s="8">
        <v>22</v>
      </c>
      <c r="B26" s="9" t="s">
        <v>353</v>
      </c>
      <c r="C26" s="8" t="s">
        <v>450</v>
      </c>
      <c r="D26" s="36">
        <v>2800</v>
      </c>
      <c r="E26" s="36">
        <v>2800</v>
      </c>
      <c r="F26" s="36">
        <v>2800</v>
      </c>
      <c r="G26" s="36">
        <v>2800</v>
      </c>
      <c r="H26" s="36">
        <v>2800</v>
      </c>
      <c r="I26" s="36">
        <v>2800</v>
      </c>
      <c r="J26" s="36">
        <v>2800</v>
      </c>
      <c r="K26" s="36">
        <v>2800</v>
      </c>
      <c r="L26" s="36">
        <v>2800</v>
      </c>
      <c r="M26" s="36">
        <v>2800</v>
      </c>
      <c r="N26" s="36">
        <v>2800</v>
      </c>
      <c r="O26" s="36">
        <v>2800</v>
      </c>
      <c r="P26" s="36">
        <v>2800</v>
      </c>
      <c r="Q26" s="36">
        <v>2800</v>
      </c>
      <c r="R26" s="36">
        <v>2800</v>
      </c>
      <c r="S26" s="36">
        <v>2800</v>
      </c>
      <c r="T26" s="36">
        <v>2800</v>
      </c>
      <c r="U26" s="36">
        <v>2800</v>
      </c>
      <c r="V26" s="36">
        <v>2800</v>
      </c>
      <c r="W26" s="36">
        <v>2800</v>
      </c>
      <c r="X26" s="36">
        <v>2800</v>
      </c>
      <c r="Y26" s="36">
        <v>2800</v>
      </c>
      <c r="Z26" s="36">
        <v>2800</v>
      </c>
      <c r="AA26" s="18">
        <f t="shared" si="0"/>
        <v>2800</v>
      </c>
      <c r="AB26" s="18">
        <f t="shared" si="1"/>
        <v>2800</v>
      </c>
      <c r="AC26" s="18">
        <f t="shared" si="2"/>
        <v>2800</v>
      </c>
      <c r="AD26" s="18">
        <f t="shared" si="3"/>
        <v>2800</v>
      </c>
      <c r="AE26" s="18">
        <f t="shared" si="4"/>
        <v>2800</v>
      </c>
      <c r="AF26" s="18">
        <f t="shared" si="5"/>
        <v>2800</v>
      </c>
    </row>
    <row r="27" spans="1:32" ht="15" customHeight="1" x14ac:dyDescent="0.35">
      <c r="A27" s="8">
        <v>23</v>
      </c>
      <c r="B27" s="9" t="s">
        <v>351</v>
      </c>
      <c r="C27" s="8" t="s">
        <v>403</v>
      </c>
      <c r="D27" s="36">
        <v>35000</v>
      </c>
      <c r="E27" s="36">
        <v>35000</v>
      </c>
      <c r="F27" s="36">
        <v>35000</v>
      </c>
      <c r="G27" s="36">
        <v>35000</v>
      </c>
      <c r="H27" s="36">
        <v>35000</v>
      </c>
      <c r="I27" s="36">
        <v>35000</v>
      </c>
      <c r="J27" s="36">
        <v>35000</v>
      </c>
      <c r="K27" s="36">
        <v>35000</v>
      </c>
      <c r="L27" s="36">
        <v>35000</v>
      </c>
      <c r="M27" s="36">
        <v>35000</v>
      </c>
      <c r="N27" s="36">
        <v>35000</v>
      </c>
      <c r="O27" s="36">
        <v>35000</v>
      </c>
      <c r="P27" s="36">
        <v>35000</v>
      </c>
      <c r="Q27" s="36">
        <v>35000</v>
      </c>
      <c r="R27" s="36">
        <v>35000</v>
      </c>
      <c r="S27" s="36">
        <v>35000</v>
      </c>
      <c r="T27" s="36">
        <v>35000</v>
      </c>
      <c r="U27" s="36">
        <v>35000</v>
      </c>
      <c r="V27" s="36">
        <v>35000</v>
      </c>
      <c r="W27" s="36">
        <v>35000</v>
      </c>
      <c r="X27" s="36">
        <v>32000</v>
      </c>
      <c r="Y27" s="36">
        <v>32000</v>
      </c>
      <c r="Z27" s="36">
        <v>32000</v>
      </c>
      <c r="AA27" s="18">
        <f t="shared" si="0"/>
        <v>35000</v>
      </c>
      <c r="AB27" s="18">
        <f t="shared" si="1"/>
        <v>35000</v>
      </c>
      <c r="AC27" s="18">
        <f t="shared" si="2"/>
        <v>35000</v>
      </c>
      <c r="AD27" s="18">
        <f t="shared" si="3"/>
        <v>35000</v>
      </c>
      <c r="AE27" s="18">
        <f t="shared" si="4"/>
        <v>33200</v>
      </c>
      <c r="AF27" s="18">
        <f t="shared" si="5"/>
        <v>34608.695652173912</v>
      </c>
    </row>
    <row r="28" spans="1:32" ht="15" customHeight="1" x14ac:dyDescent="0.35">
      <c r="A28" s="8">
        <v>24</v>
      </c>
      <c r="B28" s="9" t="s">
        <v>352</v>
      </c>
      <c r="C28" s="8" t="s">
        <v>403</v>
      </c>
      <c r="D28" s="36">
        <v>38000</v>
      </c>
      <c r="E28" s="36">
        <v>38000</v>
      </c>
      <c r="F28" s="36">
        <v>38000</v>
      </c>
      <c r="G28" s="36">
        <v>38000</v>
      </c>
      <c r="H28" s="36">
        <v>38000</v>
      </c>
      <c r="I28" s="36">
        <v>38000</v>
      </c>
      <c r="J28" s="36">
        <v>38000</v>
      </c>
      <c r="K28" s="36">
        <v>38000</v>
      </c>
      <c r="L28" s="36">
        <v>38000</v>
      </c>
      <c r="M28" s="36">
        <v>38000</v>
      </c>
      <c r="N28" s="36">
        <v>38000</v>
      </c>
      <c r="O28" s="36">
        <v>38000</v>
      </c>
      <c r="P28" s="36">
        <v>38000</v>
      </c>
      <c r="Q28" s="36">
        <v>38000</v>
      </c>
      <c r="R28" s="36">
        <v>38000</v>
      </c>
      <c r="S28" s="36">
        <v>38000</v>
      </c>
      <c r="T28" s="36">
        <v>38000</v>
      </c>
      <c r="U28" s="36">
        <v>38000</v>
      </c>
      <c r="V28" s="36">
        <v>38000</v>
      </c>
      <c r="W28" s="36">
        <v>38000</v>
      </c>
      <c r="X28" s="36">
        <v>38000</v>
      </c>
      <c r="Y28" s="36">
        <v>38000</v>
      </c>
      <c r="Z28" s="36">
        <v>38000</v>
      </c>
      <c r="AA28" s="18">
        <f t="shared" si="0"/>
        <v>38000</v>
      </c>
      <c r="AB28" s="18">
        <f t="shared" si="1"/>
        <v>38000</v>
      </c>
      <c r="AC28" s="18">
        <f t="shared" si="2"/>
        <v>38000</v>
      </c>
      <c r="AD28" s="18">
        <f t="shared" si="3"/>
        <v>38000</v>
      </c>
      <c r="AE28" s="18">
        <f t="shared" si="4"/>
        <v>38000</v>
      </c>
      <c r="AF28" s="18">
        <f t="shared" si="5"/>
        <v>38000</v>
      </c>
    </row>
    <row r="29" spans="1:32" ht="15" customHeight="1" x14ac:dyDescent="0.35">
      <c r="A29" s="8">
        <v>25</v>
      </c>
      <c r="B29" s="9" t="s">
        <v>407</v>
      </c>
      <c r="C29" s="8" t="s">
        <v>403</v>
      </c>
      <c r="D29" s="36">
        <v>30000</v>
      </c>
      <c r="E29" s="36">
        <v>30000</v>
      </c>
      <c r="F29" s="36">
        <v>30000</v>
      </c>
      <c r="G29" s="36">
        <v>30000</v>
      </c>
      <c r="H29" s="36">
        <v>30000</v>
      </c>
      <c r="I29" s="36">
        <v>30000</v>
      </c>
      <c r="J29" s="36">
        <v>30000</v>
      </c>
      <c r="K29" s="36">
        <v>30000</v>
      </c>
      <c r="L29" s="36">
        <v>30000</v>
      </c>
      <c r="M29" s="36">
        <v>30000</v>
      </c>
      <c r="N29" s="36">
        <v>30000</v>
      </c>
      <c r="O29" s="36">
        <v>30000</v>
      </c>
      <c r="P29" s="36">
        <v>30000</v>
      </c>
      <c r="Q29" s="36">
        <v>30000</v>
      </c>
      <c r="R29" s="36">
        <v>30000</v>
      </c>
      <c r="S29" s="36">
        <v>30000</v>
      </c>
      <c r="T29" s="36">
        <v>30000</v>
      </c>
      <c r="U29" s="36">
        <v>30000</v>
      </c>
      <c r="V29" s="36">
        <v>30000</v>
      </c>
      <c r="W29" s="36">
        <v>30000</v>
      </c>
      <c r="X29" s="36">
        <v>30000</v>
      </c>
      <c r="Y29" s="36">
        <v>30000</v>
      </c>
      <c r="Z29" s="36">
        <v>30000</v>
      </c>
      <c r="AA29" s="18">
        <f t="shared" si="0"/>
        <v>30000</v>
      </c>
      <c r="AB29" s="18">
        <f t="shared" si="1"/>
        <v>30000</v>
      </c>
      <c r="AC29" s="18">
        <f t="shared" si="2"/>
        <v>30000</v>
      </c>
      <c r="AD29" s="18">
        <f t="shared" si="3"/>
        <v>30000</v>
      </c>
      <c r="AE29" s="18">
        <f t="shared" si="4"/>
        <v>30000</v>
      </c>
      <c r="AF29" s="18">
        <f t="shared" si="5"/>
        <v>30000</v>
      </c>
    </row>
    <row r="30" spans="1:32" ht="15" customHeight="1" x14ac:dyDescent="0.35">
      <c r="A30" s="8">
        <v>26</v>
      </c>
      <c r="B30" s="9" t="s">
        <v>408</v>
      </c>
      <c r="C30" s="8" t="s">
        <v>403</v>
      </c>
      <c r="D30" s="36">
        <v>8000</v>
      </c>
      <c r="E30" s="36">
        <v>8000</v>
      </c>
      <c r="F30" s="36">
        <v>8000</v>
      </c>
      <c r="G30" s="36">
        <v>8000</v>
      </c>
      <c r="H30" s="36">
        <v>8000</v>
      </c>
      <c r="I30" s="36">
        <v>8000</v>
      </c>
      <c r="J30" s="36">
        <v>8000</v>
      </c>
      <c r="K30" s="36">
        <v>8000</v>
      </c>
      <c r="L30" s="36">
        <v>8000</v>
      </c>
      <c r="M30" s="36">
        <v>8000</v>
      </c>
      <c r="N30" s="36">
        <v>8000</v>
      </c>
      <c r="O30" s="36">
        <v>8000</v>
      </c>
      <c r="P30" s="36">
        <v>8000</v>
      </c>
      <c r="Q30" s="36">
        <v>8000</v>
      </c>
      <c r="R30" s="36">
        <v>8000</v>
      </c>
      <c r="S30" s="36">
        <v>8000</v>
      </c>
      <c r="T30" s="36">
        <v>8000</v>
      </c>
      <c r="U30" s="36">
        <v>8000</v>
      </c>
      <c r="V30" s="36">
        <v>8000</v>
      </c>
      <c r="W30" s="36">
        <v>8000</v>
      </c>
      <c r="X30" s="36">
        <v>8000</v>
      </c>
      <c r="Y30" s="36">
        <v>8000</v>
      </c>
      <c r="Z30" s="36">
        <v>8000</v>
      </c>
      <c r="AA30" s="18">
        <f t="shared" si="0"/>
        <v>8000</v>
      </c>
      <c r="AB30" s="18">
        <f t="shared" si="1"/>
        <v>8000</v>
      </c>
      <c r="AC30" s="18">
        <f t="shared" si="2"/>
        <v>8000</v>
      </c>
      <c r="AD30" s="18">
        <f t="shared" si="3"/>
        <v>8000</v>
      </c>
      <c r="AE30" s="18">
        <f t="shared" si="4"/>
        <v>8000</v>
      </c>
      <c r="AF30" s="18">
        <f t="shared" si="5"/>
        <v>8000</v>
      </c>
    </row>
    <row r="31" spans="1:32" ht="15" customHeight="1" x14ac:dyDescent="0.35">
      <c r="A31" s="8">
        <v>27</v>
      </c>
      <c r="B31" s="9" t="s">
        <v>354</v>
      </c>
      <c r="C31" s="8" t="s">
        <v>451</v>
      </c>
      <c r="D31" s="36">
        <v>10500</v>
      </c>
      <c r="E31" s="36">
        <v>10500</v>
      </c>
      <c r="F31" s="36">
        <v>10500</v>
      </c>
      <c r="G31" s="36">
        <v>10500</v>
      </c>
      <c r="H31" s="36">
        <v>10500</v>
      </c>
      <c r="I31" s="36">
        <v>10500</v>
      </c>
      <c r="J31" s="36">
        <v>10500</v>
      </c>
      <c r="K31" s="36">
        <v>10500</v>
      </c>
      <c r="L31" s="36">
        <v>10500</v>
      </c>
      <c r="M31" s="36">
        <v>10500</v>
      </c>
      <c r="N31" s="36">
        <v>10500</v>
      </c>
      <c r="O31" s="36">
        <v>10500</v>
      </c>
      <c r="P31" s="36">
        <v>10500</v>
      </c>
      <c r="Q31" s="36">
        <v>10500</v>
      </c>
      <c r="R31" s="36">
        <v>10500</v>
      </c>
      <c r="S31" s="36">
        <v>10500</v>
      </c>
      <c r="T31" s="36">
        <v>10500</v>
      </c>
      <c r="U31" s="36">
        <v>10500</v>
      </c>
      <c r="V31" s="36">
        <v>10500</v>
      </c>
      <c r="W31" s="36">
        <v>10500</v>
      </c>
      <c r="X31" s="36">
        <v>10500</v>
      </c>
      <c r="Y31" s="36">
        <v>10500</v>
      </c>
      <c r="Z31" s="36">
        <v>10500</v>
      </c>
      <c r="AA31" s="18">
        <f t="shared" si="0"/>
        <v>10500</v>
      </c>
      <c r="AB31" s="18">
        <f t="shared" si="1"/>
        <v>10500</v>
      </c>
      <c r="AC31" s="18">
        <f t="shared" si="2"/>
        <v>10500</v>
      </c>
      <c r="AD31" s="18">
        <f t="shared" si="3"/>
        <v>10500</v>
      </c>
      <c r="AE31" s="18">
        <f t="shared" si="4"/>
        <v>10500</v>
      </c>
      <c r="AF31" s="18">
        <f t="shared" si="5"/>
        <v>10500</v>
      </c>
    </row>
    <row r="32" spans="1:32" ht="15" customHeight="1" x14ac:dyDescent="0.35">
      <c r="A32" s="8">
        <v>28</v>
      </c>
      <c r="B32" s="9" t="s">
        <v>348</v>
      </c>
      <c r="C32" s="8" t="s">
        <v>452</v>
      </c>
      <c r="D32" s="36">
        <v>42000</v>
      </c>
      <c r="E32" s="36">
        <v>42000</v>
      </c>
      <c r="F32" s="36">
        <v>42000</v>
      </c>
      <c r="G32" s="36">
        <v>42000</v>
      </c>
      <c r="H32" s="36">
        <v>42000</v>
      </c>
      <c r="I32" s="36">
        <v>42000</v>
      </c>
      <c r="J32" s="36">
        <v>42000</v>
      </c>
      <c r="K32" s="36">
        <v>42000</v>
      </c>
      <c r="L32" s="36">
        <v>42000</v>
      </c>
      <c r="M32" s="36">
        <v>42000</v>
      </c>
      <c r="N32" s="36">
        <v>42000</v>
      </c>
      <c r="O32" s="36">
        <v>42000</v>
      </c>
      <c r="P32" s="36">
        <v>42000</v>
      </c>
      <c r="Q32" s="36">
        <v>42000</v>
      </c>
      <c r="R32" s="36">
        <v>42000</v>
      </c>
      <c r="S32" s="36">
        <v>42000</v>
      </c>
      <c r="T32" s="36">
        <v>42000</v>
      </c>
      <c r="U32" s="36">
        <v>42000</v>
      </c>
      <c r="V32" s="36">
        <v>42000</v>
      </c>
      <c r="W32" s="36">
        <v>42000</v>
      </c>
      <c r="X32" s="36">
        <v>42000</v>
      </c>
      <c r="Y32" s="36">
        <v>42000</v>
      </c>
      <c r="Z32" s="36">
        <v>42000</v>
      </c>
      <c r="AA32" s="18">
        <f t="shared" si="0"/>
        <v>42000</v>
      </c>
      <c r="AB32" s="18">
        <f t="shared" si="1"/>
        <v>42000</v>
      </c>
      <c r="AC32" s="18">
        <f t="shared" si="2"/>
        <v>42000</v>
      </c>
      <c r="AD32" s="18">
        <f t="shared" si="3"/>
        <v>42000</v>
      </c>
      <c r="AE32" s="18">
        <f t="shared" si="4"/>
        <v>42000</v>
      </c>
      <c r="AF32" s="18">
        <f t="shared" si="5"/>
        <v>42000</v>
      </c>
    </row>
    <row r="33" spans="1:32" ht="15" customHeight="1" x14ac:dyDescent="0.35">
      <c r="A33" s="8">
        <v>29</v>
      </c>
      <c r="B33" s="9" t="s">
        <v>361</v>
      </c>
      <c r="C33" s="8" t="s">
        <v>403</v>
      </c>
      <c r="D33" s="36">
        <v>11000</v>
      </c>
      <c r="E33" s="36">
        <v>11000</v>
      </c>
      <c r="F33" s="36">
        <v>11000</v>
      </c>
      <c r="G33" s="36">
        <v>11000</v>
      </c>
      <c r="H33" s="36">
        <v>11000</v>
      </c>
      <c r="I33" s="36">
        <v>11000</v>
      </c>
      <c r="J33" s="36">
        <v>11000</v>
      </c>
      <c r="K33" s="36">
        <v>11000</v>
      </c>
      <c r="L33" s="36">
        <v>11000</v>
      </c>
      <c r="M33" s="36">
        <v>11000</v>
      </c>
      <c r="N33" s="36">
        <v>11000</v>
      </c>
      <c r="O33" s="36">
        <v>11000</v>
      </c>
      <c r="P33" s="36">
        <v>11000</v>
      </c>
      <c r="Q33" s="36">
        <v>11000</v>
      </c>
      <c r="R33" s="36">
        <v>11000</v>
      </c>
      <c r="S33" s="36">
        <v>11000</v>
      </c>
      <c r="T33" s="36">
        <v>11000</v>
      </c>
      <c r="U33" s="36">
        <v>11000</v>
      </c>
      <c r="V33" s="36">
        <v>11000</v>
      </c>
      <c r="W33" s="36">
        <v>11000</v>
      </c>
      <c r="X33" s="36">
        <v>11000</v>
      </c>
      <c r="Y33" s="36">
        <v>11000</v>
      </c>
      <c r="Z33" s="36">
        <v>11000</v>
      </c>
      <c r="AA33" s="18">
        <f t="shared" si="0"/>
        <v>11000</v>
      </c>
      <c r="AB33" s="18">
        <f t="shared" si="1"/>
        <v>11000</v>
      </c>
      <c r="AC33" s="18">
        <f t="shared" si="2"/>
        <v>11000</v>
      </c>
      <c r="AD33" s="18">
        <f t="shared" si="3"/>
        <v>11000</v>
      </c>
      <c r="AE33" s="18">
        <f t="shared" si="4"/>
        <v>11000</v>
      </c>
      <c r="AF33" s="18">
        <f t="shared" si="5"/>
        <v>11000</v>
      </c>
    </row>
    <row r="34" spans="1:32" ht="15" customHeight="1" x14ac:dyDescent="0.35">
      <c r="A34" s="8">
        <v>30</v>
      </c>
      <c r="B34" s="9" t="s">
        <v>334</v>
      </c>
      <c r="C34" s="8" t="s">
        <v>403</v>
      </c>
      <c r="D34" s="36">
        <v>6000</v>
      </c>
      <c r="E34" s="36">
        <v>6000</v>
      </c>
      <c r="F34" s="36">
        <v>6000</v>
      </c>
      <c r="G34" s="36">
        <v>6000</v>
      </c>
      <c r="H34" s="36">
        <v>6000</v>
      </c>
      <c r="I34" s="36">
        <v>6000</v>
      </c>
      <c r="J34" s="36">
        <v>6000</v>
      </c>
      <c r="K34" s="36">
        <v>6000</v>
      </c>
      <c r="L34" s="36">
        <v>6000</v>
      </c>
      <c r="M34" s="36">
        <v>6000</v>
      </c>
      <c r="N34" s="36">
        <v>6000</v>
      </c>
      <c r="O34" s="36">
        <v>6000</v>
      </c>
      <c r="P34" s="36">
        <v>6000</v>
      </c>
      <c r="Q34" s="36">
        <v>6000</v>
      </c>
      <c r="R34" s="36">
        <v>6000</v>
      </c>
      <c r="S34" s="36">
        <v>6000</v>
      </c>
      <c r="T34" s="36">
        <v>6000</v>
      </c>
      <c r="U34" s="36">
        <v>6000</v>
      </c>
      <c r="V34" s="36">
        <v>6000</v>
      </c>
      <c r="W34" s="36">
        <v>6000</v>
      </c>
      <c r="X34" s="36">
        <v>6000</v>
      </c>
      <c r="Y34" s="36">
        <v>6000</v>
      </c>
      <c r="Z34" s="36">
        <v>6000</v>
      </c>
      <c r="AA34" s="18">
        <f t="shared" si="0"/>
        <v>6000</v>
      </c>
      <c r="AB34" s="18">
        <f t="shared" si="1"/>
        <v>6000</v>
      </c>
      <c r="AC34" s="18">
        <f t="shared" si="2"/>
        <v>6000</v>
      </c>
      <c r="AD34" s="18">
        <f t="shared" si="3"/>
        <v>6000</v>
      </c>
      <c r="AE34" s="18">
        <f t="shared" si="4"/>
        <v>6000</v>
      </c>
      <c r="AF34" s="18">
        <f t="shared" si="5"/>
        <v>6000</v>
      </c>
    </row>
    <row r="35" spans="1:32" ht="15" customHeight="1" x14ac:dyDescent="0.35">
      <c r="A35" s="8">
        <v>31</v>
      </c>
      <c r="B35" s="9" t="s">
        <v>339</v>
      </c>
      <c r="C35" s="8" t="s">
        <v>403</v>
      </c>
      <c r="D35" s="36">
        <v>70000</v>
      </c>
      <c r="E35" s="36">
        <v>70000</v>
      </c>
      <c r="F35" s="36">
        <v>70000</v>
      </c>
      <c r="G35" s="36">
        <v>70000</v>
      </c>
      <c r="H35" s="36">
        <v>70000</v>
      </c>
      <c r="I35" s="36">
        <v>70000</v>
      </c>
      <c r="J35" s="36">
        <v>70000</v>
      </c>
      <c r="K35" s="36">
        <v>70000</v>
      </c>
      <c r="L35" s="36">
        <v>70000</v>
      </c>
      <c r="M35" s="36">
        <v>70000</v>
      </c>
      <c r="N35" s="36">
        <v>70000</v>
      </c>
      <c r="O35" s="36">
        <v>70000</v>
      </c>
      <c r="P35" s="36">
        <v>70000</v>
      </c>
      <c r="Q35" s="36">
        <v>70000</v>
      </c>
      <c r="R35" s="36">
        <v>70000</v>
      </c>
      <c r="S35" s="36">
        <v>70000</v>
      </c>
      <c r="T35" s="36">
        <v>70000</v>
      </c>
      <c r="U35" s="36">
        <v>70000</v>
      </c>
      <c r="V35" s="36">
        <v>70000</v>
      </c>
      <c r="W35" s="36">
        <v>70000</v>
      </c>
      <c r="X35" s="36">
        <v>70000</v>
      </c>
      <c r="Y35" s="36">
        <v>70000</v>
      </c>
      <c r="Z35" s="36">
        <v>70000</v>
      </c>
      <c r="AA35" s="18">
        <f t="shared" si="0"/>
        <v>70000</v>
      </c>
      <c r="AB35" s="18">
        <f t="shared" si="1"/>
        <v>70000</v>
      </c>
      <c r="AC35" s="18">
        <f t="shared" si="2"/>
        <v>70000</v>
      </c>
      <c r="AD35" s="18">
        <f t="shared" si="3"/>
        <v>70000</v>
      </c>
      <c r="AE35" s="18">
        <f t="shared" si="4"/>
        <v>70000</v>
      </c>
      <c r="AF35" s="18">
        <f t="shared" si="5"/>
        <v>70000</v>
      </c>
    </row>
    <row r="36" spans="1:32" ht="15" customHeight="1" x14ac:dyDescent="0.35">
      <c r="A36" s="8">
        <v>32</v>
      </c>
      <c r="B36" s="9" t="s">
        <v>341</v>
      </c>
      <c r="C36" s="8" t="s">
        <v>403</v>
      </c>
      <c r="D36" s="36">
        <v>12000</v>
      </c>
      <c r="E36" s="36">
        <v>12000</v>
      </c>
      <c r="F36" s="36">
        <v>12000</v>
      </c>
      <c r="G36" s="36">
        <v>12000</v>
      </c>
      <c r="H36" s="36">
        <v>12000</v>
      </c>
      <c r="I36" s="36">
        <v>12000</v>
      </c>
      <c r="J36" s="36">
        <v>12000</v>
      </c>
      <c r="K36" s="36">
        <v>12000</v>
      </c>
      <c r="L36" s="36">
        <v>12000</v>
      </c>
      <c r="M36" s="36">
        <v>12000</v>
      </c>
      <c r="N36" s="36">
        <v>12000</v>
      </c>
      <c r="O36" s="36">
        <v>12000</v>
      </c>
      <c r="P36" s="36">
        <v>12000</v>
      </c>
      <c r="Q36" s="36">
        <v>12000</v>
      </c>
      <c r="R36" s="36">
        <v>12000</v>
      </c>
      <c r="S36" s="36">
        <v>12000</v>
      </c>
      <c r="T36" s="36">
        <v>12000</v>
      </c>
      <c r="U36" s="36">
        <v>12000</v>
      </c>
      <c r="V36" s="36">
        <v>12000</v>
      </c>
      <c r="W36" s="36">
        <v>12000</v>
      </c>
      <c r="X36" s="36">
        <v>12000</v>
      </c>
      <c r="Y36" s="36">
        <v>12000</v>
      </c>
      <c r="Z36" s="36">
        <v>12000</v>
      </c>
      <c r="AA36" s="18">
        <f t="shared" si="0"/>
        <v>12000</v>
      </c>
      <c r="AB36" s="18">
        <f t="shared" si="1"/>
        <v>12000</v>
      </c>
      <c r="AC36" s="18">
        <f t="shared" si="2"/>
        <v>12000</v>
      </c>
      <c r="AD36" s="18">
        <f t="shared" si="3"/>
        <v>12000</v>
      </c>
      <c r="AE36" s="18">
        <f t="shared" si="4"/>
        <v>12000</v>
      </c>
      <c r="AF36" s="18">
        <f t="shared" si="5"/>
        <v>12000</v>
      </c>
    </row>
    <row r="37" spans="1:32" ht="15" customHeight="1" x14ac:dyDescent="0.35">
      <c r="A37" s="8">
        <v>33</v>
      </c>
      <c r="B37" s="9" t="s">
        <v>362</v>
      </c>
      <c r="C37" s="8" t="s">
        <v>403</v>
      </c>
      <c r="D37" s="36">
        <v>8000</v>
      </c>
      <c r="E37" s="36">
        <v>8000</v>
      </c>
      <c r="F37" s="36">
        <v>8000</v>
      </c>
      <c r="G37" s="36">
        <v>8000</v>
      </c>
      <c r="H37" s="36">
        <v>8000</v>
      </c>
      <c r="I37" s="36">
        <v>8000</v>
      </c>
      <c r="J37" s="36">
        <v>8000</v>
      </c>
      <c r="K37" s="36">
        <v>8000</v>
      </c>
      <c r="L37" s="36">
        <v>8000</v>
      </c>
      <c r="M37" s="36">
        <v>8000</v>
      </c>
      <c r="N37" s="36">
        <v>8000</v>
      </c>
      <c r="O37" s="36">
        <v>8000</v>
      </c>
      <c r="P37" s="36">
        <v>8000</v>
      </c>
      <c r="Q37" s="36">
        <v>8000</v>
      </c>
      <c r="R37" s="36">
        <v>8000</v>
      </c>
      <c r="S37" s="36">
        <v>8000</v>
      </c>
      <c r="T37" s="36">
        <v>8000</v>
      </c>
      <c r="U37" s="36">
        <v>8000</v>
      </c>
      <c r="V37" s="36">
        <v>8000</v>
      </c>
      <c r="W37" s="36">
        <v>8000</v>
      </c>
      <c r="X37" s="36">
        <v>8000</v>
      </c>
      <c r="Y37" s="36">
        <v>8000</v>
      </c>
      <c r="Z37" s="36">
        <v>8000</v>
      </c>
      <c r="AA37" s="18">
        <f t="shared" si="0"/>
        <v>8000</v>
      </c>
      <c r="AB37" s="18">
        <f t="shared" si="1"/>
        <v>8000</v>
      </c>
      <c r="AC37" s="18">
        <f t="shared" si="2"/>
        <v>8000</v>
      </c>
      <c r="AD37" s="18">
        <f t="shared" si="3"/>
        <v>8000</v>
      </c>
      <c r="AE37" s="18">
        <f t="shared" si="4"/>
        <v>8000</v>
      </c>
      <c r="AF37" s="18">
        <f t="shared" si="5"/>
        <v>8000</v>
      </c>
    </row>
    <row r="38" spans="1:32" ht="15" customHeight="1" x14ac:dyDescent="0.35">
      <c r="A38" s="8">
        <v>34</v>
      </c>
      <c r="B38" s="9" t="s">
        <v>409</v>
      </c>
      <c r="C38" s="8" t="s">
        <v>403</v>
      </c>
      <c r="D38" s="36">
        <v>8000</v>
      </c>
      <c r="E38" s="36">
        <v>8000</v>
      </c>
      <c r="F38" s="36">
        <v>8000</v>
      </c>
      <c r="G38" s="36">
        <v>8000</v>
      </c>
      <c r="H38" s="36">
        <v>8000</v>
      </c>
      <c r="I38" s="36">
        <v>8000</v>
      </c>
      <c r="J38" s="36">
        <v>8000</v>
      </c>
      <c r="K38" s="36">
        <v>8000</v>
      </c>
      <c r="L38" s="36">
        <v>8000</v>
      </c>
      <c r="M38" s="36">
        <v>8000</v>
      </c>
      <c r="N38" s="36">
        <v>8000</v>
      </c>
      <c r="O38" s="36">
        <v>8000</v>
      </c>
      <c r="P38" s="36">
        <v>8000</v>
      </c>
      <c r="Q38" s="36">
        <v>8000</v>
      </c>
      <c r="R38" s="36">
        <v>8000</v>
      </c>
      <c r="S38" s="36">
        <v>8000</v>
      </c>
      <c r="T38" s="36">
        <v>8000</v>
      </c>
      <c r="U38" s="36">
        <v>8000</v>
      </c>
      <c r="V38" s="36">
        <v>8000</v>
      </c>
      <c r="W38" s="36">
        <v>8000</v>
      </c>
      <c r="X38" s="36">
        <v>8000</v>
      </c>
      <c r="Y38" s="36">
        <v>8000</v>
      </c>
      <c r="Z38" s="36">
        <v>8000</v>
      </c>
      <c r="AA38" s="18">
        <f t="shared" si="0"/>
        <v>8000</v>
      </c>
      <c r="AB38" s="18">
        <f t="shared" si="1"/>
        <v>8000</v>
      </c>
      <c r="AC38" s="18">
        <f t="shared" si="2"/>
        <v>8000</v>
      </c>
      <c r="AD38" s="18">
        <f t="shared" si="3"/>
        <v>8000</v>
      </c>
      <c r="AE38" s="18">
        <f t="shared" si="4"/>
        <v>8000</v>
      </c>
      <c r="AF38" s="18">
        <f t="shared" si="5"/>
        <v>8000</v>
      </c>
    </row>
    <row r="39" spans="1:32" ht="15" customHeight="1" x14ac:dyDescent="0.35">
      <c r="A39" s="8">
        <v>35</v>
      </c>
      <c r="B39" s="9" t="s">
        <v>410</v>
      </c>
      <c r="C39" s="8" t="s">
        <v>403</v>
      </c>
      <c r="D39" s="36">
        <v>15000</v>
      </c>
      <c r="E39" s="36">
        <v>15000</v>
      </c>
      <c r="F39" s="36">
        <v>15000</v>
      </c>
      <c r="G39" s="36">
        <v>15000</v>
      </c>
      <c r="H39" s="36">
        <v>15000</v>
      </c>
      <c r="I39" s="36">
        <v>15000</v>
      </c>
      <c r="J39" s="36">
        <v>15000</v>
      </c>
      <c r="K39" s="36">
        <v>15000</v>
      </c>
      <c r="L39" s="36">
        <v>15000</v>
      </c>
      <c r="M39" s="36">
        <v>15000</v>
      </c>
      <c r="N39" s="36">
        <v>15000</v>
      </c>
      <c r="O39" s="36">
        <v>15000</v>
      </c>
      <c r="P39" s="36">
        <v>15000</v>
      </c>
      <c r="Q39" s="36">
        <v>15000</v>
      </c>
      <c r="R39" s="36">
        <v>15000</v>
      </c>
      <c r="S39" s="36">
        <v>15000</v>
      </c>
      <c r="T39" s="36">
        <v>15000</v>
      </c>
      <c r="U39" s="36">
        <v>15000</v>
      </c>
      <c r="V39" s="36">
        <v>15000</v>
      </c>
      <c r="W39" s="36">
        <v>15000</v>
      </c>
      <c r="X39" s="36">
        <v>15000</v>
      </c>
      <c r="Y39" s="36">
        <v>15000</v>
      </c>
      <c r="Z39" s="36">
        <v>15000</v>
      </c>
      <c r="AA39" s="18">
        <f t="shared" si="0"/>
        <v>15000</v>
      </c>
      <c r="AB39" s="18">
        <f t="shared" si="1"/>
        <v>15000</v>
      </c>
      <c r="AC39" s="18">
        <f t="shared" si="2"/>
        <v>15000</v>
      </c>
      <c r="AD39" s="18">
        <f t="shared" si="3"/>
        <v>15000</v>
      </c>
      <c r="AE39" s="18">
        <f t="shared" si="4"/>
        <v>15000</v>
      </c>
      <c r="AF39" s="18">
        <f t="shared" si="5"/>
        <v>15000</v>
      </c>
    </row>
    <row r="40" spans="1:32" ht="15" customHeight="1" x14ac:dyDescent="0.35">
      <c r="A40" s="8">
        <v>36</v>
      </c>
      <c r="B40" s="9" t="s">
        <v>411</v>
      </c>
      <c r="C40" s="8" t="s">
        <v>403</v>
      </c>
      <c r="D40" s="36">
        <v>10000</v>
      </c>
      <c r="E40" s="36">
        <v>10000</v>
      </c>
      <c r="F40" s="36">
        <v>10000</v>
      </c>
      <c r="G40" s="36">
        <v>10000</v>
      </c>
      <c r="H40" s="36">
        <v>10000</v>
      </c>
      <c r="I40" s="36">
        <v>10000</v>
      </c>
      <c r="J40" s="36">
        <v>10000</v>
      </c>
      <c r="K40" s="36">
        <v>10000</v>
      </c>
      <c r="L40" s="36">
        <v>10000</v>
      </c>
      <c r="M40" s="36">
        <v>10000</v>
      </c>
      <c r="N40" s="36">
        <v>10000</v>
      </c>
      <c r="O40" s="36">
        <v>10000</v>
      </c>
      <c r="P40" s="36">
        <v>10000</v>
      </c>
      <c r="Q40" s="36">
        <v>10000</v>
      </c>
      <c r="R40" s="36">
        <v>10000</v>
      </c>
      <c r="S40" s="36">
        <v>10000</v>
      </c>
      <c r="T40" s="36">
        <v>10000</v>
      </c>
      <c r="U40" s="36">
        <v>10000</v>
      </c>
      <c r="V40" s="36">
        <v>10000</v>
      </c>
      <c r="W40" s="36">
        <v>10000</v>
      </c>
      <c r="X40" s="36">
        <v>10000</v>
      </c>
      <c r="Y40" s="36">
        <v>10000</v>
      </c>
      <c r="Z40" s="36">
        <v>10000</v>
      </c>
      <c r="AA40" s="18">
        <f t="shared" si="0"/>
        <v>10000</v>
      </c>
      <c r="AB40" s="18">
        <f t="shared" si="1"/>
        <v>10000</v>
      </c>
      <c r="AC40" s="18">
        <f t="shared" si="2"/>
        <v>10000</v>
      </c>
      <c r="AD40" s="18">
        <f t="shared" si="3"/>
        <v>10000</v>
      </c>
      <c r="AE40" s="18">
        <f t="shared" si="4"/>
        <v>10000</v>
      </c>
      <c r="AF40" s="18">
        <f t="shared" si="5"/>
        <v>10000</v>
      </c>
    </row>
    <row r="41" spans="1:32" ht="15" customHeight="1" x14ac:dyDescent="0.35">
      <c r="A41" s="8">
        <v>37</v>
      </c>
      <c r="B41" s="9" t="s">
        <v>412</v>
      </c>
      <c r="C41" s="8" t="s">
        <v>403</v>
      </c>
      <c r="D41" s="36">
        <v>5000</v>
      </c>
      <c r="E41" s="36">
        <v>5000</v>
      </c>
      <c r="F41" s="36">
        <v>5000</v>
      </c>
      <c r="G41" s="36">
        <v>5000</v>
      </c>
      <c r="H41" s="36">
        <v>5000</v>
      </c>
      <c r="I41" s="36">
        <v>5000</v>
      </c>
      <c r="J41" s="36">
        <v>5000</v>
      </c>
      <c r="K41" s="36">
        <v>5000</v>
      </c>
      <c r="L41" s="36">
        <v>5000</v>
      </c>
      <c r="M41" s="36">
        <v>5000</v>
      </c>
      <c r="N41" s="36">
        <v>5000</v>
      </c>
      <c r="O41" s="36">
        <v>5000</v>
      </c>
      <c r="P41" s="36">
        <v>5000</v>
      </c>
      <c r="Q41" s="36">
        <v>5000</v>
      </c>
      <c r="R41" s="36">
        <v>5000</v>
      </c>
      <c r="S41" s="36">
        <v>5000</v>
      </c>
      <c r="T41" s="36">
        <v>5000</v>
      </c>
      <c r="U41" s="36">
        <v>5000</v>
      </c>
      <c r="V41" s="36">
        <v>5000</v>
      </c>
      <c r="W41" s="36">
        <v>5000</v>
      </c>
      <c r="X41" s="36">
        <v>5000</v>
      </c>
      <c r="Y41" s="36">
        <v>5000</v>
      </c>
      <c r="Z41" s="36">
        <v>5000</v>
      </c>
      <c r="AA41" s="18">
        <f t="shared" si="0"/>
        <v>5000</v>
      </c>
      <c r="AB41" s="18">
        <f t="shared" si="1"/>
        <v>5000</v>
      </c>
      <c r="AC41" s="18">
        <f t="shared" si="2"/>
        <v>5000</v>
      </c>
      <c r="AD41" s="18">
        <f t="shared" si="3"/>
        <v>5000</v>
      </c>
      <c r="AE41" s="18">
        <f t="shared" si="4"/>
        <v>5000</v>
      </c>
      <c r="AF41" s="18">
        <f t="shared" si="5"/>
        <v>5000</v>
      </c>
    </row>
    <row r="42" spans="1:32" ht="15" customHeight="1" x14ac:dyDescent="0.35">
      <c r="A42" s="8">
        <v>38</v>
      </c>
      <c r="B42" s="9" t="s">
        <v>413</v>
      </c>
      <c r="C42" s="8" t="s">
        <v>403</v>
      </c>
      <c r="D42" s="36">
        <v>5000</v>
      </c>
      <c r="E42" s="36">
        <v>5000</v>
      </c>
      <c r="F42" s="36">
        <v>5000</v>
      </c>
      <c r="G42" s="36">
        <v>5000</v>
      </c>
      <c r="H42" s="36">
        <v>5000</v>
      </c>
      <c r="I42" s="36">
        <v>5000</v>
      </c>
      <c r="J42" s="36">
        <v>5000</v>
      </c>
      <c r="K42" s="36">
        <v>5000</v>
      </c>
      <c r="L42" s="36">
        <v>5000</v>
      </c>
      <c r="M42" s="36">
        <v>5000</v>
      </c>
      <c r="N42" s="36">
        <v>5000</v>
      </c>
      <c r="O42" s="36">
        <v>5000</v>
      </c>
      <c r="P42" s="36">
        <v>5000</v>
      </c>
      <c r="Q42" s="36">
        <v>5000</v>
      </c>
      <c r="R42" s="36">
        <v>5000</v>
      </c>
      <c r="S42" s="36">
        <v>5000</v>
      </c>
      <c r="T42" s="36">
        <v>5000</v>
      </c>
      <c r="U42" s="36">
        <v>7000</v>
      </c>
      <c r="V42" s="36">
        <v>7000</v>
      </c>
      <c r="W42" s="36">
        <v>7000</v>
      </c>
      <c r="X42" s="36">
        <v>7000</v>
      </c>
      <c r="Y42" s="36">
        <v>7000</v>
      </c>
      <c r="Z42" s="36">
        <v>7000</v>
      </c>
      <c r="AA42" s="18">
        <f t="shared" si="0"/>
        <v>5000</v>
      </c>
      <c r="AB42" s="18">
        <f t="shared" si="1"/>
        <v>5000</v>
      </c>
      <c r="AC42" s="18">
        <f t="shared" si="2"/>
        <v>5000</v>
      </c>
      <c r="AD42" s="18">
        <f t="shared" si="3"/>
        <v>5400</v>
      </c>
      <c r="AE42" s="18">
        <f t="shared" si="4"/>
        <v>7000</v>
      </c>
      <c r="AF42" s="18">
        <f t="shared" si="5"/>
        <v>5521.739130434783</v>
      </c>
    </row>
    <row r="43" spans="1:32" ht="15" customHeight="1" x14ac:dyDescent="0.35">
      <c r="A43" s="8">
        <v>39</v>
      </c>
      <c r="B43" s="9" t="s">
        <v>414</v>
      </c>
      <c r="C43" s="8" t="s">
        <v>403</v>
      </c>
      <c r="D43" s="36">
        <v>6000</v>
      </c>
      <c r="E43" s="36">
        <v>6000</v>
      </c>
      <c r="F43" s="36">
        <v>6000</v>
      </c>
      <c r="G43" s="36">
        <v>6000</v>
      </c>
      <c r="H43" s="36">
        <v>6000</v>
      </c>
      <c r="I43" s="36">
        <v>6000</v>
      </c>
      <c r="J43" s="36">
        <v>6000</v>
      </c>
      <c r="K43" s="36">
        <v>6000</v>
      </c>
      <c r="L43" s="36">
        <v>6000</v>
      </c>
      <c r="M43" s="36">
        <v>6000</v>
      </c>
      <c r="N43" s="36">
        <v>6000</v>
      </c>
      <c r="O43" s="36">
        <v>6000</v>
      </c>
      <c r="P43" s="36">
        <v>6000</v>
      </c>
      <c r="Q43" s="36">
        <v>6000</v>
      </c>
      <c r="R43" s="36">
        <v>6000</v>
      </c>
      <c r="S43" s="36">
        <v>6000</v>
      </c>
      <c r="T43" s="36">
        <v>6000</v>
      </c>
      <c r="U43" s="36">
        <v>6000</v>
      </c>
      <c r="V43" s="36">
        <v>6000</v>
      </c>
      <c r="W43" s="36">
        <v>6000</v>
      </c>
      <c r="X43" s="36">
        <v>6000</v>
      </c>
      <c r="Y43" s="36">
        <v>6000</v>
      </c>
      <c r="Z43" s="36">
        <v>6000</v>
      </c>
      <c r="AA43" s="18">
        <f t="shared" si="0"/>
        <v>6000</v>
      </c>
      <c r="AB43" s="18">
        <f t="shared" si="1"/>
        <v>6000</v>
      </c>
      <c r="AC43" s="18">
        <f t="shared" si="2"/>
        <v>6000</v>
      </c>
      <c r="AD43" s="18">
        <f t="shared" si="3"/>
        <v>6000</v>
      </c>
      <c r="AE43" s="18">
        <f t="shared" si="4"/>
        <v>6000</v>
      </c>
      <c r="AF43" s="18">
        <f t="shared" si="5"/>
        <v>6000</v>
      </c>
    </row>
    <row r="44" spans="1:32" ht="15" customHeight="1" x14ac:dyDescent="0.35">
      <c r="A44" s="8">
        <v>40</v>
      </c>
      <c r="B44" s="9" t="s">
        <v>415</v>
      </c>
      <c r="C44" s="8" t="s">
        <v>403</v>
      </c>
      <c r="D44" s="36">
        <v>5000</v>
      </c>
      <c r="E44" s="36">
        <v>5000</v>
      </c>
      <c r="F44" s="36">
        <v>5000</v>
      </c>
      <c r="G44" s="36">
        <v>5000</v>
      </c>
      <c r="H44" s="36">
        <v>5000</v>
      </c>
      <c r="I44" s="36">
        <v>5000</v>
      </c>
      <c r="J44" s="36">
        <v>5000</v>
      </c>
      <c r="K44" s="36">
        <v>5000</v>
      </c>
      <c r="L44" s="36">
        <v>5000</v>
      </c>
      <c r="M44" s="36">
        <v>5000</v>
      </c>
      <c r="N44" s="36">
        <v>5000</v>
      </c>
      <c r="O44" s="36">
        <v>5000</v>
      </c>
      <c r="P44" s="36">
        <v>5000</v>
      </c>
      <c r="Q44" s="36">
        <v>5000</v>
      </c>
      <c r="R44" s="36">
        <v>5000</v>
      </c>
      <c r="S44" s="36">
        <v>5000</v>
      </c>
      <c r="T44" s="36">
        <v>5000</v>
      </c>
      <c r="U44" s="36">
        <v>5000</v>
      </c>
      <c r="V44" s="36">
        <v>5000</v>
      </c>
      <c r="W44" s="36">
        <v>5000</v>
      </c>
      <c r="X44" s="36">
        <v>5000</v>
      </c>
      <c r="Y44" s="36">
        <v>5000</v>
      </c>
      <c r="Z44" s="36">
        <v>5000</v>
      </c>
      <c r="AA44" s="18">
        <f t="shared" si="0"/>
        <v>5000</v>
      </c>
      <c r="AB44" s="18">
        <f t="shared" si="1"/>
        <v>5000</v>
      </c>
      <c r="AC44" s="18">
        <f t="shared" si="2"/>
        <v>5000</v>
      </c>
      <c r="AD44" s="18">
        <f t="shared" si="3"/>
        <v>5000</v>
      </c>
      <c r="AE44" s="18">
        <f t="shared" si="4"/>
        <v>5000</v>
      </c>
      <c r="AF44" s="18">
        <f t="shared" si="5"/>
        <v>5000</v>
      </c>
    </row>
    <row r="45" spans="1:32" ht="15" customHeight="1" x14ac:dyDescent="0.35">
      <c r="A45" s="8">
        <v>41</v>
      </c>
      <c r="B45" s="9" t="s">
        <v>416</v>
      </c>
      <c r="C45" s="8" t="s">
        <v>453</v>
      </c>
      <c r="D45" s="36">
        <v>65000</v>
      </c>
      <c r="E45" s="36">
        <v>65000</v>
      </c>
      <c r="F45" s="36">
        <v>65000</v>
      </c>
      <c r="G45" s="36">
        <v>65000</v>
      </c>
      <c r="H45" s="36">
        <v>65000</v>
      </c>
      <c r="I45" s="36">
        <v>65000</v>
      </c>
      <c r="J45" s="36">
        <v>65000</v>
      </c>
      <c r="K45" s="36">
        <v>65000</v>
      </c>
      <c r="L45" s="36">
        <v>65000</v>
      </c>
      <c r="M45" s="36">
        <v>65000</v>
      </c>
      <c r="N45" s="36">
        <v>65000</v>
      </c>
      <c r="O45" s="36">
        <v>65000</v>
      </c>
      <c r="P45" s="36">
        <v>65000</v>
      </c>
      <c r="Q45" s="36">
        <v>65000</v>
      </c>
      <c r="R45" s="36">
        <v>65000</v>
      </c>
      <c r="S45" s="36">
        <v>65000</v>
      </c>
      <c r="T45" s="36">
        <v>65000</v>
      </c>
      <c r="U45" s="36">
        <v>65000</v>
      </c>
      <c r="V45" s="36">
        <v>65000</v>
      </c>
      <c r="W45" s="36">
        <v>65000</v>
      </c>
      <c r="X45" s="36">
        <v>65000</v>
      </c>
      <c r="Y45" s="36">
        <v>65000</v>
      </c>
      <c r="Z45" s="36">
        <v>65000</v>
      </c>
      <c r="AA45" s="18">
        <f t="shared" si="0"/>
        <v>65000</v>
      </c>
      <c r="AB45" s="18">
        <f t="shared" si="1"/>
        <v>65000</v>
      </c>
      <c r="AC45" s="18">
        <f t="shared" si="2"/>
        <v>65000</v>
      </c>
      <c r="AD45" s="18">
        <f t="shared" si="3"/>
        <v>65000</v>
      </c>
      <c r="AE45" s="18">
        <f t="shared" si="4"/>
        <v>65000</v>
      </c>
      <c r="AF45" s="18">
        <f t="shared" si="5"/>
        <v>65000</v>
      </c>
    </row>
    <row r="46" spans="1:32" ht="15" customHeight="1" x14ac:dyDescent="0.35">
      <c r="A46" s="8">
        <v>42</v>
      </c>
      <c r="B46" s="9" t="s">
        <v>417</v>
      </c>
      <c r="C46" s="8" t="s">
        <v>403</v>
      </c>
      <c r="D46" s="36">
        <v>40000</v>
      </c>
      <c r="E46" s="36">
        <v>40000</v>
      </c>
      <c r="F46" s="36">
        <v>40000</v>
      </c>
      <c r="G46" s="36">
        <v>40000</v>
      </c>
      <c r="H46" s="36">
        <v>40000</v>
      </c>
      <c r="I46" s="36">
        <v>40000</v>
      </c>
      <c r="J46" s="36">
        <v>40000</v>
      </c>
      <c r="K46" s="36">
        <v>40000</v>
      </c>
      <c r="L46" s="36">
        <v>40000</v>
      </c>
      <c r="M46" s="36">
        <v>40000</v>
      </c>
      <c r="N46" s="36">
        <v>40000</v>
      </c>
      <c r="O46" s="36">
        <v>40000</v>
      </c>
      <c r="P46" s="36">
        <v>40000</v>
      </c>
      <c r="Q46" s="36">
        <v>40000</v>
      </c>
      <c r="R46" s="36">
        <v>40000</v>
      </c>
      <c r="S46" s="36">
        <v>40000</v>
      </c>
      <c r="T46" s="36">
        <v>40000</v>
      </c>
      <c r="U46" s="36">
        <v>40000</v>
      </c>
      <c r="V46" s="36">
        <v>40000</v>
      </c>
      <c r="W46" s="36">
        <v>40000</v>
      </c>
      <c r="X46" s="36">
        <v>40000</v>
      </c>
      <c r="Y46" s="36">
        <v>40000</v>
      </c>
      <c r="Z46" s="36">
        <v>40000</v>
      </c>
      <c r="AA46" s="18">
        <f t="shared" si="0"/>
        <v>40000</v>
      </c>
      <c r="AB46" s="18">
        <f t="shared" si="1"/>
        <v>40000</v>
      </c>
      <c r="AC46" s="18">
        <f t="shared" si="2"/>
        <v>40000</v>
      </c>
      <c r="AD46" s="18">
        <f t="shared" si="3"/>
        <v>40000</v>
      </c>
      <c r="AE46" s="18">
        <f t="shared" si="4"/>
        <v>40000</v>
      </c>
      <c r="AF46" s="18">
        <f t="shared" si="5"/>
        <v>40000</v>
      </c>
    </row>
    <row r="47" spans="1:32" ht="15" customHeight="1" x14ac:dyDescent="0.35">
      <c r="A47" s="8">
        <v>43</v>
      </c>
      <c r="B47" s="9" t="s">
        <v>418</v>
      </c>
      <c r="C47" s="8" t="s">
        <v>403</v>
      </c>
      <c r="D47" s="36">
        <v>34000</v>
      </c>
      <c r="E47" s="36">
        <v>34000</v>
      </c>
      <c r="F47" s="36">
        <v>34000</v>
      </c>
      <c r="G47" s="36">
        <v>34000</v>
      </c>
      <c r="H47" s="36">
        <v>34000</v>
      </c>
      <c r="I47" s="36">
        <v>34000</v>
      </c>
      <c r="J47" s="36">
        <v>34000</v>
      </c>
      <c r="K47" s="36">
        <v>34000</v>
      </c>
      <c r="L47" s="36">
        <v>34000</v>
      </c>
      <c r="M47" s="36">
        <v>34000</v>
      </c>
      <c r="N47" s="36">
        <v>34000</v>
      </c>
      <c r="O47" s="36">
        <v>34000</v>
      </c>
      <c r="P47" s="36">
        <v>34000</v>
      </c>
      <c r="Q47" s="36">
        <v>34000</v>
      </c>
      <c r="R47" s="36">
        <v>34000</v>
      </c>
      <c r="S47" s="36">
        <v>34000</v>
      </c>
      <c r="T47" s="36">
        <v>34000</v>
      </c>
      <c r="U47" s="36">
        <v>34000</v>
      </c>
      <c r="V47" s="36">
        <v>34000</v>
      </c>
      <c r="W47" s="36">
        <v>34000</v>
      </c>
      <c r="X47" s="36">
        <v>36000</v>
      </c>
      <c r="Y47" s="36">
        <v>36000</v>
      </c>
      <c r="Z47" s="36">
        <v>36000</v>
      </c>
      <c r="AA47" s="18">
        <f t="shared" si="0"/>
        <v>34000</v>
      </c>
      <c r="AB47" s="18">
        <f t="shared" si="1"/>
        <v>34000</v>
      </c>
      <c r="AC47" s="18">
        <f t="shared" si="2"/>
        <v>34000</v>
      </c>
      <c r="AD47" s="18">
        <f t="shared" si="3"/>
        <v>34000</v>
      </c>
      <c r="AE47" s="18">
        <f t="shared" si="4"/>
        <v>35200</v>
      </c>
      <c r="AF47" s="18">
        <f t="shared" si="5"/>
        <v>34260.869565217392</v>
      </c>
    </row>
    <row r="48" spans="1:32" ht="15" customHeight="1" x14ac:dyDescent="0.35">
      <c r="A48" s="8">
        <v>44</v>
      </c>
      <c r="B48" s="9" t="s">
        <v>419</v>
      </c>
      <c r="C48" s="8" t="s">
        <v>403</v>
      </c>
      <c r="D48" s="36">
        <v>28000</v>
      </c>
      <c r="E48" s="36">
        <v>28000</v>
      </c>
      <c r="F48" s="36">
        <v>28000</v>
      </c>
      <c r="G48" s="36">
        <v>28000</v>
      </c>
      <c r="H48" s="36">
        <v>28000</v>
      </c>
      <c r="I48" s="36">
        <v>28000</v>
      </c>
      <c r="J48" s="36">
        <v>28000</v>
      </c>
      <c r="K48" s="36">
        <v>28000</v>
      </c>
      <c r="L48" s="36">
        <v>28000</v>
      </c>
      <c r="M48" s="36">
        <v>28000</v>
      </c>
      <c r="N48" s="36">
        <v>28000</v>
      </c>
      <c r="O48" s="36">
        <v>28000</v>
      </c>
      <c r="P48" s="36">
        <v>28000</v>
      </c>
      <c r="Q48" s="36">
        <v>28000</v>
      </c>
      <c r="R48" s="36">
        <v>28000</v>
      </c>
      <c r="S48" s="36">
        <v>28000</v>
      </c>
      <c r="T48" s="36">
        <v>28000</v>
      </c>
      <c r="U48" s="36">
        <v>28000</v>
      </c>
      <c r="V48" s="36">
        <v>28000</v>
      </c>
      <c r="W48" s="36">
        <v>28000</v>
      </c>
      <c r="X48" s="36">
        <v>28000</v>
      </c>
      <c r="Y48" s="36">
        <v>28000</v>
      </c>
      <c r="Z48" s="36">
        <v>28000</v>
      </c>
      <c r="AA48" s="18">
        <f t="shared" si="0"/>
        <v>28000</v>
      </c>
      <c r="AB48" s="18">
        <f t="shared" si="1"/>
        <v>28000</v>
      </c>
      <c r="AC48" s="18">
        <f t="shared" si="2"/>
        <v>28000</v>
      </c>
      <c r="AD48" s="18">
        <f t="shared" si="3"/>
        <v>28000</v>
      </c>
      <c r="AE48" s="18">
        <f t="shared" si="4"/>
        <v>28000</v>
      </c>
      <c r="AF48" s="18">
        <f t="shared" si="5"/>
        <v>28000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48"/>
  <sheetViews>
    <sheetView showGridLines="0" zoomScaleNormal="100" workbookViewId="0">
      <pane xSplit="3" ySplit="4" topLeftCell="U5" activePane="bottomRight" state="frozen"/>
      <selection pane="topRight" activeCell="D1" sqref="D1"/>
      <selection pane="bottomLeft" activeCell="A5" sqref="A5"/>
      <selection pane="bottomRight" activeCell="X1" sqref="X1:X1048576"/>
    </sheetView>
  </sheetViews>
  <sheetFormatPr defaultColWidth="8.6328125" defaultRowHeight="14.5" x14ac:dyDescent="0.35"/>
  <cols>
    <col min="1" max="1" width="5" customWidth="1"/>
    <col min="2" max="2" width="22" customWidth="1"/>
    <col min="3" max="3" width="6" customWidth="1"/>
    <col min="4" max="23" width="11" customWidth="1"/>
    <col min="24" max="28" width="13" customWidth="1"/>
    <col min="29" max="29" width="14" customWidth="1"/>
  </cols>
  <sheetData>
    <row r="1" spans="1:29" ht="26.25" customHeight="1" x14ac:dyDescent="0.35">
      <c r="A1" s="5" t="s">
        <v>613</v>
      </c>
      <c r="B1" s="5"/>
      <c r="C1" s="5"/>
      <c r="D1" s="5"/>
    </row>
    <row r="2" spans="1:29" ht="18.75" customHeight="1" x14ac:dyDescent="0.35">
      <c r="A2" s="4" t="s">
        <v>371</v>
      </c>
      <c r="B2" s="4"/>
      <c r="C2" s="4"/>
      <c r="D2" s="4"/>
    </row>
    <row r="4" spans="1:29" ht="25.5" customHeight="1" x14ac:dyDescent="0.35">
      <c r="A4" s="6" t="s">
        <v>1</v>
      </c>
      <c r="B4" s="6" t="s">
        <v>372</v>
      </c>
      <c r="C4" s="6" t="s">
        <v>373</v>
      </c>
      <c r="D4" s="6" t="s">
        <v>614</v>
      </c>
      <c r="E4" s="6" t="s">
        <v>615</v>
      </c>
      <c r="F4" s="6" t="s">
        <v>616</v>
      </c>
      <c r="G4" s="6" t="s">
        <v>617</v>
      </c>
      <c r="H4" s="6" t="s">
        <v>618</v>
      </c>
      <c r="I4" s="6" t="s">
        <v>619</v>
      </c>
      <c r="J4" s="6" t="s">
        <v>620</v>
      </c>
      <c r="K4" s="6" t="s">
        <v>621</v>
      </c>
      <c r="L4" s="6" t="s">
        <v>622</v>
      </c>
      <c r="M4" s="6" t="s">
        <v>623</v>
      </c>
      <c r="N4" s="6" t="s">
        <v>624</v>
      </c>
      <c r="O4" s="6" t="s">
        <v>625</v>
      </c>
      <c r="P4" s="6" t="s">
        <v>626</v>
      </c>
      <c r="Q4" s="6" t="s">
        <v>627</v>
      </c>
      <c r="R4" s="6" t="s">
        <v>628</v>
      </c>
      <c r="S4" s="6" t="s">
        <v>629</v>
      </c>
      <c r="T4" s="6" t="s">
        <v>630</v>
      </c>
      <c r="U4" s="6" t="s">
        <v>631</v>
      </c>
      <c r="V4" s="6" t="s">
        <v>632</v>
      </c>
      <c r="W4" s="6" t="s">
        <v>633</v>
      </c>
      <c r="X4" s="34" t="s">
        <v>635</v>
      </c>
      <c r="Y4" s="34" t="s">
        <v>636</v>
      </c>
      <c r="Z4" s="34" t="s">
        <v>637</v>
      </c>
      <c r="AA4" s="34" t="s">
        <v>638</v>
      </c>
      <c r="AB4" s="34" t="s">
        <v>639</v>
      </c>
      <c r="AC4" s="35" t="s">
        <v>640</v>
      </c>
    </row>
    <row r="5" spans="1:29" ht="15" customHeight="1" x14ac:dyDescent="0.35">
      <c r="A5" s="8">
        <v>1</v>
      </c>
      <c r="B5" s="9" t="s">
        <v>330</v>
      </c>
      <c r="C5" s="8" t="s">
        <v>403</v>
      </c>
      <c r="D5" s="36">
        <v>12500</v>
      </c>
      <c r="E5" s="36">
        <v>12500</v>
      </c>
      <c r="F5" s="36">
        <v>12500</v>
      </c>
      <c r="G5" s="36">
        <v>12500</v>
      </c>
      <c r="H5" s="36">
        <v>12500</v>
      </c>
      <c r="I5" s="36">
        <v>12500</v>
      </c>
      <c r="J5" s="36">
        <v>12500</v>
      </c>
      <c r="K5" s="36">
        <v>12500</v>
      </c>
      <c r="L5" s="36">
        <v>12500</v>
      </c>
      <c r="M5" s="36">
        <v>12500</v>
      </c>
      <c r="N5" s="36">
        <v>0</v>
      </c>
      <c r="O5" s="36">
        <v>12500</v>
      </c>
      <c r="P5" s="36">
        <v>12500</v>
      </c>
      <c r="Q5" s="36">
        <v>12500</v>
      </c>
      <c r="R5" s="36">
        <v>12500</v>
      </c>
      <c r="S5" s="36">
        <v>12500</v>
      </c>
      <c r="T5" s="36">
        <v>0</v>
      </c>
      <c r="U5" s="36">
        <v>12525</v>
      </c>
      <c r="V5" s="36">
        <v>12525</v>
      </c>
      <c r="W5" s="36">
        <v>12525</v>
      </c>
      <c r="X5" s="18">
        <f>IFERROR(AVERAGEIF(D5:H5,"&lt;&gt;0"),"")</f>
        <v>12500</v>
      </c>
      <c r="Y5" s="18">
        <f>IFERROR(AVERAGEIF(I5:M5,"&lt;&gt;0"),"")</f>
        <v>12500</v>
      </c>
      <c r="Z5" s="18">
        <f>IFERROR(AVERAGEIF(N5:R5,"&lt;&gt;0"),"")</f>
        <v>12500</v>
      </c>
      <c r="AA5" s="18">
        <f>IFERROR(AVERAGEIF(S5:W5,"&lt;&gt;0"),"")</f>
        <v>12518.75</v>
      </c>
      <c r="AB5" s="18" t="str">
        <f>IFERROR(AVERAGEIF(#REF!,"&lt;&gt;0"),"")</f>
        <v/>
      </c>
      <c r="AC5" s="18">
        <f>IFERROR(AVERAGEIF(D5:W5,"&lt;&gt;0"),"")</f>
        <v>12504.166666666666</v>
      </c>
    </row>
    <row r="6" spans="1:29" ht="15" customHeight="1" x14ac:dyDescent="0.35">
      <c r="A6" s="8">
        <v>2</v>
      </c>
      <c r="B6" s="9" t="s">
        <v>331</v>
      </c>
      <c r="C6" s="8" t="s">
        <v>403</v>
      </c>
      <c r="D6" s="36">
        <v>14300</v>
      </c>
      <c r="E6" s="36">
        <v>14300</v>
      </c>
      <c r="F6" s="36">
        <v>14300</v>
      </c>
      <c r="G6" s="36">
        <v>14300</v>
      </c>
      <c r="H6" s="36">
        <v>14300</v>
      </c>
      <c r="I6" s="36">
        <v>14300</v>
      </c>
      <c r="J6" s="36">
        <v>14300</v>
      </c>
      <c r="K6" s="36">
        <v>14300</v>
      </c>
      <c r="L6" s="36">
        <v>14300</v>
      </c>
      <c r="M6" s="36">
        <v>14300</v>
      </c>
      <c r="N6" s="36">
        <v>0</v>
      </c>
      <c r="O6" s="36">
        <v>14300</v>
      </c>
      <c r="P6" s="36">
        <v>14300</v>
      </c>
      <c r="Q6" s="36">
        <v>14300</v>
      </c>
      <c r="R6" s="36">
        <v>14300</v>
      </c>
      <c r="S6" s="36">
        <v>14300</v>
      </c>
      <c r="T6" s="36">
        <v>0</v>
      </c>
      <c r="U6" s="36">
        <v>14325</v>
      </c>
      <c r="V6" s="36">
        <v>14325</v>
      </c>
      <c r="W6" s="36">
        <v>14325</v>
      </c>
      <c r="X6" s="18">
        <f>IFERROR(AVERAGEIF(D6:H6,"&lt;&gt;0"),"")</f>
        <v>14300</v>
      </c>
      <c r="Y6" s="18">
        <f>IFERROR(AVERAGEIF(I6:M6,"&lt;&gt;0"),"")</f>
        <v>14300</v>
      </c>
      <c r="Z6" s="18">
        <f>IFERROR(AVERAGEIF(N6:R6,"&lt;&gt;0"),"")</f>
        <v>14300</v>
      </c>
      <c r="AA6" s="18">
        <f>IFERROR(AVERAGEIF(S6:W6,"&lt;&gt;0"),"")</f>
        <v>14318.75</v>
      </c>
      <c r="AB6" s="18" t="str">
        <f>IFERROR(AVERAGEIF(#REF!,"&lt;&gt;0"),"")</f>
        <v/>
      </c>
      <c r="AC6" s="18">
        <f>IFERROR(AVERAGEIF(D6:W6,"&lt;&gt;0"),"")</f>
        <v>14304.166666666666</v>
      </c>
    </row>
    <row r="7" spans="1:29" ht="15" customHeight="1" x14ac:dyDescent="0.35">
      <c r="A7" s="8">
        <v>3</v>
      </c>
      <c r="B7" s="9" t="s">
        <v>332</v>
      </c>
      <c r="C7" s="8" t="s">
        <v>403</v>
      </c>
      <c r="D7" s="36">
        <v>11800</v>
      </c>
      <c r="E7" s="36">
        <v>11800</v>
      </c>
      <c r="F7" s="36">
        <v>11800</v>
      </c>
      <c r="G7" s="36">
        <v>11800</v>
      </c>
      <c r="H7" s="36">
        <v>11800</v>
      </c>
      <c r="I7" s="36">
        <v>11800</v>
      </c>
      <c r="J7" s="36">
        <v>11800</v>
      </c>
      <c r="K7" s="36">
        <v>11800</v>
      </c>
      <c r="L7" s="36">
        <v>11800</v>
      </c>
      <c r="M7" s="36">
        <v>11800</v>
      </c>
      <c r="N7" s="36">
        <v>0</v>
      </c>
      <c r="O7" s="36">
        <v>11800</v>
      </c>
      <c r="P7" s="36">
        <v>11800</v>
      </c>
      <c r="Q7" s="36">
        <v>11800</v>
      </c>
      <c r="R7" s="36">
        <v>11800</v>
      </c>
      <c r="S7" s="36">
        <v>11800</v>
      </c>
      <c r="T7" s="36">
        <v>0</v>
      </c>
      <c r="U7" s="36">
        <v>11800</v>
      </c>
      <c r="V7" s="36">
        <v>11800</v>
      </c>
      <c r="W7" s="36">
        <v>11800</v>
      </c>
      <c r="X7" s="18">
        <f>IFERROR(AVERAGEIF(D7:H7,"&lt;&gt;0"),"")</f>
        <v>11800</v>
      </c>
      <c r="Y7" s="18">
        <f>IFERROR(AVERAGEIF(I7:M7,"&lt;&gt;0"),"")</f>
        <v>11800</v>
      </c>
      <c r="Z7" s="18">
        <f>IFERROR(AVERAGEIF(N7:R7,"&lt;&gt;0"),"")</f>
        <v>11800</v>
      </c>
      <c r="AA7" s="18">
        <f>IFERROR(AVERAGEIF(S7:W7,"&lt;&gt;0"),"")</f>
        <v>11800</v>
      </c>
      <c r="AB7" s="18" t="str">
        <f>IFERROR(AVERAGEIF(#REF!,"&lt;&gt;0"),"")</f>
        <v/>
      </c>
      <c r="AC7" s="18">
        <f>IFERROR(AVERAGEIF(D7:W7,"&lt;&gt;0"),"")</f>
        <v>11800</v>
      </c>
    </row>
    <row r="8" spans="1:29" ht="15" customHeight="1" x14ac:dyDescent="0.35">
      <c r="A8" s="8">
        <v>4</v>
      </c>
      <c r="B8" s="9" t="s">
        <v>404</v>
      </c>
      <c r="C8" s="8" t="s">
        <v>403</v>
      </c>
      <c r="D8" s="36">
        <v>11000</v>
      </c>
      <c r="E8" s="36">
        <v>11000</v>
      </c>
      <c r="F8" s="36">
        <v>11000</v>
      </c>
      <c r="G8" s="36">
        <v>11000</v>
      </c>
      <c r="H8" s="36">
        <v>11000</v>
      </c>
      <c r="I8" s="36">
        <v>11000</v>
      </c>
      <c r="J8" s="36">
        <v>11000</v>
      </c>
      <c r="K8" s="36">
        <v>11000</v>
      </c>
      <c r="L8" s="36">
        <v>11000</v>
      </c>
      <c r="M8" s="36">
        <v>11000</v>
      </c>
      <c r="N8" s="36">
        <v>0</v>
      </c>
      <c r="O8" s="36">
        <v>11000</v>
      </c>
      <c r="P8" s="36">
        <v>11000</v>
      </c>
      <c r="Q8" s="36">
        <v>11000</v>
      </c>
      <c r="R8" s="36">
        <v>11000</v>
      </c>
      <c r="S8" s="36">
        <v>11000</v>
      </c>
      <c r="T8" s="36">
        <v>0</v>
      </c>
      <c r="U8" s="36">
        <v>11000</v>
      </c>
      <c r="V8" s="36">
        <v>11000</v>
      </c>
      <c r="W8" s="36">
        <v>11000</v>
      </c>
      <c r="X8" s="18">
        <f>IFERROR(AVERAGEIF(D8:H8,"&lt;&gt;0"),"")</f>
        <v>11000</v>
      </c>
      <c r="Y8" s="18">
        <f>IFERROR(AVERAGEIF(I8:M8,"&lt;&gt;0"),"")</f>
        <v>11000</v>
      </c>
      <c r="Z8" s="18">
        <f>IFERROR(AVERAGEIF(N8:R8,"&lt;&gt;0"),"")</f>
        <v>11000</v>
      </c>
      <c r="AA8" s="18">
        <f>IFERROR(AVERAGEIF(S8:W8,"&lt;&gt;0"),"")</f>
        <v>11000</v>
      </c>
      <c r="AB8" s="18" t="str">
        <f>IFERROR(AVERAGEIF(#REF!,"&lt;&gt;0"),"")</f>
        <v/>
      </c>
      <c r="AC8" s="18">
        <f>IFERROR(AVERAGEIF(D8:W8,"&lt;&gt;0"),"")</f>
        <v>11000</v>
      </c>
    </row>
    <row r="9" spans="1:29" ht="15" customHeight="1" x14ac:dyDescent="0.35">
      <c r="A9" s="8">
        <v>5</v>
      </c>
      <c r="B9" s="9" t="s">
        <v>356</v>
      </c>
      <c r="C9" s="8" t="s">
        <v>403</v>
      </c>
      <c r="D9" s="36">
        <v>30000</v>
      </c>
      <c r="E9" s="36">
        <v>30000</v>
      </c>
      <c r="F9" s="36">
        <v>30000</v>
      </c>
      <c r="G9" s="36">
        <v>30000</v>
      </c>
      <c r="H9" s="36">
        <v>30000</v>
      </c>
      <c r="I9" s="36">
        <v>30000</v>
      </c>
      <c r="J9" s="36">
        <v>30000</v>
      </c>
      <c r="K9" s="36">
        <v>30000</v>
      </c>
      <c r="L9" s="36">
        <v>30000</v>
      </c>
      <c r="M9" s="36">
        <v>30000</v>
      </c>
      <c r="N9" s="36">
        <v>0</v>
      </c>
      <c r="O9" s="36">
        <v>30000</v>
      </c>
      <c r="P9" s="36">
        <v>28000</v>
      </c>
      <c r="Q9" s="36">
        <v>28000</v>
      </c>
      <c r="R9" s="36">
        <v>28000</v>
      </c>
      <c r="S9" s="36">
        <v>28000</v>
      </c>
      <c r="T9" s="36">
        <v>0</v>
      </c>
      <c r="U9" s="36">
        <v>28000</v>
      </c>
      <c r="V9" s="36">
        <v>28000</v>
      </c>
      <c r="W9" s="36">
        <v>28000</v>
      </c>
      <c r="X9" s="18">
        <f>IFERROR(AVERAGEIF(D9:H9,"&lt;&gt;0"),"")</f>
        <v>30000</v>
      </c>
      <c r="Y9" s="18">
        <f>IFERROR(AVERAGEIF(I9:M9,"&lt;&gt;0"),"")</f>
        <v>30000</v>
      </c>
      <c r="Z9" s="18">
        <f>IFERROR(AVERAGEIF(N9:R9,"&lt;&gt;0"),"")</f>
        <v>28500</v>
      </c>
      <c r="AA9" s="18">
        <f>IFERROR(AVERAGEIF(S9:W9,"&lt;&gt;0"),"")</f>
        <v>28000</v>
      </c>
      <c r="AB9" s="18" t="str">
        <f>IFERROR(AVERAGEIF(#REF!,"&lt;&gt;0"),"")</f>
        <v/>
      </c>
      <c r="AC9" s="18">
        <f>IFERROR(AVERAGEIF(D9:W9,"&lt;&gt;0"),"")</f>
        <v>29222.222222222223</v>
      </c>
    </row>
    <row r="10" spans="1:29" ht="15" customHeight="1" x14ac:dyDescent="0.35">
      <c r="A10" s="8">
        <v>6</v>
      </c>
      <c r="B10" s="9" t="s">
        <v>357</v>
      </c>
      <c r="C10" s="8" t="s">
        <v>403</v>
      </c>
      <c r="D10" s="36">
        <v>28000</v>
      </c>
      <c r="E10" s="36">
        <v>28000</v>
      </c>
      <c r="F10" s="36">
        <v>28000</v>
      </c>
      <c r="G10" s="36">
        <v>28000</v>
      </c>
      <c r="H10" s="36">
        <v>28000</v>
      </c>
      <c r="I10" s="36">
        <v>28000</v>
      </c>
      <c r="J10" s="36">
        <v>28000</v>
      </c>
      <c r="K10" s="36">
        <v>28000</v>
      </c>
      <c r="L10" s="36">
        <v>28000</v>
      </c>
      <c r="M10" s="36">
        <v>28000</v>
      </c>
      <c r="N10" s="36">
        <v>0</v>
      </c>
      <c r="O10" s="36">
        <v>28000</v>
      </c>
      <c r="P10" s="36">
        <v>26000</v>
      </c>
      <c r="Q10" s="36">
        <v>26000</v>
      </c>
      <c r="R10" s="36">
        <v>26000</v>
      </c>
      <c r="S10" s="36">
        <v>26000</v>
      </c>
      <c r="T10" s="36">
        <v>0</v>
      </c>
      <c r="U10" s="36">
        <v>26000</v>
      </c>
      <c r="V10" s="36">
        <v>26000</v>
      </c>
      <c r="W10" s="36">
        <v>26000</v>
      </c>
      <c r="X10" s="18">
        <f>IFERROR(AVERAGEIF(D10:H10,"&lt;&gt;0"),"")</f>
        <v>28000</v>
      </c>
      <c r="Y10" s="18">
        <f>IFERROR(AVERAGEIF(I10:M10,"&lt;&gt;0"),"")</f>
        <v>28000</v>
      </c>
      <c r="Z10" s="18">
        <f>IFERROR(AVERAGEIF(N10:R10,"&lt;&gt;0"),"")</f>
        <v>26500</v>
      </c>
      <c r="AA10" s="18">
        <f>IFERROR(AVERAGEIF(S10:W10,"&lt;&gt;0"),"")</f>
        <v>26000</v>
      </c>
      <c r="AB10" s="18" t="str">
        <f>IFERROR(AVERAGEIF(#REF!,"&lt;&gt;0"),"")</f>
        <v/>
      </c>
      <c r="AC10" s="18">
        <f>IFERROR(AVERAGEIF(D10:W10,"&lt;&gt;0"),"")</f>
        <v>27222.222222222223</v>
      </c>
    </row>
    <row r="11" spans="1:29" ht="15" customHeight="1" x14ac:dyDescent="0.35">
      <c r="A11" s="8">
        <v>7</v>
      </c>
      <c r="B11" s="9" t="s">
        <v>343</v>
      </c>
      <c r="C11" s="8" t="s">
        <v>403</v>
      </c>
      <c r="D11" s="36">
        <v>42000</v>
      </c>
      <c r="E11" s="36">
        <v>40000</v>
      </c>
      <c r="F11" s="36">
        <v>40000</v>
      </c>
      <c r="G11" s="36">
        <v>40000</v>
      </c>
      <c r="H11" s="36">
        <v>40000</v>
      </c>
      <c r="I11" s="36">
        <v>40000</v>
      </c>
      <c r="J11" s="36">
        <v>40000</v>
      </c>
      <c r="K11" s="36">
        <v>40000</v>
      </c>
      <c r="L11" s="36">
        <v>40000</v>
      </c>
      <c r="M11" s="36">
        <v>40000</v>
      </c>
      <c r="N11" s="36">
        <v>0</v>
      </c>
      <c r="O11" s="36">
        <v>40000</v>
      </c>
      <c r="P11" s="36">
        <v>42000</v>
      </c>
      <c r="Q11" s="36">
        <v>42000</v>
      </c>
      <c r="R11" s="36">
        <v>42000</v>
      </c>
      <c r="S11" s="36">
        <v>42000</v>
      </c>
      <c r="T11" s="36">
        <v>0</v>
      </c>
      <c r="U11" s="36">
        <v>43000</v>
      </c>
      <c r="V11" s="36">
        <v>43000</v>
      </c>
      <c r="W11" s="36">
        <v>43000</v>
      </c>
      <c r="X11" s="18">
        <f>IFERROR(AVERAGEIF(D11:H11,"&lt;&gt;0"),"")</f>
        <v>40400</v>
      </c>
      <c r="Y11" s="18">
        <f>IFERROR(AVERAGEIF(I11:M11,"&lt;&gt;0"),"")</f>
        <v>40000</v>
      </c>
      <c r="Z11" s="18">
        <f>IFERROR(AVERAGEIF(N11:R11,"&lt;&gt;0"),"")</f>
        <v>41500</v>
      </c>
      <c r="AA11" s="18">
        <f>IFERROR(AVERAGEIF(S11:W11,"&lt;&gt;0"),"")</f>
        <v>42750</v>
      </c>
      <c r="AB11" s="18" t="str">
        <f>IFERROR(AVERAGEIF(#REF!,"&lt;&gt;0"),"")</f>
        <v/>
      </c>
      <c r="AC11" s="18">
        <f>IFERROR(AVERAGEIF(D11:W11,"&lt;&gt;0"),"")</f>
        <v>41055.555555555555</v>
      </c>
    </row>
    <row r="12" spans="1:29" ht="15" customHeight="1" x14ac:dyDescent="0.35">
      <c r="A12" s="8">
        <v>8</v>
      </c>
      <c r="B12" s="9" t="s">
        <v>350</v>
      </c>
      <c r="C12" s="8" t="s">
        <v>403</v>
      </c>
      <c r="D12" s="36">
        <v>32000</v>
      </c>
      <c r="E12" s="36">
        <v>32000</v>
      </c>
      <c r="F12" s="36">
        <v>30000</v>
      </c>
      <c r="G12" s="36">
        <v>30000</v>
      </c>
      <c r="H12" s="36">
        <v>30000</v>
      </c>
      <c r="I12" s="36">
        <v>30000</v>
      </c>
      <c r="J12" s="36">
        <v>30000</v>
      </c>
      <c r="K12" s="36">
        <v>30000</v>
      </c>
      <c r="L12" s="36">
        <v>30000</v>
      </c>
      <c r="M12" s="36">
        <v>30000</v>
      </c>
      <c r="N12" s="36">
        <v>0</v>
      </c>
      <c r="O12" s="36">
        <v>30000</v>
      </c>
      <c r="P12" s="36">
        <v>30000</v>
      </c>
      <c r="Q12" s="36">
        <v>30000</v>
      </c>
      <c r="R12" s="36">
        <v>30000</v>
      </c>
      <c r="S12" s="36">
        <v>30000</v>
      </c>
      <c r="T12" s="36">
        <v>0</v>
      </c>
      <c r="U12" s="36">
        <v>30000</v>
      </c>
      <c r="V12" s="36">
        <v>30000</v>
      </c>
      <c r="W12" s="36">
        <v>30000</v>
      </c>
      <c r="X12" s="18">
        <f>IFERROR(AVERAGEIF(D12:H12,"&lt;&gt;0"),"")</f>
        <v>30800</v>
      </c>
      <c r="Y12" s="18">
        <f>IFERROR(AVERAGEIF(I12:M12,"&lt;&gt;0"),"")</f>
        <v>30000</v>
      </c>
      <c r="Z12" s="18">
        <f>IFERROR(AVERAGEIF(N12:R12,"&lt;&gt;0"),"")</f>
        <v>30000</v>
      </c>
      <c r="AA12" s="18">
        <f>IFERROR(AVERAGEIF(S12:W12,"&lt;&gt;0"),"")</f>
        <v>30000</v>
      </c>
      <c r="AB12" s="18" t="str">
        <f>IFERROR(AVERAGEIF(#REF!,"&lt;&gt;0"),"")</f>
        <v/>
      </c>
      <c r="AC12" s="18">
        <f>IFERROR(AVERAGEIF(D12:W12,"&lt;&gt;0"),"")</f>
        <v>30222.222222222223</v>
      </c>
    </row>
    <row r="13" spans="1:29" ht="15" customHeight="1" x14ac:dyDescent="0.35">
      <c r="A13" s="8">
        <v>9</v>
      </c>
      <c r="B13" s="9" t="s">
        <v>345</v>
      </c>
      <c r="C13" s="8" t="s">
        <v>403</v>
      </c>
      <c r="D13" s="36">
        <v>16500</v>
      </c>
      <c r="E13" s="36">
        <v>16500</v>
      </c>
      <c r="F13" s="36">
        <v>16500</v>
      </c>
      <c r="G13" s="36">
        <v>16500</v>
      </c>
      <c r="H13" s="36">
        <v>16500</v>
      </c>
      <c r="I13" s="36">
        <v>16500</v>
      </c>
      <c r="J13" s="36">
        <v>16500</v>
      </c>
      <c r="K13" s="36">
        <v>16500</v>
      </c>
      <c r="L13" s="36">
        <v>16500</v>
      </c>
      <c r="M13" s="36">
        <v>16500</v>
      </c>
      <c r="N13" s="36">
        <v>0</v>
      </c>
      <c r="O13" s="36">
        <v>16500</v>
      </c>
      <c r="P13" s="36">
        <v>16500</v>
      </c>
      <c r="Q13" s="36">
        <v>16500</v>
      </c>
      <c r="R13" s="36">
        <v>16500</v>
      </c>
      <c r="S13" s="36">
        <v>16500</v>
      </c>
      <c r="T13" s="36">
        <v>0</v>
      </c>
      <c r="U13" s="36">
        <v>16500</v>
      </c>
      <c r="V13" s="36">
        <v>16500</v>
      </c>
      <c r="W13" s="36">
        <v>16500</v>
      </c>
      <c r="X13" s="18">
        <f>IFERROR(AVERAGEIF(D13:H13,"&lt;&gt;0"),"")</f>
        <v>16500</v>
      </c>
      <c r="Y13" s="18">
        <f>IFERROR(AVERAGEIF(I13:M13,"&lt;&gt;0"),"")</f>
        <v>16500</v>
      </c>
      <c r="Z13" s="18">
        <f>IFERROR(AVERAGEIF(N13:R13,"&lt;&gt;0"),"")</f>
        <v>16500</v>
      </c>
      <c r="AA13" s="18">
        <f>IFERROR(AVERAGEIF(S13:W13,"&lt;&gt;0"),"")</f>
        <v>16500</v>
      </c>
      <c r="AB13" s="18" t="str">
        <f>IFERROR(AVERAGEIF(#REF!,"&lt;&gt;0"),"")</f>
        <v/>
      </c>
      <c r="AC13" s="18">
        <f>IFERROR(AVERAGEIF(D13:W13,"&lt;&gt;0"),"")</f>
        <v>16500</v>
      </c>
    </row>
    <row r="14" spans="1:29" ht="15" customHeight="1" x14ac:dyDescent="0.35">
      <c r="A14" s="8">
        <v>10</v>
      </c>
      <c r="B14" s="9" t="s">
        <v>336</v>
      </c>
      <c r="C14" s="8" t="s">
        <v>449</v>
      </c>
      <c r="D14" s="36">
        <v>18450</v>
      </c>
      <c r="E14" s="36">
        <v>18450</v>
      </c>
      <c r="F14" s="36">
        <v>18450</v>
      </c>
      <c r="G14" s="36">
        <v>18450</v>
      </c>
      <c r="H14" s="36">
        <v>18450</v>
      </c>
      <c r="I14" s="36">
        <v>18450</v>
      </c>
      <c r="J14" s="36">
        <v>18450</v>
      </c>
      <c r="K14" s="36">
        <v>18450</v>
      </c>
      <c r="L14" s="36">
        <v>18450</v>
      </c>
      <c r="M14" s="36">
        <v>18450</v>
      </c>
      <c r="N14" s="36">
        <v>0</v>
      </c>
      <c r="O14" s="36">
        <v>18450</v>
      </c>
      <c r="P14" s="36">
        <v>18450</v>
      </c>
      <c r="Q14" s="36">
        <v>18450</v>
      </c>
      <c r="R14" s="36">
        <v>18450</v>
      </c>
      <c r="S14" s="36">
        <v>18450</v>
      </c>
      <c r="T14" s="36">
        <v>0</v>
      </c>
      <c r="U14" s="36">
        <v>18450</v>
      </c>
      <c r="V14" s="36">
        <v>18450</v>
      </c>
      <c r="W14" s="36">
        <v>18450</v>
      </c>
      <c r="X14" s="18">
        <f>IFERROR(AVERAGEIF(D14:H14,"&lt;&gt;0"),"")</f>
        <v>18450</v>
      </c>
      <c r="Y14" s="18">
        <f>IFERROR(AVERAGEIF(I14:M14,"&lt;&gt;0"),"")</f>
        <v>18450</v>
      </c>
      <c r="Z14" s="18">
        <f>IFERROR(AVERAGEIF(N14:R14,"&lt;&gt;0"),"")</f>
        <v>18450</v>
      </c>
      <c r="AA14" s="18">
        <f>IFERROR(AVERAGEIF(S14:W14,"&lt;&gt;0"),"")</f>
        <v>18450</v>
      </c>
      <c r="AB14" s="18" t="str">
        <f>IFERROR(AVERAGEIF(#REF!,"&lt;&gt;0"),"")</f>
        <v/>
      </c>
      <c r="AC14" s="18">
        <f>IFERROR(AVERAGEIF(D14:W14,"&lt;&gt;0"),"")</f>
        <v>18450</v>
      </c>
    </row>
    <row r="15" spans="1:29" ht="21.75" customHeight="1" x14ac:dyDescent="0.35">
      <c r="A15" s="8">
        <v>11</v>
      </c>
      <c r="B15" s="9" t="s">
        <v>337</v>
      </c>
      <c r="C15" s="8" t="s">
        <v>449</v>
      </c>
      <c r="D15" s="36">
        <v>23000</v>
      </c>
      <c r="E15" s="36">
        <v>23000</v>
      </c>
      <c r="F15" s="36">
        <v>23000</v>
      </c>
      <c r="G15" s="36">
        <v>23000</v>
      </c>
      <c r="H15" s="36">
        <v>23000</v>
      </c>
      <c r="I15" s="36">
        <v>23000</v>
      </c>
      <c r="J15" s="36">
        <v>23000</v>
      </c>
      <c r="K15" s="36">
        <v>23000</v>
      </c>
      <c r="L15" s="36">
        <v>23000</v>
      </c>
      <c r="M15" s="36">
        <v>23000</v>
      </c>
      <c r="N15" s="36">
        <v>0</v>
      </c>
      <c r="O15" s="36">
        <v>23000</v>
      </c>
      <c r="P15" s="36">
        <v>23000</v>
      </c>
      <c r="Q15" s="36">
        <v>23000</v>
      </c>
      <c r="R15" s="36">
        <v>23000</v>
      </c>
      <c r="S15" s="36">
        <v>23000</v>
      </c>
      <c r="T15" s="36">
        <v>0</v>
      </c>
      <c r="U15" s="36">
        <v>23000</v>
      </c>
      <c r="V15" s="36">
        <v>23000</v>
      </c>
      <c r="W15" s="36">
        <v>23000</v>
      </c>
      <c r="X15" s="18">
        <f>IFERROR(AVERAGEIF(D15:H15,"&lt;&gt;0"),"")</f>
        <v>23000</v>
      </c>
      <c r="Y15" s="18">
        <f>IFERROR(AVERAGEIF(I15:M15,"&lt;&gt;0"),"")</f>
        <v>23000</v>
      </c>
      <c r="Z15" s="18">
        <f>IFERROR(AVERAGEIF(N15:R15,"&lt;&gt;0"),"")</f>
        <v>23000</v>
      </c>
      <c r="AA15" s="18">
        <f>IFERROR(AVERAGEIF(S15:W15,"&lt;&gt;0"),"")</f>
        <v>23000</v>
      </c>
      <c r="AB15" s="18" t="str">
        <f>IFERROR(AVERAGEIF(#REF!,"&lt;&gt;0"),"")</f>
        <v/>
      </c>
      <c r="AC15" s="18">
        <f>IFERROR(AVERAGEIF(D15:W15,"&lt;&gt;0"),"")</f>
        <v>23000</v>
      </c>
    </row>
    <row r="16" spans="1:29" ht="15" customHeight="1" x14ac:dyDescent="0.35">
      <c r="A16" s="8">
        <v>12</v>
      </c>
      <c r="B16" s="9" t="s">
        <v>338</v>
      </c>
      <c r="C16" s="8" t="s">
        <v>449</v>
      </c>
      <c r="D16" s="36">
        <v>15500</v>
      </c>
      <c r="E16" s="36">
        <v>15500</v>
      </c>
      <c r="F16" s="36">
        <v>15500</v>
      </c>
      <c r="G16" s="36">
        <v>15500</v>
      </c>
      <c r="H16" s="36">
        <v>15500</v>
      </c>
      <c r="I16" s="36">
        <v>15500</v>
      </c>
      <c r="J16" s="36">
        <v>15500</v>
      </c>
      <c r="K16" s="36">
        <v>15500</v>
      </c>
      <c r="L16" s="36">
        <v>15500</v>
      </c>
      <c r="M16" s="36">
        <v>15500</v>
      </c>
      <c r="N16" s="36">
        <v>0</v>
      </c>
      <c r="O16" s="36">
        <v>15500</v>
      </c>
      <c r="P16" s="36">
        <v>15500</v>
      </c>
      <c r="Q16" s="36">
        <v>15500</v>
      </c>
      <c r="R16" s="36">
        <v>15500</v>
      </c>
      <c r="S16" s="36">
        <v>15500</v>
      </c>
      <c r="T16" s="36">
        <v>0</v>
      </c>
      <c r="U16" s="36">
        <v>15500</v>
      </c>
      <c r="V16" s="36">
        <v>15500</v>
      </c>
      <c r="W16" s="36">
        <v>15500</v>
      </c>
      <c r="X16" s="18">
        <f>IFERROR(AVERAGEIF(D16:H16,"&lt;&gt;0"),"")</f>
        <v>15500</v>
      </c>
      <c r="Y16" s="18">
        <f>IFERROR(AVERAGEIF(I16:M16,"&lt;&gt;0"),"")</f>
        <v>15500</v>
      </c>
      <c r="Z16" s="18">
        <f>IFERROR(AVERAGEIF(N16:R16,"&lt;&gt;0"),"")</f>
        <v>15500</v>
      </c>
      <c r="AA16" s="18">
        <f>IFERROR(AVERAGEIF(S16:W16,"&lt;&gt;0"),"")</f>
        <v>15500</v>
      </c>
      <c r="AB16" s="18" t="str">
        <f>IFERROR(AVERAGEIF(#REF!,"&lt;&gt;0"),"")</f>
        <v/>
      </c>
      <c r="AC16" s="18">
        <f>IFERROR(AVERAGEIF(D16:W16,"&lt;&gt;0"),"")</f>
        <v>15500</v>
      </c>
    </row>
    <row r="17" spans="1:29" ht="15" customHeight="1" x14ac:dyDescent="0.35">
      <c r="A17" s="8">
        <v>13</v>
      </c>
      <c r="B17" s="9" t="s">
        <v>333</v>
      </c>
      <c r="C17" s="8" t="s">
        <v>403</v>
      </c>
      <c r="D17" s="36">
        <v>11000</v>
      </c>
      <c r="E17" s="36">
        <v>11000</v>
      </c>
      <c r="F17" s="36">
        <v>11000</v>
      </c>
      <c r="G17" s="36">
        <v>11000</v>
      </c>
      <c r="H17" s="36">
        <v>11000</v>
      </c>
      <c r="I17" s="36">
        <v>11000</v>
      </c>
      <c r="J17" s="36">
        <v>11000</v>
      </c>
      <c r="K17" s="36">
        <v>11000</v>
      </c>
      <c r="L17" s="36">
        <v>11000</v>
      </c>
      <c r="M17" s="36">
        <v>11000</v>
      </c>
      <c r="N17" s="36">
        <v>0</v>
      </c>
      <c r="O17" s="36">
        <v>11000</v>
      </c>
      <c r="P17" s="36">
        <v>11000</v>
      </c>
      <c r="Q17" s="36">
        <v>11000</v>
      </c>
      <c r="R17" s="36">
        <v>11000</v>
      </c>
      <c r="S17" s="36">
        <v>11000</v>
      </c>
      <c r="T17" s="36">
        <v>0</v>
      </c>
      <c r="U17" s="36">
        <v>11000</v>
      </c>
      <c r="V17" s="36">
        <v>11000</v>
      </c>
      <c r="W17" s="36">
        <v>11000</v>
      </c>
      <c r="X17" s="18">
        <f>IFERROR(AVERAGEIF(D17:H17,"&lt;&gt;0"),"")</f>
        <v>11000</v>
      </c>
      <c r="Y17" s="18">
        <f>IFERROR(AVERAGEIF(I17:M17,"&lt;&gt;0"),"")</f>
        <v>11000</v>
      </c>
      <c r="Z17" s="18">
        <f>IFERROR(AVERAGEIF(N17:R17,"&lt;&gt;0"),"")</f>
        <v>11000</v>
      </c>
      <c r="AA17" s="18">
        <f>IFERROR(AVERAGEIF(S17:W17,"&lt;&gt;0"),"")</f>
        <v>11000</v>
      </c>
      <c r="AB17" s="18" t="str">
        <f>IFERROR(AVERAGEIF(#REF!,"&lt;&gt;0"),"")</f>
        <v/>
      </c>
      <c r="AC17" s="18">
        <f>IFERROR(AVERAGEIF(D17:W17,"&lt;&gt;0"),"")</f>
        <v>11000</v>
      </c>
    </row>
    <row r="18" spans="1:29" ht="15" customHeight="1" x14ac:dyDescent="0.35">
      <c r="A18" s="8">
        <v>14</v>
      </c>
      <c r="B18" s="9" t="s">
        <v>335</v>
      </c>
      <c r="C18" s="8" t="s">
        <v>403</v>
      </c>
      <c r="D18" s="36">
        <v>34000</v>
      </c>
      <c r="E18" s="36">
        <v>34000</v>
      </c>
      <c r="F18" s="36">
        <v>34000</v>
      </c>
      <c r="G18" s="36">
        <v>34000</v>
      </c>
      <c r="H18" s="36">
        <v>34000</v>
      </c>
      <c r="I18" s="36">
        <v>34000</v>
      </c>
      <c r="J18" s="36">
        <v>34000</v>
      </c>
      <c r="K18" s="36">
        <v>34000</v>
      </c>
      <c r="L18" s="36">
        <v>34000</v>
      </c>
      <c r="M18" s="36">
        <v>34000</v>
      </c>
      <c r="N18" s="36">
        <v>0</v>
      </c>
      <c r="O18" s="36">
        <v>34000</v>
      </c>
      <c r="P18" s="36">
        <v>36000</v>
      </c>
      <c r="Q18" s="36">
        <v>36000</v>
      </c>
      <c r="R18" s="36">
        <v>36000</v>
      </c>
      <c r="S18" s="36">
        <v>36000</v>
      </c>
      <c r="T18" s="36">
        <v>0</v>
      </c>
      <c r="U18" s="36">
        <v>36000</v>
      </c>
      <c r="V18" s="36">
        <v>36000</v>
      </c>
      <c r="W18" s="36">
        <v>36000</v>
      </c>
      <c r="X18" s="18">
        <f>IFERROR(AVERAGEIF(D18:H18,"&lt;&gt;0"),"")</f>
        <v>34000</v>
      </c>
      <c r="Y18" s="18">
        <f>IFERROR(AVERAGEIF(I18:M18,"&lt;&gt;0"),"")</f>
        <v>34000</v>
      </c>
      <c r="Z18" s="18">
        <f>IFERROR(AVERAGEIF(N18:R18,"&lt;&gt;0"),"")</f>
        <v>35500</v>
      </c>
      <c r="AA18" s="18">
        <f>IFERROR(AVERAGEIF(S18:W18,"&lt;&gt;0"),"")</f>
        <v>36000</v>
      </c>
      <c r="AB18" s="18" t="str">
        <f>IFERROR(AVERAGEIF(#REF!,"&lt;&gt;0"),"")</f>
        <v/>
      </c>
      <c r="AC18" s="18">
        <f>IFERROR(AVERAGEIF(D18:W18,"&lt;&gt;0"),"")</f>
        <v>34777.777777777781</v>
      </c>
    </row>
    <row r="19" spans="1:29" ht="15" customHeight="1" x14ac:dyDescent="0.35">
      <c r="A19" s="8">
        <v>15</v>
      </c>
      <c r="B19" s="9" t="s">
        <v>344</v>
      </c>
      <c r="C19" s="8" t="s">
        <v>403</v>
      </c>
      <c r="D19" s="36">
        <v>22500</v>
      </c>
      <c r="E19" s="36">
        <v>22500</v>
      </c>
      <c r="F19" s="36">
        <v>22000</v>
      </c>
      <c r="G19" s="36">
        <v>22000</v>
      </c>
      <c r="H19" s="36">
        <v>22000</v>
      </c>
      <c r="I19" s="36">
        <v>22000</v>
      </c>
      <c r="J19" s="36">
        <v>22000</v>
      </c>
      <c r="K19" s="36">
        <v>22000</v>
      </c>
      <c r="L19" s="36">
        <v>22000</v>
      </c>
      <c r="M19" s="36">
        <v>22000</v>
      </c>
      <c r="N19" s="36">
        <v>0</v>
      </c>
      <c r="O19" s="36">
        <v>22000</v>
      </c>
      <c r="P19" s="36">
        <v>22000</v>
      </c>
      <c r="Q19" s="36">
        <v>22000</v>
      </c>
      <c r="R19" s="36">
        <v>22000</v>
      </c>
      <c r="S19" s="36">
        <v>22000</v>
      </c>
      <c r="T19" s="36">
        <v>0</v>
      </c>
      <c r="U19" s="36">
        <v>23000</v>
      </c>
      <c r="V19" s="36">
        <v>23000</v>
      </c>
      <c r="W19" s="36">
        <v>23000</v>
      </c>
      <c r="X19" s="18">
        <f>IFERROR(AVERAGEIF(D19:H19,"&lt;&gt;0"),"")</f>
        <v>22200</v>
      </c>
      <c r="Y19" s="18">
        <f>IFERROR(AVERAGEIF(I19:M19,"&lt;&gt;0"),"")</f>
        <v>22000</v>
      </c>
      <c r="Z19" s="18">
        <f>IFERROR(AVERAGEIF(N19:R19,"&lt;&gt;0"),"")</f>
        <v>22000</v>
      </c>
      <c r="AA19" s="18">
        <f>IFERROR(AVERAGEIF(S19:W19,"&lt;&gt;0"),"")</f>
        <v>22750</v>
      </c>
      <c r="AB19" s="18" t="str">
        <f>IFERROR(AVERAGEIF(#REF!,"&lt;&gt;0"),"")</f>
        <v/>
      </c>
      <c r="AC19" s="18">
        <f>IFERROR(AVERAGEIF(D19:W19,"&lt;&gt;0"),"")</f>
        <v>22222.222222222223</v>
      </c>
    </row>
    <row r="20" spans="1:29" ht="15" customHeight="1" x14ac:dyDescent="0.35">
      <c r="A20" s="8">
        <v>16</v>
      </c>
      <c r="B20" s="9" t="s">
        <v>358</v>
      </c>
      <c r="C20" s="8" t="s">
        <v>403</v>
      </c>
      <c r="D20" s="36">
        <v>120000</v>
      </c>
      <c r="E20" s="36">
        <v>120000</v>
      </c>
      <c r="F20" s="36">
        <v>120000</v>
      </c>
      <c r="G20" s="36">
        <v>120000</v>
      </c>
      <c r="H20" s="36">
        <v>120000</v>
      </c>
      <c r="I20" s="36">
        <v>120000</v>
      </c>
      <c r="J20" s="36">
        <v>120000</v>
      </c>
      <c r="K20" s="36">
        <v>120000</v>
      </c>
      <c r="L20" s="36">
        <v>120000</v>
      </c>
      <c r="M20" s="36">
        <v>120000</v>
      </c>
      <c r="N20" s="36">
        <v>0</v>
      </c>
      <c r="O20" s="36">
        <v>120000</v>
      </c>
      <c r="P20" s="36">
        <v>120000</v>
      </c>
      <c r="Q20" s="36">
        <v>120000</v>
      </c>
      <c r="R20" s="36">
        <v>120000</v>
      </c>
      <c r="S20" s="36">
        <v>120000</v>
      </c>
      <c r="T20" s="36">
        <v>0</v>
      </c>
      <c r="U20" s="36">
        <v>120000</v>
      </c>
      <c r="V20" s="36">
        <v>120000</v>
      </c>
      <c r="W20" s="36">
        <v>120000</v>
      </c>
      <c r="X20" s="18">
        <f>IFERROR(AVERAGEIF(D20:H20,"&lt;&gt;0"),"")</f>
        <v>120000</v>
      </c>
      <c r="Y20" s="18">
        <f>IFERROR(AVERAGEIF(I20:M20,"&lt;&gt;0"),"")</f>
        <v>120000</v>
      </c>
      <c r="Z20" s="18">
        <f>IFERROR(AVERAGEIF(N20:R20,"&lt;&gt;0"),"")</f>
        <v>120000</v>
      </c>
      <c r="AA20" s="18">
        <f>IFERROR(AVERAGEIF(S20:W20,"&lt;&gt;0"),"")</f>
        <v>120000</v>
      </c>
      <c r="AB20" s="18" t="str">
        <f>IFERROR(AVERAGEIF(#REF!,"&lt;&gt;0"),"")</f>
        <v/>
      </c>
      <c r="AC20" s="18">
        <f>IFERROR(AVERAGEIF(D20:W20,"&lt;&gt;0"),"")</f>
        <v>120000</v>
      </c>
    </row>
    <row r="21" spans="1:29" ht="15" customHeight="1" x14ac:dyDescent="0.35">
      <c r="A21" s="8">
        <v>17</v>
      </c>
      <c r="B21" s="9" t="s">
        <v>359</v>
      </c>
      <c r="C21" s="8" t="s">
        <v>403</v>
      </c>
      <c r="D21" s="36">
        <v>70000</v>
      </c>
      <c r="E21" s="36">
        <v>70000</v>
      </c>
      <c r="F21" s="36">
        <v>70000</v>
      </c>
      <c r="G21" s="36">
        <v>70000</v>
      </c>
      <c r="H21" s="36">
        <v>70000</v>
      </c>
      <c r="I21" s="36">
        <v>70000</v>
      </c>
      <c r="J21" s="36">
        <v>70000</v>
      </c>
      <c r="K21" s="36">
        <v>70000</v>
      </c>
      <c r="L21" s="36">
        <v>70000</v>
      </c>
      <c r="M21" s="36">
        <v>70000</v>
      </c>
      <c r="N21" s="36">
        <v>0</v>
      </c>
      <c r="O21" s="36">
        <v>70000</v>
      </c>
      <c r="P21" s="36">
        <v>70000</v>
      </c>
      <c r="Q21" s="36">
        <v>70000</v>
      </c>
      <c r="R21" s="36">
        <v>70000</v>
      </c>
      <c r="S21" s="36">
        <v>70000</v>
      </c>
      <c r="T21" s="36">
        <v>0</v>
      </c>
      <c r="U21" s="36">
        <v>70000</v>
      </c>
      <c r="V21" s="36">
        <v>70000</v>
      </c>
      <c r="W21" s="36">
        <v>70000</v>
      </c>
      <c r="X21" s="18">
        <f>IFERROR(AVERAGEIF(D21:H21,"&lt;&gt;0"),"")</f>
        <v>70000</v>
      </c>
      <c r="Y21" s="18">
        <f>IFERROR(AVERAGEIF(I21:M21,"&lt;&gt;0"),"")</f>
        <v>70000</v>
      </c>
      <c r="Z21" s="18">
        <f>IFERROR(AVERAGEIF(N21:R21,"&lt;&gt;0"),"")</f>
        <v>70000</v>
      </c>
      <c r="AA21" s="18">
        <f>IFERROR(AVERAGEIF(S21:W21,"&lt;&gt;0"),"")</f>
        <v>70000</v>
      </c>
      <c r="AB21" s="18" t="str">
        <f>IFERROR(AVERAGEIF(#REF!,"&lt;&gt;0"),"")</f>
        <v/>
      </c>
      <c r="AC21" s="18">
        <f>IFERROR(AVERAGEIF(D21:W21,"&lt;&gt;0"),"")</f>
        <v>70000</v>
      </c>
    </row>
    <row r="22" spans="1:29" ht="15" customHeight="1" x14ac:dyDescent="0.35">
      <c r="A22" s="8">
        <v>18</v>
      </c>
      <c r="B22" s="9" t="s">
        <v>360</v>
      </c>
      <c r="C22" s="8" t="s">
        <v>403</v>
      </c>
      <c r="D22" s="36">
        <v>80000</v>
      </c>
      <c r="E22" s="36">
        <v>80000</v>
      </c>
      <c r="F22" s="36">
        <v>80000</v>
      </c>
      <c r="G22" s="36">
        <v>80000</v>
      </c>
      <c r="H22" s="36">
        <v>80000</v>
      </c>
      <c r="I22" s="36">
        <v>80000</v>
      </c>
      <c r="J22" s="36">
        <v>80000</v>
      </c>
      <c r="K22" s="36">
        <v>80000</v>
      </c>
      <c r="L22" s="36">
        <v>80000</v>
      </c>
      <c r="M22" s="36">
        <v>80000</v>
      </c>
      <c r="N22" s="36">
        <v>0</v>
      </c>
      <c r="O22" s="36">
        <v>80000</v>
      </c>
      <c r="P22" s="36">
        <v>80000</v>
      </c>
      <c r="Q22" s="36">
        <v>80000</v>
      </c>
      <c r="R22" s="36">
        <v>80000</v>
      </c>
      <c r="S22" s="36">
        <v>80000</v>
      </c>
      <c r="T22" s="36">
        <v>0</v>
      </c>
      <c r="U22" s="36">
        <v>80000</v>
      </c>
      <c r="V22" s="36">
        <v>80000</v>
      </c>
      <c r="W22" s="36">
        <v>80000</v>
      </c>
      <c r="X22" s="18">
        <f>IFERROR(AVERAGEIF(D22:H22,"&lt;&gt;0"),"")</f>
        <v>80000</v>
      </c>
      <c r="Y22" s="18">
        <f>IFERROR(AVERAGEIF(I22:M22,"&lt;&gt;0"),"")</f>
        <v>80000</v>
      </c>
      <c r="Z22" s="18">
        <f>IFERROR(AVERAGEIF(N22:R22,"&lt;&gt;0"),"")</f>
        <v>80000</v>
      </c>
      <c r="AA22" s="18">
        <f>IFERROR(AVERAGEIF(S22:W22,"&lt;&gt;0"),"")</f>
        <v>80000</v>
      </c>
      <c r="AB22" s="18" t="str">
        <f>IFERROR(AVERAGEIF(#REF!,"&lt;&gt;0"),"")</f>
        <v/>
      </c>
      <c r="AC22" s="18">
        <f>IFERROR(AVERAGEIF(D22:W22,"&lt;&gt;0"),"")</f>
        <v>80000</v>
      </c>
    </row>
    <row r="23" spans="1:29" ht="15" customHeight="1" x14ac:dyDescent="0.35">
      <c r="A23" s="8">
        <v>19</v>
      </c>
      <c r="B23" s="9" t="s">
        <v>405</v>
      </c>
      <c r="C23" s="8" t="s">
        <v>403</v>
      </c>
      <c r="D23" s="36">
        <v>35000</v>
      </c>
      <c r="E23" s="36">
        <v>35000</v>
      </c>
      <c r="F23" s="36">
        <v>35000</v>
      </c>
      <c r="G23" s="36">
        <v>35000</v>
      </c>
      <c r="H23" s="36">
        <v>35000</v>
      </c>
      <c r="I23" s="36">
        <v>35000</v>
      </c>
      <c r="J23" s="36">
        <v>35000</v>
      </c>
      <c r="K23" s="36">
        <v>35000</v>
      </c>
      <c r="L23" s="36">
        <v>35000</v>
      </c>
      <c r="M23" s="36">
        <v>35000</v>
      </c>
      <c r="N23" s="36">
        <v>0</v>
      </c>
      <c r="O23" s="36">
        <v>35000</v>
      </c>
      <c r="P23" s="36">
        <v>35000</v>
      </c>
      <c r="Q23" s="36">
        <v>35000</v>
      </c>
      <c r="R23" s="36">
        <v>35000</v>
      </c>
      <c r="S23" s="36">
        <v>35000</v>
      </c>
      <c r="T23" s="36">
        <v>0</v>
      </c>
      <c r="U23" s="36">
        <v>35000</v>
      </c>
      <c r="V23" s="36">
        <v>35000</v>
      </c>
      <c r="W23" s="36">
        <v>35000</v>
      </c>
      <c r="X23" s="18">
        <f>IFERROR(AVERAGEIF(D23:H23,"&lt;&gt;0"),"")</f>
        <v>35000</v>
      </c>
      <c r="Y23" s="18">
        <f>IFERROR(AVERAGEIF(I23:M23,"&lt;&gt;0"),"")</f>
        <v>35000</v>
      </c>
      <c r="Z23" s="18">
        <f>IFERROR(AVERAGEIF(N23:R23,"&lt;&gt;0"),"")</f>
        <v>35000</v>
      </c>
      <c r="AA23" s="18">
        <f>IFERROR(AVERAGEIF(S23:W23,"&lt;&gt;0"),"")</f>
        <v>35000</v>
      </c>
      <c r="AB23" s="18" t="str">
        <f>IFERROR(AVERAGEIF(#REF!,"&lt;&gt;0"),"")</f>
        <v/>
      </c>
      <c r="AC23" s="18">
        <f>IFERROR(AVERAGEIF(D23:W23,"&lt;&gt;0"),"")</f>
        <v>35000</v>
      </c>
    </row>
    <row r="24" spans="1:29" ht="15" customHeight="1" x14ac:dyDescent="0.35">
      <c r="A24" s="8">
        <v>20</v>
      </c>
      <c r="B24" s="9" t="s">
        <v>346</v>
      </c>
      <c r="C24" s="8" t="s">
        <v>403</v>
      </c>
      <c r="D24" s="36">
        <v>45000</v>
      </c>
      <c r="E24" s="36">
        <v>45000</v>
      </c>
      <c r="F24" s="36">
        <v>45000</v>
      </c>
      <c r="G24" s="36">
        <v>45000</v>
      </c>
      <c r="H24" s="36">
        <v>45000</v>
      </c>
      <c r="I24" s="36">
        <v>45000</v>
      </c>
      <c r="J24" s="36">
        <v>45000</v>
      </c>
      <c r="K24" s="36">
        <v>45000</v>
      </c>
      <c r="L24" s="36">
        <v>45000</v>
      </c>
      <c r="M24" s="36">
        <v>45000</v>
      </c>
      <c r="N24" s="36">
        <v>0</v>
      </c>
      <c r="O24" s="36">
        <v>45000</v>
      </c>
      <c r="P24" s="36">
        <v>45000</v>
      </c>
      <c r="Q24" s="36">
        <v>45000</v>
      </c>
      <c r="R24" s="36">
        <v>45000</v>
      </c>
      <c r="S24" s="36">
        <v>45000</v>
      </c>
      <c r="T24" s="36">
        <v>0</v>
      </c>
      <c r="U24" s="36">
        <v>45000</v>
      </c>
      <c r="V24" s="36">
        <v>45000</v>
      </c>
      <c r="W24" s="36">
        <v>45000</v>
      </c>
      <c r="X24" s="18">
        <f>IFERROR(AVERAGEIF(D24:H24,"&lt;&gt;0"),"")</f>
        <v>45000</v>
      </c>
      <c r="Y24" s="18">
        <f>IFERROR(AVERAGEIF(I24:M24,"&lt;&gt;0"),"")</f>
        <v>45000</v>
      </c>
      <c r="Z24" s="18">
        <f>IFERROR(AVERAGEIF(N24:R24,"&lt;&gt;0"),"")</f>
        <v>45000</v>
      </c>
      <c r="AA24" s="18">
        <f>IFERROR(AVERAGEIF(S24:W24,"&lt;&gt;0"),"")</f>
        <v>45000</v>
      </c>
      <c r="AB24" s="18" t="str">
        <f>IFERROR(AVERAGEIF(#REF!,"&lt;&gt;0"),"")</f>
        <v/>
      </c>
      <c r="AC24" s="18">
        <f>IFERROR(AVERAGEIF(D24:W24,"&lt;&gt;0"),"")</f>
        <v>45000</v>
      </c>
    </row>
    <row r="25" spans="1:29" ht="15" customHeight="1" x14ac:dyDescent="0.35">
      <c r="A25" s="8">
        <v>21</v>
      </c>
      <c r="B25" s="9" t="s">
        <v>406</v>
      </c>
      <c r="C25" s="8" t="s">
        <v>403</v>
      </c>
      <c r="D25" s="36">
        <v>80000</v>
      </c>
      <c r="E25" s="36">
        <v>80000</v>
      </c>
      <c r="F25" s="36">
        <v>80000</v>
      </c>
      <c r="G25" s="36">
        <v>80000</v>
      </c>
      <c r="H25" s="36">
        <v>80000</v>
      </c>
      <c r="I25" s="36">
        <v>80000</v>
      </c>
      <c r="J25" s="36">
        <v>80000</v>
      </c>
      <c r="K25" s="36">
        <v>80000</v>
      </c>
      <c r="L25" s="36">
        <v>80000</v>
      </c>
      <c r="M25" s="36">
        <v>80000</v>
      </c>
      <c r="N25" s="36">
        <v>0</v>
      </c>
      <c r="O25" s="36">
        <v>80000</v>
      </c>
      <c r="P25" s="36">
        <v>80000</v>
      </c>
      <c r="Q25" s="36">
        <v>80000</v>
      </c>
      <c r="R25" s="36">
        <v>80000</v>
      </c>
      <c r="S25" s="36">
        <v>80000</v>
      </c>
      <c r="T25" s="36">
        <v>0</v>
      </c>
      <c r="U25" s="36">
        <v>80000</v>
      </c>
      <c r="V25" s="36">
        <v>80000</v>
      </c>
      <c r="W25" s="36">
        <v>80000</v>
      </c>
      <c r="X25" s="18">
        <f>IFERROR(AVERAGEIF(D25:H25,"&lt;&gt;0"),"")</f>
        <v>80000</v>
      </c>
      <c r="Y25" s="18">
        <f>IFERROR(AVERAGEIF(I25:M25,"&lt;&gt;0"),"")</f>
        <v>80000</v>
      </c>
      <c r="Z25" s="18">
        <f>IFERROR(AVERAGEIF(N25:R25,"&lt;&gt;0"),"")</f>
        <v>80000</v>
      </c>
      <c r="AA25" s="18">
        <f>IFERROR(AVERAGEIF(S25:W25,"&lt;&gt;0"),"")</f>
        <v>80000</v>
      </c>
      <c r="AB25" s="18" t="str">
        <f>IFERROR(AVERAGEIF(#REF!,"&lt;&gt;0"),"")</f>
        <v/>
      </c>
      <c r="AC25" s="18">
        <f>IFERROR(AVERAGEIF(D25:W25,"&lt;&gt;0"),"")</f>
        <v>80000</v>
      </c>
    </row>
    <row r="26" spans="1:29" ht="21.75" customHeight="1" x14ac:dyDescent="0.35">
      <c r="A26" s="8">
        <v>22</v>
      </c>
      <c r="B26" s="9" t="s">
        <v>353</v>
      </c>
      <c r="C26" s="8" t="s">
        <v>450</v>
      </c>
      <c r="D26" s="36">
        <v>2800</v>
      </c>
      <c r="E26" s="36">
        <v>2800</v>
      </c>
      <c r="F26" s="36">
        <v>2800</v>
      </c>
      <c r="G26" s="36">
        <v>2800</v>
      </c>
      <c r="H26" s="36">
        <v>2800</v>
      </c>
      <c r="I26" s="36">
        <v>2800</v>
      </c>
      <c r="J26" s="36">
        <v>2800</v>
      </c>
      <c r="K26" s="36">
        <v>2800</v>
      </c>
      <c r="L26" s="36">
        <v>2800</v>
      </c>
      <c r="M26" s="36">
        <v>2800</v>
      </c>
      <c r="N26" s="36">
        <v>0</v>
      </c>
      <c r="O26" s="36">
        <v>2800</v>
      </c>
      <c r="P26" s="36">
        <v>2800</v>
      </c>
      <c r="Q26" s="36">
        <v>2800</v>
      </c>
      <c r="R26" s="36">
        <v>2800</v>
      </c>
      <c r="S26" s="36">
        <v>2800</v>
      </c>
      <c r="T26" s="36">
        <v>0</v>
      </c>
      <c r="U26" s="36">
        <v>2800</v>
      </c>
      <c r="V26" s="36">
        <v>2800</v>
      </c>
      <c r="W26" s="36">
        <v>2800</v>
      </c>
      <c r="X26" s="18">
        <f>IFERROR(AVERAGEIF(D26:H26,"&lt;&gt;0"),"")</f>
        <v>2800</v>
      </c>
      <c r="Y26" s="18">
        <f>IFERROR(AVERAGEIF(I26:M26,"&lt;&gt;0"),"")</f>
        <v>2800</v>
      </c>
      <c r="Z26" s="18">
        <f>IFERROR(AVERAGEIF(N26:R26,"&lt;&gt;0"),"")</f>
        <v>2800</v>
      </c>
      <c r="AA26" s="18">
        <f>IFERROR(AVERAGEIF(S26:W26,"&lt;&gt;0"),"")</f>
        <v>2800</v>
      </c>
      <c r="AB26" s="18" t="str">
        <f>IFERROR(AVERAGEIF(#REF!,"&lt;&gt;0"),"")</f>
        <v/>
      </c>
      <c r="AC26" s="18">
        <f>IFERROR(AVERAGEIF(D26:W26,"&lt;&gt;0"),"")</f>
        <v>2800</v>
      </c>
    </row>
    <row r="27" spans="1:29" ht="15" customHeight="1" x14ac:dyDescent="0.35">
      <c r="A27" s="8">
        <v>23</v>
      </c>
      <c r="B27" s="9" t="s">
        <v>351</v>
      </c>
      <c r="C27" s="8" t="s">
        <v>403</v>
      </c>
      <c r="D27" s="36">
        <v>32000</v>
      </c>
      <c r="E27" s="36">
        <v>32000</v>
      </c>
      <c r="F27" s="36">
        <v>30000</v>
      </c>
      <c r="G27" s="36">
        <v>30000</v>
      </c>
      <c r="H27" s="36">
        <v>30000</v>
      </c>
      <c r="I27" s="36">
        <v>30000</v>
      </c>
      <c r="J27" s="36">
        <v>30000</v>
      </c>
      <c r="K27" s="36">
        <v>30000</v>
      </c>
      <c r="L27" s="36">
        <v>30000</v>
      </c>
      <c r="M27" s="36">
        <v>30000</v>
      </c>
      <c r="N27" s="36">
        <v>0</v>
      </c>
      <c r="O27" s="36">
        <v>30000</v>
      </c>
      <c r="P27" s="36">
        <v>30000</v>
      </c>
      <c r="Q27" s="36">
        <v>30000</v>
      </c>
      <c r="R27" s="36">
        <v>30000</v>
      </c>
      <c r="S27" s="36">
        <v>30000</v>
      </c>
      <c r="T27" s="36">
        <v>0</v>
      </c>
      <c r="U27" s="36">
        <v>30000</v>
      </c>
      <c r="V27" s="36">
        <v>30000</v>
      </c>
      <c r="W27" s="36">
        <v>30000</v>
      </c>
      <c r="X27" s="18">
        <f>IFERROR(AVERAGEIF(D27:H27,"&lt;&gt;0"),"")</f>
        <v>30800</v>
      </c>
      <c r="Y27" s="18">
        <f>IFERROR(AVERAGEIF(I27:M27,"&lt;&gt;0"),"")</f>
        <v>30000</v>
      </c>
      <c r="Z27" s="18">
        <f>IFERROR(AVERAGEIF(N27:R27,"&lt;&gt;0"),"")</f>
        <v>30000</v>
      </c>
      <c r="AA27" s="18">
        <f>IFERROR(AVERAGEIF(S27:W27,"&lt;&gt;0"),"")</f>
        <v>30000</v>
      </c>
      <c r="AB27" s="18" t="str">
        <f>IFERROR(AVERAGEIF(#REF!,"&lt;&gt;0"),"")</f>
        <v/>
      </c>
      <c r="AC27" s="18">
        <f>IFERROR(AVERAGEIF(D27:W27,"&lt;&gt;0"),"")</f>
        <v>30222.222222222223</v>
      </c>
    </row>
    <row r="28" spans="1:29" ht="15" customHeight="1" x14ac:dyDescent="0.35">
      <c r="A28" s="8">
        <v>24</v>
      </c>
      <c r="B28" s="9" t="s">
        <v>352</v>
      </c>
      <c r="C28" s="8" t="s">
        <v>403</v>
      </c>
      <c r="D28" s="36">
        <v>38000</v>
      </c>
      <c r="E28" s="36">
        <v>38000</v>
      </c>
      <c r="F28" s="36">
        <v>38000</v>
      </c>
      <c r="G28" s="36">
        <v>38000</v>
      </c>
      <c r="H28" s="36">
        <v>38000</v>
      </c>
      <c r="I28" s="36">
        <v>38000</v>
      </c>
      <c r="J28" s="36">
        <v>38000</v>
      </c>
      <c r="K28" s="36">
        <v>38000</v>
      </c>
      <c r="L28" s="36">
        <v>38000</v>
      </c>
      <c r="M28" s="36">
        <v>38000</v>
      </c>
      <c r="N28" s="36">
        <v>0</v>
      </c>
      <c r="O28" s="36">
        <v>38000</v>
      </c>
      <c r="P28" s="36">
        <v>38000</v>
      </c>
      <c r="Q28" s="36">
        <v>38000</v>
      </c>
      <c r="R28" s="36">
        <v>38000</v>
      </c>
      <c r="S28" s="36">
        <v>38000</v>
      </c>
      <c r="T28" s="36">
        <v>0</v>
      </c>
      <c r="U28" s="36">
        <v>38000</v>
      </c>
      <c r="V28" s="36">
        <v>38000</v>
      </c>
      <c r="W28" s="36">
        <v>38000</v>
      </c>
      <c r="X28" s="18">
        <f>IFERROR(AVERAGEIF(D28:H28,"&lt;&gt;0"),"")</f>
        <v>38000</v>
      </c>
      <c r="Y28" s="18">
        <f>IFERROR(AVERAGEIF(I28:M28,"&lt;&gt;0"),"")</f>
        <v>38000</v>
      </c>
      <c r="Z28" s="18">
        <f>IFERROR(AVERAGEIF(N28:R28,"&lt;&gt;0"),"")</f>
        <v>38000</v>
      </c>
      <c r="AA28" s="18">
        <f>IFERROR(AVERAGEIF(S28:W28,"&lt;&gt;0"),"")</f>
        <v>38000</v>
      </c>
      <c r="AB28" s="18" t="str">
        <f>IFERROR(AVERAGEIF(#REF!,"&lt;&gt;0"),"")</f>
        <v/>
      </c>
      <c r="AC28" s="18">
        <f>IFERROR(AVERAGEIF(D28:W28,"&lt;&gt;0"),"")</f>
        <v>38000</v>
      </c>
    </row>
    <row r="29" spans="1:29" ht="15" customHeight="1" x14ac:dyDescent="0.35">
      <c r="A29" s="8">
        <v>25</v>
      </c>
      <c r="B29" s="9" t="s">
        <v>407</v>
      </c>
      <c r="C29" s="8" t="s">
        <v>403</v>
      </c>
      <c r="D29" s="36">
        <v>30000</v>
      </c>
      <c r="E29" s="36">
        <v>30000</v>
      </c>
      <c r="F29" s="36">
        <v>30000</v>
      </c>
      <c r="G29" s="36">
        <v>30000</v>
      </c>
      <c r="H29" s="36">
        <v>30000</v>
      </c>
      <c r="I29" s="36">
        <v>30000</v>
      </c>
      <c r="J29" s="36">
        <v>30000</v>
      </c>
      <c r="K29" s="36">
        <v>30000</v>
      </c>
      <c r="L29" s="36">
        <v>30000</v>
      </c>
      <c r="M29" s="36">
        <v>30000</v>
      </c>
      <c r="N29" s="36">
        <v>0</v>
      </c>
      <c r="O29" s="36">
        <v>30000</v>
      </c>
      <c r="P29" s="36">
        <v>30000</v>
      </c>
      <c r="Q29" s="36">
        <v>30000</v>
      </c>
      <c r="R29" s="36">
        <v>30000</v>
      </c>
      <c r="S29" s="36">
        <v>30000</v>
      </c>
      <c r="T29" s="36">
        <v>0</v>
      </c>
      <c r="U29" s="36">
        <v>30000</v>
      </c>
      <c r="V29" s="36">
        <v>30000</v>
      </c>
      <c r="W29" s="36">
        <v>30000</v>
      </c>
      <c r="X29" s="18">
        <f>IFERROR(AVERAGEIF(D29:H29,"&lt;&gt;0"),"")</f>
        <v>30000</v>
      </c>
      <c r="Y29" s="18">
        <f>IFERROR(AVERAGEIF(I29:M29,"&lt;&gt;0"),"")</f>
        <v>30000</v>
      </c>
      <c r="Z29" s="18">
        <f>IFERROR(AVERAGEIF(N29:R29,"&lt;&gt;0"),"")</f>
        <v>30000</v>
      </c>
      <c r="AA29" s="18">
        <f>IFERROR(AVERAGEIF(S29:W29,"&lt;&gt;0"),"")</f>
        <v>30000</v>
      </c>
      <c r="AB29" s="18" t="str">
        <f>IFERROR(AVERAGEIF(#REF!,"&lt;&gt;0"),"")</f>
        <v/>
      </c>
      <c r="AC29" s="18">
        <f>IFERROR(AVERAGEIF(D29:W29,"&lt;&gt;0"),"")</f>
        <v>30000</v>
      </c>
    </row>
    <row r="30" spans="1:29" ht="15" customHeight="1" x14ac:dyDescent="0.35">
      <c r="A30" s="8">
        <v>26</v>
      </c>
      <c r="B30" s="9" t="s">
        <v>408</v>
      </c>
      <c r="C30" s="8" t="s">
        <v>403</v>
      </c>
      <c r="D30" s="36">
        <v>8000</v>
      </c>
      <c r="E30" s="36">
        <v>8000</v>
      </c>
      <c r="F30" s="36">
        <v>8000</v>
      </c>
      <c r="G30" s="36">
        <v>8000</v>
      </c>
      <c r="H30" s="36">
        <v>8000</v>
      </c>
      <c r="I30" s="36">
        <v>8000</v>
      </c>
      <c r="J30" s="36">
        <v>8000</v>
      </c>
      <c r="K30" s="36">
        <v>8000</v>
      </c>
      <c r="L30" s="36">
        <v>8000</v>
      </c>
      <c r="M30" s="36">
        <v>8000</v>
      </c>
      <c r="N30" s="36">
        <v>0</v>
      </c>
      <c r="O30" s="36">
        <v>8000</v>
      </c>
      <c r="P30" s="36">
        <v>8000</v>
      </c>
      <c r="Q30" s="36">
        <v>8000</v>
      </c>
      <c r="R30" s="36">
        <v>8000</v>
      </c>
      <c r="S30" s="36">
        <v>8000</v>
      </c>
      <c r="T30" s="36">
        <v>0</v>
      </c>
      <c r="U30" s="36">
        <v>8000</v>
      </c>
      <c r="V30" s="36">
        <v>8000</v>
      </c>
      <c r="W30" s="36">
        <v>8000</v>
      </c>
      <c r="X30" s="18">
        <f>IFERROR(AVERAGEIF(D30:H30,"&lt;&gt;0"),"")</f>
        <v>8000</v>
      </c>
      <c r="Y30" s="18">
        <f>IFERROR(AVERAGEIF(I30:M30,"&lt;&gt;0"),"")</f>
        <v>8000</v>
      </c>
      <c r="Z30" s="18">
        <f>IFERROR(AVERAGEIF(N30:R30,"&lt;&gt;0"),"")</f>
        <v>8000</v>
      </c>
      <c r="AA30" s="18">
        <f>IFERROR(AVERAGEIF(S30:W30,"&lt;&gt;0"),"")</f>
        <v>8000</v>
      </c>
      <c r="AB30" s="18" t="str">
        <f>IFERROR(AVERAGEIF(#REF!,"&lt;&gt;0"),"")</f>
        <v/>
      </c>
      <c r="AC30" s="18">
        <f>IFERROR(AVERAGEIF(D30:W30,"&lt;&gt;0"),"")</f>
        <v>8000</v>
      </c>
    </row>
    <row r="31" spans="1:29" ht="15" customHeight="1" x14ac:dyDescent="0.35">
      <c r="A31" s="8">
        <v>27</v>
      </c>
      <c r="B31" s="9" t="s">
        <v>354</v>
      </c>
      <c r="C31" s="8" t="s">
        <v>451</v>
      </c>
      <c r="D31" s="36">
        <v>10500</v>
      </c>
      <c r="E31" s="36">
        <v>10500</v>
      </c>
      <c r="F31" s="36">
        <v>10500</v>
      </c>
      <c r="G31" s="36">
        <v>10500</v>
      </c>
      <c r="H31" s="36">
        <v>10500</v>
      </c>
      <c r="I31" s="36">
        <v>10500</v>
      </c>
      <c r="J31" s="36">
        <v>10500</v>
      </c>
      <c r="K31" s="36">
        <v>10500</v>
      </c>
      <c r="L31" s="36">
        <v>10500</v>
      </c>
      <c r="M31" s="36">
        <v>10500</v>
      </c>
      <c r="N31" s="36">
        <v>0</v>
      </c>
      <c r="O31" s="36">
        <v>10500</v>
      </c>
      <c r="P31" s="36">
        <v>10500</v>
      </c>
      <c r="Q31" s="36">
        <v>10500</v>
      </c>
      <c r="R31" s="36">
        <v>10500</v>
      </c>
      <c r="S31" s="36">
        <v>10500</v>
      </c>
      <c r="T31" s="36">
        <v>0</v>
      </c>
      <c r="U31" s="36">
        <v>10500</v>
      </c>
      <c r="V31" s="36">
        <v>10500</v>
      </c>
      <c r="W31" s="36">
        <v>10500</v>
      </c>
      <c r="X31" s="18">
        <f>IFERROR(AVERAGEIF(D31:H31,"&lt;&gt;0"),"")</f>
        <v>10500</v>
      </c>
      <c r="Y31" s="18">
        <f>IFERROR(AVERAGEIF(I31:M31,"&lt;&gt;0"),"")</f>
        <v>10500</v>
      </c>
      <c r="Z31" s="18">
        <f>IFERROR(AVERAGEIF(N31:R31,"&lt;&gt;0"),"")</f>
        <v>10500</v>
      </c>
      <c r="AA31" s="18">
        <f>IFERROR(AVERAGEIF(S31:W31,"&lt;&gt;0"),"")</f>
        <v>10500</v>
      </c>
      <c r="AB31" s="18" t="str">
        <f>IFERROR(AVERAGEIF(#REF!,"&lt;&gt;0"),"")</f>
        <v/>
      </c>
      <c r="AC31" s="18">
        <f>IFERROR(AVERAGEIF(D31:W31,"&lt;&gt;0"),"")</f>
        <v>10500</v>
      </c>
    </row>
    <row r="32" spans="1:29" ht="15" customHeight="1" x14ac:dyDescent="0.35">
      <c r="A32" s="8">
        <v>28</v>
      </c>
      <c r="B32" s="9" t="s">
        <v>348</v>
      </c>
      <c r="C32" s="8" t="s">
        <v>452</v>
      </c>
      <c r="D32" s="36">
        <v>42000</v>
      </c>
      <c r="E32" s="36">
        <v>42000</v>
      </c>
      <c r="F32" s="36">
        <v>42000</v>
      </c>
      <c r="G32" s="36">
        <v>42000</v>
      </c>
      <c r="H32" s="36">
        <v>42000</v>
      </c>
      <c r="I32" s="36">
        <v>42000</v>
      </c>
      <c r="J32" s="36">
        <v>42000</v>
      </c>
      <c r="K32" s="36">
        <v>42000</v>
      </c>
      <c r="L32" s="36">
        <v>42000</v>
      </c>
      <c r="M32" s="36">
        <v>42000</v>
      </c>
      <c r="N32" s="36">
        <v>0</v>
      </c>
      <c r="O32" s="36">
        <v>42000</v>
      </c>
      <c r="P32" s="36">
        <v>42000</v>
      </c>
      <c r="Q32" s="36">
        <v>42000</v>
      </c>
      <c r="R32" s="36">
        <v>42000</v>
      </c>
      <c r="S32" s="36">
        <v>42000</v>
      </c>
      <c r="T32" s="36">
        <v>0</v>
      </c>
      <c r="U32" s="36">
        <v>42000</v>
      </c>
      <c r="V32" s="36">
        <v>42000</v>
      </c>
      <c r="W32" s="36">
        <v>42000</v>
      </c>
      <c r="X32" s="18">
        <f>IFERROR(AVERAGEIF(D32:H32,"&lt;&gt;0"),"")</f>
        <v>42000</v>
      </c>
      <c r="Y32" s="18">
        <f>IFERROR(AVERAGEIF(I32:M32,"&lt;&gt;0"),"")</f>
        <v>42000</v>
      </c>
      <c r="Z32" s="18">
        <f>IFERROR(AVERAGEIF(N32:R32,"&lt;&gt;0"),"")</f>
        <v>42000</v>
      </c>
      <c r="AA32" s="18">
        <f>IFERROR(AVERAGEIF(S32:W32,"&lt;&gt;0"),"")</f>
        <v>42000</v>
      </c>
      <c r="AB32" s="18" t="str">
        <f>IFERROR(AVERAGEIF(#REF!,"&lt;&gt;0"),"")</f>
        <v/>
      </c>
      <c r="AC32" s="18">
        <f>IFERROR(AVERAGEIF(D32:W32,"&lt;&gt;0"),"")</f>
        <v>42000</v>
      </c>
    </row>
    <row r="33" spans="1:29" ht="15" customHeight="1" x14ac:dyDescent="0.35">
      <c r="A33" s="8">
        <v>29</v>
      </c>
      <c r="B33" s="9" t="s">
        <v>361</v>
      </c>
      <c r="C33" s="8" t="s">
        <v>403</v>
      </c>
      <c r="D33" s="36">
        <v>11000</v>
      </c>
      <c r="E33" s="36">
        <v>11000</v>
      </c>
      <c r="F33" s="36">
        <v>11000</v>
      </c>
      <c r="G33" s="36">
        <v>11000</v>
      </c>
      <c r="H33" s="36">
        <v>11000</v>
      </c>
      <c r="I33" s="36">
        <v>11000</v>
      </c>
      <c r="J33" s="36">
        <v>11000</v>
      </c>
      <c r="K33" s="36">
        <v>11000</v>
      </c>
      <c r="L33" s="36">
        <v>11000</v>
      </c>
      <c r="M33" s="36">
        <v>11000</v>
      </c>
      <c r="N33" s="36">
        <v>0</v>
      </c>
      <c r="O33" s="36">
        <v>11000</v>
      </c>
      <c r="P33" s="36">
        <v>11000</v>
      </c>
      <c r="Q33" s="36">
        <v>11000</v>
      </c>
      <c r="R33" s="36">
        <v>11000</v>
      </c>
      <c r="S33" s="36">
        <v>11000</v>
      </c>
      <c r="T33" s="36">
        <v>0</v>
      </c>
      <c r="U33" s="36">
        <v>11000</v>
      </c>
      <c r="V33" s="36">
        <v>11000</v>
      </c>
      <c r="W33" s="36">
        <v>11000</v>
      </c>
      <c r="X33" s="18">
        <f>IFERROR(AVERAGEIF(D33:H33,"&lt;&gt;0"),"")</f>
        <v>11000</v>
      </c>
      <c r="Y33" s="18">
        <f>IFERROR(AVERAGEIF(I33:M33,"&lt;&gt;0"),"")</f>
        <v>11000</v>
      </c>
      <c r="Z33" s="18">
        <f>IFERROR(AVERAGEIF(N33:R33,"&lt;&gt;0"),"")</f>
        <v>11000</v>
      </c>
      <c r="AA33" s="18">
        <f>IFERROR(AVERAGEIF(S33:W33,"&lt;&gt;0"),"")</f>
        <v>11000</v>
      </c>
      <c r="AB33" s="18" t="str">
        <f>IFERROR(AVERAGEIF(#REF!,"&lt;&gt;0"),"")</f>
        <v/>
      </c>
      <c r="AC33" s="18">
        <f>IFERROR(AVERAGEIF(D33:W33,"&lt;&gt;0"),"")</f>
        <v>11000</v>
      </c>
    </row>
    <row r="34" spans="1:29" ht="15" customHeight="1" x14ac:dyDescent="0.35">
      <c r="A34" s="8">
        <v>30</v>
      </c>
      <c r="B34" s="9" t="s">
        <v>334</v>
      </c>
      <c r="C34" s="8" t="s">
        <v>403</v>
      </c>
      <c r="D34" s="36">
        <v>6000</v>
      </c>
      <c r="E34" s="36">
        <v>6000</v>
      </c>
      <c r="F34" s="36">
        <v>6000</v>
      </c>
      <c r="G34" s="36">
        <v>6000</v>
      </c>
      <c r="H34" s="36">
        <v>6000</v>
      </c>
      <c r="I34" s="36">
        <v>6000</v>
      </c>
      <c r="J34" s="36">
        <v>6000</v>
      </c>
      <c r="K34" s="36">
        <v>6000</v>
      </c>
      <c r="L34" s="36">
        <v>6000</v>
      </c>
      <c r="M34" s="36">
        <v>6000</v>
      </c>
      <c r="N34" s="36">
        <v>0</v>
      </c>
      <c r="O34" s="36">
        <v>6000</v>
      </c>
      <c r="P34" s="36">
        <v>6000</v>
      </c>
      <c r="Q34" s="36">
        <v>6000</v>
      </c>
      <c r="R34" s="36">
        <v>6000</v>
      </c>
      <c r="S34" s="36">
        <v>6000</v>
      </c>
      <c r="T34" s="36">
        <v>0</v>
      </c>
      <c r="U34" s="36">
        <v>6000</v>
      </c>
      <c r="V34" s="36">
        <v>6000</v>
      </c>
      <c r="W34" s="36">
        <v>6000</v>
      </c>
      <c r="X34" s="18">
        <f>IFERROR(AVERAGEIF(D34:H34,"&lt;&gt;0"),"")</f>
        <v>6000</v>
      </c>
      <c r="Y34" s="18">
        <f>IFERROR(AVERAGEIF(I34:M34,"&lt;&gt;0"),"")</f>
        <v>6000</v>
      </c>
      <c r="Z34" s="18">
        <f>IFERROR(AVERAGEIF(N34:R34,"&lt;&gt;0"),"")</f>
        <v>6000</v>
      </c>
      <c r="AA34" s="18">
        <f>IFERROR(AVERAGEIF(S34:W34,"&lt;&gt;0"),"")</f>
        <v>6000</v>
      </c>
      <c r="AB34" s="18" t="str">
        <f>IFERROR(AVERAGEIF(#REF!,"&lt;&gt;0"),"")</f>
        <v/>
      </c>
      <c r="AC34" s="18">
        <f>IFERROR(AVERAGEIF(D34:W34,"&lt;&gt;0"),"")</f>
        <v>6000</v>
      </c>
    </row>
    <row r="35" spans="1:29" ht="15" customHeight="1" x14ac:dyDescent="0.35">
      <c r="A35" s="8">
        <v>31</v>
      </c>
      <c r="B35" s="9" t="s">
        <v>339</v>
      </c>
      <c r="C35" s="8" t="s">
        <v>403</v>
      </c>
      <c r="D35" s="36">
        <v>70000</v>
      </c>
      <c r="E35" s="36">
        <v>70000</v>
      </c>
      <c r="F35" s="36">
        <v>70000</v>
      </c>
      <c r="G35" s="36">
        <v>70000</v>
      </c>
      <c r="H35" s="36">
        <v>70000</v>
      </c>
      <c r="I35" s="36">
        <v>70000</v>
      </c>
      <c r="J35" s="36">
        <v>70000</v>
      </c>
      <c r="K35" s="36">
        <v>70000</v>
      </c>
      <c r="L35" s="36">
        <v>70000</v>
      </c>
      <c r="M35" s="36">
        <v>70000</v>
      </c>
      <c r="N35" s="36">
        <v>0</v>
      </c>
      <c r="O35" s="36">
        <v>70000</v>
      </c>
      <c r="P35" s="36">
        <v>70000</v>
      </c>
      <c r="Q35" s="36">
        <v>70000</v>
      </c>
      <c r="R35" s="36">
        <v>70000</v>
      </c>
      <c r="S35" s="36">
        <v>70000</v>
      </c>
      <c r="T35" s="36">
        <v>0</v>
      </c>
      <c r="U35" s="36">
        <v>70000</v>
      </c>
      <c r="V35" s="36">
        <v>70000</v>
      </c>
      <c r="W35" s="36">
        <v>70000</v>
      </c>
      <c r="X35" s="18">
        <f>IFERROR(AVERAGEIF(D35:H35,"&lt;&gt;0"),"")</f>
        <v>70000</v>
      </c>
      <c r="Y35" s="18">
        <f>IFERROR(AVERAGEIF(I35:M35,"&lt;&gt;0"),"")</f>
        <v>70000</v>
      </c>
      <c r="Z35" s="18">
        <f>IFERROR(AVERAGEIF(N35:R35,"&lt;&gt;0"),"")</f>
        <v>70000</v>
      </c>
      <c r="AA35" s="18">
        <f>IFERROR(AVERAGEIF(S35:W35,"&lt;&gt;0"),"")</f>
        <v>70000</v>
      </c>
      <c r="AB35" s="18" t="str">
        <f>IFERROR(AVERAGEIF(#REF!,"&lt;&gt;0"),"")</f>
        <v/>
      </c>
      <c r="AC35" s="18">
        <f>IFERROR(AVERAGEIF(D35:W35,"&lt;&gt;0"),"")</f>
        <v>70000</v>
      </c>
    </row>
    <row r="36" spans="1:29" ht="15" customHeight="1" x14ac:dyDescent="0.35">
      <c r="A36" s="8">
        <v>32</v>
      </c>
      <c r="B36" s="9" t="s">
        <v>341</v>
      </c>
      <c r="C36" s="8" t="s">
        <v>403</v>
      </c>
      <c r="D36" s="36">
        <v>12000</v>
      </c>
      <c r="E36" s="36">
        <v>12000</v>
      </c>
      <c r="F36" s="36">
        <v>12000</v>
      </c>
      <c r="G36" s="36">
        <v>12000</v>
      </c>
      <c r="H36" s="36">
        <v>12000</v>
      </c>
      <c r="I36" s="36">
        <v>12000</v>
      </c>
      <c r="J36" s="36">
        <v>12000</v>
      </c>
      <c r="K36" s="36">
        <v>12000</v>
      </c>
      <c r="L36" s="36">
        <v>12000</v>
      </c>
      <c r="M36" s="36">
        <v>12000</v>
      </c>
      <c r="N36" s="36">
        <v>0</v>
      </c>
      <c r="O36" s="36">
        <v>12000</v>
      </c>
      <c r="P36" s="36">
        <v>12000</v>
      </c>
      <c r="Q36" s="36">
        <v>12000</v>
      </c>
      <c r="R36" s="36">
        <v>12000</v>
      </c>
      <c r="S36" s="36">
        <v>12000</v>
      </c>
      <c r="T36" s="36">
        <v>0</v>
      </c>
      <c r="U36" s="36">
        <v>12000</v>
      </c>
      <c r="V36" s="36">
        <v>12000</v>
      </c>
      <c r="W36" s="36">
        <v>12000</v>
      </c>
      <c r="X36" s="18">
        <f>IFERROR(AVERAGEIF(D36:H36,"&lt;&gt;0"),"")</f>
        <v>12000</v>
      </c>
      <c r="Y36" s="18">
        <f>IFERROR(AVERAGEIF(I36:M36,"&lt;&gt;0"),"")</f>
        <v>12000</v>
      </c>
      <c r="Z36" s="18">
        <f>IFERROR(AVERAGEIF(N36:R36,"&lt;&gt;0"),"")</f>
        <v>12000</v>
      </c>
      <c r="AA36" s="18">
        <f>IFERROR(AVERAGEIF(S36:W36,"&lt;&gt;0"),"")</f>
        <v>12000</v>
      </c>
      <c r="AB36" s="18" t="str">
        <f>IFERROR(AVERAGEIF(#REF!,"&lt;&gt;0"),"")</f>
        <v/>
      </c>
      <c r="AC36" s="18">
        <f>IFERROR(AVERAGEIF(D36:W36,"&lt;&gt;0"),"")</f>
        <v>12000</v>
      </c>
    </row>
    <row r="37" spans="1:29" ht="15" customHeight="1" x14ac:dyDescent="0.35">
      <c r="A37" s="8">
        <v>33</v>
      </c>
      <c r="B37" s="9" t="s">
        <v>362</v>
      </c>
      <c r="C37" s="8" t="s">
        <v>403</v>
      </c>
      <c r="D37" s="36">
        <v>8000</v>
      </c>
      <c r="E37" s="36">
        <v>8000</v>
      </c>
      <c r="F37" s="36">
        <v>8000</v>
      </c>
      <c r="G37" s="36">
        <v>8000</v>
      </c>
      <c r="H37" s="36">
        <v>8000</v>
      </c>
      <c r="I37" s="36">
        <v>8000</v>
      </c>
      <c r="J37" s="36">
        <v>8000</v>
      </c>
      <c r="K37" s="36">
        <v>8000</v>
      </c>
      <c r="L37" s="36">
        <v>8000</v>
      </c>
      <c r="M37" s="36">
        <v>8000</v>
      </c>
      <c r="N37" s="36">
        <v>0</v>
      </c>
      <c r="O37" s="36">
        <v>8000</v>
      </c>
      <c r="P37" s="36">
        <v>8000</v>
      </c>
      <c r="Q37" s="36">
        <v>8000</v>
      </c>
      <c r="R37" s="36">
        <v>8000</v>
      </c>
      <c r="S37" s="36">
        <v>8000</v>
      </c>
      <c r="T37" s="36">
        <v>0</v>
      </c>
      <c r="U37" s="36">
        <v>8000</v>
      </c>
      <c r="V37" s="36">
        <v>8000</v>
      </c>
      <c r="W37" s="36">
        <v>8000</v>
      </c>
      <c r="X37" s="18">
        <f>IFERROR(AVERAGEIF(D37:H37,"&lt;&gt;0"),"")</f>
        <v>8000</v>
      </c>
      <c r="Y37" s="18">
        <f>IFERROR(AVERAGEIF(I37:M37,"&lt;&gt;0"),"")</f>
        <v>8000</v>
      </c>
      <c r="Z37" s="18">
        <f>IFERROR(AVERAGEIF(N37:R37,"&lt;&gt;0"),"")</f>
        <v>8000</v>
      </c>
      <c r="AA37" s="18">
        <f>IFERROR(AVERAGEIF(S37:W37,"&lt;&gt;0"),"")</f>
        <v>8000</v>
      </c>
      <c r="AB37" s="18" t="str">
        <f>IFERROR(AVERAGEIF(#REF!,"&lt;&gt;0"),"")</f>
        <v/>
      </c>
      <c r="AC37" s="18">
        <f>IFERROR(AVERAGEIF(D37:W37,"&lt;&gt;0"),"")</f>
        <v>8000</v>
      </c>
    </row>
    <row r="38" spans="1:29" ht="15" customHeight="1" x14ac:dyDescent="0.35">
      <c r="A38" s="8">
        <v>34</v>
      </c>
      <c r="B38" s="9" t="s">
        <v>409</v>
      </c>
      <c r="C38" s="8" t="s">
        <v>403</v>
      </c>
      <c r="D38" s="36">
        <v>8000</v>
      </c>
      <c r="E38" s="36">
        <v>8000</v>
      </c>
      <c r="F38" s="36">
        <v>8000</v>
      </c>
      <c r="G38" s="36">
        <v>8000</v>
      </c>
      <c r="H38" s="36">
        <v>8000</v>
      </c>
      <c r="I38" s="36">
        <v>8000</v>
      </c>
      <c r="J38" s="36">
        <v>8000</v>
      </c>
      <c r="K38" s="36">
        <v>8000</v>
      </c>
      <c r="L38" s="36">
        <v>8000</v>
      </c>
      <c r="M38" s="36">
        <v>8000</v>
      </c>
      <c r="N38" s="36">
        <v>0</v>
      </c>
      <c r="O38" s="36">
        <v>8000</v>
      </c>
      <c r="P38" s="36">
        <v>8000</v>
      </c>
      <c r="Q38" s="36">
        <v>8000</v>
      </c>
      <c r="R38" s="36">
        <v>8000</v>
      </c>
      <c r="S38" s="36">
        <v>8000</v>
      </c>
      <c r="T38" s="36">
        <v>0</v>
      </c>
      <c r="U38" s="36">
        <v>8000</v>
      </c>
      <c r="V38" s="36">
        <v>8000</v>
      </c>
      <c r="W38" s="36">
        <v>8000</v>
      </c>
      <c r="X38" s="18">
        <f>IFERROR(AVERAGEIF(D38:H38,"&lt;&gt;0"),"")</f>
        <v>8000</v>
      </c>
      <c r="Y38" s="18">
        <f>IFERROR(AVERAGEIF(I38:M38,"&lt;&gt;0"),"")</f>
        <v>8000</v>
      </c>
      <c r="Z38" s="18">
        <f>IFERROR(AVERAGEIF(N38:R38,"&lt;&gt;0"),"")</f>
        <v>8000</v>
      </c>
      <c r="AA38" s="18">
        <f>IFERROR(AVERAGEIF(S38:W38,"&lt;&gt;0"),"")</f>
        <v>8000</v>
      </c>
      <c r="AB38" s="18" t="str">
        <f>IFERROR(AVERAGEIF(#REF!,"&lt;&gt;0"),"")</f>
        <v/>
      </c>
      <c r="AC38" s="18">
        <f>IFERROR(AVERAGEIF(D38:W38,"&lt;&gt;0"),"")</f>
        <v>8000</v>
      </c>
    </row>
    <row r="39" spans="1:29" ht="15" customHeight="1" x14ac:dyDescent="0.35">
      <c r="A39" s="8">
        <v>35</v>
      </c>
      <c r="B39" s="9" t="s">
        <v>410</v>
      </c>
      <c r="C39" s="8" t="s">
        <v>403</v>
      </c>
      <c r="D39" s="36">
        <v>15000</v>
      </c>
      <c r="E39" s="36">
        <v>15000</v>
      </c>
      <c r="F39" s="36">
        <v>15000</v>
      </c>
      <c r="G39" s="36">
        <v>15000</v>
      </c>
      <c r="H39" s="36">
        <v>15000</v>
      </c>
      <c r="I39" s="36">
        <v>15000</v>
      </c>
      <c r="J39" s="36">
        <v>15000</v>
      </c>
      <c r="K39" s="36">
        <v>15000</v>
      </c>
      <c r="L39" s="36">
        <v>15000</v>
      </c>
      <c r="M39" s="36">
        <v>15000</v>
      </c>
      <c r="N39" s="36">
        <v>0</v>
      </c>
      <c r="O39" s="36">
        <v>15000</v>
      </c>
      <c r="P39" s="36">
        <v>15000</v>
      </c>
      <c r="Q39" s="36">
        <v>15000</v>
      </c>
      <c r="R39" s="36">
        <v>15000</v>
      </c>
      <c r="S39" s="36">
        <v>15000</v>
      </c>
      <c r="T39" s="36">
        <v>0</v>
      </c>
      <c r="U39" s="36">
        <v>15000</v>
      </c>
      <c r="V39" s="36">
        <v>15000</v>
      </c>
      <c r="W39" s="36">
        <v>15000</v>
      </c>
      <c r="X39" s="18">
        <f>IFERROR(AVERAGEIF(D39:H39,"&lt;&gt;0"),"")</f>
        <v>15000</v>
      </c>
      <c r="Y39" s="18">
        <f>IFERROR(AVERAGEIF(I39:M39,"&lt;&gt;0"),"")</f>
        <v>15000</v>
      </c>
      <c r="Z39" s="18">
        <f>IFERROR(AVERAGEIF(N39:R39,"&lt;&gt;0"),"")</f>
        <v>15000</v>
      </c>
      <c r="AA39" s="18">
        <f>IFERROR(AVERAGEIF(S39:W39,"&lt;&gt;0"),"")</f>
        <v>15000</v>
      </c>
      <c r="AB39" s="18" t="str">
        <f>IFERROR(AVERAGEIF(#REF!,"&lt;&gt;0"),"")</f>
        <v/>
      </c>
      <c r="AC39" s="18">
        <f>IFERROR(AVERAGEIF(D39:W39,"&lt;&gt;0"),"")</f>
        <v>15000</v>
      </c>
    </row>
    <row r="40" spans="1:29" ht="15" customHeight="1" x14ac:dyDescent="0.35">
      <c r="A40" s="8">
        <v>36</v>
      </c>
      <c r="B40" s="9" t="s">
        <v>411</v>
      </c>
      <c r="C40" s="8" t="s">
        <v>403</v>
      </c>
      <c r="D40" s="36">
        <v>10000</v>
      </c>
      <c r="E40" s="36">
        <v>10000</v>
      </c>
      <c r="F40" s="36">
        <v>10000</v>
      </c>
      <c r="G40" s="36">
        <v>10000</v>
      </c>
      <c r="H40" s="36">
        <v>10000</v>
      </c>
      <c r="I40" s="36">
        <v>10000</v>
      </c>
      <c r="J40" s="36">
        <v>10000</v>
      </c>
      <c r="K40" s="36">
        <v>10000</v>
      </c>
      <c r="L40" s="36">
        <v>10000</v>
      </c>
      <c r="M40" s="36">
        <v>10000</v>
      </c>
      <c r="N40" s="36">
        <v>0</v>
      </c>
      <c r="O40" s="36">
        <v>10000</v>
      </c>
      <c r="P40" s="36">
        <v>10000</v>
      </c>
      <c r="Q40" s="36">
        <v>10000</v>
      </c>
      <c r="R40" s="36">
        <v>10000</v>
      </c>
      <c r="S40" s="36">
        <v>10000</v>
      </c>
      <c r="T40" s="36">
        <v>0</v>
      </c>
      <c r="U40" s="36">
        <v>10000</v>
      </c>
      <c r="V40" s="36">
        <v>10000</v>
      </c>
      <c r="W40" s="36">
        <v>10000</v>
      </c>
      <c r="X40" s="18">
        <f>IFERROR(AVERAGEIF(D40:H40,"&lt;&gt;0"),"")</f>
        <v>10000</v>
      </c>
      <c r="Y40" s="18">
        <f>IFERROR(AVERAGEIF(I40:M40,"&lt;&gt;0"),"")</f>
        <v>10000</v>
      </c>
      <c r="Z40" s="18">
        <f>IFERROR(AVERAGEIF(N40:R40,"&lt;&gt;0"),"")</f>
        <v>10000</v>
      </c>
      <c r="AA40" s="18">
        <f>IFERROR(AVERAGEIF(S40:W40,"&lt;&gt;0"),"")</f>
        <v>10000</v>
      </c>
      <c r="AB40" s="18" t="str">
        <f>IFERROR(AVERAGEIF(#REF!,"&lt;&gt;0"),"")</f>
        <v/>
      </c>
      <c r="AC40" s="18">
        <f>IFERROR(AVERAGEIF(D40:W40,"&lt;&gt;0"),"")</f>
        <v>10000</v>
      </c>
    </row>
    <row r="41" spans="1:29" ht="15" customHeight="1" x14ac:dyDescent="0.35">
      <c r="A41" s="8">
        <v>37</v>
      </c>
      <c r="B41" s="9" t="s">
        <v>412</v>
      </c>
      <c r="C41" s="8" t="s">
        <v>403</v>
      </c>
      <c r="D41" s="36">
        <v>5000</v>
      </c>
      <c r="E41" s="36">
        <v>5000</v>
      </c>
      <c r="F41" s="36">
        <v>5000</v>
      </c>
      <c r="G41" s="36">
        <v>5000</v>
      </c>
      <c r="H41" s="36">
        <v>5000</v>
      </c>
      <c r="I41" s="36">
        <v>5000</v>
      </c>
      <c r="J41" s="36">
        <v>5000</v>
      </c>
      <c r="K41" s="36">
        <v>5000</v>
      </c>
      <c r="L41" s="36">
        <v>5000</v>
      </c>
      <c r="M41" s="36">
        <v>5000</v>
      </c>
      <c r="N41" s="36">
        <v>0</v>
      </c>
      <c r="O41" s="36">
        <v>5000</v>
      </c>
      <c r="P41" s="36">
        <v>5000</v>
      </c>
      <c r="Q41" s="36">
        <v>5000</v>
      </c>
      <c r="R41" s="36">
        <v>5000</v>
      </c>
      <c r="S41" s="36">
        <v>5000</v>
      </c>
      <c r="T41" s="36">
        <v>0</v>
      </c>
      <c r="U41" s="36">
        <v>5000</v>
      </c>
      <c r="V41" s="36">
        <v>5000</v>
      </c>
      <c r="W41" s="36">
        <v>5000</v>
      </c>
      <c r="X41" s="18">
        <f>IFERROR(AVERAGEIF(D41:H41,"&lt;&gt;0"),"")</f>
        <v>5000</v>
      </c>
      <c r="Y41" s="18">
        <f>IFERROR(AVERAGEIF(I41:M41,"&lt;&gt;0"),"")</f>
        <v>5000</v>
      </c>
      <c r="Z41" s="18">
        <f>IFERROR(AVERAGEIF(N41:R41,"&lt;&gt;0"),"")</f>
        <v>5000</v>
      </c>
      <c r="AA41" s="18">
        <f>IFERROR(AVERAGEIF(S41:W41,"&lt;&gt;0"),"")</f>
        <v>5000</v>
      </c>
      <c r="AB41" s="18" t="str">
        <f>IFERROR(AVERAGEIF(#REF!,"&lt;&gt;0"),"")</f>
        <v/>
      </c>
      <c r="AC41" s="18">
        <f>IFERROR(AVERAGEIF(D41:W41,"&lt;&gt;0"),"")</f>
        <v>5000</v>
      </c>
    </row>
    <row r="42" spans="1:29" ht="15" customHeight="1" x14ac:dyDescent="0.35">
      <c r="A42" s="8">
        <v>38</v>
      </c>
      <c r="B42" s="9" t="s">
        <v>413</v>
      </c>
      <c r="C42" s="8" t="s">
        <v>403</v>
      </c>
      <c r="D42" s="36">
        <v>7000</v>
      </c>
      <c r="E42" s="36">
        <v>7000</v>
      </c>
      <c r="F42" s="36">
        <v>7000</v>
      </c>
      <c r="G42" s="36">
        <v>7000</v>
      </c>
      <c r="H42" s="36">
        <v>7000</v>
      </c>
      <c r="I42" s="36">
        <v>7000</v>
      </c>
      <c r="J42" s="36">
        <v>7000</v>
      </c>
      <c r="K42" s="36">
        <v>7000</v>
      </c>
      <c r="L42" s="36">
        <v>7000</v>
      </c>
      <c r="M42" s="36">
        <v>7000</v>
      </c>
      <c r="N42" s="36">
        <v>0</v>
      </c>
      <c r="O42" s="36">
        <v>7000</v>
      </c>
      <c r="P42" s="36">
        <v>7000</v>
      </c>
      <c r="Q42" s="36">
        <v>7000</v>
      </c>
      <c r="R42" s="36">
        <v>7000</v>
      </c>
      <c r="S42" s="36">
        <v>7000</v>
      </c>
      <c r="T42" s="36">
        <v>0</v>
      </c>
      <c r="U42" s="36">
        <v>7000</v>
      </c>
      <c r="V42" s="36">
        <v>7000</v>
      </c>
      <c r="W42" s="36">
        <v>7000</v>
      </c>
      <c r="X42" s="18">
        <f>IFERROR(AVERAGEIF(D42:H42,"&lt;&gt;0"),"")</f>
        <v>7000</v>
      </c>
      <c r="Y42" s="18">
        <f>IFERROR(AVERAGEIF(I42:M42,"&lt;&gt;0"),"")</f>
        <v>7000</v>
      </c>
      <c r="Z42" s="18">
        <f>IFERROR(AVERAGEIF(N42:R42,"&lt;&gt;0"),"")</f>
        <v>7000</v>
      </c>
      <c r="AA42" s="18">
        <f>IFERROR(AVERAGEIF(S42:W42,"&lt;&gt;0"),"")</f>
        <v>7000</v>
      </c>
      <c r="AB42" s="18" t="str">
        <f>IFERROR(AVERAGEIF(#REF!,"&lt;&gt;0"),"")</f>
        <v/>
      </c>
      <c r="AC42" s="18">
        <f>IFERROR(AVERAGEIF(D42:W42,"&lt;&gt;0"),"")</f>
        <v>7000</v>
      </c>
    </row>
    <row r="43" spans="1:29" ht="15" customHeight="1" x14ac:dyDescent="0.35">
      <c r="A43" s="8">
        <v>39</v>
      </c>
      <c r="B43" s="9" t="s">
        <v>414</v>
      </c>
      <c r="C43" s="8" t="s">
        <v>403</v>
      </c>
      <c r="D43" s="36">
        <v>6000</v>
      </c>
      <c r="E43" s="36">
        <v>6000</v>
      </c>
      <c r="F43" s="36">
        <v>6000</v>
      </c>
      <c r="G43" s="36">
        <v>6000</v>
      </c>
      <c r="H43" s="36">
        <v>6000</v>
      </c>
      <c r="I43" s="36">
        <v>6000</v>
      </c>
      <c r="J43" s="36">
        <v>6000</v>
      </c>
      <c r="K43" s="36">
        <v>6000</v>
      </c>
      <c r="L43" s="36">
        <v>6000</v>
      </c>
      <c r="M43" s="36">
        <v>6000</v>
      </c>
      <c r="N43" s="36">
        <v>0</v>
      </c>
      <c r="O43" s="36">
        <v>6000</v>
      </c>
      <c r="P43" s="36">
        <v>6000</v>
      </c>
      <c r="Q43" s="36">
        <v>6000</v>
      </c>
      <c r="R43" s="36">
        <v>6000</v>
      </c>
      <c r="S43" s="36">
        <v>6000</v>
      </c>
      <c r="T43" s="36">
        <v>0</v>
      </c>
      <c r="U43" s="36">
        <v>6000</v>
      </c>
      <c r="V43" s="36">
        <v>6000</v>
      </c>
      <c r="W43" s="36">
        <v>6000</v>
      </c>
      <c r="X43" s="18">
        <f>IFERROR(AVERAGEIF(D43:H43,"&lt;&gt;0"),"")</f>
        <v>6000</v>
      </c>
      <c r="Y43" s="18">
        <f>IFERROR(AVERAGEIF(I43:M43,"&lt;&gt;0"),"")</f>
        <v>6000</v>
      </c>
      <c r="Z43" s="18">
        <f>IFERROR(AVERAGEIF(N43:R43,"&lt;&gt;0"),"")</f>
        <v>6000</v>
      </c>
      <c r="AA43" s="18">
        <f>IFERROR(AVERAGEIF(S43:W43,"&lt;&gt;0"),"")</f>
        <v>6000</v>
      </c>
      <c r="AB43" s="18" t="str">
        <f>IFERROR(AVERAGEIF(#REF!,"&lt;&gt;0"),"")</f>
        <v/>
      </c>
      <c r="AC43" s="18">
        <f>IFERROR(AVERAGEIF(D43:W43,"&lt;&gt;0"),"")</f>
        <v>6000</v>
      </c>
    </row>
    <row r="44" spans="1:29" ht="15" customHeight="1" x14ac:dyDescent="0.35">
      <c r="A44" s="8">
        <v>40</v>
      </c>
      <c r="B44" s="9" t="s">
        <v>415</v>
      </c>
      <c r="C44" s="8" t="s">
        <v>403</v>
      </c>
      <c r="D44" s="36">
        <v>5000</v>
      </c>
      <c r="E44" s="36">
        <v>5000</v>
      </c>
      <c r="F44" s="36">
        <v>5000</v>
      </c>
      <c r="G44" s="36">
        <v>5000</v>
      </c>
      <c r="H44" s="36">
        <v>5000</v>
      </c>
      <c r="I44" s="36">
        <v>5000</v>
      </c>
      <c r="J44" s="36">
        <v>5000</v>
      </c>
      <c r="K44" s="36">
        <v>5000</v>
      </c>
      <c r="L44" s="36">
        <v>5000</v>
      </c>
      <c r="M44" s="36">
        <v>5000</v>
      </c>
      <c r="N44" s="36">
        <v>0</v>
      </c>
      <c r="O44" s="36">
        <v>5000</v>
      </c>
      <c r="P44" s="36">
        <v>5000</v>
      </c>
      <c r="Q44" s="36">
        <v>5000</v>
      </c>
      <c r="R44" s="36">
        <v>5000</v>
      </c>
      <c r="S44" s="36">
        <v>5000</v>
      </c>
      <c r="T44" s="36">
        <v>0</v>
      </c>
      <c r="U44" s="36">
        <v>5000</v>
      </c>
      <c r="V44" s="36">
        <v>5000</v>
      </c>
      <c r="W44" s="36">
        <v>5000</v>
      </c>
      <c r="X44" s="18">
        <f>IFERROR(AVERAGEIF(D44:H44,"&lt;&gt;0"),"")</f>
        <v>5000</v>
      </c>
      <c r="Y44" s="18">
        <f>IFERROR(AVERAGEIF(I44:M44,"&lt;&gt;0"),"")</f>
        <v>5000</v>
      </c>
      <c r="Z44" s="18">
        <f>IFERROR(AVERAGEIF(N44:R44,"&lt;&gt;0"),"")</f>
        <v>5000</v>
      </c>
      <c r="AA44" s="18">
        <f>IFERROR(AVERAGEIF(S44:W44,"&lt;&gt;0"),"")</f>
        <v>5000</v>
      </c>
      <c r="AB44" s="18" t="str">
        <f>IFERROR(AVERAGEIF(#REF!,"&lt;&gt;0"),"")</f>
        <v/>
      </c>
      <c r="AC44" s="18">
        <f>IFERROR(AVERAGEIF(D44:W44,"&lt;&gt;0"),"")</f>
        <v>5000</v>
      </c>
    </row>
    <row r="45" spans="1:29" ht="15" customHeight="1" x14ac:dyDescent="0.35">
      <c r="A45" s="8">
        <v>41</v>
      </c>
      <c r="B45" s="9" t="s">
        <v>416</v>
      </c>
      <c r="C45" s="8" t="s">
        <v>453</v>
      </c>
      <c r="D45" s="36">
        <v>65000</v>
      </c>
      <c r="E45" s="36">
        <v>65000</v>
      </c>
      <c r="F45" s="36">
        <v>65000</v>
      </c>
      <c r="G45" s="36">
        <v>65000</v>
      </c>
      <c r="H45" s="36">
        <v>65000</v>
      </c>
      <c r="I45" s="36">
        <v>65000</v>
      </c>
      <c r="J45" s="36">
        <v>65000</v>
      </c>
      <c r="K45" s="36">
        <v>65000</v>
      </c>
      <c r="L45" s="36">
        <v>65000</v>
      </c>
      <c r="M45" s="36">
        <v>65000</v>
      </c>
      <c r="N45" s="36">
        <v>0</v>
      </c>
      <c r="O45" s="36">
        <v>65000</v>
      </c>
      <c r="P45" s="36">
        <v>65000</v>
      </c>
      <c r="Q45" s="36">
        <v>65000</v>
      </c>
      <c r="R45" s="36">
        <v>65000</v>
      </c>
      <c r="S45" s="36">
        <v>65000</v>
      </c>
      <c r="T45" s="36">
        <v>0</v>
      </c>
      <c r="U45" s="36">
        <v>65000</v>
      </c>
      <c r="V45" s="36">
        <v>65000</v>
      </c>
      <c r="W45" s="36">
        <v>65000</v>
      </c>
      <c r="X45" s="18">
        <f>IFERROR(AVERAGEIF(D45:H45,"&lt;&gt;0"),"")</f>
        <v>65000</v>
      </c>
      <c r="Y45" s="18">
        <f>IFERROR(AVERAGEIF(I45:M45,"&lt;&gt;0"),"")</f>
        <v>65000</v>
      </c>
      <c r="Z45" s="18">
        <f>IFERROR(AVERAGEIF(N45:R45,"&lt;&gt;0"),"")</f>
        <v>65000</v>
      </c>
      <c r="AA45" s="18">
        <f>IFERROR(AVERAGEIF(S45:W45,"&lt;&gt;0"),"")</f>
        <v>65000</v>
      </c>
      <c r="AB45" s="18" t="str">
        <f>IFERROR(AVERAGEIF(#REF!,"&lt;&gt;0"),"")</f>
        <v/>
      </c>
      <c r="AC45" s="18">
        <f>IFERROR(AVERAGEIF(D45:W45,"&lt;&gt;0"),"")</f>
        <v>65000</v>
      </c>
    </row>
    <row r="46" spans="1:29" ht="15" customHeight="1" x14ac:dyDescent="0.35">
      <c r="A46" s="8">
        <v>42</v>
      </c>
      <c r="B46" s="9" t="s">
        <v>417</v>
      </c>
      <c r="C46" s="8" t="s">
        <v>403</v>
      </c>
      <c r="D46" s="36">
        <v>40000</v>
      </c>
      <c r="E46" s="36">
        <v>40000</v>
      </c>
      <c r="F46" s="36">
        <v>40000</v>
      </c>
      <c r="G46" s="36">
        <v>40000</v>
      </c>
      <c r="H46" s="36">
        <v>40000</v>
      </c>
      <c r="I46" s="36">
        <v>40000</v>
      </c>
      <c r="J46" s="36">
        <v>40000</v>
      </c>
      <c r="K46" s="36">
        <v>40000</v>
      </c>
      <c r="L46" s="36">
        <v>40000</v>
      </c>
      <c r="M46" s="36">
        <v>40000</v>
      </c>
      <c r="N46" s="36">
        <v>0</v>
      </c>
      <c r="O46" s="36">
        <v>40000</v>
      </c>
      <c r="P46" s="36">
        <v>40000</v>
      </c>
      <c r="Q46" s="36">
        <v>40000</v>
      </c>
      <c r="R46" s="36">
        <v>40000</v>
      </c>
      <c r="S46" s="36">
        <v>40000</v>
      </c>
      <c r="T46" s="36">
        <v>0</v>
      </c>
      <c r="U46" s="36">
        <v>40000</v>
      </c>
      <c r="V46" s="36">
        <v>40000</v>
      </c>
      <c r="W46" s="36">
        <v>40000</v>
      </c>
      <c r="X46" s="18">
        <f>IFERROR(AVERAGEIF(D46:H46,"&lt;&gt;0"),"")</f>
        <v>40000</v>
      </c>
      <c r="Y46" s="18">
        <f>IFERROR(AVERAGEIF(I46:M46,"&lt;&gt;0"),"")</f>
        <v>40000</v>
      </c>
      <c r="Z46" s="18">
        <f>IFERROR(AVERAGEIF(N46:R46,"&lt;&gt;0"),"")</f>
        <v>40000</v>
      </c>
      <c r="AA46" s="18">
        <f>IFERROR(AVERAGEIF(S46:W46,"&lt;&gt;0"),"")</f>
        <v>40000</v>
      </c>
      <c r="AB46" s="18" t="str">
        <f>IFERROR(AVERAGEIF(#REF!,"&lt;&gt;0"),"")</f>
        <v/>
      </c>
      <c r="AC46" s="18">
        <f>IFERROR(AVERAGEIF(D46:W46,"&lt;&gt;0"),"")</f>
        <v>40000</v>
      </c>
    </row>
    <row r="47" spans="1:29" ht="15" customHeight="1" x14ac:dyDescent="0.35">
      <c r="A47" s="8">
        <v>43</v>
      </c>
      <c r="B47" s="9" t="s">
        <v>418</v>
      </c>
      <c r="C47" s="8" t="s">
        <v>403</v>
      </c>
      <c r="D47" s="36">
        <v>36000</v>
      </c>
      <c r="E47" s="36">
        <v>36000</v>
      </c>
      <c r="F47" s="36">
        <v>36000</v>
      </c>
      <c r="G47" s="36">
        <v>36000</v>
      </c>
      <c r="H47" s="36">
        <v>36000</v>
      </c>
      <c r="I47" s="36">
        <v>36000</v>
      </c>
      <c r="J47" s="36">
        <v>36000</v>
      </c>
      <c r="K47" s="36">
        <v>36000</v>
      </c>
      <c r="L47" s="36">
        <v>36000</v>
      </c>
      <c r="M47" s="36">
        <v>36000</v>
      </c>
      <c r="N47" s="36">
        <v>0</v>
      </c>
      <c r="O47" s="36">
        <v>36000</v>
      </c>
      <c r="P47" s="36">
        <v>36000</v>
      </c>
      <c r="Q47" s="36">
        <v>36000</v>
      </c>
      <c r="R47" s="36">
        <v>36000</v>
      </c>
      <c r="S47" s="36">
        <v>36000</v>
      </c>
      <c r="T47" s="36">
        <v>0</v>
      </c>
      <c r="U47" s="36">
        <v>36000</v>
      </c>
      <c r="V47" s="36">
        <v>36000</v>
      </c>
      <c r="W47" s="36">
        <v>36000</v>
      </c>
      <c r="X47" s="18">
        <f>IFERROR(AVERAGEIF(D47:H47,"&lt;&gt;0"),"")</f>
        <v>36000</v>
      </c>
      <c r="Y47" s="18">
        <f>IFERROR(AVERAGEIF(I47:M47,"&lt;&gt;0"),"")</f>
        <v>36000</v>
      </c>
      <c r="Z47" s="18">
        <f>IFERROR(AVERAGEIF(N47:R47,"&lt;&gt;0"),"")</f>
        <v>36000</v>
      </c>
      <c r="AA47" s="18">
        <f>IFERROR(AVERAGEIF(S47:W47,"&lt;&gt;0"),"")</f>
        <v>36000</v>
      </c>
      <c r="AB47" s="18" t="str">
        <f>IFERROR(AVERAGEIF(#REF!,"&lt;&gt;0"),"")</f>
        <v/>
      </c>
      <c r="AC47" s="18">
        <f>IFERROR(AVERAGEIF(D47:W47,"&lt;&gt;0"),"")</f>
        <v>36000</v>
      </c>
    </row>
    <row r="48" spans="1:29" ht="15" customHeight="1" x14ac:dyDescent="0.35">
      <c r="A48" s="8">
        <v>44</v>
      </c>
      <c r="B48" s="9" t="s">
        <v>419</v>
      </c>
      <c r="C48" s="8" t="s">
        <v>403</v>
      </c>
      <c r="D48" s="36">
        <v>28000</v>
      </c>
      <c r="E48" s="36">
        <v>28000</v>
      </c>
      <c r="F48" s="36">
        <v>28000</v>
      </c>
      <c r="G48" s="36">
        <v>28000</v>
      </c>
      <c r="H48" s="36">
        <v>28000</v>
      </c>
      <c r="I48" s="36">
        <v>28000</v>
      </c>
      <c r="J48" s="36">
        <v>28000</v>
      </c>
      <c r="K48" s="36">
        <v>28000</v>
      </c>
      <c r="L48" s="36">
        <v>28000</v>
      </c>
      <c r="M48" s="36">
        <v>28000</v>
      </c>
      <c r="N48" s="36">
        <v>0</v>
      </c>
      <c r="O48" s="36">
        <v>28000</v>
      </c>
      <c r="P48" s="36">
        <v>28000</v>
      </c>
      <c r="Q48" s="36">
        <v>28000</v>
      </c>
      <c r="R48" s="36">
        <v>28000</v>
      </c>
      <c r="S48" s="36">
        <v>28000</v>
      </c>
      <c r="T48" s="36">
        <v>0</v>
      </c>
      <c r="U48" s="36">
        <v>28000</v>
      </c>
      <c r="V48" s="36">
        <v>28000</v>
      </c>
      <c r="W48" s="36">
        <v>28000</v>
      </c>
      <c r="X48" s="18">
        <f>IFERROR(AVERAGEIF(D48:H48,"&lt;&gt;0"),"")</f>
        <v>28000</v>
      </c>
      <c r="Y48" s="18">
        <f>IFERROR(AVERAGEIF(I48:M48,"&lt;&gt;0"),"")</f>
        <v>28000</v>
      </c>
      <c r="Z48" s="18">
        <f>IFERROR(AVERAGEIF(N48:R48,"&lt;&gt;0"),"")</f>
        <v>28000</v>
      </c>
      <c r="AA48" s="18">
        <f>IFERROR(AVERAGEIF(S48:W48,"&lt;&gt;0"),"")</f>
        <v>28000</v>
      </c>
      <c r="AB48" s="18" t="str">
        <f>IFERROR(AVERAGEIF(#REF!,"&lt;&gt;0"),"")</f>
        <v/>
      </c>
      <c r="AC48" s="18">
        <f>IFERROR(AVERAGEIF(D48:W48,"&lt;&gt;0"),"")</f>
        <v>28000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4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D1"/>
    </sheetView>
  </sheetViews>
  <sheetFormatPr defaultColWidth="8.6328125" defaultRowHeight="14.5" x14ac:dyDescent="0.35"/>
  <cols>
    <col min="1" max="1" width="5" customWidth="1"/>
    <col min="2" max="2" width="22" customWidth="1"/>
    <col min="3" max="3" width="6" customWidth="1"/>
    <col min="4" max="26" width="11" customWidth="1"/>
    <col min="27" max="31" width="13" customWidth="1"/>
    <col min="32" max="32" width="14" customWidth="1"/>
  </cols>
  <sheetData>
    <row r="1" spans="1:32" ht="64.5" customHeight="1" x14ac:dyDescent="0.35">
      <c r="A1" s="5" t="s">
        <v>641</v>
      </c>
      <c r="B1" s="5"/>
      <c r="C1" s="5"/>
      <c r="D1" s="5"/>
    </row>
    <row r="2" spans="1:32" ht="36.75" customHeight="1" x14ac:dyDescent="0.35">
      <c r="A2" s="4" t="s">
        <v>642</v>
      </c>
      <c r="B2" s="4"/>
      <c r="C2" s="4"/>
      <c r="D2" s="4"/>
    </row>
    <row r="4" spans="1:32" ht="25.5" customHeight="1" x14ac:dyDescent="0.35">
      <c r="A4" s="6" t="s">
        <v>1</v>
      </c>
      <c r="B4" s="6" t="s">
        <v>372</v>
      </c>
      <c r="C4" s="6" t="s">
        <v>373</v>
      </c>
      <c r="D4" s="6" t="s">
        <v>634</v>
      </c>
      <c r="E4" s="6" t="s">
        <v>643</v>
      </c>
      <c r="F4" s="6" t="s">
        <v>644</v>
      </c>
      <c r="G4" s="6" t="s">
        <v>645</v>
      </c>
      <c r="H4" s="6" t="s">
        <v>646</v>
      </c>
      <c r="I4" s="6" t="s">
        <v>647</v>
      </c>
      <c r="J4" s="6" t="s">
        <v>648</v>
      </c>
      <c r="K4" s="6" t="s">
        <v>649</v>
      </c>
      <c r="L4" s="6" t="s">
        <v>650</v>
      </c>
      <c r="M4" s="6" t="s">
        <v>651</v>
      </c>
      <c r="N4" s="6" t="s">
        <v>652</v>
      </c>
      <c r="O4" s="6" t="s">
        <v>653</v>
      </c>
      <c r="P4" s="6" t="s">
        <v>654</v>
      </c>
      <c r="Q4" s="6" t="s">
        <v>655</v>
      </c>
      <c r="R4" s="6" t="s">
        <v>656</v>
      </c>
      <c r="S4" s="6" t="s">
        <v>657</v>
      </c>
      <c r="T4" s="6" t="s">
        <v>658</v>
      </c>
      <c r="U4" s="6" t="s">
        <v>659</v>
      </c>
      <c r="V4" s="6" t="s">
        <v>660</v>
      </c>
      <c r="W4" s="6" t="s">
        <v>661</v>
      </c>
      <c r="X4" s="6" t="s">
        <v>662</v>
      </c>
      <c r="Y4" s="6" t="s">
        <v>663</v>
      </c>
      <c r="Z4" s="6" t="s">
        <v>664</v>
      </c>
      <c r="AA4" s="34" t="s">
        <v>665</v>
      </c>
      <c r="AB4" s="34" t="s">
        <v>666</v>
      </c>
      <c r="AC4" s="34" t="s">
        <v>667</v>
      </c>
      <c r="AD4" s="34" t="s">
        <v>668</v>
      </c>
      <c r="AE4" s="34" t="s">
        <v>669</v>
      </c>
      <c r="AF4" s="35" t="s">
        <v>670</v>
      </c>
    </row>
    <row r="5" spans="1:32" ht="15" customHeight="1" x14ac:dyDescent="0.35">
      <c r="A5" s="8">
        <v>1</v>
      </c>
      <c r="B5" s="9" t="s">
        <v>330</v>
      </c>
      <c r="C5" s="8" t="s">
        <v>403</v>
      </c>
      <c r="D5" s="36">
        <v>12525</v>
      </c>
      <c r="E5" s="36">
        <v>0</v>
      </c>
      <c r="F5" s="36">
        <v>0</v>
      </c>
      <c r="G5" s="36">
        <v>0</v>
      </c>
      <c r="H5" s="36">
        <v>0</v>
      </c>
      <c r="I5" s="36">
        <v>0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  <c r="R5" s="36">
        <v>0</v>
      </c>
      <c r="S5" s="36">
        <v>0</v>
      </c>
      <c r="T5" s="36">
        <v>0</v>
      </c>
      <c r="U5" s="36">
        <v>0</v>
      </c>
      <c r="V5" s="36">
        <v>0</v>
      </c>
      <c r="W5" s="36">
        <v>0</v>
      </c>
      <c r="X5" s="36">
        <v>0</v>
      </c>
      <c r="Y5" s="36">
        <v>0</v>
      </c>
      <c r="Z5" s="36">
        <v>0</v>
      </c>
      <c r="AA5" s="18">
        <f t="shared" ref="AA5:AA48" si="0">IFERROR(AVERAGEIF(D5:H5,"&lt;&gt;0"),"")</f>
        <v>12525</v>
      </c>
      <c r="AB5" s="18" t="str">
        <f t="shared" ref="AB5:AB48" si="1">IFERROR(AVERAGEIF(I5:M5,"&lt;&gt;0"),"")</f>
        <v/>
      </c>
      <c r="AC5" s="18" t="str">
        <f t="shared" ref="AC5:AC48" si="2">IFERROR(AVERAGEIF(N5:R5,"&lt;&gt;0"),"")</f>
        <v/>
      </c>
      <c r="AD5" s="18" t="str">
        <f t="shared" ref="AD5:AD48" si="3">IFERROR(AVERAGEIF(S5:W5,"&lt;&gt;0"),"")</f>
        <v/>
      </c>
      <c r="AE5" s="18" t="str">
        <f t="shared" ref="AE5:AE48" si="4">IFERROR(AVERAGEIF(X5:Z5,"&lt;&gt;0"),"")</f>
        <v/>
      </c>
      <c r="AF5" s="18">
        <f t="shared" ref="AF5:AF48" si="5">IFERROR(AVERAGEIF(D5:Z5,"&lt;&gt;0"),"")</f>
        <v>12525</v>
      </c>
    </row>
    <row r="6" spans="1:32" ht="15" customHeight="1" x14ac:dyDescent="0.35">
      <c r="A6" s="8">
        <v>2</v>
      </c>
      <c r="B6" s="9" t="s">
        <v>331</v>
      </c>
      <c r="C6" s="8" t="s">
        <v>403</v>
      </c>
      <c r="D6" s="36">
        <v>14325</v>
      </c>
      <c r="E6" s="36">
        <v>0</v>
      </c>
      <c r="F6" s="36">
        <v>0</v>
      </c>
      <c r="G6" s="36">
        <v>0</v>
      </c>
      <c r="H6" s="36">
        <v>0</v>
      </c>
      <c r="I6" s="36">
        <v>0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6">
        <v>0</v>
      </c>
      <c r="U6" s="36">
        <v>0</v>
      </c>
      <c r="V6" s="36">
        <v>0</v>
      </c>
      <c r="W6" s="36">
        <v>0</v>
      </c>
      <c r="X6" s="36">
        <v>0</v>
      </c>
      <c r="Y6" s="36">
        <v>0</v>
      </c>
      <c r="Z6" s="36">
        <v>0</v>
      </c>
      <c r="AA6" s="18">
        <f t="shared" si="0"/>
        <v>14325</v>
      </c>
      <c r="AB6" s="18" t="str">
        <f t="shared" si="1"/>
        <v/>
      </c>
      <c r="AC6" s="18" t="str">
        <f t="shared" si="2"/>
        <v/>
      </c>
      <c r="AD6" s="18" t="str">
        <f t="shared" si="3"/>
        <v/>
      </c>
      <c r="AE6" s="18" t="str">
        <f t="shared" si="4"/>
        <v/>
      </c>
      <c r="AF6" s="18">
        <f t="shared" si="5"/>
        <v>14325</v>
      </c>
    </row>
    <row r="7" spans="1:32" ht="15" customHeight="1" x14ac:dyDescent="0.35">
      <c r="A7" s="8">
        <v>3</v>
      </c>
      <c r="B7" s="9" t="s">
        <v>332</v>
      </c>
      <c r="C7" s="8" t="s">
        <v>403</v>
      </c>
      <c r="D7" s="36">
        <v>11800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>
        <v>0</v>
      </c>
      <c r="V7" s="36">
        <v>0</v>
      </c>
      <c r="W7" s="36">
        <v>0</v>
      </c>
      <c r="X7" s="36">
        <v>0</v>
      </c>
      <c r="Y7" s="36">
        <v>0</v>
      </c>
      <c r="Z7" s="36">
        <v>0</v>
      </c>
      <c r="AA7" s="18">
        <f t="shared" si="0"/>
        <v>11800</v>
      </c>
      <c r="AB7" s="18" t="str">
        <f t="shared" si="1"/>
        <v/>
      </c>
      <c r="AC7" s="18" t="str">
        <f t="shared" si="2"/>
        <v/>
      </c>
      <c r="AD7" s="18" t="str">
        <f t="shared" si="3"/>
        <v/>
      </c>
      <c r="AE7" s="18" t="str">
        <f t="shared" si="4"/>
        <v/>
      </c>
      <c r="AF7" s="18">
        <f t="shared" si="5"/>
        <v>11800</v>
      </c>
    </row>
    <row r="8" spans="1:32" ht="15" customHeight="1" x14ac:dyDescent="0.35">
      <c r="A8" s="8">
        <v>4</v>
      </c>
      <c r="B8" s="9" t="s">
        <v>404</v>
      </c>
      <c r="C8" s="8" t="s">
        <v>403</v>
      </c>
      <c r="D8" s="36">
        <v>11000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6">
        <v>0</v>
      </c>
      <c r="U8" s="36">
        <v>0</v>
      </c>
      <c r="V8" s="36">
        <v>0</v>
      </c>
      <c r="W8" s="36">
        <v>0</v>
      </c>
      <c r="X8" s="36">
        <v>0</v>
      </c>
      <c r="Y8" s="36">
        <v>0</v>
      </c>
      <c r="Z8" s="36">
        <v>0</v>
      </c>
      <c r="AA8" s="18">
        <f t="shared" si="0"/>
        <v>11000</v>
      </c>
      <c r="AB8" s="18" t="str">
        <f t="shared" si="1"/>
        <v/>
      </c>
      <c r="AC8" s="18" t="str">
        <f t="shared" si="2"/>
        <v/>
      </c>
      <c r="AD8" s="18" t="str">
        <f t="shared" si="3"/>
        <v/>
      </c>
      <c r="AE8" s="18" t="str">
        <f t="shared" si="4"/>
        <v/>
      </c>
      <c r="AF8" s="18">
        <f t="shared" si="5"/>
        <v>11000</v>
      </c>
    </row>
    <row r="9" spans="1:32" ht="15" customHeight="1" x14ac:dyDescent="0.35">
      <c r="A9" s="8">
        <v>5</v>
      </c>
      <c r="B9" s="9" t="s">
        <v>356</v>
      </c>
      <c r="C9" s="8" t="s">
        <v>403</v>
      </c>
      <c r="D9" s="36">
        <v>28000</v>
      </c>
      <c r="E9" s="36">
        <v>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  <c r="R9" s="36">
        <v>0</v>
      </c>
      <c r="S9" s="36">
        <v>0</v>
      </c>
      <c r="T9" s="36">
        <v>0</v>
      </c>
      <c r="U9" s="36">
        <v>0</v>
      </c>
      <c r="V9" s="36">
        <v>0</v>
      </c>
      <c r="W9" s="36">
        <v>0</v>
      </c>
      <c r="X9" s="36">
        <v>0</v>
      </c>
      <c r="Y9" s="36">
        <v>0</v>
      </c>
      <c r="Z9" s="36">
        <v>0</v>
      </c>
      <c r="AA9" s="18">
        <f t="shared" si="0"/>
        <v>28000</v>
      </c>
      <c r="AB9" s="18" t="str">
        <f t="shared" si="1"/>
        <v/>
      </c>
      <c r="AC9" s="18" t="str">
        <f t="shared" si="2"/>
        <v/>
      </c>
      <c r="AD9" s="18" t="str">
        <f t="shared" si="3"/>
        <v/>
      </c>
      <c r="AE9" s="18" t="str">
        <f t="shared" si="4"/>
        <v/>
      </c>
      <c r="AF9" s="18">
        <f t="shared" si="5"/>
        <v>28000</v>
      </c>
    </row>
    <row r="10" spans="1:32" ht="15" customHeight="1" x14ac:dyDescent="0.35">
      <c r="A10" s="8">
        <v>6</v>
      </c>
      <c r="B10" s="9" t="s">
        <v>357</v>
      </c>
      <c r="C10" s="8" t="s">
        <v>403</v>
      </c>
      <c r="D10" s="36">
        <v>26000</v>
      </c>
      <c r="E10" s="36">
        <v>0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6">
        <v>0</v>
      </c>
      <c r="U10" s="36">
        <v>0</v>
      </c>
      <c r="V10" s="36">
        <v>0</v>
      </c>
      <c r="W10" s="36">
        <v>0</v>
      </c>
      <c r="X10" s="36">
        <v>0</v>
      </c>
      <c r="Y10" s="36">
        <v>0</v>
      </c>
      <c r="Z10" s="36">
        <v>0</v>
      </c>
      <c r="AA10" s="18">
        <f t="shared" si="0"/>
        <v>26000</v>
      </c>
      <c r="AB10" s="18" t="str">
        <f t="shared" si="1"/>
        <v/>
      </c>
      <c r="AC10" s="18" t="str">
        <f t="shared" si="2"/>
        <v/>
      </c>
      <c r="AD10" s="18" t="str">
        <f t="shared" si="3"/>
        <v/>
      </c>
      <c r="AE10" s="18" t="str">
        <f t="shared" si="4"/>
        <v/>
      </c>
      <c r="AF10" s="18">
        <f t="shared" si="5"/>
        <v>26000</v>
      </c>
    </row>
    <row r="11" spans="1:32" ht="15" customHeight="1" x14ac:dyDescent="0.35">
      <c r="A11" s="8">
        <v>7</v>
      </c>
      <c r="B11" s="9" t="s">
        <v>343</v>
      </c>
      <c r="C11" s="8" t="s">
        <v>403</v>
      </c>
      <c r="D11" s="36">
        <v>43000</v>
      </c>
      <c r="E11" s="36">
        <v>0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6">
        <v>0</v>
      </c>
      <c r="S11" s="36">
        <v>0</v>
      </c>
      <c r="T11" s="36">
        <v>0</v>
      </c>
      <c r="U11" s="36">
        <v>0</v>
      </c>
      <c r="V11" s="36">
        <v>0</v>
      </c>
      <c r="W11" s="36">
        <v>0</v>
      </c>
      <c r="X11" s="36">
        <v>0</v>
      </c>
      <c r="Y11" s="36">
        <v>0</v>
      </c>
      <c r="Z11" s="36">
        <v>0</v>
      </c>
      <c r="AA11" s="18">
        <f t="shared" si="0"/>
        <v>43000</v>
      </c>
      <c r="AB11" s="18" t="str">
        <f t="shared" si="1"/>
        <v/>
      </c>
      <c r="AC11" s="18" t="str">
        <f t="shared" si="2"/>
        <v/>
      </c>
      <c r="AD11" s="18" t="str">
        <f t="shared" si="3"/>
        <v/>
      </c>
      <c r="AE11" s="18" t="str">
        <f t="shared" si="4"/>
        <v/>
      </c>
      <c r="AF11" s="18">
        <f t="shared" si="5"/>
        <v>43000</v>
      </c>
    </row>
    <row r="12" spans="1:32" ht="15" customHeight="1" x14ac:dyDescent="0.35">
      <c r="A12" s="8">
        <v>8</v>
      </c>
      <c r="B12" s="9" t="s">
        <v>350</v>
      </c>
      <c r="C12" s="8" t="s">
        <v>403</v>
      </c>
      <c r="D12" s="36">
        <v>30000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T12" s="36">
        <v>0</v>
      </c>
      <c r="U12" s="36">
        <v>0</v>
      </c>
      <c r="V12" s="36">
        <v>0</v>
      </c>
      <c r="W12" s="36">
        <v>0</v>
      </c>
      <c r="X12" s="36">
        <v>0</v>
      </c>
      <c r="Y12" s="36">
        <v>0</v>
      </c>
      <c r="Z12" s="36">
        <v>0</v>
      </c>
      <c r="AA12" s="18">
        <f t="shared" si="0"/>
        <v>30000</v>
      </c>
      <c r="AB12" s="18" t="str">
        <f t="shared" si="1"/>
        <v/>
      </c>
      <c r="AC12" s="18" t="str">
        <f t="shared" si="2"/>
        <v/>
      </c>
      <c r="AD12" s="18" t="str">
        <f t="shared" si="3"/>
        <v/>
      </c>
      <c r="AE12" s="18" t="str">
        <f t="shared" si="4"/>
        <v/>
      </c>
      <c r="AF12" s="18">
        <f t="shared" si="5"/>
        <v>30000</v>
      </c>
    </row>
    <row r="13" spans="1:32" ht="15" customHeight="1" x14ac:dyDescent="0.35">
      <c r="A13" s="8">
        <v>9</v>
      </c>
      <c r="B13" s="9" t="s">
        <v>345</v>
      </c>
      <c r="C13" s="8" t="s">
        <v>403</v>
      </c>
      <c r="D13" s="36">
        <v>16500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18">
        <f t="shared" si="0"/>
        <v>16500</v>
      </c>
      <c r="AB13" s="18" t="str">
        <f t="shared" si="1"/>
        <v/>
      </c>
      <c r="AC13" s="18" t="str">
        <f t="shared" si="2"/>
        <v/>
      </c>
      <c r="AD13" s="18" t="str">
        <f t="shared" si="3"/>
        <v/>
      </c>
      <c r="AE13" s="18" t="str">
        <f t="shared" si="4"/>
        <v/>
      </c>
      <c r="AF13" s="18">
        <f t="shared" si="5"/>
        <v>16500</v>
      </c>
    </row>
    <row r="14" spans="1:32" ht="15" customHeight="1" x14ac:dyDescent="0.35">
      <c r="A14" s="8">
        <v>10</v>
      </c>
      <c r="B14" s="9" t="s">
        <v>336</v>
      </c>
      <c r="C14" s="8" t="s">
        <v>449</v>
      </c>
      <c r="D14" s="36">
        <v>18450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36">
        <v>0</v>
      </c>
      <c r="Y14" s="36">
        <v>0</v>
      </c>
      <c r="Z14" s="36">
        <v>0</v>
      </c>
      <c r="AA14" s="18">
        <f t="shared" si="0"/>
        <v>18450</v>
      </c>
      <c r="AB14" s="18" t="str">
        <f t="shared" si="1"/>
        <v/>
      </c>
      <c r="AC14" s="18" t="str">
        <f t="shared" si="2"/>
        <v/>
      </c>
      <c r="AD14" s="18" t="str">
        <f t="shared" si="3"/>
        <v/>
      </c>
      <c r="AE14" s="18" t="str">
        <f t="shared" si="4"/>
        <v/>
      </c>
      <c r="AF14" s="18">
        <f t="shared" si="5"/>
        <v>18450</v>
      </c>
    </row>
    <row r="15" spans="1:32" ht="21.75" customHeight="1" x14ac:dyDescent="0.35">
      <c r="A15" s="8">
        <v>11</v>
      </c>
      <c r="B15" s="9" t="s">
        <v>337</v>
      </c>
      <c r="C15" s="8" t="s">
        <v>449</v>
      </c>
      <c r="D15" s="36">
        <v>23000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  <c r="R15" s="36">
        <v>0</v>
      </c>
      <c r="S15" s="36">
        <v>0</v>
      </c>
      <c r="T15" s="36">
        <v>0</v>
      </c>
      <c r="U15" s="36">
        <v>0</v>
      </c>
      <c r="V15" s="36">
        <v>0</v>
      </c>
      <c r="W15" s="36">
        <v>0</v>
      </c>
      <c r="X15" s="36">
        <v>0</v>
      </c>
      <c r="Y15" s="36">
        <v>0</v>
      </c>
      <c r="Z15" s="36">
        <v>0</v>
      </c>
      <c r="AA15" s="18">
        <f t="shared" si="0"/>
        <v>23000</v>
      </c>
      <c r="AB15" s="18" t="str">
        <f t="shared" si="1"/>
        <v/>
      </c>
      <c r="AC15" s="18" t="str">
        <f t="shared" si="2"/>
        <v/>
      </c>
      <c r="AD15" s="18" t="str">
        <f t="shared" si="3"/>
        <v/>
      </c>
      <c r="AE15" s="18" t="str">
        <f t="shared" si="4"/>
        <v/>
      </c>
      <c r="AF15" s="18">
        <f t="shared" si="5"/>
        <v>23000</v>
      </c>
    </row>
    <row r="16" spans="1:32" ht="15" customHeight="1" x14ac:dyDescent="0.35">
      <c r="A16" s="8">
        <v>12</v>
      </c>
      <c r="B16" s="9" t="s">
        <v>338</v>
      </c>
      <c r="C16" s="8" t="s">
        <v>449</v>
      </c>
      <c r="D16" s="36">
        <v>15500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  <c r="R16" s="36">
        <v>0</v>
      </c>
      <c r="S16" s="36">
        <v>0</v>
      </c>
      <c r="T16" s="36">
        <v>0</v>
      </c>
      <c r="U16" s="36">
        <v>0</v>
      </c>
      <c r="V16" s="36">
        <v>0</v>
      </c>
      <c r="W16" s="36">
        <v>0</v>
      </c>
      <c r="X16" s="36">
        <v>0</v>
      </c>
      <c r="Y16" s="36">
        <v>0</v>
      </c>
      <c r="Z16" s="36">
        <v>0</v>
      </c>
      <c r="AA16" s="18">
        <f t="shared" si="0"/>
        <v>15500</v>
      </c>
      <c r="AB16" s="18" t="str">
        <f t="shared" si="1"/>
        <v/>
      </c>
      <c r="AC16" s="18" t="str">
        <f t="shared" si="2"/>
        <v/>
      </c>
      <c r="AD16" s="18" t="str">
        <f t="shared" si="3"/>
        <v/>
      </c>
      <c r="AE16" s="18" t="str">
        <f t="shared" si="4"/>
        <v/>
      </c>
      <c r="AF16" s="18">
        <f t="shared" si="5"/>
        <v>15500</v>
      </c>
    </row>
    <row r="17" spans="1:32" ht="15" customHeight="1" x14ac:dyDescent="0.35">
      <c r="A17" s="8">
        <v>13</v>
      </c>
      <c r="B17" s="9" t="s">
        <v>333</v>
      </c>
      <c r="C17" s="8" t="s">
        <v>403</v>
      </c>
      <c r="D17" s="36">
        <v>11000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Z17" s="36">
        <v>0</v>
      </c>
      <c r="AA17" s="18">
        <f t="shared" si="0"/>
        <v>11000</v>
      </c>
      <c r="AB17" s="18" t="str">
        <f t="shared" si="1"/>
        <v/>
      </c>
      <c r="AC17" s="18" t="str">
        <f t="shared" si="2"/>
        <v/>
      </c>
      <c r="AD17" s="18" t="str">
        <f t="shared" si="3"/>
        <v/>
      </c>
      <c r="AE17" s="18" t="str">
        <f t="shared" si="4"/>
        <v/>
      </c>
      <c r="AF17" s="18">
        <f t="shared" si="5"/>
        <v>11000</v>
      </c>
    </row>
    <row r="18" spans="1:32" ht="15" customHeight="1" x14ac:dyDescent="0.35">
      <c r="A18" s="8">
        <v>14</v>
      </c>
      <c r="B18" s="9" t="s">
        <v>335</v>
      </c>
      <c r="C18" s="8" t="s">
        <v>403</v>
      </c>
      <c r="D18" s="36">
        <v>36000</v>
      </c>
      <c r="E18" s="36">
        <v>0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0</v>
      </c>
      <c r="T18" s="36">
        <v>0</v>
      </c>
      <c r="U18" s="36">
        <v>0</v>
      </c>
      <c r="V18" s="36">
        <v>0</v>
      </c>
      <c r="W18" s="36">
        <v>0</v>
      </c>
      <c r="X18" s="36">
        <v>0</v>
      </c>
      <c r="Y18" s="36">
        <v>0</v>
      </c>
      <c r="Z18" s="36">
        <v>0</v>
      </c>
      <c r="AA18" s="18">
        <f t="shared" si="0"/>
        <v>36000</v>
      </c>
      <c r="AB18" s="18" t="str">
        <f t="shared" si="1"/>
        <v/>
      </c>
      <c r="AC18" s="18" t="str">
        <f t="shared" si="2"/>
        <v/>
      </c>
      <c r="AD18" s="18" t="str">
        <f t="shared" si="3"/>
        <v/>
      </c>
      <c r="AE18" s="18" t="str">
        <f t="shared" si="4"/>
        <v/>
      </c>
      <c r="AF18" s="18">
        <f t="shared" si="5"/>
        <v>36000</v>
      </c>
    </row>
    <row r="19" spans="1:32" ht="15" customHeight="1" x14ac:dyDescent="0.35">
      <c r="A19" s="8">
        <v>15</v>
      </c>
      <c r="B19" s="9" t="s">
        <v>344</v>
      </c>
      <c r="C19" s="8" t="s">
        <v>403</v>
      </c>
      <c r="D19" s="36">
        <v>23000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Z19" s="36">
        <v>0</v>
      </c>
      <c r="AA19" s="18">
        <f t="shared" si="0"/>
        <v>23000</v>
      </c>
      <c r="AB19" s="18" t="str">
        <f t="shared" si="1"/>
        <v/>
      </c>
      <c r="AC19" s="18" t="str">
        <f t="shared" si="2"/>
        <v/>
      </c>
      <c r="AD19" s="18" t="str">
        <f t="shared" si="3"/>
        <v/>
      </c>
      <c r="AE19" s="18" t="str">
        <f t="shared" si="4"/>
        <v/>
      </c>
      <c r="AF19" s="18">
        <f t="shared" si="5"/>
        <v>23000</v>
      </c>
    </row>
    <row r="20" spans="1:32" ht="15" customHeight="1" x14ac:dyDescent="0.35">
      <c r="A20" s="8">
        <v>16</v>
      </c>
      <c r="B20" s="9" t="s">
        <v>358</v>
      </c>
      <c r="C20" s="8" t="s">
        <v>403</v>
      </c>
      <c r="D20" s="36">
        <v>120000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36">
        <v>0</v>
      </c>
      <c r="U20" s="36">
        <v>0</v>
      </c>
      <c r="V20" s="36">
        <v>0</v>
      </c>
      <c r="W20" s="36">
        <v>0</v>
      </c>
      <c r="X20" s="36">
        <v>0</v>
      </c>
      <c r="Y20" s="36">
        <v>0</v>
      </c>
      <c r="Z20" s="36">
        <v>0</v>
      </c>
      <c r="AA20" s="18">
        <f t="shared" si="0"/>
        <v>120000</v>
      </c>
      <c r="AB20" s="18" t="str">
        <f t="shared" si="1"/>
        <v/>
      </c>
      <c r="AC20" s="18" t="str">
        <f t="shared" si="2"/>
        <v/>
      </c>
      <c r="AD20" s="18" t="str">
        <f t="shared" si="3"/>
        <v/>
      </c>
      <c r="AE20" s="18" t="str">
        <f t="shared" si="4"/>
        <v/>
      </c>
      <c r="AF20" s="18">
        <f t="shared" si="5"/>
        <v>120000</v>
      </c>
    </row>
    <row r="21" spans="1:32" ht="15" customHeight="1" x14ac:dyDescent="0.35">
      <c r="A21" s="8">
        <v>17</v>
      </c>
      <c r="B21" s="9" t="s">
        <v>359</v>
      </c>
      <c r="C21" s="8" t="s">
        <v>403</v>
      </c>
      <c r="D21" s="36">
        <v>70000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18">
        <f t="shared" si="0"/>
        <v>70000</v>
      </c>
      <c r="AB21" s="18" t="str">
        <f t="shared" si="1"/>
        <v/>
      </c>
      <c r="AC21" s="18" t="str">
        <f t="shared" si="2"/>
        <v/>
      </c>
      <c r="AD21" s="18" t="str">
        <f t="shared" si="3"/>
        <v/>
      </c>
      <c r="AE21" s="18" t="str">
        <f t="shared" si="4"/>
        <v/>
      </c>
      <c r="AF21" s="18">
        <f t="shared" si="5"/>
        <v>70000</v>
      </c>
    </row>
    <row r="22" spans="1:32" ht="15" customHeight="1" x14ac:dyDescent="0.35">
      <c r="A22" s="8">
        <v>18</v>
      </c>
      <c r="B22" s="9" t="s">
        <v>360</v>
      </c>
      <c r="C22" s="8" t="s">
        <v>403</v>
      </c>
      <c r="D22" s="36">
        <v>80000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Z22" s="36">
        <v>0</v>
      </c>
      <c r="AA22" s="18">
        <f t="shared" si="0"/>
        <v>80000</v>
      </c>
      <c r="AB22" s="18" t="str">
        <f t="shared" si="1"/>
        <v/>
      </c>
      <c r="AC22" s="18" t="str">
        <f t="shared" si="2"/>
        <v/>
      </c>
      <c r="AD22" s="18" t="str">
        <f t="shared" si="3"/>
        <v/>
      </c>
      <c r="AE22" s="18" t="str">
        <f t="shared" si="4"/>
        <v/>
      </c>
      <c r="AF22" s="18">
        <f t="shared" si="5"/>
        <v>80000</v>
      </c>
    </row>
    <row r="23" spans="1:32" ht="15" customHeight="1" x14ac:dyDescent="0.35">
      <c r="A23" s="8">
        <v>19</v>
      </c>
      <c r="B23" s="9" t="s">
        <v>405</v>
      </c>
      <c r="C23" s="8" t="s">
        <v>403</v>
      </c>
      <c r="D23" s="36">
        <v>35000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6">
        <v>0</v>
      </c>
      <c r="V23" s="36">
        <v>0</v>
      </c>
      <c r="W23" s="36">
        <v>0</v>
      </c>
      <c r="X23" s="36">
        <v>0</v>
      </c>
      <c r="Y23" s="36">
        <v>0</v>
      </c>
      <c r="Z23" s="36">
        <v>0</v>
      </c>
      <c r="AA23" s="18">
        <f t="shared" si="0"/>
        <v>35000</v>
      </c>
      <c r="AB23" s="18" t="str">
        <f t="shared" si="1"/>
        <v/>
      </c>
      <c r="AC23" s="18" t="str">
        <f t="shared" si="2"/>
        <v/>
      </c>
      <c r="AD23" s="18" t="str">
        <f t="shared" si="3"/>
        <v/>
      </c>
      <c r="AE23" s="18" t="str">
        <f t="shared" si="4"/>
        <v/>
      </c>
      <c r="AF23" s="18">
        <f t="shared" si="5"/>
        <v>35000</v>
      </c>
    </row>
    <row r="24" spans="1:32" ht="15" customHeight="1" x14ac:dyDescent="0.35">
      <c r="A24" s="8">
        <v>20</v>
      </c>
      <c r="B24" s="9" t="s">
        <v>346</v>
      </c>
      <c r="C24" s="8" t="s">
        <v>403</v>
      </c>
      <c r="D24" s="36">
        <v>45000</v>
      </c>
      <c r="E24" s="36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18">
        <f t="shared" si="0"/>
        <v>45000</v>
      </c>
      <c r="AB24" s="18" t="str">
        <f t="shared" si="1"/>
        <v/>
      </c>
      <c r="AC24" s="18" t="str">
        <f t="shared" si="2"/>
        <v/>
      </c>
      <c r="AD24" s="18" t="str">
        <f t="shared" si="3"/>
        <v/>
      </c>
      <c r="AE24" s="18" t="str">
        <f t="shared" si="4"/>
        <v/>
      </c>
      <c r="AF24" s="18">
        <f t="shared" si="5"/>
        <v>45000</v>
      </c>
    </row>
    <row r="25" spans="1:32" ht="15" customHeight="1" x14ac:dyDescent="0.35">
      <c r="A25" s="8">
        <v>21</v>
      </c>
      <c r="B25" s="9" t="s">
        <v>406</v>
      </c>
      <c r="C25" s="8" t="s">
        <v>403</v>
      </c>
      <c r="D25" s="36">
        <v>80000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18">
        <f t="shared" si="0"/>
        <v>80000</v>
      </c>
      <c r="AB25" s="18" t="str">
        <f t="shared" si="1"/>
        <v/>
      </c>
      <c r="AC25" s="18" t="str">
        <f t="shared" si="2"/>
        <v/>
      </c>
      <c r="AD25" s="18" t="str">
        <f t="shared" si="3"/>
        <v/>
      </c>
      <c r="AE25" s="18" t="str">
        <f t="shared" si="4"/>
        <v/>
      </c>
      <c r="AF25" s="18">
        <f t="shared" si="5"/>
        <v>80000</v>
      </c>
    </row>
    <row r="26" spans="1:32" ht="21.75" customHeight="1" x14ac:dyDescent="0.35">
      <c r="A26" s="8">
        <v>22</v>
      </c>
      <c r="B26" s="9" t="s">
        <v>353</v>
      </c>
      <c r="C26" s="8" t="s">
        <v>450</v>
      </c>
      <c r="D26" s="36">
        <v>2800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18">
        <f t="shared" si="0"/>
        <v>2800</v>
      </c>
      <c r="AB26" s="18" t="str">
        <f t="shared" si="1"/>
        <v/>
      </c>
      <c r="AC26" s="18" t="str">
        <f t="shared" si="2"/>
        <v/>
      </c>
      <c r="AD26" s="18" t="str">
        <f t="shared" si="3"/>
        <v/>
      </c>
      <c r="AE26" s="18" t="str">
        <f t="shared" si="4"/>
        <v/>
      </c>
      <c r="AF26" s="18">
        <f t="shared" si="5"/>
        <v>2800</v>
      </c>
    </row>
    <row r="27" spans="1:32" ht="15" customHeight="1" x14ac:dyDescent="0.35">
      <c r="A27" s="8">
        <v>23</v>
      </c>
      <c r="B27" s="9" t="s">
        <v>351</v>
      </c>
      <c r="C27" s="8" t="s">
        <v>403</v>
      </c>
      <c r="D27" s="36">
        <v>30000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18">
        <f t="shared" si="0"/>
        <v>30000</v>
      </c>
      <c r="AB27" s="18" t="str">
        <f t="shared" si="1"/>
        <v/>
      </c>
      <c r="AC27" s="18" t="str">
        <f t="shared" si="2"/>
        <v/>
      </c>
      <c r="AD27" s="18" t="str">
        <f t="shared" si="3"/>
        <v/>
      </c>
      <c r="AE27" s="18" t="str">
        <f t="shared" si="4"/>
        <v/>
      </c>
      <c r="AF27" s="18">
        <f t="shared" si="5"/>
        <v>30000</v>
      </c>
    </row>
    <row r="28" spans="1:32" ht="15" customHeight="1" x14ac:dyDescent="0.35">
      <c r="A28" s="8">
        <v>24</v>
      </c>
      <c r="B28" s="9" t="s">
        <v>352</v>
      </c>
      <c r="C28" s="8" t="s">
        <v>403</v>
      </c>
      <c r="D28" s="36">
        <v>38000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18">
        <f t="shared" si="0"/>
        <v>38000</v>
      </c>
      <c r="AB28" s="18" t="str">
        <f t="shared" si="1"/>
        <v/>
      </c>
      <c r="AC28" s="18" t="str">
        <f t="shared" si="2"/>
        <v/>
      </c>
      <c r="AD28" s="18" t="str">
        <f t="shared" si="3"/>
        <v/>
      </c>
      <c r="AE28" s="18" t="str">
        <f t="shared" si="4"/>
        <v/>
      </c>
      <c r="AF28" s="18">
        <f t="shared" si="5"/>
        <v>38000</v>
      </c>
    </row>
    <row r="29" spans="1:32" ht="15" customHeight="1" x14ac:dyDescent="0.35">
      <c r="A29" s="8">
        <v>25</v>
      </c>
      <c r="B29" s="9" t="s">
        <v>407</v>
      </c>
      <c r="C29" s="8" t="s">
        <v>403</v>
      </c>
      <c r="D29" s="36">
        <v>30000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18">
        <f t="shared" si="0"/>
        <v>30000</v>
      </c>
      <c r="AB29" s="18" t="str">
        <f t="shared" si="1"/>
        <v/>
      </c>
      <c r="AC29" s="18" t="str">
        <f t="shared" si="2"/>
        <v/>
      </c>
      <c r="AD29" s="18" t="str">
        <f t="shared" si="3"/>
        <v/>
      </c>
      <c r="AE29" s="18" t="str">
        <f t="shared" si="4"/>
        <v/>
      </c>
      <c r="AF29" s="18">
        <f t="shared" si="5"/>
        <v>30000</v>
      </c>
    </row>
    <row r="30" spans="1:32" ht="15" customHeight="1" x14ac:dyDescent="0.35">
      <c r="A30" s="8">
        <v>26</v>
      </c>
      <c r="B30" s="9" t="s">
        <v>408</v>
      </c>
      <c r="C30" s="8" t="s">
        <v>403</v>
      </c>
      <c r="D30" s="36">
        <v>8000</v>
      </c>
      <c r="E30" s="36">
        <v>0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18">
        <f t="shared" si="0"/>
        <v>8000</v>
      </c>
      <c r="AB30" s="18" t="str">
        <f t="shared" si="1"/>
        <v/>
      </c>
      <c r="AC30" s="18" t="str">
        <f t="shared" si="2"/>
        <v/>
      </c>
      <c r="AD30" s="18" t="str">
        <f t="shared" si="3"/>
        <v/>
      </c>
      <c r="AE30" s="18" t="str">
        <f t="shared" si="4"/>
        <v/>
      </c>
      <c r="AF30" s="18">
        <f t="shared" si="5"/>
        <v>8000</v>
      </c>
    </row>
    <row r="31" spans="1:32" ht="15" customHeight="1" x14ac:dyDescent="0.35">
      <c r="A31" s="8">
        <v>27</v>
      </c>
      <c r="B31" s="9" t="s">
        <v>354</v>
      </c>
      <c r="C31" s="8" t="s">
        <v>451</v>
      </c>
      <c r="D31" s="36">
        <v>10500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18">
        <f t="shared" si="0"/>
        <v>10500</v>
      </c>
      <c r="AB31" s="18" t="str">
        <f t="shared" si="1"/>
        <v/>
      </c>
      <c r="AC31" s="18" t="str">
        <f t="shared" si="2"/>
        <v/>
      </c>
      <c r="AD31" s="18" t="str">
        <f t="shared" si="3"/>
        <v/>
      </c>
      <c r="AE31" s="18" t="str">
        <f t="shared" si="4"/>
        <v/>
      </c>
      <c r="AF31" s="18">
        <f t="shared" si="5"/>
        <v>10500</v>
      </c>
    </row>
    <row r="32" spans="1:32" ht="15" customHeight="1" x14ac:dyDescent="0.35">
      <c r="A32" s="8">
        <v>28</v>
      </c>
      <c r="B32" s="9" t="s">
        <v>348</v>
      </c>
      <c r="C32" s="8" t="s">
        <v>452</v>
      </c>
      <c r="D32" s="36">
        <v>42000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18">
        <f t="shared" si="0"/>
        <v>42000</v>
      </c>
      <c r="AB32" s="18" t="str">
        <f t="shared" si="1"/>
        <v/>
      </c>
      <c r="AC32" s="18" t="str">
        <f t="shared" si="2"/>
        <v/>
      </c>
      <c r="AD32" s="18" t="str">
        <f t="shared" si="3"/>
        <v/>
      </c>
      <c r="AE32" s="18" t="str">
        <f t="shared" si="4"/>
        <v/>
      </c>
      <c r="AF32" s="18">
        <f t="shared" si="5"/>
        <v>42000</v>
      </c>
    </row>
    <row r="33" spans="1:32" ht="15" customHeight="1" x14ac:dyDescent="0.35">
      <c r="A33" s="8">
        <v>29</v>
      </c>
      <c r="B33" s="9" t="s">
        <v>361</v>
      </c>
      <c r="C33" s="8" t="s">
        <v>403</v>
      </c>
      <c r="D33" s="36">
        <v>11000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18">
        <f t="shared" si="0"/>
        <v>11000</v>
      </c>
      <c r="AB33" s="18" t="str">
        <f t="shared" si="1"/>
        <v/>
      </c>
      <c r="AC33" s="18" t="str">
        <f t="shared" si="2"/>
        <v/>
      </c>
      <c r="AD33" s="18" t="str">
        <f t="shared" si="3"/>
        <v/>
      </c>
      <c r="AE33" s="18" t="str">
        <f t="shared" si="4"/>
        <v/>
      </c>
      <c r="AF33" s="18">
        <f t="shared" si="5"/>
        <v>11000</v>
      </c>
    </row>
    <row r="34" spans="1:32" ht="15" customHeight="1" x14ac:dyDescent="0.35">
      <c r="A34" s="8">
        <v>30</v>
      </c>
      <c r="B34" s="9" t="s">
        <v>334</v>
      </c>
      <c r="C34" s="8" t="s">
        <v>403</v>
      </c>
      <c r="D34" s="36">
        <v>6000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18">
        <f t="shared" si="0"/>
        <v>6000</v>
      </c>
      <c r="AB34" s="18" t="str">
        <f t="shared" si="1"/>
        <v/>
      </c>
      <c r="AC34" s="18" t="str">
        <f t="shared" si="2"/>
        <v/>
      </c>
      <c r="AD34" s="18" t="str">
        <f t="shared" si="3"/>
        <v/>
      </c>
      <c r="AE34" s="18" t="str">
        <f t="shared" si="4"/>
        <v/>
      </c>
      <c r="AF34" s="18">
        <f t="shared" si="5"/>
        <v>6000</v>
      </c>
    </row>
    <row r="35" spans="1:32" ht="15" customHeight="1" x14ac:dyDescent="0.35">
      <c r="A35" s="8">
        <v>31</v>
      </c>
      <c r="B35" s="9" t="s">
        <v>339</v>
      </c>
      <c r="C35" s="8" t="s">
        <v>403</v>
      </c>
      <c r="D35" s="36">
        <v>70000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Z35" s="36">
        <v>0</v>
      </c>
      <c r="AA35" s="18">
        <f t="shared" si="0"/>
        <v>70000</v>
      </c>
      <c r="AB35" s="18" t="str">
        <f t="shared" si="1"/>
        <v/>
      </c>
      <c r="AC35" s="18" t="str">
        <f t="shared" si="2"/>
        <v/>
      </c>
      <c r="AD35" s="18" t="str">
        <f t="shared" si="3"/>
        <v/>
      </c>
      <c r="AE35" s="18" t="str">
        <f t="shared" si="4"/>
        <v/>
      </c>
      <c r="AF35" s="18">
        <f t="shared" si="5"/>
        <v>70000</v>
      </c>
    </row>
    <row r="36" spans="1:32" ht="15" customHeight="1" x14ac:dyDescent="0.35">
      <c r="A36" s="8">
        <v>32</v>
      </c>
      <c r="B36" s="9" t="s">
        <v>341</v>
      </c>
      <c r="C36" s="8" t="s">
        <v>403</v>
      </c>
      <c r="D36" s="36">
        <v>12000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0</v>
      </c>
      <c r="N36" s="36">
        <v>0</v>
      </c>
      <c r="O36" s="36">
        <v>0</v>
      </c>
      <c r="P36" s="36">
        <v>0</v>
      </c>
      <c r="Q36" s="36">
        <v>0</v>
      </c>
      <c r="R36" s="36">
        <v>0</v>
      </c>
      <c r="S36" s="36">
        <v>0</v>
      </c>
      <c r="T36" s="36">
        <v>0</v>
      </c>
      <c r="U36" s="36">
        <v>0</v>
      </c>
      <c r="V36" s="36">
        <v>0</v>
      </c>
      <c r="W36" s="36">
        <v>0</v>
      </c>
      <c r="X36" s="36">
        <v>0</v>
      </c>
      <c r="Y36" s="36">
        <v>0</v>
      </c>
      <c r="Z36" s="36">
        <v>0</v>
      </c>
      <c r="AA36" s="18">
        <f t="shared" si="0"/>
        <v>12000</v>
      </c>
      <c r="AB36" s="18" t="str">
        <f t="shared" si="1"/>
        <v/>
      </c>
      <c r="AC36" s="18" t="str">
        <f t="shared" si="2"/>
        <v/>
      </c>
      <c r="AD36" s="18" t="str">
        <f t="shared" si="3"/>
        <v/>
      </c>
      <c r="AE36" s="18" t="str">
        <f t="shared" si="4"/>
        <v/>
      </c>
      <c r="AF36" s="18">
        <f t="shared" si="5"/>
        <v>12000</v>
      </c>
    </row>
    <row r="37" spans="1:32" ht="15" customHeight="1" x14ac:dyDescent="0.35">
      <c r="A37" s="8">
        <v>33</v>
      </c>
      <c r="B37" s="9" t="s">
        <v>362</v>
      </c>
      <c r="C37" s="8" t="s">
        <v>403</v>
      </c>
      <c r="D37" s="36">
        <v>8000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  <c r="P37" s="36">
        <v>0</v>
      </c>
      <c r="Q37" s="36">
        <v>0</v>
      </c>
      <c r="R37" s="36">
        <v>0</v>
      </c>
      <c r="S37" s="36">
        <v>0</v>
      </c>
      <c r="T37" s="36">
        <v>0</v>
      </c>
      <c r="U37" s="36">
        <v>0</v>
      </c>
      <c r="V37" s="36">
        <v>0</v>
      </c>
      <c r="W37" s="36">
        <v>0</v>
      </c>
      <c r="X37" s="36">
        <v>0</v>
      </c>
      <c r="Y37" s="36">
        <v>0</v>
      </c>
      <c r="Z37" s="36">
        <v>0</v>
      </c>
      <c r="AA37" s="18">
        <f t="shared" si="0"/>
        <v>8000</v>
      </c>
      <c r="AB37" s="18" t="str">
        <f t="shared" si="1"/>
        <v/>
      </c>
      <c r="AC37" s="18" t="str">
        <f t="shared" si="2"/>
        <v/>
      </c>
      <c r="AD37" s="18" t="str">
        <f t="shared" si="3"/>
        <v/>
      </c>
      <c r="AE37" s="18" t="str">
        <f t="shared" si="4"/>
        <v/>
      </c>
      <c r="AF37" s="18">
        <f t="shared" si="5"/>
        <v>8000</v>
      </c>
    </row>
    <row r="38" spans="1:32" ht="15" customHeight="1" x14ac:dyDescent="0.35">
      <c r="A38" s="8">
        <v>34</v>
      </c>
      <c r="B38" s="9" t="s">
        <v>409</v>
      </c>
      <c r="C38" s="8" t="s">
        <v>403</v>
      </c>
      <c r="D38" s="36">
        <v>8000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  <c r="Q38" s="36">
        <v>0</v>
      </c>
      <c r="R38" s="36">
        <v>0</v>
      </c>
      <c r="S38" s="36">
        <v>0</v>
      </c>
      <c r="T38" s="36">
        <v>0</v>
      </c>
      <c r="U38" s="36">
        <v>0</v>
      </c>
      <c r="V38" s="36">
        <v>0</v>
      </c>
      <c r="W38" s="36">
        <v>0</v>
      </c>
      <c r="X38" s="36">
        <v>0</v>
      </c>
      <c r="Y38" s="36">
        <v>0</v>
      </c>
      <c r="Z38" s="36">
        <v>0</v>
      </c>
      <c r="AA38" s="18">
        <f t="shared" si="0"/>
        <v>8000</v>
      </c>
      <c r="AB38" s="18" t="str">
        <f t="shared" si="1"/>
        <v/>
      </c>
      <c r="AC38" s="18" t="str">
        <f t="shared" si="2"/>
        <v/>
      </c>
      <c r="AD38" s="18" t="str">
        <f t="shared" si="3"/>
        <v/>
      </c>
      <c r="AE38" s="18" t="str">
        <f t="shared" si="4"/>
        <v/>
      </c>
      <c r="AF38" s="18">
        <f t="shared" si="5"/>
        <v>8000</v>
      </c>
    </row>
    <row r="39" spans="1:32" ht="15" customHeight="1" x14ac:dyDescent="0.35">
      <c r="A39" s="8">
        <v>35</v>
      </c>
      <c r="B39" s="9" t="s">
        <v>410</v>
      </c>
      <c r="C39" s="8" t="s">
        <v>403</v>
      </c>
      <c r="D39" s="36">
        <v>15000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  <c r="K39" s="36">
        <v>0</v>
      </c>
      <c r="L39" s="36">
        <v>0</v>
      </c>
      <c r="M39" s="36">
        <v>0</v>
      </c>
      <c r="N39" s="36">
        <v>0</v>
      </c>
      <c r="O39" s="36">
        <v>0</v>
      </c>
      <c r="P39" s="36">
        <v>0</v>
      </c>
      <c r="Q39" s="36">
        <v>0</v>
      </c>
      <c r="R39" s="36">
        <v>0</v>
      </c>
      <c r="S39" s="36">
        <v>0</v>
      </c>
      <c r="T39" s="36">
        <v>0</v>
      </c>
      <c r="U39" s="36">
        <v>0</v>
      </c>
      <c r="V39" s="36">
        <v>0</v>
      </c>
      <c r="W39" s="36">
        <v>0</v>
      </c>
      <c r="X39" s="36">
        <v>0</v>
      </c>
      <c r="Y39" s="36">
        <v>0</v>
      </c>
      <c r="Z39" s="36">
        <v>0</v>
      </c>
      <c r="AA39" s="18">
        <f t="shared" si="0"/>
        <v>15000</v>
      </c>
      <c r="AB39" s="18" t="str">
        <f t="shared" si="1"/>
        <v/>
      </c>
      <c r="AC39" s="18" t="str">
        <f t="shared" si="2"/>
        <v/>
      </c>
      <c r="AD39" s="18" t="str">
        <f t="shared" si="3"/>
        <v/>
      </c>
      <c r="AE39" s="18" t="str">
        <f t="shared" si="4"/>
        <v/>
      </c>
      <c r="AF39" s="18">
        <f t="shared" si="5"/>
        <v>15000</v>
      </c>
    </row>
    <row r="40" spans="1:32" ht="15" customHeight="1" x14ac:dyDescent="0.35">
      <c r="A40" s="8">
        <v>36</v>
      </c>
      <c r="B40" s="9" t="s">
        <v>411</v>
      </c>
      <c r="C40" s="8" t="s">
        <v>403</v>
      </c>
      <c r="D40" s="36">
        <v>10000</v>
      </c>
      <c r="E40" s="36">
        <v>0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36">
        <v>0</v>
      </c>
      <c r="N40" s="36">
        <v>0</v>
      </c>
      <c r="O40" s="36">
        <v>0</v>
      </c>
      <c r="P40" s="36">
        <v>0</v>
      </c>
      <c r="Q40" s="36">
        <v>0</v>
      </c>
      <c r="R40" s="36">
        <v>0</v>
      </c>
      <c r="S40" s="36">
        <v>0</v>
      </c>
      <c r="T40" s="36">
        <v>0</v>
      </c>
      <c r="U40" s="36">
        <v>0</v>
      </c>
      <c r="V40" s="36">
        <v>0</v>
      </c>
      <c r="W40" s="36">
        <v>0</v>
      </c>
      <c r="X40" s="36">
        <v>0</v>
      </c>
      <c r="Y40" s="36">
        <v>0</v>
      </c>
      <c r="Z40" s="36">
        <v>0</v>
      </c>
      <c r="AA40" s="18">
        <f t="shared" si="0"/>
        <v>10000</v>
      </c>
      <c r="AB40" s="18" t="str">
        <f t="shared" si="1"/>
        <v/>
      </c>
      <c r="AC40" s="18" t="str">
        <f t="shared" si="2"/>
        <v/>
      </c>
      <c r="AD40" s="18" t="str">
        <f t="shared" si="3"/>
        <v/>
      </c>
      <c r="AE40" s="18" t="str">
        <f t="shared" si="4"/>
        <v/>
      </c>
      <c r="AF40" s="18">
        <f t="shared" si="5"/>
        <v>10000</v>
      </c>
    </row>
    <row r="41" spans="1:32" ht="15" customHeight="1" x14ac:dyDescent="0.35">
      <c r="A41" s="8">
        <v>37</v>
      </c>
      <c r="B41" s="9" t="s">
        <v>412</v>
      </c>
      <c r="C41" s="8" t="s">
        <v>403</v>
      </c>
      <c r="D41" s="36">
        <v>5000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Z41" s="36">
        <v>0</v>
      </c>
      <c r="AA41" s="18">
        <f t="shared" si="0"/>
        <v>5000</v>
      </c>
      <c r="AB41" s="18" t="str">
        <f t="shared" si="1"/>
        <v/>
      </c>
      <c r="AC41" s="18" t="str">
        <f t="shared" si="2"/>
        <v/>
      </c>
      <c r="AD41" s="18" t="str">
        <f t="shared" si="3"/>
        <v/>
      </c>
      <c r="AE41" s="18" t="str">
        <f t="shared" si="4"/>
        <v/>
      </c>
      <c r="AF41" s="18">
        <f t="shared" si="5"/>
        <v>5000</v>
      </c>
    </row>
    <row r="42" spans="1:32" ht="15" customHeight="1" x14ac:dyDescent="0.35">
      <c r="A42" s="8">
        <v>38</v>
      </c>
      <c r="B42" s="9" t="s">
        <v>413</v>
      </c>
      <c r="C42" s="8" t="s">
        <v>403</v>
      </c>
      <c r="D42" s="36">
        <v>7000</v>
      </c>
      <c r="E42" s="36">
        <v>0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  <c r="K42" s="36">
        <v>0</v>
      </c>
      <c r="L42" s="36">
        <v>0</v>
      </c>
      <c r="M42" s="36">
        <v>0</v>
      </c>
      <c r="N42" s="36">
        <v>0</v>
      </c>
      <c r="O42" s="36">
        <v>0</v>
      </c>
      <c r="P42" s="36">
        <v>0</v>
      </c>
      <c r="Q42" s="36">
        <v>0</v>
      </c>
      <c r="R42" s="36">
        <v>0</v>
      </c>
      <c r="S42" s="36">
        <v>0</v>
      </c>
      <c r="T42" s="36">
        <v>0</v>
      </c>
      <c r="U42" s="36">
        <v>0</v>
      </c>
      <c r="V42" s="36">
        <v>0</v>
      </c>
      <c r="W42" s="36">
        <v>0</v>
      </c>
      <c r="X42" s="36">
        <v>0</v>
      </c>
      <c r="Y42" s="36">
        <v>0</v>
      </c>
      <c r="Z42" s="36">
        <v>0</v>
      </c>
      <c r="AA42" s="18">
        <f t="shared" si="0"/>
        <v>7000</v>
      </c>
      <c r="AB42" s="18" t="str">
        <f t="shared" si="1"/>
        <v/>
      </c>
      <c r="AC42" s="18" t="str">
        <f t="shared" si="2"/>
        <v/>
      </c>
      <c r="AD42" s="18" t="str">
        <f t="shared" si="3"/>
        <v/>
      </c>
      <c r="AE42" s="18" t="str">
        <f t="shared" si="4"/>
        <v/>
      </c>
      <c r="AF42" s="18">
        <f t="shared" si="5"/>
        <v>7000</v>
      </c>
    </row>
    <row r="43" spans="1:32" ht="15" customHeight="1" x14ac:dyDescent="0.35">
      <c r="A43" s="8">
        <v>39</v>
      </c>
      <c r="B43" s="9" t="s">
        <v>414</v>
      </c>
      <c r="C43" s="8" t="s">
        <v>403</v>
      </c>
      <c r="D43" s="36">
        <v>6000</v>
      </c>
      <c r="E43" s="36">
        <v>0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0</v>
      </c>
      <c r="N43" s="36">
        <v>0</v>
      </c>
      <c r="O43" s="36">
        <v>0</v>
      </c>
      <c r="P43" s="36">
        <v>0</v>
      </c>
      <c r="Q43" s="36">
        <v>0</v>
      </c>
      <c r="R43" s="36">
        <v>0</v>
      </c>
      <c r="S43" s="36">
        <v>0</v>
      </c>
      <c r="T43" s="36">
        <v>0</v>
      </c>
      <c r="U43" s="36">
        <v>0</v>
      </c>
      <c r="V43" s="36">
        <v>0</v>
      </c>
      <c r="W43" s="36">
        <v>0</v>
      </c>
      <c r="X43" s="36">
        <v>0</v>
      </c>
      <c r="Y43" s="36">
        <v>0</v>
      </c>
      <c r="Z43" s="36">
        <v>0</v>
      </c>
      <c r="AA43" s="18">
        <f t="shared" si="0"/>
        <v>6000</v>
      </c>
      <c r="AB43" s="18" t="str">
        <f t="shared" si="1"/>
        <v/>
      </c>
      <c r="AC43" s="18" t="str">
        <f t="shared" si="2"/>
        <v/>
      </c>
      <c r="AD43" s="18" t="str">
        <f t="shared" si="3"/>
        <v/>
      </c>
      <c r="AE43" s="18" t="str">
        <f t="shared" si="4"/>
        <v/>
      </c>
      <c r="AF43" s="18">
        <f t="shared" si="5"/>
        <v>6000</v>
      </c>
    </row>
    <row r="44" spans="1:32" ht="15" customHeight="1" x14ac:dyDescent="0.35">
      <c r="A44" s="8">
        <v>40</v>
      </c>
      <c r="B44" s="9" t="s">
        <v>415</v>
      </c>
      <c r="C44" s="8" t="s">
        <v>403</v>
      </c>
      <c r="D44" s="36">
        <v>5000</v>
      </c>
      <c r="E44" s="36">
        <v>0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0</v>
      </c>
      <c r="N44" s="36">
        <v>0</v>
      </c>
      <c r="O44" s="36">
        <v>0</v>
      </c>
      <c r="P44" s="36">
        <v>0</v>
      </c>
      <c r="Q44" s="36">
        <v>0</v>
      </c>
      <c r="R44" s="36">
        <v>0</v>
      </c>
      <c r="S44" s="36">
        <v>0</v>
      </c>
      <c r="T44" s="36">
        <v>0</v>
      </c>
      <c r="U44" s="36">
        <v>0</v>
      </c>
      <c r="V44" s="36">
        <v>0</v>
      </c>
      <c r="W44" s="36">
        <v>0</v>
      </c>
      <c r="X44" s="36">
        <v>0</v>
      </c>
      <c r="Y44" s="36">
        <v>0</v>
      </c>
      <c r="Z44" s="36">
        <v>0</v>
      </c>
      <c r="AA44" s="18">
        <f t="shared" si="0"/>
        <v>5000</v>
      </c>
      <c r="AB44" s="18" t="str">
        <f t="shared" si="1"/>
        <v/>
      </c>
      <c r="AC44" s="18" t="str">
        <f t="shared" si="2"/>
        <v/>
      </c>
      <c r="AD44" s="18" t="str">
        <f t="shared" si="3"/>
        <v/>
      </c>
      <c r="AE44" s="18" t="str">
        <f t="shared" si="4"/>
        <v/>
      </c>
      <c r="AF44" s="18">
        <f t="shared" si="5"/>
        <v>5000</v>
      </c>
    </row>
    <row r="45" spans="1:32" ht="15" customHeight="1" x14ac:dyDescent="0.35">
      <c r="A45" s="8">
        <v>41</v>
      </c>
      <c r="B45" s="9" t="s">
        <v>416</v>
      </c>
      <c r="C45" s="8" t="s">
        <v>453</v>
      </c>
      <c r="D45" s="36">
        <v>65000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Z45" s="36">
        <v>0</v>
      </c>
      <c r="AA45" s="18">
        <f t="shared" si="0"/>
        <v>65000</v>
      </c>
      <c r="AB45" s="18" t="str">
        <f t="shared" si="1"/>
        <v/>
      </c>
      <c r="AC45" s="18" t="str">
        <f t="shared" si="2"/>
        <v/>
      </c>
      <c r="AD45" s="18" t="str">
        <f t="shared" si="3"/>
        <v/>
      </c>
      <c r="AE45" s="18" t="str">
        <f t="shared" si="4"/>
        <v/>
      </c>
      <c r="AF45" s="18">
        <f t="shared" si="5"/>
        <v>65000</v>
      </c>
    </row>
    <row r="46" spans="1:32" ht="15" customHeight="1" x14ac:dyDescent="0.35">
      <c r="A46" s="8">
        <v>42</v>
      </c>
      <c r="B46" s="9" t="s">
        <v>417</v>
      </c>
      <c r="C46" s="8" t="s">
        <v>403</v>
      </c>
      <c r="D46" s="36">
        <v>40000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  <c r="K46" s="36">
        <v>0</v>
      </c>
      <c r="L46" s="36">
        <v>0</v>
      </c>
      <c r="M46" s="36">
        <v>0</v>
      </c>
      <c r="N46" s="36">
        <v>0</v>
      </c>
      <c r="O46" s="36">
        <v>0</v>
      </c>
      <c r="P46" s="36">
        <v>0</v>
      </c>
      <c r="Q46" s="36">
        <v>0</v>
      </c>
      <c r="R46" s="36">
        <v>0</v>
      </c>
      <c r="S46" s="36">
        <v>0</v>
      </c>
      <c r="T46" s="36">
        <v>0</v>
      </c>
      <c r="U46" s="36">
        <v>0</v>
      </c>
      <c r="V46" s="36">
        <v>0</v>
      </c>
      <c r="W46" s="36">
        <v>0</v>
      </c>
      <c r="X46" s="36">
        <v>0</v>
      </c>
      <c r="Y46" s="36">
        <v>0</v>
      </c>
      <c r="Z46" s="36">
        <v>0</v>
      </c>
      <c r="AA46" s="18">
        <f t="shared" si="0"/>
        <v>40000</v>
      </c>
      <c r="AB46" s="18" t="str">
        <f t="shared" si="1"/>
        <v/>
      </c>
      <c r="AC46" s="18" t="str">
        <f t="shared" si="2"/>
        <v/>
      </c>
      <c r="AD46" s="18" t="str">
        <f t="shared" si="3"/>
        <v/>
      </c>
      <c r="AE46" s="18" t="str">
        <f t="shared" si="4"/>
        <v/>
      </c>
      <c r="AF46" s="18">
        <f t="shared" si="5"/>
        <v>40000</v>
      </c>
    </row>
    <row r="47" spans="1:32" ht="15" customHeight="1" x14ac:dyDescent="0.35">
      <c r="A47" s="8">
        <v>43</v>
      </c>
      <c r="B47" s="9" t="s">
        <v>418</v>
      </c>
      <c r="C47" s="8" t="s">
        <v>403</v>
      </c>
      <c r="D47" s="36">
        <v>36000</v>
      </c>
      <c r="E47" s="36">
        <v>0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0</v>
      </c>
      <c r="N47" s="36">
        <v>0</v>
      </c>
      <c r="O47" s="36">
        <v>0</v>
      </c>
      <c r="P47" s="36">
        <v>0</v>
      </c>
      <c r="Q47" s="36">
        <v>0</v>
      </c>
      <c r="R47" s="36">
        <v>0</v>
      </c>
      <c r="S47" s="36">
        <v>0</v>
      </c>
      <c r="T47" s="36">
        <v>0</v>
      </c>
      <c r="U47" s="36">
        <v>0</v>
      </c>
      <c r="V47" s="36">
        <v>0</v>
      </c>
      <c r="W47" s="36">
        <v>0</v>
      </c>
      <c r="X47" s="36">
        <v>0</v>
      </c>
      <c r="Y47" s="36">
        <v>0</v>
      </c>
      <c r="Z47" s="36">
        <v>0</v>
      </c>
      <c r="AA47" s="18">
        <f t="shared" si="0"/>
        <v>36000</v>
      </c>
      <c r="AB47" s="18" t="str">
        <f t="shared" si="1"/>
        <v/>
      </c>
      <c r="AC47" s="18" t="str">
        <f t="shared" si="2"/>
        <v/>
      </c>
      <c r="AD47" s="18" t="str">
        <f t="shared" si="3"/>
        <v/>
      </c>
      <c r="AE47" s="18" t="str">
        <f t="shared" si="4"/>
        <v/>
      </c>
      <c r="AF47" s="18">
        <f t="shared" si="5"/>
        <v>36000</v>
      </c>
    </row>
    <row r="48" spans="1:32" ht="15" customHeight="1" x14ac:dyDescent="0.35">
      <c r="A48" s="8">
        <v>44</v>
      </c>
      <c r="B48" s="9" t="s">
        <v>419</v>
      </c>
      <c r="C48" s="8" t="s">
        <v>403</v>
      </c>
      <c r="D48" s="36">
        <v>28000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  <c r="N48" s="36">
        <v>0</v>
      </c>
      <c r="O48" s="36">
        <v>0</v>
      </c>
      <c r="P48" s="36">
        <v>0</v>
      </c>
      <c r="Q48" s="36">
        <v>0</v>
      </c>
      <c r="R48" s="36">
        <v>0</v>
      </c>
      <c r="S48" s="36">
        <v>0</v>
      </c>
      <c r="T48" s="36">
        <v>0</v>
      </c>
      <c r="U48" s="36">
        <v>0</v>
      </c>
      <c r="V48" s="36">
        <v>0</v>
      </c>
      <c r="W48" s="36">
        <v>0</v>
      </c>
      <c r="X48" s="36">
        <v>0</v>
      </c>
      <c r="Y48" s="36">
        <v>0</v>
      </c>
      <c r="Z48" s="36">
        <v>0</v>
      </c>
      <c r="AA48" s="18">
        <f t="shared" si="0"/>
        <v>28000</v>
      </c>
      <c r="AB48" s="18" t="str">
        <f t="shared" si="1"/>
        <v/>
      </c>
      <c r="AC48" s="18" t="str">
        <f t="shared" si="2"/>
        <v/>
      </c>
      <c r="AD48" s="18" t="str">
        <f t="shared" si="3"/>
        <v/>
      </c>
      <c r="AE48" s="18" t="str">
        <f t="shared" si="4"/>
        <v/>
      </c>
      <c r="AF48" s="18">
        <f t="shared" si="5"/>
        <v>28000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Ringkasan Mingguan 2026</vt:lpstr>
      <vt:lpstr>Perhitungan IPH Mingguan 2026</vt:lpstr>
      <vt:lpstr>Top 5 Andil per Minggu 2026</vt:lpstr>
      <vt:lpstr>Saran ke Pemkab 2026</vt:lpstr>
      <vt:lpstr>Pemetaan Variant</vt:lpstr>
      <vt:lpstr>P0Q0 Dasar 2022</vt:lpstr>
      <vt:lpstr>Data Des 2025</vt:lpstr>
      <vt:lpstr>Data Jan 2026</vt:lpstr>
      <vt:lpstr>Data Feb 2026</vt:lpstr>
      <vt:lpstr>Data Mar 2026</vt:lpstr>
      <vt:lpstr>Data Apr 2026</vt:lpstr>
      <vt:lpstr>Data Mei 2026</vt:lpstr>
      <vt:lpstr>Data Jun 2026</vt:lpstr>
      <vt:lpstr>Data Jul 2026</vt:lpstr>
      <vt:lpstr>Data Agu 2026</vt:lpstr>
      <vt:lpstr>Data Sep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Devi Andriani</cp:lastModifiedBy>
  <cp:revision>4</cp:revision>
  <dcterms:created xsi:type="dcterms:W3CDTF">2026-08-29T02:25:17Z</dcterms:created>
  <dcterms:modified xsi:type="dcterms:W3CDTF">2026-09-01T04:43:41Z</dcterms:modified>
  <dc:language>en-US</dc:language>
</cp:coreProperties>
</file>