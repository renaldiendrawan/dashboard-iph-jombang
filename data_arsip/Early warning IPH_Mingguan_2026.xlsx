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wbbm\"/>
    </mc:Choice>
  </mc:AlternateContent>
  <xr:revisionPtr revIDLastSave="0" documentId="13_ncr:1_{2CF883CA-B71B-45F9-816F-F1C48B961F40}" xr6:coauthVersionLast="47" xr6:coauthVersionMax="47" xr10:uidLastSave="{00000000-0000-0000-0000-000000000000}"/>
  <bookViews>
    <workbookView xWindow="-110" yWindow="-110" windowWidth="19420" windowHeight="10300" tabRatio="500" firstSheet="1" activeTab="2" xr2:uid="{00000000-000D-0000-FFFF-FFFF00000000}"/>
  </bookViews>
  <sheets>
    <sheet name="Ringkasan Mingguan 2026" sheetId="1" r:id="rId1"/>
    <sheet name="Perhitungan IPH Mingguan 2026" sheetId="2" r:id="rId2"/>
    <sheet name="Top 5 Andil per Minggu 2026" sheetId="3" r:id="rId3"/>
    <sheet name="Saran ke Pemkab" sheetId="4" r:id="rId4"/>
    <sheet name="Pemetaan Variant" sheetId="5" r:id="rId5"/>
    <sheet name="P0Q0 Dasar 2022" sheetId="6" r:id="rId6"/>
    <sheet name="Data Des 2025" sheetId="7" r:id="rId7"/>
    <sheet name="Data Jan 2026" sheetId="8" r:id="rId8"/>
    <sheet name="Data Feb 2026" sheetId="9" r:id="rId9"/>
    <sheet name="Data Mar 2026" sheetId="10" r:id="rId10"/>
    <sheet name="Data Apr 2025" sheetId="11" r:id="rId11"/>
    <sheet name="Data Mei 2026" sheetId="12" r:id="rId12"/>
    <sheet name="Data Jun 2026" sheetId="13" r:id="rId13"/>
    <sheet name="Data Jul 2026" sheetId="14" r:id="rId14"/>
    <sheet name="DATAAGUSTUS 2026"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 i="1" l="1"/>
  <c r="D5" i="1"/>
  <c r="BO9" i="5"/>
  <c r="BQ25" i="5"/>
  <c r="BQ22" i="5"/>
  <c r="BO30" i="5"/>
  <c r="BQ17" i="5"/>
  <c r="FG14" i="2" s="1"/>
  <c r="FH14" i="2" s="1"/>
  <c r="FI14" i="2" s="1"/>
  <c r="HP14" i="2" s="1"/>
  <c r="BO11" i="5"/>
  <c r="FA10" i="2" s="1"/>
  <c r="FB10" i="2" s="1"/>
  <c r="FC10" i="2" s="1"/>
  <c r="HN10" i="2" s="1"/>
  <c r="BQ16" i="5"/>
  <c r="O20" i="5"/>
  <c r="BL24" i="5"/>
  <c r="O19" i="5"/>
  <c r="BM29" i="5"/>
  <c r="BJ28" i="5"/>
  <c r="EL23" i="2" s="1"/>
  <c r="EM23" i="2" s="1"/>
  <c r="EN23" i="2" s="1"/>
  <c r="HI23" i="2" s="1"/>
  <c r="BL10" i="5"/>
  <c r="ER9" i="2" s="1"/>
  <c r="ES9" i="2" s="1"/>
  <c r="ET9" i="2" s="1"/>
  <c r="HK9" i="2" s="1"/>
  <c r="O13" i="5"/>
  <c r="BM18" i="5"/>
  <c r="BL27" i="5"/>
  <c r="BF15" i="5"/>
  <c r="BH31" i="5"/>
  <c r="EF24" i="2" s="1"/>
  <c r="EG24" i="2" s="1"/>
  <c r="EH24" i="2" s="1"/>
  <c r="HG24" i="2" s="1"/>
  <c r="BF20" i="5"/>
  <c r="BF23" i="5"/>
  <c r="N24" i="5"/>
  <c r="BF19" i="5"/>
  <c r="DZ16" i="2" s="1"/>
  <c r="EA16" i="2" s="1"/>
  <c r="N30" i="5"/>
  <c r="BH29" i="5"/>
  <c r="BF28" i="5"/>
  <c r="BH8" i="5"/>
  <c r="EF7" i="2" s="1"/>
  <c r="EG7" i="2" s="1"/>
  <c r="EH7" i="2" s="1"/>
  <c r="HG7" i="2" s="1"/>
  <c r="BF13" i="5"/>
  <c r="N11" i="5"/>
  <c r="BH18" i="5"/>
  <c r="EF15" i="2" s="1"/>
  <c r="EG15" i="2" s="1"/>
  <c r="EH15" i="2" s="1"/>
  <c r="HG15" i="2" s="1"/>
  <c r="BF21" i="5"/>
  <c r="DZ18" i="2" s="1"/>
  <c r="EA18" i="2" s="1"/>
  <c r="EB18" i="2" s="1"/>
  <c r="HE18" i="2" s="1"/>
  <c r="N27" i="5"/>
  <c r="BH26" i="5"/>
  <c r="N6" i="5"/>
  <c r="BB14" i="5"/>
  <c r="BD31" i="5"/>
  <c r="BA20" i="5"/>
  <c r="M23" i="5"/>
  <c r="BB22" i="5"/>
  <c r="DN19" i="2" s="1"/>
  <c r="DO19" i="2" s="1"/>
  <c r="DP19" i="2" s="1"/>
  <c r="HA19" i="2" s="1"/>
  <c r="BA19" i="5"/>
  <c r="BC30" i="5"/>
  <c r="M28" i="5"/>
  <c r="BB17" i="5"/>
  <c r="BD8" i="5"/>
  <c r="BA13" i="5"/>
  <c r="BC11" i="5"/>
  <c r="M21" i="5"/>
  <c r="BB16" i="5"/>
  <c r="BD26" i="5"/>
  <c r="BC6" i="5"/>
  <c r="AW15" i="5"/>
  <c r="AY9" i="5"/>
  <c r="L20" i="5"/>
  <c r="AW23" i="5"/>
  <c r="AY24" i="5"/>
  <c r="L19" i="5"/>
  <c r="AZ29" i="5"/>
  <c r="AW28" i="5"/>
  <c r="AY10" i="5"/>
  <c r="L13" i="5"/>
  <c r="AX12" i="5"/>
  <c r="AZ18" i="5"/>
  <c r="AW21" i="5"/>
  <c r="AY27" i="5"/>
  <c r="AX7" i="5"/>
  <c r="AZ5" i="5"/>
  <c r="AF48" i="14"/>
  <c r="AE48" i="14"/>
  <c r="AD48" i="14"/>
  <c r="AC48" i="14"/>
  <c r="AB48" i="14"/>
  <c r="AA48" i="14"/>
  <c r="AF47" i="14"/>
  <c r="AE47" i="14"/>
  <c r="AD47" i="14"/>
  <c r="AC47" i="14"/>
  <c r="AB47" i="14"/>
  <c r="AA47" i="14"/>
  <c r="AF46" i="14"/>
  <c r="AE46" i="14"/>
  <c r="AD46" i="14"/>
  <c r="AC46" i="14"/>
  <c r="AB46" i="14"/>
  <c r="AA46" i="14"/>
  <c r="AF45" i="14"/>
  <c r="AE45" i="14"/>
  <c r="AD45" i="14"/>
  <c r="AC45" i="14"/>
  <c r="AB45" i="14"/>
  <c r="AA45" i="14"/>
  <c r="AF44" i="14"/>
  <c r="AE44" i="14"/>
  <c r="AD44" i="14"/>
  <c r="AC44" i="14"/>
  <c r="AB44" i="14"/>
  <c r="AA44" i="14"/>
  <c r="AF43" i="14"/>
  <c r="AE43" i="14"/>
  <c r="AD43" i="14"/>
  <c r="AC43" i="14"/>
  <c r="AB43" i="14"/>
  <c r="AA43" i="14"/>
  <c r="AF42" i="14"/>
  <c r="AE42" i="14"/>
  <c r="AD42" i="14"/>
  <c r="AC42" i="14"/>
  <c r="AB42" i="14"/>
  <c r="AA42" i="14"/>
  <c r="AF41" i="14"/>
  <c r="AE41" i="14"/>
  <c r="AD41" i="14"/>
  <c r="AC41" i="14"/>
  <c r="AB41" i="14"/>
  <c r="AA41" i="14"/>
  <c r="AF40" i="14"/>
  <c r="AE40" i="14"/>
  <c r="AD40" i="14"/>
  <c r="AC40" i="14"/>
  <c r="AB40" i="14"/>
  <c r="AA40" i="14"/>
  <c r="AF39" i="14"/>
  <c r="AE39" i="14"/>
  <c r="AD39" i="14"/>
  <c r="AC39" i="14"/>
  <c r="AB39" i="14"/>
  <c r="AA39" i="14"/>
  <c r="AF38" i="14"/>
  <c r="AE38" i="14"/>
  <c r="AD38" i="14"/>
  <c r="AC38" i="14"/>
  <c r="AB38" i="14"/>
  <c r="AA38" i="14"/>
  <c r="AF37" i="14"/>
  <c r="AE37" i="14"/>
  <c r="AD37" i="14"/>
  <c r="AU32" i="5" s="1"/>
  <c r="AC37" i="14"/>
  <c r="AB37" i="14"/>
  <c r="AA37" i="14"/>
  <c r="AF36" i="14"/>
  <c r="AE36" i="14"/>
  <c r="AD36" i="14"/>
  <c r="AC36" i="14"/>
  <c r="AB36" i="14"/>
  <c r="AS15" i="5" s="1"/>
  <c r="AA36" i="14"/>
  <c r="AF35" i="14"/>
  <c r="AE35" i="14"/>
  <c r="AD35" i="14"/>
  <c r="AC35" i="14"/>
  <c r="AB35" i="14"/>
  <c r="AA35" i="14"/>
  <c r="AF34" i="14"/>
  <c r="K9" i="5" s="1"/>
  <c r="AE34" i="14"/>
  <c r="AD34" i="14"/>
  <c r="AC34" i="14"/>
  <c r="AB34" i="14"/>
  <c r="AA34" i="14"/>
  <c r="AF33" i="14"/>
  <c r="AE33" i="14"/>
  <c r="AD33" i="14"/>
  <c r="AU31" i="5" s="1"/>
  <c r="AC33" i="14"/>
  <c r="AB33" i="14"/>
  <c r="AA33" i="14"/>
  <c r="AF32" i="14"/>
  <c r="AE32" i="14"/>
  <c r="AD32" i="14"/>
  <c r="AC32" i="14"/>
  <c r="AB32" i="14"/>
  <c r="AS20" i="5" s="1"/>
  <c r="AA32" i="14"/>
  <c r="AF31" i="14"/>
  <c r="AE31" i="14"/>
  <c r="AD31" i="14"/>
  <c r="AC31" i="14"/>
  <c r="AB31" i="14"/>
  <c r="AA31" i="14"/>
  <c r="AF30" i="14"/>
  <c r="AE30" i="14"/>
  <c r="AD30" i="14"/>
  <c r="AC30" i="14"/>
  <c r="AB30" i="14"/>
  <c r="AA30" i="14"/>
  <c r="AF29" i="14"/>
  <c r="AE29" i="14"/>
  <c r="AD29" i="14"/>
  <c r="AC29" i="14"/>
  <c r="AB29" i="14"/>
  <c r="AA29" i="14"/>
  <c r="AF28" i="14"/>
  <c r="AE28" i="14"/>
  <c r="AD28" i="14"/>
  <c r="AC28" i="14"/>
  <c r="AB28" i="14"/>
  <c r="AS23" i="5" s="1"/>
  <c r="AA28" i="14"/>
  <c r="AF27" i="14"/>
  <c r="AE27" i="14"/>
  <c r="AD27" i="14"/>
  <c r="AC27" i="14"/>
  <c r="AB27" i="14"/>
  <c r="AA27" i="14"/>
  <c r="AF26" i="14"/>
  <c r="K24" i="5" s="1"/>
  <c r="AE26" i="14"/>
  <c r="AD26" i="14"/>
  <c r="AC26" i="14"/>
  <c r="AB26" i="14"/>
  <c r="AA26" i="14"/>
  <c r="AF25" i="14"/>
  <c r="AE25" i="14"/>
  <c r="AD25" i="14"/>
  <c r="AC25" i="14"/>
  <c r="AB25" i="14"/>
  <c r="AA25" i="14"/>
  <c r="AF24" i="14"/>
  <c r="AE24" i="14"/>
  <c r="AD24" i="14"/>
  <c r="AC24" i="14"/>
  <c r="AB24" i="14"/>
  <c r="AS19" i="5" s="1"/>
  <c r="AA24" i="14"/>
  <c r="AF23" i="14"/>
  <c r="AE23" i="14"/>
  <c r="AD23" i="14"/>
  <c r="AC23" i="14"/>
  <c r="AB23" i="14"/>
  <c r="AA23" i="14"/>
  <c r="AF22" i="14"/>
  <c r="AE22" i="14"/>
  <c r="AD22" i="14"/>
  <c r="AC22" i="14"/>
  <c r="AB22" i="14"/>
  <c r="AA22" i="14"/>
  <c r="AF21" i="14"/>
  <c r="AE21" i="14"/>
  <c r="AD21" i="14"/>
  <c r="AU29" i="5" s="1"/>
  <c r="AC21" i="14"/>
  <c r="AB21" i="14"/>
  <c r="AA21" i="14"/>
  <c r="AF20" i="14"/>
  <c r="AE20" i="14"/>
  <c r="AD20" i="14"/>
  <c r="AC20" i="14"/>
  <c r="AB20" i="14"/>
  <c r="AS28" i="5" s="1"/>
  <c r="AA20" i="14"/>
  <c r="AF19" i="14"/>
  <c r="AE19" i="14"/>
  <c r="AD19" i="14"/>
  <c r="AC19" i="14"/>
  <c r="AB19" i="14"/>
  <c r="AA19" i="14"/>
  <c r="AF18" i="14"/>
  <c r="K10" i="5" s="1"/>
  <c r="AE18" i="14"/>
  <c r="AD18" i="14"/>
  <c r="AC18" i="14"/>
  <c r="AB18" i="14"/>
  <c r="AA18" i="14"/>
  <c r="AF17" i="14"/>
  <c r="AE17" i="14"/>
  <c r="AD17" i="14"/>
  <c r="AU8" i="5" s="1"/>
  <c r="AC17" i="14"/>
  <c r="AB17" i="14"/>
  <c r="AA17" i="14"/>
  <c r="AF16" i="14"/>
  <c r="AE16" i="14"/>
  <c r="AD16" i="14"/>
  <c r="AC16" i="14"/>
  <c r="AB16" i="14"/>
  <c r="AS13" i="5" s="1"/>
  <c r="AA16" i="14"/>
  <c r="AF15" i="14"/>
  <c r="AE15" i="14"/>
  <c r="AD15" i="14"/>
  <c r="AC15" i="14"/>
  <c r="AB15" i="14"/>
  <c r="AA15" i="14"/>
  <c r="AF14" i="14"/>
  <c r="K11" i="5" s="1"/>
  <c r="AE14" i="14"/>
  <c r="AD14" i="14"/>
  <c r="AC14" i="14"/>
  <c r="AB14" i="14"/>
  <c r="AA14" i="14"/>
  <c r="AF13" i="14"/>
  <c r="AE13" i="14"/>
  <c r="AD13" i="14"/>
  <c r="AU18" i="5" s="1"/>
  <c r="AC13" i="14"/>
  <c r="AB13" i="14"/>
  <c r="AA13" i="14"/>
  <c r="AF12" i="14"/>
  <c r="AE12" i="14"/>
  <c r="AD12" i="14"/>
  <c r="AC12" i="14"/>
  <c r="AB12" i="14"/>
  <c r="AS21" i="5" s="1"/>
  <c r="AA12" i="14"/>
  <c r="AF11" i="14"/>
  <c r="AE11" i="14"/>
  <c r="AD11" i="14"/>
  <c r="AC11" i="14"/>
  <c r="AB11" i="14"/>
  <c r="AA11" i="14"/>
  <c r="AF10" i="14"/>
  <c r="K27" i="5" s="1"/>
  <c r="AE10" i="14"/>
  <c r="AD10" i="14"/>
  <c r="AC10" i="14"/>
  <c r="AB10" i="14"/>
  <c r="AA10" i="14"/>
  <c r="AF9" i="14"/>
  <c r="AE9" i="14"/>
  <c r="AD9" i="14"/>
  <c r="AU26" i="5" s="1"/>
  <c r="AC9" i="14"/>
  <c r="AB9" i="14"/>
  <c r="AA9" i="14"/>
  <c r="AF8" i="14"/>
  <c r="AE8" i="14"/>
  <c r="AD8" i="14"/>
  <c r="AC8" i="14"/>
  <c r="AB8" i="14"/>
  <c r="AA8" i="14"/>
  <c r="AF7" i="14"/>
  <c r="AE7" i="14"/>
  <c r="AD7" i="14"/>
  <c r="AC7" i="14"/>
  <c r="AB7" i="14"/>
  <c r="AA7" i="14"/>
  <c r="AF6" i="14"/>
  <c r="K6" i="5" s="1"/>
  <c r="AE6" i="14"/>
  <c r="AD6" i="14"/>
  <c r="AC6" i="14"/>
  <c r="AB6" i="14"/>
  <c r="AA6" i="14"/>
  <c r="AF5" i="14"/>
  <c r="AE5" i="14"/>
  <c r="AD5" i="14"/>
  <c r="AU5" i="5" s="1"/>
  <c r="AC5" i="14"/>
  <c r="AB5" i="14"/>
  <c r="AA5" i="14"/>
  <c r="AB48" i="13"/>
  <c r="AA48" i="13"/>
  <c r="Z48" i="13"/>
  <c r="Y48" i="13"/>
  <c r="X48" i="13"/>
  <c r="AB47" i="13"/>
  <c r="AA47" i="13"/>
  <c r="Z47" i="13"/>
  <c r="Y47" i="13"/>
  <c r="X47" i="13"/>
  <c r="AB46" i="13"/>
  <c r="AA46" i="13"/>
  <c r="Z46" i="13"/>
  <c r="Y46" i="13"/>
  <c r="X46" i="13"/>
  <c r="AB45" i="13"/>
  <c r="AA45" i="13"/>
  <c r="Z45" i="13"/>
  <c r="Y45" i="13"/>
  <c r="X45" i="13"/>
  <c r="AB44" i="13"/>
  <c r="AA44" i="13"/>
  <c r="Z44" i="13"/>
  <c r="Y44" i="13"/>
  <c r="X44" i="13"/>
  <c r="AB43" i="13"/>
  <c r="AA43" i="13"/>
  <c r="Z43" i="13"/>
  <c r="Y43" i="13"/>
  <c r="X43" i="13"/>
  <c r="AB42" i="13"/>
  <c r="AA42" i="13"/>
  <c r="Z42" i="13"/>
  <c r="Y42" i="13"/>
  <c r="X42" i="13"/>
  <c r="AB41" i="13"/>
  <c r="AA41" i="13"/>
  <c r="Z41" i="13"/>
  <c r="Y41" i="13"/>
  <c r="X41" i="13"/>
  <c r="AB40" i="13"/>
  <c r="AA40" i="13"/>
  <c r="Z40" i="13"/>
  <c r="Y40" i="13"/>
  <c r="X40" i="13"/>
  <c r="AB39" i="13"/>
  <c r="AA39" i="13"/>
  <c r="Z39" i="13"/>
  <c r="Y39" i="13"/>
  <c r="X39" i="13"/>
  <c r="AB38" i="13"/>
  <c r="AA38" i="13"/>
  <c r="Z38" i="13"/>
  <c r="Y38" i="13"/>
  <c r="X38" i="13"/>
  <c r="AB37" i="13"/>
  <c r="AA37" i="13"/>
  <c r="Z37" i="13"/>
  <c r="Y37" i="13"/>
  <c r="X37" i="13"/>
  <c r="AB36" i="13"/>
  <c r="J15" i="5" s="1"/>
  <c r="AA36" i="13"/>
  <c r="Z36" i="13"/>
  <c r="Y36" i="13"/>
  <c r="X36" i="13"/>
  <c r="AB35" i="13"/>
  <c r="AA35" i="13"/>
  <c r="Z35" i="13"/>
  <c r="Y35" i="13"/>
  <c r="AO14" i="5" s="1"/>
  <c r="X35" i="13"/>
  <c r="AB34" i="13"/>
  <c r="AA34" i="13"/>
  <c r="Z34" i="13"/>
  <c r="Y34" i="13"/>
  <c r="X34" i="13"/>
  <c r="AB33" i="13"/>
  <c r="AA33" i="13"/>
  <c r="AQ31" i="5" s="1"/>
  <c r="Z33" i="13"/>
  <c r="Y33" i="13"/>
  <c r="X33" i="13"/>
  <c r="AB32" i="13"/>
  <c r="AA32" i="13"/>
  <c r="Z32" i="13"/>
  <c r="Y32" i="13"/>
  <c r="X32" i="13"/>
  <c r="AN20" i="5" s="1"/>
  <c r="AB31" i="13"/>
  <c r="AA31" i="13"/>
  <c r="Z31" i="13"/>
  <c r="Y31" i="13"/>
  <c r="X31" i="13"/>
  <c r="AB30" i="13"/>
  <c r="AA30" i="13"/>
  <c r="Z30" i="13"/>
  <c r="Y30" i="13"/>
  <c r="X30" i="13"/>
  <c r="AB29" i="13"/>
  <c r="AA29" i="13"/>
  <c r="Z29" i="13"/>
  <c r="Y29" i="13"/>
  <c r="X29" i="13"/>
  <c r="AB28" i="13"/>
  <c r="J23" i="5" s="1"/>
  <c r="AA28" i="13"/>
  <c r="Z28" i="13"/>
  <c r="Y28" i="13"/>
  <c r="X28" i="13"/>
  <c r="AB27" i="13"/>
  <c r="AA27" i="13"/>
  <c r="Z27" i="13"/>
  <c r="AP22" i="5" s="1"/>
  <c r="Y27" i="13"/>
  <c r="AO22" i="5" s="1"/>
  <c r="X27" i="13"/>
  <c r="AB26" i="13"/>
  <c r="AA26" i="13"/>
  <c r="Z26" i="13"/>
  <c r="Y26" i="13"/>
  <c r="X26" i="13"/>
  <c r="AB25" i="13"/>
  <c r="AA25" i="13"/>
  <c r="Z25" i="13"/>
  <c r="Y25" i="13"/>
  <c r="X25" i="13"/>
  <c r="AB24" i="13"/>
  <c r="AA24" i="13"/>
  <c r="Z24" i="13"/>
  <c r="Y24" i="13"/>
  <c r="AO19" i="5" s="1"/>
  <c r="X24" i="13"/>
  <c r="AN19" i="5" s="1"/>
  <c r="AB23" i="13"/>
  <c r="AA23" i="13"/>
  <c r="Z23" i="13"/>
  <c r="Y23" i="13"/>
  <c r="X23" i="13"/>
  <c r="AB22" i="13"/>
  <c r="AA22" i="13"/>
  <c r="AQ30" i="5" s="1"/>
  <c r="Z22" i="13"/>
  <c r="AP30" i="5" s="1"/>
  <c r="Y22" i="13"/>
  <c r="X22" i="13"/>
  <c r="AB21" i="13"/>
  <c r="AA21" i="13"/>
  <c r="Z21" i="13"/>
  <c r="Y21" i="13"/>
  <c r="X21" i="13"/>
  <c r="AN29" i="5" s="1"/>
  <c r="AB20" i="13"/>
  <c r="J28" i="5" s="1"/>
  <c r="AA20" i="13"/>
  <c r="Z20" i="13"/>
  <c r="Y20" i="13"/>
  <c r="X20" i="13"/>
  <c r="AB19" i="13"/>
  <c r="AA19" i="13"/>
  <c r="Z19" i="13"/>
  <c r="AP17" i="5" s="1"/>
  <c r="Y19" i="13"/>
  <c r="AO17" i="5" s="1"/>
  <c r="X19" i="13"/>
  <c r="AB18" i="13"/>
  <c r="AA18" i="13"/>
  <c r="Z18" i="13"/>
  <c r="Y18" i="13"/>
  <c r="X18" i="13"/>
  <c r="AB17" i="13"/>
  <c r="J8" i="5" s="1"/>
  <c r="AA17" i="13"/>
  <c r="AQ8" i="5" s="1"/>
  <c r="Z17" i="13"/>
  <c r="Y17" i="13"/>
  <c r="X17" i="13"/>
  <c r="AB16" i="13"/>
  <c r="AA16" i="13"/>
  <c r="Z16" i="13"/>
  <c r="Y16" i="13"/>
  <c r="AO13" i="5" s="1"/>
  <c r="X16" i="13"/>
  <c r="AN13" i="5" s="1"/>
  <c r="AB15" i="13"/>
  <c r="AA15" i="13"/>
  <c r="Z15" i="13"/>
  <c r="Y15" i="13"/>
  <c r="X15" i="13"/>
  <c r="AB14" i="13"/>
  <c r="AA14" i="13"/>
  <c r="AQ11" i="5" s="1"/>
  <c r="Z14" i="13"/>
  <c r="AP11" i="5" s="1"/>
  <c r="Y14" i="13"/>
  <c r="X14" i="13"/>
  <c r="AB13" i="13"/>
  <c r="AA13" i="13"/>
  <c r="Z13" i="13"/>
  <c r="Y13" i="13"/>
  <c r="X13" i="13"/>
  <c r="AN18" i="5" s="1"/>
  <c r="AB12" i="13"/>
  <c r="J21" i="5" s="1"/>
  <c r="AA12" i="13"/>
  <c r="Z12" i="13"/>
  <c r="Y12" i="13"/>
  <c r="X12" i="13"/>
  <c r="AB11" i="13"/>
  <c r="AA11" i="13"/>
  <c r="Z11" i="13"/>
  <c r="AP16" i="5" s="1"/>
  <c r="Y11" i="13"/>
  <c r="AO16" i="5" s="1"/>
  <c r="X11" i="13"/>
  <c r="AB10" i="13"/>
  <c r="AA10" i="13"/>
  <c r="Z10" i="13"/>
  <c r="Y10" i="13"/>
  <c r="X10" i="13"/>
  <c r="AB9" i="13"/>
  <c r="J26" i="5" s="1"/>
  <c r="AA9" i="13"/>
  <c r="AQ26" i="5" s="1"/>
  <c r="CG22" i="2" s="1"/>
  <c r="CH22" i="2" s="1"/>
  <c r="Z9" i="13"/>
  <c r="Y9" i="13"/>
  <c r="X9" i="13"/>
  <c r="AB8" i="13"/>
  <c r="AA8" i="13"/>
  <c r="Z8" i="13"/>
  <c r="Y8" i="13"/>
  <c r="X8" i="13"/>
  <c r="AB7" i="13"/>
  <c r="AA7" i="13"/>
  <c r="Z7" i="13"/>
  <c r="Y7" i="13"/>
  <c r="X7" i="13"/>
  <c r="AB6" i="13"/>
  <c r="AA6" i="13"/>
  <c r="Z6" i="13"/>
  <c r="AP6" i="5" s="1"/>
  <c r="Y6" i="13"/>
  <c r="X6" i="13"/>
  <c r="AB5" i="13"/>
  <c r="AA5" i="13"/>
  <c r="Z5" i="13"/>
  <c r="Y5" i="13"/>
  <c r="X5" i="13"/>
  <c r="AE48" i="12"/>
  <c r="AD48" i="12"/>
  <c r="AC48" i="12"/>
  <c r="AB48" i="12"/>
  <c r="AA48" i="12"/>
  <c r="Z48" i="12"/>
  <c r="AE47" i="12"/>
  <c r="AD47" i="12"/>
  <c r="AC47" i="12"/>
  <c r="AB47" i="12"/>
  <c r="AA47" i="12"/>
  <c r="Z47" i="12"/>
  <c r="AE46" i="12"/>
  <c r="AD46" i="12"/>
  <c r="AC46" i="12"/>
  <c r="AB46" i="12"/>
  <c r="AA46" i="12"/>
  <c r="Z46" i="12"/>
  <c r="AE45" i="12"/>
  <c r="AD45" i="12"/>
  <c r="AC45" i="12"/>
  <c r="AB45" i="12"/>
  <c r="AA45" i="12"/>
  <c r="Z45" i="12"/>
  <c r="AE44" i="12"/>
  <c r="AD44" i="12"/>
  <c r="AC44" i="12"/>
  <c r="AB44" i="12"/>
  <c r="AA44" i="12"/>
  <c r="Z44" i="12"/>
  <c r="AE43" i="12"/>
  <c r="AD43" i="12"/>
  <c r="AC43" i="12"/>
  <c r="AB43" i="12"/>
  <c r="AA43" i="12"/>
  <c r="Z43" i="12"/>
  <c r="AE42" i="12"/>
  <c r="AD42" i="12"/>
  <c r="AC42" i="12"/>
  <c r="AB42" i="12"/>
  <c r="AA42" i="12"/>
  <c r="Z42" i="12"/>
  <c r="AE41" i="12"/>
  <c r="AD41" i="12"/>
  <c r="AC41" i="12"/>
  <c r="AB41" i="12"/>
  <c r="AA41" i="12"/>
  <c r="Z41" i="12"/>
  <c r="AE40" i="12"/>
  <c r="AD40" i="12"/>
  <c r="AC40" i="12"/>
  <c r="AB40" i="12"/>
  <c r="AA40" i="12"/>
  <c r="Z40" i="12"/>
  <c r="AE39" i="12"/>
  <c r="AD39" i="12"/>
  <c r="AC39" i="12"/>
  <c r="AB39" i="12"/>
  <c r="AA39" i="12"/>
  <c r="Z39" i="12"/>
  <c r="AE38" i="12"/>
  <c r="AD38" i="12"/>
  <c r="AC38" i="12"/>
  <c r="AB38" i="12"/>
  <c r="AA38" i="12"/>
  <c r="Z38" i="12"/>
  <c r="AE37" i="12"/>
  <c r="AD37" i="12"/>
  <c r="AC37" i="12"/>
  <c r="AB37" i="12"/>
  <c r="AA37" i="12"/>
  <c r="Z37" i="12"/>
  <c r="AE36" i="12"/>
  <c r="I15" i="5" s="1"/>
  <c r="AD36" i="12"/>
  <c r="AC36" i="12"/>
  <c r="AB36" i="12"/>
  <c r="AA36" i="12"/>
  <c r="Z36" i="12"/>
  <c r="AE35" i="12"/>
  <c r="AD35" i="12"/>
  <c r="AM14" i="5" s="1"/>
  <c r="AC35" i="12"/>
  <c r="AL14" i="5" s="1"/>
  <c r="AB35" i="12"/>
  <c r="AA35" i="12"/>
  <c r="Z35" i="12"/>
  <c r="AE34" i="12"/>
  <c r="AD34" i="12"/>
  <c r="AC34" i="12"/>
  <c r="AB34" i="12"/>
  <c r="AA34" i="12"/>
  <c r="AJ9" i="5" s="1"/>
  <c r="Z34" i="12"/>
  <c r="AE33" i="12"/>
  <c r="AD33" i="12"/>
  <c r="AC33" i="12"/>
  <c r="AB33" i="12"/>
  <c r="AA33" i="12"/>
  <c r="Z33" i="12"/>
  <c r="AI31" i="5" s="1"/>
  <c r="AE32" i="12"/>
  <c r="I20" i="5" s="1"/>
  <c r="AD32" i="12"/>
  <c r="AC32" i="12"/>
  <c r="AB32" i="12"/>
  <c r="AA32" i="12"/>
  <c r="Z32" i="12"/>
  <c r="AE31" i="12"/>
  <c r="AD31" i="12"/>
  <c r="AC31" i="12"/>
  <c r="AL25" i="5" s="1"/>
  <c r="BR21" i="2" s="1"/>
  <c r="AB31" i="12"/>
  <c r="AA31" i="12"/>
  <c r="Z31" i="12"/>
  <c r="AE30" i="12"/>
  <c r="AD30" i="12"/>
  <c r="AC30" i="12"/>
  <c r="AB30" i="12"/>
  <c r="AA30" i="12"/>
  <c r="Z30" i="12"/>
  <c r="AE29" i="12"/>
  <c r="AD29" i="12"/>
  <c r="AC29" i="12"/>
  <c r="AB29" i="12"/>
  <c r="AA29" i="12"/>
  <c r="Z29" i="12"/>
  <c r="AE28" i="12"/>
  <c r="I23" i="5" s="1"/>
  <c r="AD28" i="12"/>
  <c r="AC28" i="12"/>
  <c r="AB28" i="12"/>
  <c r="AA28" i="12"/>
  <c r="Z28" i="12"/>
  <c r="AE27" i="12"/>
  <c r="AD27" i="12"/>
  <c r="AC27" i="12"/>
  <c r="AL22" i="5" s="1"/>
  <c r="AB27" i="12"/>
  <c r="AA27" i="12"/>
  <c r="Z27" i="12"/>
  <c r="AE26" i="12"/>
  <c r="AD26" i="12"/>
  <c r="AC26" i="12"/>
  <c r="AB26" i="12"/>
  <c r="AK24" i="5" s="1"/>
  <c r="AA26" i="12"/>
  <c r="AJ24" i="5" s="1"/>
  <c r="Z26" i="12"/>
  <c r="AE25" i="12"/>
  <c r="AD25" i="12"/>
  <c r="AC25" i="12"/>
  <c r="AB25" i="12"/>
  <c r="AA25" i="12"/>
  <c r="Z25" i="12"/>
  <c r="AE24" i="12"/>
  <c r="I19" i="5" s="1"/>
  <c r="AD24" i="12"/>
  <c r="AC24" i="12"/>
  <c r="AB24" i="12"/>
  <c r="AA24" i="12"/>
  <c r="Z24" i="12"/>
  <c r="AE23" i="12"/>
  <c r="AD23" i="12"/>
  <c r="AC23" i="12"/>
  <c r="AB23" i="12"/>
  <c r="AA23" i="12"/>
  <c r="Z23" i="12"/>
  <c r="AE22" i="12"/>
  <c r="AD22" i="12"/>
  <c r="AC22" i="12"/>
  <c r="AB22" i="12"/>
  <c r="AK30" i="5" s="1"/>
  <c r="AA22" i="12"/>
  <c r="AJ30" i="5" s="1"/>
  <c r="BL23" i="2" s="1"/>
  <c r="Z22" i="12"/>
  <c r="AE21" i="12"/>
  <c r="AD21" i="12"/>
  <c r="AC21" i="12"/>
  <c r="AB21" i="12"/>
  <c r="AA21" i="12"/>
  <c r="Z21" i="12"/>
  <c r="AI29" i="5" s="1"/>
  <c r="AE20" i="12"/>
  <c r="I28" i="5" s="1"/>
  <c r="AD20" i="12"/>
  <c r="AC20" i="12"/>
  <c r="AB20" i="12"/>
  <c r="AA20" i="12"/>
  <c r="Z20" i="12"/>
  <c r="AE19" i="12"/>
  <c r="AD19" i="12"/>
  <c r="AM17" i="5" s="1"/>
  <c r="AC19" i="12"/>
  <c r="AL17" i="5" s="1"/>
  <c r="AB19" i="12"/>
  <c r="AA19" i="12"/>
  <c r="Z19" i="12"/>
  <c r="AE18" i="12"/>
  <c r="AD18" i="12"/>
  <c r="AC18" i="12"/>
  <c r="AB18" i="12"/>
  <c r="AK10" i="5" s="1"/>
  <c r="AA18" i="12"/>
  <c r="AJ10" i="5" s="1"/>
  <c r="Z18" i="12"/>
  <c r="AE17" i="12"/>
  <c r="AD17" i="12"/>
  <c r="AC17" i="12"/>
  <c r="AB17" i="12"/>
  <c r="AA17" i="12"/>
  <c r="Z17" i="12"/>
  <c r="AI8" i="5" s="1"/>
  <c r="AE16" i="12"/>
  <c r="I13" i="5" s="1"/>
  <c r="AD16" i="12"/>
  <c r="AC16" i="12"/>
  <c r="AB16" i="12"/>
  <c r="AA16" i="12"/>
  <c r="Z16" i="12"/>
  <c r="AE15" i="12"/>
  <c r="AD15" i="12"/>
  <c r="AC15" i="12"/>
  <c r="AL12" i="5" s="1"/>
  <c r="AB15" i="12"/>
  <c r="AA15" i="12"/>
  <c r="Z15" i="12"/>
  <c r="AE14" i="12"/>
  <c r="AD14" i="12"/>
  <c r="AC14" i="12"/>
  <c r="AB14" i="12"/>
  <c r="AK11" i="5" s="1"/>
  <c r="AA14" i="12"/>
  <c r="AJ11" i="5" s="1"/>
  <c r="Z14" i="12"/>
  <c r="AE13" i="12"/>
  <c r="AD13" i="12"/>
  <c r="AC13" i="12"/>
  <c r="AB13" i="12"/>
  <c r="AA13" i="12"/>
  <c r="Z13" i="12"/>
  <c r="AI18" i="5" s="1"/>
  <c r="AE12" i="12"/>
  <c r="I21" i="5" s="1"/>
  <c r="AD12" i="12"/>
  <c r="AC12" i="12"/>
  <c r="AB12" i="12"/>
  <c r="AA12" i="12"/>
  <c r="Z12" i="12"/>
  <c r="AE11" i="12"/>
  <c r="AD11" i="12"/>
  <c r="AM16" i="5" s="1"/>
  <c r="AC11" i="12"/>
  <c r="AL16" i="5" s="1"/>
  <c r="AB11" i="12"/>
  <c r="AA11" i="12"/>
  <c r="Z11" i="12"/>
  <c r="AE10" i="12"/>
  <c r="AD10" i="12"/>
  <c r="AC10" i="12"/>
  <c r="AB10" i="12"/>
  <c r="AK27" i="5" s="1"/>
  <c r="AA10" i="12"/>
  <c r="AJ27" i="5" s="1"/>
  <c r="Z10" i="12"/>
  <c r="AE9" i="12"/>
  <c r="AD9" i="12"/>
  <c r="AC9" i="12"/>
  <c r="AB9" i="12"/>
  <c r="AA9" i="12"/>
  <c r="Z9" i="12"/>
  <c r="AI26" i="5" s="1"/>
  <c r="AE8" i="12"/>
  <c r="AD8" i="12"/>
  <c r="AC8" i="12"/>
  <c r="AB8" i="12"/>
  <c r="AA8" i="12"/>
  <c r="Z8" i="12"/>
  <c r="AE7" i="12"/>
  <c r="AD7" i="12"/>
  <c r="AM7" i="5" s="1"/>
  <c r="AC7" i="12"/>
  <c r="AL7" i="5" s="1"/>
  <c r="AB7" i="12"/>
  <c r="AA7" i="12"/>
  <c r="Z7" i="12"/>
  <c r="AE6" i="12"/>
  <c r="AD6" i="12"/>
  <c r="AC6" i="12"/>
  <c r="AB6" i="12"/>
  <c r="AK6" i="5" s="1"/>
  <c r="AA6" i="12"/>
  <c r="AJ6" i="5" s="1"/>
  <c r="Z6" i="12"/>
  <c r="AE5" i="12"/>
  <c r="AD5" i="12"/>
  <c r="AC5" i="12"/>
  <c r="AB5" i="12"/>
  <c r="AA5" i="12"/>
  <c r="Z5" i="12"/>
  <c r="AE48" i="11"/>
  <c r="AD48" i="11"/>
  <c r="AC48" i="11"/>
  <c r="AB48" i="11"/>
  <c r="AA48" i="11"/>
  <c r="Z48" i="11"/>
  <c r="AE47" i="11"/>
  <c r="AD47" i="11"/>
  <c r="AC47" i="11"/>
  <c r="AB47" i="11"/>
  <c r="AA47" i="11"/>
  <c r="Z47" i="11"/>
  <c r="AE46" i="11"/>
  <c r="AD46" i="11"/>
  <c r="AC46" i="11"/>
  <c r="AB46" i="11"/>
  <c r="AA46" i="11"/>
  <c r="Z46" i="11"/>
  <c r="AE45" i="11"/>
  <c r="AD45" i="11"/>
  <c r="AC45" i="11"/>
  <c r="AB45" i="11"/>
  <c r="AA45" i="11"/>
  <c r="Z45" i="11"/>
  <c r="AE44" i="11"/>
  <c r="AD44" i="11"/>
  <c r="AC44" i="11"/>
  <c r="AB44" i="11"/>
  <c r="AA44" i="11"/>
  <c r="Z44" i="11"/>
  <c r="AE43" i="11"/>
  <c r="AD43" i="11"/>
  <c r="AC43" i="11"/>
  <c r="AB43" i="11"/>
  <c r="AA43" i="11"/>
  <c r="Z43" i="11"/>
  <c r="AE42" i="11"/>
  <c r="AD42" i="11"/>
  <c r="AC42" i="11"/>
  <c r="AB42" i="11"/>
  <c r="AA42" i="11"/>
  <c r="Z42" i="11"/>
  <c r="AE41" i="11"/>
  <c r="AD41" i="11"/>
  <c r="AC41" i="11"/>
  <c r="AB41" i="11"/>
  <c r="AA41" i="11"/>
  <c r="Z41" i="11"/>
  <c r="AE40" i="11"/>
  <c r="AD40" i="11"/>
  <c r="AC40" i="11"/>
  <c r="AB40" i="11"/>
  <c r="AA40" i="11"/>
  <c r="Z40" i="11"/>
  <c r="AE39" i="11"/>
  <c r="AD39" i="11"/>
  <c r="AC39" i="11"/>
  <c r="AB39" i="11"/>
  <c r="AA39" i="11"/>
  <c r="Z39" i="11"/>
  <c r="AE38" i="11"/>
  <c r="AD38" i="11"/>
  <c r="AC38" i="11"/>
  <c r="AB38" i="11"/>
  <c r="AA38" i="11"/>
  <c r="Z38" i="11"/>
  <c r="AE37" i="11"/>
  <c r="AD37" i="11"/>
  <c r="AC37" i="11"/>
  <c r="AB37" i="11"/>
  <c r="AA37" i="11"/>
  <c r="Z37" i="11"/>
  <c r="AD32" i="5" s="1"/>
  <c r="AE36" i="11"/>
  <c r="H15" i="5" s="1"/>
  <c r="AD36" i="11"/>
  <c r="AC36" i="11"/>
  <c r="AB36" i="11"/>
  <c r="AA36" i="11"/>
  <c r="Z36" i="11"/>
  <c r="AE35" i="11"/>
  <c r="AD35" i="11"/>
  <c r="AH14" i="5" s="1"/>
  <c r="AC35" i="11"/>
  <c r="AG14" i="5" s="1"/>
  <c r="AB35" i="11"/>
  <c r="AA35" i="11"/>
  <c r="Z35" i="11"/>
  <c r="AE34" i="11"/>
  <c r="AD34" i="11"/>
  <c r="AC34" i="11"/>
  <c r="AB34" i="11"/>
  <c r="AF9" i="5" s="1"/>
  <c r="AA34" i="11"/>
  <c r="AE9" i="5" s="1"/>
  <c r="Z34" i="11"/>
  <c r="AE33" i="11"/>
  <c r="AD33" i="11"/>
  <c r="AC33" i="11"/>
  <c r="AB33" i="11"/>
  <c r="AA33" i="11"/>
  <c r="Z33" i="11"/>
  <c r="AD31" i="5" s="1"/>
  <c r="AE32" i="11"/>
  <c r="H20" i="5" s="1"/>
  <c r="AD32" i="11"/>
  <c r="AC32" i="11"/>
  <c r="AB32" i="11"/>
  <c r="AA32" i="11"/>
  <c r="Z32" i="11"/>
  <c r="AE31" i="11"/>
  <c r="AD31" i="11"/>
  <c r="AH25" i="5" s="1"/>
  <c r="AC31" i="11"/>
  <c r="AG25" i="5" s="1"/>
  <c r="BC21" i="2" s="1"/>
  <c r="AB31" i="11"/>
  <c r="AA31" i="11"/>
  <c r="Z31" i="11"/>
  <c r="AE30" i="11"/>
  <c r="AD30" i="11"/>
  <c r="AC30" i="11"/>
  <c r="AB30" i="11"/>
  <c r="AA30" i="11"/>
  <c r="Z30" i="11"/>
  <c r="AE29" i="11"/>
  <c r="AD29" i="11"/>
  <c r="AC29" i="11"/>
  <c r="AB29" i="11"/>
  <c r="AA29" i="11"/>
  <c r="Z29" i="11"/>
  <c r="AE28" i="11"/>
  <c r="H23" i="5" s="1"/>
  <c r="AD28" i="11"/>
  <c r="AC28" i="11"/>
  <c r="AB28" i="11"/>
  <c r="AA28" i="11"/>
  <c r="Z28" i="11"/>
  <c r="AE27" i="11"/>
  <c r="AD27" i="11"/>
  <c r="AH22" i="5" s="1"/>
  <c r="AC27" i="11"/>
  <c r="AG22" i="5" s="1"/>
  <c r="AB27" i="11"/>
  <c r="AA27" i="11"/>
  <c r="Z27" i="11"/>
  <c r="AE26" i="11"/>
  <c r="AD26" i="11"/>
  <c r="AC26" i="11"/>
  <c r="AB26" i="11"/>
  <c r="AF24" i="5" s="1"/>
  <c r="AA26" i="11"/>
  <c r="AE24" i="5" s="1"/>
  <c r="Z26" i="11"/>
  <c r="AE25" i="11"/>
  <c r="AD25" i="11"/>
  <c r="AC25" i="11"/>
  <c r="AB25" i="11"/>
  <c r="AA25" i="11"/>
  <c r="Z25" i="11"/>
  <c r="AE24" i="11"/>
  <c r="H19" i="5" s="1"/>
  <c r="AD24" i="11"/>
  <c r="AC24" i="11"/>
  <c r="AB24" i="11"/>
  <c r="AA24" i="11"/>
  <c r="Z24" i="11"/>
  <c r="AE23" i="11"/>
  <c r="AD23" i="11"/>
  <c r="AC23" i="11"/>
  <c r="AB23" i="11"/>
  <c r="AA23" i="11"/>
  <c r="Z23" i="11"/>
  <c r="AE22" i="11"/>
  <c r="AD22" i="11"/>
  <c r="AC22" i="11"/>
  <c r="AB22" i="11"/>
  <c r="AA22" i="11"/>
  <c r="Z22" i="11"/>
  <c r="AE21" i="11"/>
  <c r="AD21" i="11"/>
  <c r="AC21" i="11"/>
  <c r="AB21" i="11"/>
  <c r="AA21" i="11"/>
  <c r="Z21" i="11"/>
  <c r="AD29" i="5" s="1"/>
  <c r="AE20" i="11"/>
  <c r="H28" i="5" s="1"/>
  <c r="AD20" i="11"/>
  <c r="AC20" i="11"/>
  <c r="AB20" i="11"/>
  <c r="AA20" i="11"/>
  <c r="Z20" i="11"/>
  <c r="AE19" i="11"/>
  <c r="AD19" i="11"/>
  <c r="AH17" i="5" s="1"/>
  <c r="AC19" i="11"/>
  <c r="AG17" i="5" s="1"/>
  <c r="AB19" i="11"/>
  <c r="AA19" i="11"/>
  <c r="Z19" i="11"/>
  <c r="AE18" i="11"/>
  <c r="AD18" i="11"/>
  <c r="AC18" i="11"/>
  <c r="AB18" i="11"/>
  <c r="AF10" i="5" s="1"/>
  <c r="AA18" i="11"/>
  <c r="AE10" i="5" s="1"/>
  <c r="Z18" i="11"/>
  <c r="AE17" i="11"/>
  <c r="AD17" i="11"/>
  <c r="AC17" i="11"/>
  <c r="AB17" i="11"/>
  <c r="AA17" i="11"/>
  <c r="Z17" i="11"/>
  <c r="AD8" i="5" s="1"/>
  <c r="AE16" i="11"/>
  <c r="H13" i="5" s="1"/>
  <c r="AD16" i="11"/>
  <c r="AC16" i="11"/>
  <c r="AB16" i="11"/>
  <c r="AA16" i="11"/>
  <c r="Z16" i="11"/>
  <c r="AE15" i="11"/>
  <c r="AD15" i="11"/>
  <c r="AH12" i="5" s="1"/>
  <c r="AC15" i="11"/>
  <c r="AG12" i="5" s="1"/>
  <c r="AB15" i="11"/>
  <c r="AA15" i="11"/>
  <c r="Z15" i="11"/>
  <c r="AE14" i="11"/>
  <c r="AD14" i="11"/>
  <c r="AC14" i="11"/>
  <c r="AB14" i="11"/>
  <c r="AA14" i="11"/>
  <c r="AE11" i="5" s="1"/>
  <c r="Z14" i="11"/>
  <c r="AE13" i="11"/>
  <c r="AD13" i="11"/>
  <c r="AC13" i="11"/>
  <c r="AB13" i="11"/>
  <c r="AA13" i="11"/>
  <c r="Z13" i="11"/>
  <c r="AD18" i="5" s="1"/>
  <c r="AE12" i="11"/>
  <c r="H21" i="5" s="1"/>
  <c r="AD12" i="11"/>
  <c r="AC12" i="11"/>
  <c r="AB12" i="11"/>
  <c r="AA12" i="11"/>
  <c r="Z12" i="11"/>
  <c r="AE11" i="11"/>
  <c r="AD11" i="11"/>
  <c r="AH16" i="5" s="1"/>
  <c r="AC11" i="11"/>
  <c r="AG16" i="5" s="1"/>
  <c r="AB11" i="11"/>
  <c r="AA11" i="11"/>
  <c r="Z11" i="11"/>
  <c r="AE10" i="11"/>
  <c r="AD10" i="11"/>
  <c r="AC10" i="11"/>
  <c r="AB10" i="11"/>
  <c r="AF27" i="5" s="1"/>
  <c r="AA10" i="11"/>
  <c r="AE27" i="5" s="1"/>
  <c r="AW22" i="2" s="1"/>
  <c r="AX22" i="2" s="1"/>
  <c r="AY22" i="2" s="1"/>
  <c r="GD22" i="2" s="1"/>
  <c r="Z10" i="11"/>
  <c r="AE9" i="11"/>
  <c r="AD9" i="11"/>
  <c r="AC9" i="11"/>
  <c r="AB9" i="11"/>
  <c r="AA9" i="11"/>
  <c r="Z9" i="11"/>
  <c r="AD26" i="5" s="1"/>
  <c r="AE8" i="11"/>
  <c r="AD8" i="11"/>
  <c r="AC8" i="11"/>
  <c r="AB8" i="11"/>
  <c r="AA8" i="11"/>
  <c r="Z8" i="11"/>
  <c r="AE7" i="11"/>
  <c r="AD7" i="11"/>
  <c r="AH7" i="5" s="1"/>
  <c r="AC7" i="11"/>
  <c r="AG7" i="5" s="1"/>
  <c r="AB7" i="11"/>
  <c r="AA7" i="11"/>
  <c r="Z7" i="11"/>
  <c r="AE6" i="11"/>
  <c r="AD6" i="11"/>
  <c r="AC6" i="11"/>
  <c r="AB6" i="11"/>
  <c r="AF6" i="5" s="1"/>
  <c r="AA6" i="11"/>
  <c r="AE6" i="5" s="1"/>
  <c r="Z6" i="11"/>
  <c r="AE5" i="11"/>
  <c r="AD5" i="11"/>
  <c r="AC5" i="11"/>
  <c r="AB5" i="11"/>
  <c r="AA5" i="11"/>
  <c r="Z5" i="11"/>
  <c r="AD5" i="5" s="1"/>
  <c r="AD48" i="10"/>
  <c r="AC48" i="10"/>
  <c r="AB48" i="10"/>
  <c r="AA48" i="10"/>
  <c r="Z48" i="10"/>
  <c r="Y48" i="10"/>
  <c r="AD47" i="10"/>
  <c r="AC47" i="10"/>
  <c r="AB47" i="10"/>
  <c r="AA47" i="10"/>
  <c r="Z47" i="10"/>
  <c r="Y47" i="10"/>
  <c r="AD46" i="10"/>
  <c r="AC46" i="10"/>
  <c r="AB46" i="10"/>
  <c r="AA46" i="10"/>
  <c r="Z46" i="10"/>
  <c r="Y46" i="10"/>
  <c r="AD45" i="10"/>
  <c r="AC45" i="10"/>
  <c r="AB45" i="10"/>
  <c r="AA45" i="10"/>
  <c r="Z45" i="10"/>
  <c r="Y45" i="10"/>
  <c r="AD44" i="10"/>
  <c r="AC44" i="10"/>
  <c r="AB44" i="10"/>
  <c r="AA44" i="10"/>
  <c r="Z44" i="10"/>
  <c r="Y44" i="10"/>
  <c r="AD43" i="10"/>
  <c r="AC43" i="10"/>
  <c r="AB43" i="10"/>
  <c r="AA43" i="10"/>
  <c r="Z43" i="10"/>
  <c r="Y43" i="10"/>
  <c r="AD42" i="10"/>
  <c r="AC42" i="10"/>
  <c r="AB42" i="10"/>
  <c r="AA42" i="10"/>
  <c r="Z42" i="10"/>
  <c r="Y42" i="10"/>
  <c r="AD41" i="10"/>
  <c r="AC41" i="10"/>
  <c r="AB41" i="10"/>
  <c r="AA41" i="10"/>
  <c r="Z41" i="10"/>
  <c r="Y41" i="10"/>
  <c r="AD40" i="10"/>
  <c r="AC40" i="10"/>
  <c r="AB40" i="10"/>
  <c r="AA40" i="10"/>
  <c r="Z40" i="10"/>
  <c r="Y40" i="10"/>
  <c r="AD39" i="10"/>
  <c r="AC39" i="10"/>
  <c r="AB39" i="10"/>
  <c r="AA39" i="10"/>
  <c r="Z39" i="10"/>
  <c r="Y39" i="10"/>
  <c r="AD38" i="10"/>
  <c r="AC38" i="10"/>
  <c r="AB38" i="10"/>
  <c r="AA38" i="10"/>
  <c r="Z38" i="10"/>
  <c r="Y38" i="10"/>
  <c r="AD37" i="10"/>
  <c r="AC37" i="10"/>
  <c r="AB37" i="10"/>
  <c r="AA37" i="10"/>
  <c r="Z37" i="10"/>
  <c r="Y37" i="10"/>
  <c r="Y32" i="5" s="1"/>
  <c r="AD36" i="10"/>
  <c r="G15" i="5" s="1"/>
  <c r="AC36" i="10"/>
  <c r="AB36" i="10"/>
  <c r="AA36" i="10"/>
  <c r="Z36" i="10"/>
  <c r="Y36" i="10"/>
  <c r="AD35" i="10"/>
  <c r="AC35" i="10"/>
  <c r="AC14" i="5" s="1"/>
  <c r="AB35" i="10"/>
  <c r="AB14" i="5" s="1"/>
  <c r="AA35" i="10"/>
  <c r="Z35" i="10"/>
  <c r="Y35" i="10"/>
  <c r="AD34" i="10"/>
  <c r="AC34" i="10"/>
  <c r="AB34" i="10"/>
  <c r="AA34" i="10"/>
  <c r="AA9" i="5" s="1"/>
  <c r="Z34" i="10"/>
  <c r="Z9" i="5" s="1"/>
  <c r="Y34" i="10"/>
  <c r="AD33" i="10"/>
  <c r="AC33" i="10"/>
  <c r="AB33" i="10"/>
  <c r="AA33" i="10"/>
  <c r="Z33" i="10"/>
  <c r="Y33" i="10"/>
  <c r="Y31" i="5" s="1"/>
  <c r="AD32" i="10"/>
  <c r="G20" i="5" s="1"/>
  <c r="AC32" i="10"/>
  <c r="AB32" i="10"/>
  <c r="AA32" i="10"/>
  <c r="Z32" i="10"/>
  <c r="Y32" i="10"/>
  <c r="AD31" i="10"/>
  <c r="AC31" i="10"/>
  <c r="AC25" i="5" s="1"/>
  <c r="AB31" i="10"/>
  <c r="AB25" i="5" s="1"/>
  <c r="AN21" i="2" s="1"/>
  <c r="AO21" i="2" s="1"/>
  <c r="AP21" i="2" s="1"/>
  <c r="AA31" i="10"/>
  <c r="Z31" i="10"/>
  <c r="Y31" i="10"/>
  <c r="AD30" i="10"/>
  <c r="AC30" i="10"/>
  <c r="AB30" i="10"/>
  <c r="AA30" i="10"/>
  <c r="Z30" i="10"/>
  <c r="Y30" i="10"/>
  <c r="AD29" i="10"/>
  <c r="AC29" i="10"/>
  <c r="AB29" i="10"/>
  <c r="AA29" i="10"/>
  <c r="Z29" i="10"/>
  <c r="Y29" i="10"/>
  <c r="AD28" i="10"/>
  <c r="G23" i="5" s="1"/>
  <c r="AC28" i="10"/>
  <c r="AB28" i="10"/>
  <c r="AA28" i="10"/>
  <c r="Z28" i="10"/>
  <c r="Y28" i="10"/>
  <c r="AD27" i="10"/>
  <c r="AC27" i="10"/>
  <c r="AC22" i="5" s="1"/>
  <c r="AB27" i="10"/>
  <c r="AB22" i="5" s="1"/>
  <c r="AN19" i="2" s="1"/>
  <c r="AA27" i="10"/>
  <c r="Z27" i="10"/>
  <c r="Y27" i="10"/>
  <c r="AD26" i="10"/>
  <c r="AC26" i="10"/>
  <c r="AB26" i="10"/>
  <c r="AA26" i="10"/>
  <c r="AA24" i="5" s="1"/>
  <c r="Z26" i="10"/>
  <c r="Z24" i="5" s="1"/>
  <c r="Y26" i="10"/>
  <c r="AD25" i="10"/>
  <c r="AC25" i="10"/>
  <c r="AB25" i="10"/>
  <c r="AA25" i="10"/>
  <c r="Z25" i="10"/>
  <c r="Y25" i="10"/>
  <c r="AD24" i="10"/>
  <c r="G19" i="5" s="1"/>
  <c r="AC24" i="10"/>
  <c r="AB24" i="10"/>
  <c r="AA24" i="10"/>
  <c r="Z24" i="10"/>
  <c r="Y24" i="10"/>
  <c r="AD23" i="10"/>
  <c r="AC23" i="10"/>
  <c r="AB23" i="10"/>
  <c r="AA23" i="10"/>
  <c r="Z23" i="10"/>
  <c r="Y23" i="10"/>
  <c r="AD22" i="10"/>
  <c r="AC22" i="10"/>
  <c r="AB22" i="10"/>
  <c r="AA22" i="10"/>
  <c r="AA30" i="5" s="1"/>
  <c r="Z22" i="10"/>
  <c r="Z30" i="5" s="1"/>
  <c r="AH23" i="2" s="1"/>
  <c r="AI23" i="2" s="1"/>
  <c r="AJ23" i="2" s="1"/>
  <c r="FY23" i="2" s="1"/>
  <c r="Y22" i="10"/>
  <c r="AD21" i="10"/>
  <c r="G29" i="5" s="1"/>
  <c r="AC21" i="10"/>
  <c r="AB21" i="10"/>
  <c r="AA21" i="10"/>
  <c r="Z21" i="10"/>
  <c r="Y21" i="10"/>
  <c r="Y29" i="5" s="1"/>
  <c r="AD20" i="10"/>
  <c r="G28" i="5" s="1"/>
  <c r="AC20" i="10"/>
  <c r="AB20" i="10"/>
  <c r="AA20" i="10"/>
  <c r="Z20" i="10"/>
  <c r="Y20" i="10"/>
  <c r="AD19" i="10"/>
  <c r="AC19" i="10"/>
  <c r="AC17" i="5" s="1"/>
  <c r="AB19" i="10"/>
  <c r="AB17" i="5" s="1"/>
  <c r="AA19" i="10"/>
  <c r="Z19" i="10"/>
  <c r="Y19" i="10"/>
  <c r="AD18" i="10"/>
  <c r="AC18" i="10"/>
  <c r="AB18" i="10"/>
  <c r="AA18" i="10"/>
  <c r="AA10" i="5" s="1"/>
  <c r="Z18" i="10"/>
  <c r="Z10" i="5" s="1"/>
  <c r="Y18" i="10"/>
  <c r="AD17" i="10"/>
  <c r="AC17" i="10"/>
  <c r="AB17" i="10"/>
  <c r="AA17" i="10"/>
  <c r="Z17" i="10"/>
  <c r="Y17" i="10"/>
  <c r="Y8" i="5" s="1"/>
  <c r="AD16" i="10"/>
  <c r="G13" i="5" s="1"/>
  <c r="AC16" i="10"/>
  <c r="AB16" i="10"/>
  <c r="AA16" i="10"/>
  <c r="Z16" i="10"/>
  <c r="Y16" i="10"/>
  <c r="AD15" i="10"/>
  <c r="AC15" i="10"/>
  <c r="AC12" i="5" s="1"/>
  <c r="AB15" i="10"/>
  <c r="AB12" i="5" s="1"/>
  <c r="AA15" i="10"/>
  <c r="Z15" i="10"/>
  <c r="Y15" i="10"/>
  <c r="AD14" i="10"/>
  <c r="AC14" i="10"/>
  <c r="AB14" i="10"/>
  <c r="AA14" i="10"/>
  <c r="AA11" i="5" s="1"/>
  <c r="Z14" i="10"/>
  <c r="Z11" i="5" s="1"/>
  <c r="Y14" i="10"/>
  <c r="AD13" i="10"/>
  <c r="AC13" i="10"/>
  <c r="AB13" i="10"/>
  <c r="AA13" i="10"/>
  <c r="Z13" i="10"/>
  <c r="Y13" i="10"/>
  <c r="Y18" i="5" s="1"/>
  <c r="AD12" i="10"/>
  <c r="G21" i="5" s="1"/>
  <c r="AC12" i="10"/>
  <c r="AB12" i="10"/>
  <c r="AA12" i="10"/>
  <c r="Z12" i="10"/>
  <c r="Y12" i="10"/>
  <c r="AD11" i="10"/>
  <c r="AC11" i="10"/>
  <c r="AC16" i="5" s="1"/>
  <c r="AB11" i="10"/>
  <c r="AB16" i="5" s="1"/>
  <c r="AA11" i="10"/>
  <c r="Z11" i="10"/>
  <c r="Y11" i="10"/>
  <c r="AD10" i="10"/>
  <c r="AC10" i="10"/>
  <c r="AB10" i="10"/>
  <c r="AA10" i="10"/>
  <c r="AA27" i="5" s="1"/>
  <c r="Z10" i="10"/>
  <c r="Z27" i="5" s="1"/>
  <c r="AH22" i="2" s="1"/>
  <c r="AI22" i="2" s="1"/>
  <c r="AJ22" i="2" s="1"/>
  <c r="FY22" i="2" s="1"/>
  <c r="Y10" i="10"/>
  <c r="AD9" i="10"/>
  <c r="AC9" i="10"/>
  <c r="AB9" i="10"/>
  <c r="AA9" i="10"/>
  <c r="Z9" i="10"/>
  <c r="Y9" i="10"/>
  <c r="Y26" i="5" s="1"/>
  <c r="AD8" i="10"/>
  <c r="AC8" i="10"/>
  <c r="AB8" i="10"/>
  <c r="AA8" i="10"/>
  <c r="Z8" i="10"/>
  <c r="Y8" i="10"/>
  <c r="AD7" i="10"/>
  <c r="AC7" i="10"/>
  <c r="AC7" i="5" s="1"/>
  <c r="AB7" i="10"/>
  <c r="AB7" i="5" s="1"/>
  <c r="AA7" i="10"/>
  <c r="Z7" i="10"/>
  <c r="Y7" i="10"/>
  <c r="AD6" i="10"/>
  <c r="AC6" i="10"/>
  <c r="AB6" i="10"/>
  <c r="AA6" i="10"/>
  <c r="AA6" i="5" s="1"/>
  <c r="Z6" i="10"/>
  <c r="Z6" i="5" s="1"/>
  <c r="Y6" i="10"/>
  <c r="AD5" i="10"/>
  <c r="AC5" i="10"/>
  <c r="AB5" i="10"/>
  <c r="AA5" i="10"/>
  <c r="Z5" i="10"/>
  <c r="Y5" i="10"/>
  <c r="Y5" i="5" s="1"/>
  <c r="AB48" i="9"/>
  <c r="AA48" i="9"/>
  <c r="Z48" i="9"/>
  <c r="Y48" i="9"/>
  <c r="X48" i="9"/>
  <c r="AB47" i="9"/>
  <c r="AA47" i="9"/>
  <c r="Z47" i="9"/>
  <c r="Y47" i="9"/>
  <c r="X47" i="9"/>
  <c r="AB46" i="9"/>
  <c r="AA46" i="9"/>
  <c r="Z46" i="9"/>
  <c r="Y46" i="9"/>
  <c r="X46" i="9"/>
  <c r="AB45" i="9"/>
  <c r="AA45" i="9"/>
  <c r="Z45" i="9"/>
  <c r="Y45" i="9"/>
  <c r="X45" i="9"/>
  <c r="AB44" i="9"/>
  <c r="AA44" i="9"/>
  <c r="Z44" i="9"/>
  <c r="Y44" i="9"/>
  <c r="X44" i="9"/>
  <c r="AB43" i="9"/>
  <c r="AA43" i="9"/>
  <c r="Z43" i="9"/>
  <c r="Y43" i="9"/>
  <c r="X43" i="9"/>
  <c r="AB42" i="9"/>
  <c r="AA42" i="9"/>
  <c r="Z42" i="9"/>
  <c r="Y42" i="9"/>
  <c r="X42" i="9"/>
  <c r="AB41" i="9"/>
  <c r="AA41" i="9"/>
  <c r="Z41" i="9"/>
  <c r="Y41" i="9"/>
  <c r="X41" i="9"/>
  <c r="AB40" i="9"/>
  <c r="AA40" i="9"/>
  <c r="Z40" i="9"/>
  <c r="Y40" i="9"/>
  <c r="X40" i="9"/>
  <c r="AB39" i="9"/>
  <c r="AA39" i="9"/>
  <c r="Z39" i="9"/>
  <c r="Y39" i="9"/>
  <c r="X39" i="9"/>
  <c r="AB38" i="9"/>
  <c r="AA38" i="9"/>
  <c r="Z38" i="9"/>
  <c r="Y38" i="9"/>
  <c r="X38" i="9"/>
  <c r="AB37" i="9"/>
  <c r="F32" i="5" s="1"/>
  <c r="AA37" i="9"/>
  <c r="X32" i="5" s="1"/>
  <c r="Z37" i="9"/>
  <c r="Y37" i="9"/>
  <c r="V32" i="5" s="1"/>
  <c r="X37" i="9"/>
  <c r="AB36" i="9"/>
  <c r="AA36" i="9"/>
  <c r="Z36" i="9"/>
  <c r="Y36" i="9"/>
  <c r="V15" i="5" s="1"/>
  <c r="X36" i="9"/>
  <c r="U15" i="5" s="1"/>
  <c r="AB35" i="9"/>
  <c r="AA35" i="9"/>
  <c r="Z35" i="9"/>
  <c r="Y35" i="9"/>
  <c r="X35" i="9"/>
  <c r="AB34" i="9"/>
  <c r="AA34" i="9"/>
  <c r="X9" i="5" s="1"/>
  <c r="Z34" i="9"/>
  <c r="W9" i="5" s="1"/>
  <c r="Y34" i="9"/>
  <c r="X34" i="9"/>
  <c r="AB33" i="9"/>
  <c r="AA33" i="9"/>
  <c r="Z33" i="9"/>
  <c r="Y33" i="9"/>
  <c r="X33" i="9"/>
  <c r="U31" i="5" s="1"/>
  <c r="AB32" i="9"/>
  <c r="F20" i="5" s="1"/>
  <c r="AA32" i="9"/>
  <c r="Z32" i="9"/>
  <c r="Y32" i="9"/>
  <c r="X32" i="9"/>
  <c r="AB31" i="9"/>
  <c r="AA31" i="9"/>
  <c r="Z31" i="9"/>
  <c r="W25" i="5" s="1"/>
  <c r="Y31" i="9"/>
  <c r="V25" i="5" s="1"/>
  <c r="V21" i="2" s="1"/>
  <c r="W21" i="2" s="1"/>
  <c r="X31" i="9"/>
  <c r="AB30" i="9"/>
  <c r="AA30" i="9"/>
  <c r="Z30" i="9"/>
  <c r="Y30" i="9"/>
  <c r="X30" i="9"/>
  <c r="AB29" i="9"/>
  <c r="AA29" i="9"/>
  <c r="Z29" i="9"/>
  <c r="Y29" i="9"/>
  <c r="X29" i="9"/>
  <c r="AB28" i="9"/>
  <c r="AA28" i="9"/>
  <c r="Z28" i="9"/>
  <c r="Y28" i="9"/>
  <c r="V23" i="5" s="1"/>
  <c r="X28" i="9"/>
  <c r="U23" i="5" s="1"/>
  <c r="AB27" i="9"/>
  <c r="AA27" i="9"/>
  <c r="Z27" i="9"/>
  <c r="Y27" i="9"/>
  <c r="X27" i="9"/>
  <c r="AB26" i="9"/>
  <c r="AA26" i="9"/>
  <c r="X24" i="5" s="1"/>
  <c r="Z26" i="9"/>
  <c r="W24" i="5" s="1"/>
  <c r="Y20" i="2" s="1"/>
  <c r="Z20" i="2" s="1"/>
  <c r="AA20" i="2" s="1"/>
  <c r="FV20" i="2" s="1"/>
  <c r="Y26" i="9"/>
  <c r="X26" i="9"/>
  <c r="AB25" i="9"/>
  <c r="AA25" i="9"/>
  <c r="Z25" i="9"/>
  <c r="Y25" i="9"/>
  <c r="X25" i="9"/>
  <c r="AB24" i="9"/>
  <c r="F19" i="5" s="1"/>
  <c r="AA24" i="9"/>
  <c r="Z24" i="9"/>
  <c r="Y24" i="9"/>
  <c r="X24" i="9"/>
  <c r="AB23" i="9"/>
  <c r="AA23" i="9"/>
  <c r="Z23" i="9"/>
  <c r="Y23" i="9"/>
  <c r="X23" i="9"/>
  <c r="AB22" i="9"/>
  <c r="F30" i="5" s="1"/>
  <c r="AA22" i="9"/>
  <c r="Z22" i="9"/>
  <c r="Y22" i="9"/>
  <c r="X22" i="9"/>
  <c r="AB21" i="9"/>
  <c r="F29" i="5" s="1"/>
  <c r="AA21" i="9"/>
  <c r="X29" i="5" s="1"/>
  <c r="AB23" i="2" s="1"/>
  <c r="AC23" i="2" s="1"/>
  <c r="AD23" i="2" s="1"/>
  <c r="FW23" i="2" s="1"/>
  <c r="Z21" i="9"/>
  <c r="Y21" i="9"/>
  <c r="X21" i="9"/>
  <c r="AB20" i="9"/>
  <c r="AA20" i="9"/>
  <c r="Z20" i="9"/>
  <c r="Y20" i="9"/>
  <c r="V28" i="5" s="1"/>
  <c r="X20" i="9"/>
  <c r="U28" i="5" s="1"/>
  <c r="AB19" i="9"/>
  <c r="AA19" i="9"/>
  <c r="Z19" i="9"/>
  <c r="Y19" i="9"/>
  <c r="X19" i="9"/>
  <c r="AB18" i="9"/>
  <c r="AA18" i="9"/>
  <c r="X10" i="5" s="1"/>
  <c r="Z18" i="9"/>
  <c r="W10" i="5" s="1"/>
  <c r="Y18" i="9"/>
  <c r="X18" i="9"/>
  <c r="AB17" i="9"/>
  <c r="AA17" i="9"/>
  <c r="Z17" i="9"/>
  <c r="Y17" i="9"/>
  <c r="X17" i="9"/>
  <c r="U8" i="5" s="1"/>
  <c r="AB16" i="9"/>
  <c r="F13" i="5" s="1"/>
  <c r="AA16" i="9"/>
  <c r="Z16" i="9"/>
  <c r="W13" i="5" s="1"/>
  <c r="Y16" i="9"/>
  <c r="X16" i="9"/>
  <c r="AB15" i="9"/>
  <c r="AA15" i="9"/>
  <c r="Z15" i="9"/>
  <c r="W12" i="5" s="1"/>
  <c r="Y15" i="9"/>
  <c r="V12" i="5" s="1"/>
  <c r="X15" i="9"/>
  <c r="AB14" i="9"/>
  <c r="AA14" i="9"/>
  <c r="Z14" i="9"/>
  <c r="Y14" i="9"/>
  <c r="X14" i="9"/>
  <c r="AB13" i="9"/>
  <c r="F18" i="5" s="1"/>
  <c r="AA13" i="9"/>
  <c r="X18" i="5" s="1"/>
  <c r="Z13" i="9"/>
  <c r="Y13" i="9"/>
  <c r="X13" i="9"/>
  <c r="AB12" i="9"/>
  <c r="AA12" i="9"/>
  <c r="Z12" i="9"/>
  <c r="W21" i="5" s="1"/>
  <c r="Y12" i="9"/>
  <c r="V21" i="5" s="1"/>
  <c r="X12" i="9"/>
  <c r="U21" i="5" s="1"/>
  <c r="AB11" i="9"/>
  <c r="AA11" i="9"/>
  <c r="Z11" i="9"/>
  <c r="Y11" i="9"/>
  <c r="X11" i="9"/>
  <c r="AB10" i="9"/>
  <c r="AA10" i="9"/>
  <c r="X27" i="5" s="1"/>
  <c r="Z10" i="9"/>
  <c r="W27" i="5" s="1"/>
  <c r="Y22" i="2" s="1"/>
  <c r="Y10" i="9"/>
  <c r="X10" i="9"/>
  <c r="U27" i="5" s="1"/>
  <c r="AB9" i="9"/>
  <c r="AA9" i="9"/>
  <c r="Z9" i="9"/>
  <c r="Y9" i="9"/>
  <c r="X9" i="9"/>
  <c r="U26" i="5" s="1"/>
  <c r="AB8" i="9"/>
  <c r="AA8" i="9"/>
  <c r="Z8" i="9"/>
  <c r="Y8" i="9"/>
  <c r="X8" i="9"/>
  <c r="AB7" i="9"/>
  <c r="AA7" i="9"/>
  <c r="Z7" i="9"/>
  <c r="W7" i="5" s="1"/>
  <c r="Y7" i="9"/>
  <c r="V7" i="5" s="1"/>
  <c r="X7" i="9"/>
  <c r="AB6" i="9"/>
  <c r="AA6" i="9"/>
  <c r="Z6" i="9"/>
  <c r="Y6" i="9"/>
  <c r="X6" i="9"/>
  <c r="AB5" i="9"/>
  <c r="F5" i="5" s="1"/>
  <c r="AA5" i="9"/>
  <c r="X5" i="5" s="1"/>
  <c r="Z5" i="9"/>
  <c r="Y5" i="9"/>
  <c r="X5" i="9"/>
  <c r="AF48" i="8"/>
  <c r="AE48" i="8"/>
  <c r="AD48" i="8"/>
  <c r="AC48" i="8"/>
  <c r="AB48" i="8"/>
  <c r="AA48" i="8"/>
  <c r="AF47" i="8"/>
  <c r="AE47" i="8"/>
  <c r="AD47" i="8"/>
  <c r="AC47" i="8"/>
  <c r="AB47" i="8"/>
  <c r="AA47" i="8"/>
  <c r="AF46" i="8"/>
  <c r="AE46" i="8"/>
  <c r="AD46" i="8"/>
  <c r="AC46" i="8"/>
  <c r="AB46" i="8"/>
  <c r="AA46" i="8"/>
  <c r="AF45" i="8"/>
  <c r="AE45" i="8"/>
  <c r="AD45" i="8"/>
  <c r="AC45" i="8"/>
  <c r="AB45" i="8"/>
  <c r="AA45" i="8"/>
  <c r="AF44" i="8"/>
  <c r="AE44" i="8"/>
  <c r="AD44" i="8"/>
  <c r="AC44" i="8"/>
  <c r="AB44" i="8"/>
  <c r="AA44" i="8"/>
  <c r="AF43" i="8"/>
  <c r="AE43" i="8"/>
  <c r="AD43" i="8"/>
  <c r="AC43" i="8"/>
  <c r="AB43" i="8"/>
  <c r="AA43" i="8"/>
  <c r="AF42" i="8"/>
  <c r="AE42" i="8"/>
  <c r="AD42" i="8"/>
  <c r="AC42" i="8"/>
  <c r="AB42" i="8"/>
  <c r="AA42" i="8"/>
  <c r="AF41" i="8"/>
  <c r="AE41" i="8"/>
  <c r="AD41" i="8"/>
  <c r="AC41" i="8"/>
  <c r="AB41" i="8"/>
  <c r="AA41" i="8"/>
  <c r="AF40" i="8"/>
  <c r="AE40" i="8"/>
  <c r="AD40" i="8"/>
  <c r="AC40" i="8"/>
  <c r="AB40" i="8"/>
  <c r="AA40" i="8"/>
  <c r="AF39" i="8"/>
  <c r="AE39" i="8"/>
  <c r="AD39" i="8"/>
  <c r="AC39" i="8"/>
  <c r="AB39" i="8"/>
  <c r="AA39" i="8"/>
  <c r="AF38" i="8"/>
  <c r="AE38" i="8"/>
  <c r="AD38" i="8"/>
  <c r="AC38" i="8"/>
  <c r="AB38" i="8"/>
  <c r="AA38" i="8"/>
  <c r="AF37" i="8"/>
  <c r="AE37" i="8"/>
  <c r="T32" i="5" s="1"/>
  <c r="AD37" i="8"/>
  <c r="S32" i="5" s="1"/>
  <c r="AC37" i="8"/>
  <c r="AB37" i="8"/>
  <c r="AA37" i="8"/>
  <c r="AF36" i="8"/>
  <c r="AE36" i="8"/>
  <c r="AD36" i="8"/>
  <c r="AC36" i="8"/>
  <c r="R15" i="5" s="1"/>
  <c r="AB36" i="8"/>
  <c r="Q15" i="5" s="1"/>
  <c r="AA36" i="8"/>
  <c r="AF35" i="8"/>
  <c r="AE35" i="8"/>
  <c r="AD35" i="8"/>
  <c r="AC35" i="8"/>
  <c r="AB35" i="8"/>
  <c r="AA35" i="8"/>
  <c r="P14" i="5" s="1"/>
  <c r="AF34" i="8"/>
  <c r="E9" i="5" s="1"/>
  <c r="AE34" i="8"/>
  <c r="AD34" i="8"/>
  <c r="S9" i="5" s="1"/>
  <c r="AC34" i="8"/>
  <c r="AB34" i="8"/>
  <c r="AA34" i="8"/>
  <c r="AF33" i="8"/>
  <c r="AE33" i="8"/>
  <c r="T31" i="5" s="1"/>
  <c r="AD33" i="8"/>
  <c r="S31" i="5" s="1"/>
  <c r="M24" i="2" s="1"/>
  <c r="N24" i="2" s="1"/>
  <c r="O24" i="2" s="1"/>
  <c r="FR24" i="2" s="1"/>
  <c r="AC33" i="8"/>
  <c r="AB33" i="8"/>
  <c r="Q31" i="5" s="1"/>
  <c r="AA33" i="8"/>
  <c r="AF32" i="8"/>
  <c r="AE32" i="8"/>
  <c r="AD32" i="8"/>
  <c r="AC32" i="8"/>
  <c r="R20" i="5" s="1"/>
  <c r="AB32" i="8"/>
  <c r="Q20" i="5" s="1"/>
  <c r="AA32" i="8"/>
  <c r="AF31" i="8"/>
  <c r="E25" i="5" s="1"/>
  <c r="AE31" i="8"/>
  <c r="AD31" i="8"/>
  <c r="S25" i="5" s="1"/>
  <c r="AC31" i="8"/>
  <c r="AB31" i="8"/>
  <c r="AA31" i="8"/>
  <c r="P25" i="5" s="1"/>
  <c r="AF30" i="8"/>
  <c r="AE30" i="8"/>
  <c r="AD30" i="8"/>
  <c r="AC30" i="8"/>
  <c r="AB30" i="8"/>
  <c r="AA30" i="8"/>
  <c r="AF29" i="8"/>
  <c r="AE29" i="8"/>
  <c r="AD29" i="8"/>
  <c r="AC29" i="8"/>
  <c r="AB29" i="8"/>
  <c r="AA29" i="8"/>
  <c r="AF28" i="8"/>
  <c r="AE28" i="8"/>
  <c r="AD28" i="8"/>
  <c r="AC28" i="8"/>
  <c r="R23" i="5" s="1"/>
  <c r="AB28" i="8"/>
  <c r="Q23" i="5" s="1"/>
  <c r="AA28" i="8"/>
  <c r="AF27" i="8"/>
  <c r="AE27" i="8"/>
  <c r="AD27" i="8"/>
  <c r="AC27" i="8"/>
  <c r="AB27" i="8"/>
  <c r="AA27" i="8"/>
  <c r="P22" i="5" s="1"/>
  <c r="AF26" i="8"/>
  <c r="E24" i="5" s="1"/>
  <c r="AE26" i="8"/>
  <c r="AD26" i="8"/>
  <c r="S24" i="5" s="1"/>
  <c r="AC26" i="8"/>
  <c r="AB26" i="8"/>
  <c r="AA26" i="8"/>
  <c r="AF25" i="8"/>
  <c r="AE25" i="8"/>
  <c r="AD25" i="8"/>
  <c r="AC25" i="8"/>
  <c r="AB25" i="8"/>
  <c r="AA25" i="8"/>
  <c r="AF24" i="8"/>
  <c r="AE24" i="8"/>
  <c r="AD24" i="8"/>
  <c r="AC24" i="8"/>
  <c r="R19" i="5" s="1"/>
  <c r="AB24" i="8"/>
  <c r="Q19" i="5" s="1"/>
  <c r="AA24" i="8"/>
  <c r="AF23" i="8"/>
  <c r="AE23" i="8"/>
  <c r="AD23" i="8"/>
  <c r="AC23" i="8"/>
  <c r="AB23" i="8"/>
  <c r="AA23" i="8"/>
  <c r="AF22" i="8"/>
  <c r="E30" i="5" s="1"/>
  <c r="AE22" i="8"/>
  <c r="T30" i="5" s="1"/>
  <c r="AD22" i="8"/>
  <c r="S30" i="5" s="1"/>
  <c r="AC22" i="8"/>
  <c r="AB22" i="8"/>
  <c r="AA22" i="8"/>
  <c r="AF21" i="8"/>
  <c r="AE21" i="8"/>
  <c r="T29" i="5" s="1"/>
  <c r="AD21" i="8"/>
  <c r="S29" i="5" s="1"/>
  <c r="M23" i="2" s="1"/>
  <c r="AC21" i="8"/>
  <c r="AB21" i="8"/>
  <c r="Q29" i="5" s="1"/>
  <c r="AA21" i="8"/>
  <c r="AF20" i="8"/>
  <c r="AE20" i="8"/>
  <c r="AD20" i="8"/>
  <c r="AC20" i="8"/>
  <c r="R28" i="5" s="1"/>
  <c r="AB20" i="8"/>
  <c r="Q28" i="5" s="1"/>
  <c r="G23" i="2" s="1"/>
  <c r="H23" i="2" s="1"/>
  <c r="I23" i="2" s="1"/>
  <c r="FP23" i="2" s="1"/>
  <c r="AA20" i="8"/>
  <c r="AF19" i="8"/>
  <c r="E17" i="5" s="1"/>
  <c r="AE19" i="8"/>
  <c r="AD19" i="8"/>
  <c r="AC19" i="8"/>
  <c r="AB19" i="8"/>
  <c r="AA19" i="8"/>
  <c r="P17" i="5" s="1"/>
  <c r="AF18" i="8"/>
  <c r="E10" i="5" s="1"/>
  <c r="AE18" i="8"/>
  <c r="AD18" i="8"/>
  <c r="AC18" i="8"/>
  <c r="AB18" i="8"/>
  <c r="AA18" i="8"/>
  <c r="AF17" i="8"/>
  <c r="AE17" i="8"/>
  <c r="T8" i="5" s="1"/>
  <c r="AD17" i="8"/>
  <c r="S8" i="5" s="1"/>
  <c r="AC17" i="8"/>
  <c r="AB17" i="8"/>
  <c r="AA17" i="8"/>
  <c r="AF16" i="8"/>
  <c r="AE16" i="8"/>
  <c r="AD16" i="8"/>
  <c r="AC16" i="8"/>
  <c r="R13" i="5" s="1"/>
  <c r="AB16" i="8"/>
  <c r="Q13" i="5" s="1"/>
  <c r="AA16" i="8"/>
  <c r="AF15" i="8"/>
  <c r="AE15" i="8"/>
  <c r="AD15" i="8"/>
  <c r="AC15" i="8"/>
  <c r="AB15" i="8"/>
  <c r="AA15" i="8"/>
  <c r="P12" i="5" s="1"/>
  <c r="AF14" i="8"/>
  <c r="E11" i="5" s="1"/>
  <c r="AE14" i="8"/>
  <c r="AD14" i="8"/>
  <c r="AC14" i="8"/>
  <c r="AB14" i="8"/>
  <c r="AA14" i="8"/>
  <c r="AF13" i="8"/>
  <c r="AE13" i="8"/>
  <c r="T18" i="5" s="1"/>
  <c r="AD13" i="8"/>
  <c r="S18" i="5" s="1"/>
  <c r="AC13" i="8"/>
  <c r="AB13" i="8"/>
  <c r="AA13" i="8"/>
  <c r="AF12" i="8"/>
  <c r="AE12" i="8"/>
  <c r="AD12" i="8"/>
  <c r="AC12" i="8"/>
  <c r="R21" i="5" s="1"/>
  <c r="AB12" i="8"/>
  <c r="Q21" i="5" s="1"/>
  <c r="AA12" i="8"/>
  <c r="AF11" i="8"/>
  <c r="AE11" i="8"/>
  <c r="AD11" i="8"/>
  <c r="AC11" i="8"/>
  <c r="AB11" i="8"/>
  <c r="AA11" i="8"/>
  <c r="P16" i="5" s="1"/>
  <c r="AF10" i="8"/>
  <c r="E27" i="5" s="1"/>
  <c r="T22" i="2" s="1"/>
  <c r="U22" i="2" s="1"/>
  <c r="FT22" i="2" s="1"/>
  <c r="AE10" i="8"/>
  <c r="AD10" i="8"/>
  <c r="S27" i="5" s="1"/>
  <c r="AC10" i="8"/>
  <c r="AB10" i="8"/>
  <c r="AA10" i="8"/>
  <c r="AF9" i="8"/>
  <c r="AE9" i="8"/>
  <c r="T26" i="5" s="1"/>
  <c r="AD9" i="8"/>
  <c r="S26" i="5" s="1"/>
  <c r="M22" i="2" s="1"/>
  <c r="N22" i="2" s="1"/>
  <c r="O22" i="2" s="1"/>
  <c r="FR22" i="2" s="1"/>
  <c r="AC9" i="8"/>
  <c r="AB9" i="8"/>
  <c r="AA9" i="8"/>
  <c r="AF8" i="8"/>
  <c r="AE8" i="8"/>
  <c r="AD8" i="8"/>
  <c r="AC8" i="8"/>
  <c r="AB8" i="8"/>
  <c r="AA8" i="8"/>
  <c r="AF7" i="8"/>
  <c r="AE7" i="8"/>
  <c r="AD7" i="8"/>
  <c r="AC7" i="8"/>
  <c r="AB7" i="8"/>
  <c r="Q7" i="5" s="1"/>
  <c r="AA7" i="8"/>
  <c r="P7" i="5" s="1"/>
  <c r="AF6" i="8"/>
  <c r="E6" i="5" s="1"/>
  <c r="AE6" i="8"/>
  <c r="AD6" i="8"/>
  <c r="AC6" i="8"/>
  <c r="AB6" i="8"/>
  <c r="AA6" i="8"/>
  <c r="AF5" i="8"/>
  <c r="AE5" i="8"/>
  <c r="T5" i="5" s="1"/>
  <c r="AD5" i="8"/>
  <c r="S5" i="5" s="1"/>
  <c r="AC5" i="8"/>
  <c r="AB5" i="8"/>
  <c r="AA5" i="8"/>
  <c r="AB48" i="7"/>
  <c r="AA48" i="7"/>
  <c r="Z48" i="7"/>
  <c r="Y48" i="7"/>
  <c r="X48" i="7"/>
  <c r="AB47" i="7"/>
  <c r="AA47" i="7"/>
  <c r="Z47" i="7"/>
  <c r="Y47" i="7"/>
  <c r="X47" i="7"/>
  <c r="AB46" i="7"/>
  <c r="AA46" i="7"/>
  <c r="Z46" i="7"/>
  <c r="Y46" i="7"/>
  <c r="X46" i="7"/>
  <c r="AB45" i="7"/>
  <c r="AA45" i="7"/>
  <c r="Z45" i="7"/>
  <c r="Y45" i="7"/>
  <c r="X45" i="7"/>
  <c r="AB44" i="7"/>
  <c r="AA44" i="7"/>
  <c r="Z44" i="7"/>
  <c r="Y44" i="7"/>
  <c r="X44" i="7"/>
  <c r="AB43" i="7"/>
  <c r="AA43" i="7"/>
  <c r="Z43" i="7"/>
  <c r="Y43" i="7"/>
  <c r="X43" i="7"/>
  <c r="AB42" i="7"/>
  <c r="AA42" i="7"/>
  <c r="Z42" i="7"/>
  <c r="Y42" i="7"/>
  <c r="X42" i="7"/>
  <c r="AB41" i="7"/>
  <c r="AA41" i="7"/>
  <c r="Z41" i="7"/>
  <c r="Y41" i="7"/>
  <c r="X41" i="7"/>
  <c r="AB40" i="7"/>
  <c r="AA40" i="7"/>
  <c r="Z40" i="7"/>
  <c r="Y40" i="7"/>
  <c r="X40" i="7"/>
  <c r="AB39" i="7"/>
  <c r="AA39" i="7"/>
  <c r="Z39" i="7"/>
  <c r="Y39" i="7"/>
  <c r="X39" i="7"/>
  <c r="AB38" i="7"/>
  <c r="AA38" i="7"/>
  <c r="Z38" i="7"/>
  <c r="Y38" i="7"/>
  <c r="X38" i="7"/>
  <c r="AB37" i="7"/>
  <c r="AA37" i="7"/>
  <c r="Z37" i="7"/>
  <c r="Y37" i="7"/>
  <c r="X37" i="7"/>
  <c r="AB36" i="7"/>
  <c r="D15" i="5" s="1"/>
  <c r="AA36" i="7"/>
  <c r="Z36" i="7"/>
  <c r="Y36" i="7"/>
  <c r="X36" i="7"/>
  <c r="AB35" i="7"/>
  <c r="AA35" i="7"/>
  <c r="Z35" i="7"/>
  <c r="Y35" i="7"/>
  <c r="X35" i="7"/>
  <c r="AB34" i="7"/>
  <c r="AA34" i="7"/>
  <c r="Z34" i="7"/>
  <c r="Y34" i="7"/>
  <c r="X34" i="7"/>
  <c r="AB33" i="7"/>
  <c r="D31" i="5" s="1"/>
  <c r="AA33" i="7"/>
  <c r="Z33" i="7"/>
  <c r="Y33" i="7"/>
  <c r="X33" i="7"/>
  <c r="AB32" i="7"/>
  <c r="AA32" i="7"/>
  <c r="Z32" i="7"/>
  <c r="Y32" i="7"/>
  <c r="X32" i="7"/>
  <c r="AB31" i="7"/>
  <c r="AA31" i="7"/>
  <c r="Z31" i="7"/>
  <c r="Y31" i="7"/>
  <c r="X31" i="7"/>
  <c r="AB30" i="7"/>
  <c r="AA30" i="7"/>
  <c r="Z30" i="7"/>
  <c r="Y30" i="7"/>
  <c r="X30" i="7"/>
  <c r="AB29" i="7"/>
  <c r="AA29" i="7"/>
  <c r="Z29" i="7"/>
  <c r="Y29" i="7"/>
  <c r="X29" i="7"/>
  <c r="AB28" i="7"/>
  <c r="D23" i="5" s="1"/>
  <c r="Q19" i="2" s="1"/>
  <c r="R19" i="2" s="1"/>
  <c r="FS19" i="2" s="1"/>
  <c r="AA28" i="7"/>
  <c r="Z28" i="7"/>
  <c r="Y28" i="7"/>
  <c r="X28" i="7"/>
  <c r="AB27" i="7"/>
  <c r="AA27" i="7"/>
  <c r="Z27" i="7"/>
  <c r="Y27" i="7"/>
  <c r="X27" i="7"/>
  <c r="AB26" i="7"/>
  <c r="D24" i="5" s="1"/>
  <c r="AA26" i="7"/>
  <c r="Z26" i="7"/>
  <c r="Y26" i="7"/>
  <c r="X26" i="7"/>
  <c r="AB25" i="7"/>
  <c r="AA25" i="7"/>
  <c r="Z25" i="7"/>
  <c r="Y25" i="7"/>
  <c r="X25" i="7"/>
  <c r="AB24" i="7"/>
  <c r="AA24" i="7"/>
  <c r="Z24" i="7"/>
  <c r="Y24" i="7"/>
  <c r="X24" i="7"/>
  <c r="AB23" i="7"/>
  <c r="AA23" i="7"/>
  <c r="Z23" i="7"/>
  <c r="Y23" i="7"/>
  <c r="X23" i="7"/>
  <c r="AB22" i="7"/>
  <c r="D30" i="5" s="1"/>
  <c r="AA22" i="7"/>
  <c r="Z22" i="7"/>
  <c r="Y22" i="7"/>
  <c r="X22" i="7"/>
  <c r="AB21" i="7"/>
  <c r="AA21" i="7"/>
  <c r="Z21" i="7"/>
  <c r="Y21" i="7"/>
  <c r="X21" i="7"/>
  <c r="AB20" i="7"/>
  <c r="D28" i="5" s="1"/>
  <c r="E23" i="2" s="1"/>
  <c r="F23" i="2" s="1"/>
  <c r="FO23" i="2" s="1"/>
  <c r="AA20" i="7"/>
  <c r="Z20" i="7"/>
  <c r="Y20" i="7"/>
  <c r="X20" i="7"/>
  <c r="AB19" i="7"/>
  <c r="AA19" i="7"/>
  <c r="Z19" i="7"/>
  <c r="Y19" i="7"/>
  <c r="X19" i="7"/>
  <c r="AB18" i="7"/>
  <c r="AA18" i="7"/>
  <c r="Z18" i="7"/>
  <c r="Y18" i="7"/>
  <c r="X18" i="7"/>
  <c r="AB17" i="7"/>
  <c r="D8" i="5" s="1"/>
  <c r="AA17" i="7"/>
  <c r="Z17" i="7"/>
  <c r="Y17" i="7"/>
  <c r="X17" i="7"/>
  <c r="AB16" i="7"/>
  <c r="AA16" i="7"/>
  <c r="Z16" i="7"/>
  <c r="Y16" i="7"/>
  <c r="X16" i="7"/>
  <c r="AB15" i="7"/>
  <c r="AA15" i="7"/>
  <c r="Z15" i="7"/>
  <c r="Y15" i="7"/>
  <c r="X15" i="7"/>
  <c r="AB14" i="7"/>
  <c r="AA14" i="7"/>
  <c r="Z14" i="7"/>
  <c r="Y14" i="7"/>
  <c r="X14" i="7"/>
  <c r="AB13" i="7"/>
  <c r="AA13" i="7"/>
  <c r="Z13" i="7"/>
  <c r="Y13" i="7"/>
  <c r="X13" i="7"/>
  <c r="AB12" i="7"/>
  <c r="D21" i="5" s="1"/>
  <c r="AA12" i="7"/>
  <c r="Z12" i="7"/>
  <c r="Y12" i="7"/>
  <c r="X12" i="7"/>
  <c r="AB11" i="7"/>
  <c r="AA11" i="7"/>
  <c r="Z11" i="7"/>
  <c r="Y11" i="7"/>
  <c r="X11" i="7"/>
  <c r="AB10" i="7"/>
  <c r="AA10" i="7"/>
  <c r="Z10" i="7"/>
  <c r="Y10" i="7"/>
  <c r="X10" i="7"/>
  <c r="AB9" i="7"/>
  <c r="D26" i="5" s="1"/>
  <c r="AA9" i="7"/>
  <c r="Z9" i="7"/>
  <c r="Y9" i="7"/>
  <c r="X9" i="7"/>
  <c r="AB8" i="7"/>
  <c r="AA8" i="7"/>
  <c r="Z8" i="7"/>
  <c r="Y8" i="7"/>
  <c r="X8" i="7"/>
  <c r="AB7" i="7"/>
  <c r="AA7" i="7"/>
  <c r="Z7" i="7"/>
  <c r="Y7" i="7"/>
  <c r="X7" i="7"/>
  <c r="AB6" i="7"/>
  <c r="D6" i="5" s="1"/>
  <c r="AA6" i="7"/>
  <c r="Z6" i="7"/>
  <c r="Y6" i="7"/>
  <c r="X6" i="7"/>
  <c r="AB5" i="7"/>
  <c r="AA5" i="7"/>
  <c r="Z5" i="7"/>
  <c r="Y5" i="7"/>
  <c r="X5" i="7"/>
  <c r="F25" i="6"/>
  <c r="E24" i="6"/>
  <c r="E23" i="6"/>
  <c r="E22" i="6"/>
  <c r="E21" i="6"/>
  <c r="E20" i="6"/>
  <c r="E19" i="6"/>
  <c r="E18" i="6"/>
  <c r="E17" i="6"/>
  <c r="E16" i="6"/>
  <c r="E15" i="6"/>
  <c r="E14" i="6"/>
  <c r="E13" i="6"/>
  <c r="E12" i="6"/>
  <c r="E11" i="6"/>
  <c r="E10" i="6"/>
  <c r="E9" i="6"/>
  <c r="E8" i="6"/>
  <c r="E7" i="6"/>
  <c r="E6" i="6"/>
  <c r="E5" i="6"/>
  <c r="BR32" i="5"/>
  <c r="BQ32" i="5"/>
  <c r="FG25" i="2" s="1"/>
  <c r="FH25" i="2" s="1"/>
  <c r="FI25" i="2" s="1"/>
  <c r="HP25" i="2" s="1"/>
  <c r="BP32" i="5"/>
  <c r="FD25" i="2" s="1"/>
  <c r="FE25" i="2" s="1"/>
  <c r="FF25" i="2" s="1"/>
  <c r="HO25" i="2" s="1"/>
  <c r="BO32" i="5"/>
  <c r="FA25" i="2" s="1"/>
  <c r="BN32" i="5"/>
  <c r="BM32" i="5"/>
  <c r="BL32" i="5"/>
  <c r="ER25" i="2" s="1"/>
  <c r="ES25" i="2" s="1"/>
  <c r="ET25" i="2" s="1"/>
  <c r="HK25" i="2" s="1"/>
  <c r="BK32" i="5"/>
  <c r="EO25" i="2" s="1"/>
  <c r="EP25" i="2" s="1"/>
  <c r="EQ25" i="2" s="1"/>
  <c r="HJ25" i="2" s="1"/>
  <c r="BJ32" i="5"/>
  <c r="BI32" i="5"/>
  <c r="EI25" i="2" s="1"/>
  <c r="EJ25" i="2" s="1"/>
  <c r="EK25" i="2" s="1"/>
  <c r="HH25" i="2" s="1"/>
  <c r="BH32" i="5"/>
  <c r="EF25" i="2" s="1"/>
  <c r="EG25" i="2" s="1"/>
  <c r="EH25" i="2" s="1"/>
  <c r="HG25" i="2" s="1"/>
  <c r="BG32" i="5"/>
  <c r="EC25" i="2" s="1"/>
  <c r="ED25" i="2" s="1"/>
  <c r="EE25" i="2" s="1"/>
  <c r="HF25" i="2" s="1"/>
  <c r="BF32" i="5"/>
  <c r="BE32" i="5"/>
  <c r="BD32" i="5"/>
  <c r="BC32" i="5"/>
  <c r="BB32" i="5"/>
  <c r="BA32" i="5"/>
  <c r="AZ32" i="5"/>
  <c r="DH25" i="2" s="1"/>
  <c r="DI25" i="2" s="1"/>
  <c r="DJ25" i="2" s="1"/>
  <c r="GY25" i="2" s="1"/>
  <c r="AY32" i="5"/>
  <c r="DE25" i="2" s="1"/>
  <c r="DF25" i="2" s="1"/>
  <c r="DG25" i="2" s="1"/>
  <c r="GX25" i="2" s="1"/>
  <c r="AX32" i="5"/>
  <c r="AW32" i="5"/>
  <c r="AV32" i="5"/>
  <c r="AT32" i="5"/>
  <c r="AS32" i="5"/>
  <c r="AR32" i="5"/>
  <c r="AQ32" i="5"/>
  <c r="AP32" i="5"/>
  <c r="AO32" i="5"/>
  <c r="AN32" i="5"/>
  <c r="AM32" i="5"/>
  <c r="AL32" i="5"/>
  <c r="AK32" i="5"/>
  <c r="AJ32" i="5"/>
  <c r="AI32" i="5"/>
  <c r="AH32" i="5"/>
  <c r="AG32" i="5"/>
  <c r="AF32" i="5"/>
  <c r="AE32" i="5"/>
  <c r="AC32" i="5"/>
  <c r="AB32" i="5"/>
  <c r="AA32" i="5"/>
  <c r="Z32" i="5"/>
  <c r="AH25" i="2" s="1"/>
  <c r="AI25" i="2" s="1"/>
  <c r="AJ25" i="2" s="1"/>
  <c r="FY25" i="2" s="1"/>
  <c r="W32" i="5"/>
  <c r="U32" i="5"/>
  <c r="R32" i="5"/>
  <c r="Q32" i="5"/>
  <c r="P32" i="5"/>
  <c r="O32" i="5"/>
  <c r="N32" i="5"/>
  <c r="M32" i="5"/>
  <c r="L32" i="5"/>
  <c r="K32" i="5"/>
  <c r="J32" i="5"/>
  <c r="I32" i="5"/>
  <c r="H32" i="5"/>
  <c r="G32" i="5"/>
  <c r="E32" i="5"/>
  <c r="D32" i="5"/>
  <c r="BR31" i="5"/>
  <c r="FJ24" i="2" s="1"/>
  <c r="BQ31" i="5"/>
  <c r="BP31" i="5"/>
  <c r="BO31" i="5"/>
  <c r="BN31" i="5"/>
  <c r="BM31" i="5"/>
  <c r="BL31" i="5"/>
  <c r="BK31" i="5"/>
  <c r="EO24" i="2" s="1"/>
  <c r="EP24" i="2" s="1"/>
  <c r="EQ24" i="2" s="1"/>
  <c r="HJ24" i="2" s="1"/>
  <c r="BJ31" i="5"/>
  <c r="EL24" i="2" s="1"/>
  <c r="EM24" i="2" s="1"/>
  <c r="EN24" i="2" s="1"/>
  <c r="HI24" i="2" s="1"/>
  <c r="BI31" i="5"/>
  <c r="BG31" i="5"/>
  <c r="BF31" i="5"/>
  <c r="DZ24" i="2" s="1"/>
  <c r="EA24" i="2" s="1"/>
  <c r="EB24" i="2" s="1"/>
  <c r="HE24" i="2" s="1"/>
  <c r="BE31" i="5"/>
  <c r="DW24" i="2" s="1"/>
  <c r="DX24" i="2" s="1"/>
  <c r="DY24" i="2" s="1"/>
  <c r="HD24" i="2" s="1"/>
  <c r="BC31" i="5"/>
  <c r="BB31" i="5"/>
  <c r="BA31" i="5"/>
  <c r="AZ31" i="5"/>
  <c r="DH24" i="2" s="1"/>
  <c r="DI24" i="2" s="1"/>
  <c r="DJ24" i="2" s="1"/>
  <c r="GY24" i="2" s="1"/>
  <c r="AY31" i="5"/>
  <c r="AX31" i="5"/>
  <c r="AW31" i="5"/>
  <c r="AV31" i="5"/>
  <c r="AT31" i="5"/>
  <c r="AS31" i="5"/>
  <c r="AR31" i="5"/>
  <c r="AP31" i="5"/>
  <c r="CD24" i="2" s="1"/>
  <c r="CE24" i="2" s="1"/>
  <c r="CF24" i="2" s="1"/>
  <c r="GO24" i="2" s="1"/>
  <c r="AO31" i="5"/>
  <c r="AN31" i="5"/>
  <c r="AM31" i="5"/>
  <c r="AL31" i="5"/>
  <c r="AK31" i="5"/>
  <c r="AJ31" i="5"/>
  <c r="AH31" i="5"/>
  <c r="AG31" i="5"/>
  <c r="AF31" i="5"/>
  <c r="AE31" i="5"/>
  <c r="AC31" i="5"/>
  <c r="AB31" i="5"/>
  <c r="AA31" i="5"/>
  <c r="Z31" i="5"/>
  <c r="X31" i="5"/>
  <c r="AB24" i="2" s="1"/>
  <c r="AC24" i="2" s="1"/>
  <c r="AD24" i="2" s="1"/>
  <c r="FW24" i="2" s="1"/>
  <c r="W31" i="5"/>
  <c r="Y24" i="2" s="1"/>
  <c r="Z24" i="2" s="1"/>
  <c r="AA24" i="2" s="1"/>
  <c r="FV24" i="2" s="1"/>
  <c r="V31" i="5"/>
  <c r="R31" i="5"/>
  <c r="P31" i="5"/>
  <c r="O31" i="5"/>
  <c r="N31" i="5"/>
  <c r="M31" i="5"/>
  <c r="L31" i="5"/>
  <c r="K31" i="5"/>
  <c r="J31" i="5"/>
  <c r="I31" i="5"/>
  <c r="H31" i="5"/>
  <c r="G31" i="5"/>
  <c r="F31" i="5"/>
  <c r="E31" i="5"/>
  <c r="BR30" i="5"/>
  <c r="BQ30" i="5"/>
  <c r="BP30" i="5"/>
  <c r="BN30" i="5"/>
  <c r="BM30" i="5"/>
  <c r="BL30" i="5"/>
  <c r="BK30" i="5"/>
  <c r="BJ30" i="5"/>
  <c r="BI30" i="5"/>
  <c r="BH30" i="5"/>
  <c r="BG30" i="5"/>
  <c r="BF30" i="5"/>
  <c r="BE30" i="5"/>
  <c r="BD30" i="5"/>
  <c r="BB30" i="5"/>
  <c r="BA30" i="5"/>
  <c r="AZ30" i="5"/>
  <c r="DH23" i="2" s="1"/>
  <c r="DI23" i="2" s="1"/>
  <c r="AY30" i="5"/>
  <c r="DE23" i="2" s="1"/>
  <c r="DF23" i="2" s="1"/>
  <c r="DG23" i="2" s="1"/>
  <c r="GX23" i="2" s="1"/>
  <c r="AX30" i="5"/>
  <c r="AW30" i="5"/>
  <c r="AV30" i="5"/>
  <c r="AU30" i="5"/>
  <c r="AT30" i="5"/>
  <c r="AS30" i="5"/>
  <c r="AR30" i="5"/>
  <c r="AO30" i="5"/>
  <c r="CA23" i="2" s="1"/>
  <c r="CB23" i="2" s="1"/>
  <c r="CC23" i="2" s="1"/>
  <c r="GN23" i="2" s="1"/>
  <c r="AN30" i="5"/>
  <c r="AM30" i="5"/>
  <c r="AL30" i="5"/>
  <c r="AI30" i="5"/>
  <c r="AH30" i="5"/>
  <c r="AG30" i="5"/>
  <c r="AF30" i="5"/>
  <c r="AZ23" i="2" s="1"/>
  <c r="BA23" i="2" s="1"/>
  <c r="BB23" i="2" s="1"/>
  <c r="GE23" i="2" s="1"/>
  <c r="AE30" i="5"/>
  <c r="AW23" i="2" s="1"/>
  <c r="AX23" i="2" s="1"/>
  <c r="AY23" i="2" s="1"/>
  <c r="GD23" i="2" s="1"/>
  <c r="AD30" i="5"/>
  <c r="AC30" i="5"/>
  <c r="AB30" i="5"/>
  <c r="Y30" i="5"/>
  <c r="X30" i="5"/>
  <c r="W30" i="5"/>
  <c r="V30" i="5"/>
  <c r="U30" i="5"/>
  <c r="R30" i="5"/>
  <c r="Q30" i="5"/>
  <c r="P30" i="5"/>
  <c r="O30" i="5"/>
  <c r="M30" i="5"/>
  <c r="L30" i="5"/>
  <c r="K30" i="5"/>
  <c r="J30" i="5"/>
  <c r="I30" i="5"/>
  <c r="H30" i="5"/>
  <c r="G30" i="5"/>
  <c r="BR29" i="5"/>
  <c r="BQ29" i="5"/>
  <c r="BP29" i="5"/>
  <c r="BO29" i="5"/>
  <c r="BN29" i="5"/>
  <c r="BL29" i="5"/>
  <c r="BK29" i="5"/>
  <c r="BJ29" i="5"/>
  <c r="BI29" i="5"/>
  <c r="BG29" i="5"/>
  <c r="BF29" i="5"/>
  <c r="BE29" i="5"/>
  <c r="BD29" i="5"/>
  <c r="BC29" i="5"/>
  <c r="BB29" i="5"/>
  <c r="BA29" i="5"/>
  <c r="AY29" i="5"/>
  <c r="AX29" i="5"/>
  <c r="AW29" i="5"/>
  <c r="AV29" i="5"/>
  <c r="AT29" i="5"/>
  <c r="AS29" i="5"/>
  <c r="AR29" i="5"/>
  <c r="AQ29" i="5"/>
  <c r="AP29" i="5"/>
  <c r="AO29" i="5"/>
  <c r="AM29" i="5"/>
  <c r="AL29" i="5"/>
  <c r="AK29" i="5"/>
  <c r="AJ29" i="5"/>
  <c r="AH29" i="5"/>
  <c r="AG29" i="5"/>
  <c r="AF29" i="5"/>
  <c r="AE29" i="5"/>
  <c r="AC29" i="5"/>
  <c r="AB29" i="5"/>
  <c r="AA29" i="5"/>
  <c r="Z29" i="5"/>
  <c r="W29" i="5"/>
  <c r="V29" i="5"/>
  <c r="U29" i="5"/>
  <c r="R29" i="5"/>
  <c r="P29" i="5"/>
  <c r="O29" i="5"/>
  <c r="N29" i="5"/>
  <c r="M29" i="5"/>
  <c r="L29" i="5"/>
  <c r="K29" i="5"/>
  <c r="J29" i="5"/>
  <c r="I29" i="5"/>
  <c r="H29" i="5"/>
  <c r="E29" i="5"/>
  <c r="D29" i="5"/>
  <c r="BR28" i="5"/>
  <c r="BQ28" i="5"/>
  <c r="BP28" i="5"/>
  <c r="FD23" i="2" s="1"/>
  <c r="FE23" i="2" s="1"/>
  <c r="BO28" i="5"/>
  <c r="FA23" i="2" s="1"/>
  <c r="FB23" i="2" s="1"/>
  <c r="FC23" i="2" s="1"/>
  <c r="HN23" i="2" s="1"/>
  <c r="BN28" i="5"/>
  <c r="BM28" i="5"/>
  <c r="EU23" i="2" s="1"/>
  <c r="EV23" i="2" s="1"/>
  <c r="EW23" i="2" s="1"/>
  <c r="HL23" i="2" s="1"/>
  <c r="BL28" i="5"/>
  <c r="ER23" i="2" s="1"/>
  <c r="ES23" i="2" s="1"/>
  <c r="ET23" i="2" s="1"/>
  <c r="HK23" i="2" s="1"/>
  <c r="BK28" i="5"/>
  <c r="EO23" i="2" s="1"/>
  <c r="EP23" i="2" s="1"/>
  <c r="BI28" i="5"/>
  <c r="BH28" i="5"/>
  <c r="BG28" i="5"/>
  <c r="EC23" i="2" s="1"/>
  <c r="ED23" i="2" s="1"/>
  <c r="EE23" i="2" s="1"/>
  <c r="HF23" i="2" s="1"/>
  <c r="BE28" i="5"/>
  <c r="DW23" i="2" s="1"/>
  <c r="DX23" i="2" s="1"/>
  <c r="DY23" i="2" s="1"/>
  <c r="HD23" i="2" s="1"/>
  <c r="BD28" i="5"/>
  <c r="BC28" i="5"/>
  <c r="BB28" i="5"/>
  <c r="BA28" i="5"/>
  <c r="DK23" i="2" s="1"/>
  <c r="DL23" i="2" s="1"/>
  <c r="DM23" i="2" s="1"/>
  <c r="GZ23" i="2" s="1"/>
  <c r="AZ28" i="5"/>
  <c r="AY28" i="5"/>
  <c r="AX28" i="5"/>
  <c r="AV28" i="5"/>
  <c r="AU28" i="5"/>
  <c r="AT28" i="5"/>
  <c r="AR28" i="5"/>
  <c r="AQ28" i="5"/>
  <c r="AP28" i="5"/>
  <c r="AO28" i="5"/>
  <c r="AN28" i="5"/>
  <c r="AM28" i="5"/>
  <c r="AL28" i="5"/>
  <c r="AK28" i="5"/>
  <c r="AJ28" i="5"/>
  <c r="AI28" i="5"/>
  <c r="AH28" i="5"/>
  <c r="AG28" i="5"/>
  <c r="AF28" i="5"/>
  <c r="AE28" i="5"/>
  <c r="AD28" i="5"/>
  <c r="AC28" i="5"/>
  <c r="AB28" i="5"/>
  <c r="AA28" i="5"/>
  <c r="Z28" i="5"/>
  <c r="Y28" i="5"/>
  <c r="X28" i="5"/>
  <c r="W28" i="5"/>
  <c r="T28" i="5"/>
  <c r="S28" i="5"/>
  <c r="P28" i="5"/>
  <c r="O28" i="5"/>
  <c r="N28" i="5"/>
  <c r="L28" i="5"/>
  <c r="K28" i="5"/>
  <c r="F28" i="5"/>
  <c r="E28" i="5"/>
  <c r="BR27" i="5"/>
  <c r="BQ27" i="5"/>
  <c r="BP27" i="5"/>
  <c r="BO27" i="5"/>
  <c r="BN27" i="5"/>
  <c r="BM27" i="5"/>
  <c r="BK27" i="5"/>
  <c r="BJ27" i="5"/>
  <c r="BI27" i="5"/>
  <c r="BH27" i="5"/>
  <c r="BG27" i="5"/>
  <c r="BF27" i="5"/>
  <c r="BE27" i="5"/>
  <c r="BD27" i="5"/>
  <c r="BC27" i="5"/>
  <c r="BB27" i="5"/>
  <c r="BA27" i="5"/>
  <c r="AZ27" i="5"/>
  <c r="AX27" i="5"/>
  <c r="AW27" i="5"/>
  <c r="AV27" i="5"/>
  <c r="AU27" i="5"/>
  <c r="AT27" i="5"/>
  <c r="AS27" i="5"/>
  <c r="AR27" i="5"/>
  <c r="AQ27" i="5"/>
  <c r="AP27" i="5"/>
  <c r="AO27" i="5"/>
  <c r="AN27" i="5"/>
  <c r="AM27" i="5"/>
  <c r="AL27" i="5"/>
  <c r="AI27" i="5"/>
  <c r="AH27" i="5"/>
  <c r="AG27" i="5"/>
  <c r="AD27" i="5"/>
  <c r="AC27" i="5"/>
  <c r="AB27" i="5"/>
  <c r="Y27" i="5"/>
  <c r="V27" i="5"/>
  <c r="T27" i="5"/>
  <c r="R27" i="5"/>
  <c r="Q27" i="5"/>
  <c r="P27" i="5"/>
  <c r="O27" i="5"/>
  <c r="M27" i="5"/>
  <c r="L27" i="5"/>
  <c r="J27" i="5"/>
  <c r="I27" i="5"/>
  <c r="H27" i="5"/>
  <c r="G27" i="5"/>
  <c r="F27" i="5"/>
  <c r="D27" i="5"/>
  <c r="BR26" i="5"/>
  <c r="BQ26" i="5"/>
  <c r="FG22" i="2" s="1"/>
  <c r="BP26" i="5"/>
  <c r="FD22" i="2" s="1"/>
  <c r="BO26" i="5"/>
  <c r="BN26" i="5"/>
  <c r="EX22" i="2" s="1"/>
  <c r="BM26" i="5"/>
  <c r="EU22" i="2" s="1"/>
  <c r="EV22" i="2" s="1"/>
  <c r="EW22" i="2" s="1"/>
  <c r="HL22" i="2" s="1"/>
  <c r="BL26" i="5"/>
  <c r="ER22" i="2" s="1"/>
  <c r="ES22" i="2" s="1"/>
  <c r="ET22" i="2" s="1"/>
  <c r="HK22" i="2" s="1"/>
  <c r="BK26" i="5"/>
  <c r="BJ26" i="5"/>
  <c r="BI26" i="5"/>
  <c r="EI22" i="2" s="1"/>
  <c r="EJ22" i="2" s="1"/>
  <c r="EK22" i="2" s="1"/>
  <c r="HH22" i="2" s="1"/>
  <c r="BG26" i="5"/>
  <c r="EC22" i="2" s="1"/>
  <c r="ED22" i="2" s="1"/>
  <c r="EE22" i="2" s="1"/>
  <c r="HF22" i="2" s="1"/>
  <c r="BF26" i="5"/>
  <c r="BE26" i="5"/>
  <c r="BC26" i="5"/>
  <c r="BB26" i="5"/>
  <c r="BA26" i="5"/>
  <c r="AZ26" i="5"/>
  <c r="AY26" i="5"/>
  <c r="AX26" i="5"/>
  <c r="AW26" i="5"/>
  <c r="AV26" i="5"/>
  <c r="AT26" i="5"/>
  <c r="AS26" i="5"/>
  <c r="AR26" i="5"/>
  <c r="AP26" i="5"/>
  <c r="AO26" i="5"/>
  <c r="AN26" i="5"/>
  <c r="AM26" i="5"/>
  <c r="AL26" i="5"/>
  <c r="AK26" i="5"/>
  <c r="AJ26" i="5"/>
  <c r="AH26" i="5"/>
  <c r="AG26" i="5"/>
  <c r="AF26" i="5"/>
  <c r="AE26" i="5"/>
  <c r="AC26" i="5"/>
  <c r="AB26" i="5"/>
  <c r="AA26" i="5"/>
  <c r="Z26" i="5"/>
  <c r="X26" i="5"/>
  <c r="W26" i="5"/>
  <c r="V26" i="5"/>
  <c r="R26" i="5"/>
  <c r="Q26" i="5"/>
  <c r="P26" i="5"/>
  <c r="O26" i="5"/>
  <c r="N26" i="5"/>
  <c r="M26" i="5"/>
  <c r="L26" i="5"/>
  <c r="K26" i="5"/>
  <c r="I26" i="5"/>
  <c r="H26" i="5"/>
  <c r="G26" i="5"/>
  <c r="F26" i="5"/>
  <c r="E26" i="5"/>
  <c r="BR25" i="5"/>
  <c r="BP25" i="5"/>
  <c r="BO25" i="5"/>
  <c r="BN25" i="5"/>
  <c r="EX21" i="2" s="1"/>
  <c r="EY21" i="2" s="1"/>
  <c r="EZ21" i="2" s="1"/>
  <c r="HM21" i="2" s="1"/>
  <c r="BM25" i="5"/>
  <c r="BL25" i="5"/>
  <c r="ER21" i="2" s="1"/>
  <c r="ES21" i="2" s="1"/>
  <c r="ET21" i="2" s="1"/>
  <c r="HK21" i="2" s="1"/>
  <c r="BK25" i="5"/>
  <c r="EO21" i="2" s="1"/>
  <c r="EP21" i="2" s="1"/>
  <c r="BJ25" i="5"/>
  <c r="BI25" i="5"/>
  <c r="BH25" i="5"/>
  <c r="BG25" i="5"/>
  <c r="EC21" i="2" s="1"/>
  <c r="ED21" i="2" s="1"/>
  <c r="EE21" i="2" s="1"/>
  <c r="HF21" i="2" s="1"/>
  <c r="BF25" i="5"/>
  <c r="DZ21" i="2" s="1"/>
  <c r="EA21" i="2" s="1"/>
  <c r="EB21" i="2" s="1"/>
  <c r="HE21" i="2" s="1"/>
  <c r="BE25" i="5"/>
  <c r="BD25" i="5"/>
  <c r="BC25" i="5"/>
  <c r="BB25" i="5"/>
  <c r="BA25" i="5"/>
  <c r="AZ25" i="5"/>
  <c r="AY25" i="5"/>
  <c r="AX25" i="5"/>
  <c r="AW25" i="5"/>
  <c r="AV25" i="5"/>
  <c r="AU25" i="5"/>
  <c r="AT25" i="5"/>
  <c r="AS25" i="5"/>
  <c r="AR25" i="5"/>
  <c r="AQ25" i="5"/>
  <c r="AP25" i="5"/>
  <c r="AO25" i="5"/>
  <c r="AN25" i="5"/>
  <c r="AM25" i="5"/>
  <c r="AK25" i="5"/>
  <c r="AJ25" i="5"/>
  <c r="AI25" i="5"/>
  <c r="AF25" i="5"/>
  <c r="AE25" i="5"/>
  <c r="AD25" i="5"/>
  <c r="AA25" i="5"/>
  <c r="Z25" i="5"/>
  <c r="Y25" i="5"/>
  <c r="X25" i="5"/>
  <c r="U25" i="5"/>
  <c r="T25" i="5"/>
  <c r="R25" i="5"/>
  <c r="Q25" i="5"/>
  <c r="O25" i="5"/>
  <c r="N25" i="5"/>
  <c r="M25" i="5"/>
  <c r="L25" i="5"/>
  <c r="K25" i="5"/>
  <c r="J25" i="5"/>
  <c r="I25" i="5"/>
  <c r="H25" i="5"/>
  <c r="G25" i="5"/>
  <c r="F25" i="5"/>
  <c r="D25" i="5"/>
  <c r="BR24" i="5"/>
  <c r="BQ24" i="5"/>
  <c r="BP24" i="5"/>
  <c r="FD20" i="2" s="1"/>
  <c r="FE20" i="2" s="1"/>
  <c r="FF20" i="2" s="1"/>
  <c r="HO20" i="2" s="1"/>
  <c r="BO24" i="5"/>
  <c r="FA20" i="2" s="1"/>
  <c r="FB20" i="2" s="1"/>
  <c r="FC20" i="2" s="1"/>
  <c r="HN20" i="2" s="1"/>
  <c r="BN24" i="5"/>
  <c r="BM24" i="5"/>
  <c r="EU20" i="2" s="1"/>
  <c r="EV20" i="2" s="1"/>
  <c r="EW20" i="2" s="1"/>
  <c r="HL20" i="2" s="1"/>
  <c r="BK24" i="5"/>
  <c r="EO20" i="2" s="1"/>
  <c r="EP20" i="2" s="1"/>
  <c r="EQ20" i="2" s="1"/>
  <c r="HJ20" i="2" s="1"/>
  <c r="BJ24" i="5"/>
  <c r="EL20" i="2" s="1"/>
  <c r="EM20" i="2" s="1"/>
  <c r="EN20" i="2" s="1"/>
  <c r="HI20" i="2" s="1"/>
  <c r="BI24" i="5"/>
  <c r="BH24" i="5"/>
  <c r="BG24" i="5"/>
  <c r="EC20" i="2" s="1"/>
  <c r="ED20" i="2" s="1"/>
  <c r="EE20" i="2" s="1"/>
  <c r="HF20" i="2" s="1"/>
  <c r="BF24" i="5"/>
  <c r="DZ20" i="2" s="1"/>
  <c r="EA20" i="2" s="1"/>
  <c r="EB20" i="2" s="1"/>
  <c r="HE20" i="2" s="1"/>
  <c r="BE24" i="5"/>
  <c r="BD24" i="5"/>
  <c r="BC24" i="5"/>
  <c r="BB24" i="5"/>
  <c r="BA24" i="5"/>
  <c r="AZ24" i="5"/>
  <c r="AX24" i="5"/>
  <c r="AW24" i="5"/>
  <c r="AV24" i="5"/>
  <c r="AU24" i="5"/>
  <c r="AT24" i="5"/>
  <c r="AS24" i="5"/>
  <c r="AR24" i="5"/>
  <c r="AQ24" i="5"/>
  <c r="AP24" i="5"/>
  <c r="AO24" i="5"/>
  <c r="AN24" i="5"/>
  <c r="AM24" i="5"/>
  <c r="AL24" i="5"/>
  <c r="AI24" i="5"/>
  <c r="AH24" i="5"/>
  <c r="AG24" i="5"/>
  <c r="AD24" i="5"/>
  <c r="AC24" i="5"/>
  <c r="AB24" i="5"/>
  <c r="Y24" i="5"/>
  <c r="V24" i="5"/>
  <c r="U24" i="5"/>
  <c r="T24" i="5"/>
  <c r="R24" i="5"/>
  <c r="Q24" i="5"/>
  <c r="P24" i="5"/>
  <c r="O24" i="5"/>
  <c r="M24" i="5"/>
  <c r="L24" i="5"/>
  <c r="J24" i="5"/>
  <c r="I24" i="5"/>
  <c r="H24" i="5"/>
  <c r="G24" i="5"/>
  <c r="F24" i="5"/>
  <c r="BR23" i="5"/>
  <c r="BQ23" i="5"/>
  <c r="BP23" i="5"/>
  <c r="BO23" i="5"/>
  <c r="BN23" i="5"/>
  <c r="BM23" i="5"/>
  <c r="BL23" i="5"/>
  <c r="BK23" i="5"/>
  <c r="BJ23" i="5"/>
  <c r="BI23" i="5"/>
  <c r="BH23" i="5"/>
  <c r="BG23" i="5"/>
  <c r="BE23" i="5"/>
  <c r="BD23" i="5"/>
  <c r="BC23" i="5"/>
  <c r="BB23" i="5"/>
  <c r="BA23" i="5"/>
  <c r="AZ23" i="5"/>
  <c r="AY23" i="5"/>
  <c r="AX23" i="5"/>
  <c r="AV23" i="5"/>
  <c r="AU23" i="5"/>
  <c r="AT23" i="5"/>
  <c r="AR23" i="5"/>
  <c r="AQ23" i="5"/>
  <c r="AP23" i="5"/>
  <c r="AO23" i="5"/>
  <c r="AN23" i="5"/>
  <c r="AM23" i="5"/>
  <c r="AL23" i="5"/>
  <c r="AK23" i="5"/>
  <c r="AJ23" i="5"/>
  <c r="AI23" i="5"/>
  <c r="AH23" i="5"/>
  <c r="AG23" i="5"/>
  <c r="AF23" i="5"/>
  <c r="AE23" i="5"/>
  <c r="AD23" i="5"/>
  <c r="AC23" i="5"/>
  <c r="AB23" i="5"/>
  <c r="AA23" i="5"/>
  <c r="Z23" i="5"/>
  <c r="Y23" i="5"/>
  <c r="X23" i="5"/>
  <c r="W23" i="5"/>
  <c r="T23" i="5"/>
  <c r="S23" i="5"/>
  <c r="P23" i="5"/>
  <c r="O23" i="5"/>
  <c r="N23" i="5"/>
  <c r="L23" i="5"/>
  <c r="K23" i="5"/>
  <c r="F23" i="5"/>
  <c r="E23" i="5"/>
  <c r="BR22" i="5"/>
  <c r="FJ19" i="2" s="1"/>
  <c r="FK19" i="2" s="1"/>
  <c r="FL19" i="2" s="1"/>
  <c r="HQ19" i="2" s="1"/>
  <c r="BP22" i="5"/>
  <c r="BO22" i="5"/>
  <c r="BN22" i="5"/>
  <c r="EX19" i="2" s="1"/>
  <c r="EY19" i="2" s="1"/>
  <c r="EZ19" i="2" s="1"/>
  <c r="HM19" i="2" s="1"/>
  <c r="BM22" i="5"/>
  <c r="EU19" i="2" s="1"/>
  <c r="EV19" i="2" s="1"/>
  <c r="EW19" i="2" s="1"/>
  <c r="HL19" i="2" s="1"/>
  <c r="BL22" i="5"/>
  <c r="ER19" i="2" s="1"/>
  <c r="ES19" i="2" s="1"/>
  <c r="ET19" i="2" s="1"/>
  <c r="HK19" i="2" s="1"/>
  <c r="BK22" i="5"/>
  <c r="BJ22" i="5"/>
  <c r="BI22" i="5"/>
  <c r="EI19" i="2" s="1"/>
  <c r="EJ19" i="2" s="1"/>
  <c r="EK19" i="2" s="1"/>
  <c r="HH19" i="2" s="1"/>
  <c r="BH22" i="5"/>
  <c r="EF19" i="2" s="1"/>
  <c r="EG19" i="2" s="1"/>
  <c r="EH19" i="2" s="1"/>
  <c r="HG19" i="2" s="1"/>
  <c r="BG22" i="5"/>
  <c r="BF22" i="5"/>
  <c r="DZ19" i="2" s="1"/>
  <c r="EA19" i="2" s="1"/>
  <c r="EB19" i="2" s="1"/>
  <c r="HE19" i="2" s="1"/>
  <c r="BE22" i="5"/>
  <c r="BD22" i="5"/>
  <c r="BC22" i="5"/>
  <c r="BA22" i="5"/>
  <c r="AZ22" i="5"/>
  <c r="AY22" i="5"/>
  <c r="AX22" i="5"/>
  <c r="AW22" i="5"/>
  <c r="AV22" i="5"/>
  <c r="AU22" i="5"/>
  <c r="AT22" i="5"/>
  <c r="AS22" i="5"/>
  <c r="AR22" i="5"/>
  <c r="AQ22" i="5"/>
  <c r="AN22" i="5"/>
  <c r="AM22" i="5"/>
  <c r="AK22" i="5"/>
  <c r="AJ22" i="5"/>
  <c r="AI22" i="5"/>
  <c r="AF22" i="5"/>
  <c r="AE22" i="5"/>
  <c r="AD22" i="5"/>
  <c r="AA22" i="5"/>
  <c r="Z22" i="5"/>
  <c r="Y22" i="5"/>
  <c r="X22" i="5"/>
  <c r="W22" i="5"/>
  <c r="V22" i="5"/>
  <c r="U22" i="5"/>
  <c r="T22" i="5"/>
  <c r="S22" i="5"/>
  <c r="R22" i="5"/>
  <c r="Q22" i="5"/>
  <c r="O22" i="5"/>
  <c r="N22" i="5"/>
  <c r="M22" i="5"/>
  <c r="L22" i="5"/>
  <c r="K22" i="5"/>
  <c r="J22" i="5"/>
  <c r="I22" i="5"/>
  <c r="H22" i="5"/>
  <c r="G22" i="5"/>
  <c r="F22" i="5"/>
  <c r="E22" i="5"/>
  <c r="D22" i="5"/>
  <c r="BR21" i="5"/>
  <c r="FJ18" i="2" s="1"/>
  <c r="FK18" i="2" s="1"/>
  <c r="FL18" i="2" s="1"/>
  <c r="HQ18" i="2" s="1"/>
  <c r="BQ21" i="5"/>
  <c r="BP21" i="5"/>
  <c r="BO21" i="5"/>
  <c r="BN21" i="5"/>
  <c r="BM21" i="5"/>
  <c r="BL21" i="5"/>
  <c r="BK21" i="5"/>
  <c r="EO18" i="2" s="1"/>
  <c r="BJ21" i="5"/>
  <c r="EL18" i="2" s="1"/>
  <c r="BI21" i="5"/>
  <c r="BH21" i="5"/>
  <c r="EF18" i="2" s="1"/>
  <c r="EG18" i="2" s="1"/>
  <c r="EH18" i="2" s="1"/>
  <c r="HG18" i="2" s="1"/>
  <c r="BG21" i="5"/>
  <c r="EC18" i="2" s="1"/>
  <c r="ED18" i="2" s="1"/>
  <c r="EE18" i="2" s="1"/>
  <c r="HF18" i="2" s="1"/>
  <c r="BE21" i="5"/>
  <c r="DW18" i="2" s="1"/>
  <c r="DX18" i="2" s="1"/>
  <c r="DY18" i="2" s="1"/>
  <c r="HD18" i="2" s="1"/>
  <c r="BD21" i="5"/>
  <c r="BC21" i="5"/>
  <c r="BB21" i="5"/>
  <c r="DN18" i="2" s="1"/>
  <c r="DO18" i="2" s="1"/>
  <c r="DP18" i="2" s="1"/>
  <c r="HA18" i="2" s="1"/>
  <c r="BA21" i="5"/>
  <c r="DK18" i="2" s="1"/>
  <c r="DL18" i="2" s="1"/>
  <c r="DM18" i="2" s="1"/>
  <c r="GZ18" i="2" s="1"/>
  <c r="AZ21" i="5"/>
  <c r="AY21" i="5"/>
  <c r="AX21" i="5"/>
  <c r="AV21" i="5"/>
  <c r="AU21" i="5"/>
  <c r="AT21" i="5"/>
  <c r="AR21" i="5"/>
  <c r="AQ21" i="5"/>
  <c r="AP21" i="5"/>
  <c r="AO21" i="5"/>
  <c r="AN21" i="5"/>
  <c r="AM21" i="5"/>
  <c r="AL21" i="5"/>
  <c r="AK21" i="5"/>
  <c r="AJ21" i="5"/>
  <c r="AI21" i="5"/>
  <c r="AH21" i="5"/>
  <c r="AG21" i="5"/>
  <c r="AF21" i="5"/>
  <c r="AE21" i="5"/>
  <c r="AD21" i="5"/>
  <c r="AC21" i="5"/>
  <c r="AB21" i="5"/>
  <c r="AA21" i="5"/>
  <c r="Z21" i="5"/>
  <c r="Y21" i="5"/>
  <c r="X21" i="5"/>
  <c r="T21" i="5"/>
  <c r="S21" i="5"/>
  <c r="P21" i="5"/>
  <c r="O21" i="5"/>
  <c r="N21" i="5"/>
  <c r="L21" i="5"/>
  <c r="K21" i="5"/>
  <c r="F21" i="5"/>
  <c r="E21" i="5"/>
  <c r="BR20" i="5"/>
  <c r="BQ20" i="5"/>
  <c r="BP20" i="5"/>
  <c r="FD17" i="2" s="1"/>
  <c r="FE17" i="2" s="1"/>
  <c r="FF17" i="2" s="1"/>
  <c r="HO17" i="2" s="1"/>
  <c r="BO20" i="5"/>
  <c r="FA17" i="2" s="1"/>
  <c r="FB17" i="2" s="1"/>
  <c r="FC17" i="2" s="1"/>
  <c r="HN17" i="2" s="1"/>
  <c r="BN20" i="5"/>
  <c r="BM20" i="5"/>
  <c r="EU17" i="2" s="1"/>
  <c r="EV17" i="2" s="1"/>
  <c r="EW17" i="2" s="1"/>
  <c r="HL17" i="2" s="1"/>
  <c r="BL20" i="5"/>
  <c r="ER17" i="2" s="1"/>
  <c r="ES17" i="2" s="1"/>
  <c r="ET17" i="2" s="1"/>
  <c r="HK17" i="2" s="1"/>
  <c r="BK20" i="5"/>
  <c r="EO17" i="2" s="1"/>
  <c r="EP17" i="2" s="1"/>
  <c r="EQ17" i="2" s="1"/>
  <c r="HJ17" i="2" s="1"/>
  <c r="BJ20" i="5"/>
  <c r="BI20" i="5"/>
  <c r="BH20" i="5"/>
  <c r="EF17" i="2" s="1"/>
  <c r="EG17" i="2" s="1"/>
  <c r="EH17" i="2" s="1"/>
  <c r="HG17" i="2" s="1"/>
  <c r="BG20" i="5"/>
  <c r="EC17" i="2" s="1"/>
  <c r="ED17" i="2" s="1"/>
  <c r="EE17" i="2" s="1"/>
  <c r="HF17" i="2" s="1"/>
  <c r="BE20" i="5"/>
  <c r="BD20" i="5"/>
  <c r="BC20" i="5"/>
  <c r="BB20" i="5"/>
  <c r="AZ20" i="5"/>
  <c r="AY20" i="5"/>
  <c r="AX20" i="5"/>
  <c r="AW20" i="5"/>
  <c r="AV20" i="5"/>
  <c r="AU20" i="5"/>
  <c r="AT20" i="5"/>
  <c r="AR20" i="5"/>
  <c r="AQ20" i="5"/>
  <c r="AP20" i="5"/>
  <c r="AO20" i="5"/>
  <c r="AM20" i="5"/>
  <c r="AL20" i="5"/>
  <c r="AK20" i="5"/>
  <c r="AJ20" i="5"/>
  <c r="AI20" i="5"/>
  <c r="AH20" i="5"/>
  <c r="AG20" i="5"/>
  <c r="AF20" i="5"/>
  <c r="AE20" i="5"/>
  <c r="AD20" i="5"/>
  <c r="AC20" i="5"/>
  <c r="AB20" i="5"/>
  <c r="AA20" i="5"/>
  <c r="Z20" i="5"/>
  <c r="Y20" i="5"/>
  <c r="X20" i="5"/>
  <c r="W20" i="5"/>
  <c r="V20" i="5"/>
  <c r="U20" i="5"/>
  <c r="T20" i="5"/>
  <c r="S20" i="5"/>
  <c r="P20" i="5"/>
  <c r="N20" i="5"/>
  <c r="M20" i="5"/>
  <c r="K20" i="5"/>
  <c r="J20" i="5"/>
  <c r="E20" i="5"/>
  <c r="D20" i="5"/>
  <c r="BR19" i="5"/>
  <c r="FJ16" i="2" s="1"/>
  <c r="FK16" i="2" s="1"/>
  <c r="BQ19" i="5"/>
  <c r="BP19" i="5"/>
  <c r="BO19" i="5"/>
  <c r="BN19" i="5"/>
  <c r="BM19" i="5"/>
  <c r="BL19" i="5"/>
  <c r="BK19" i="5"/>
  <c r="EO16" i="2" s="1"/>
  <c r="EP16" i="2" s="1"/>
  <c r="EQ16" i="2" s="1"/>
  <c r="HJ16" i="2" s="1"/>
  <c r="BJ19" i="5"/>
  <c r="EL16" i="2" s="1"/>
  <c r="EM16" i="2" s="1"/>
  <c r="BI19" i="5"/>
  <c r="BH19" i="5"/>
  <c r="BG19" i="5"/>
  <c r="EC16" i="2" s="1"/>
  <c r="ED16" i="2" s="1"/>
  <c r="BE19" i="5"/>
  <c r="DW16" i="2" s="1"/>
  <c r="DX16" i="2" s="1"/>
  <c r="BD19" i="5"/>
  <c r="BC19" i="5"/>
  <c r="BB19" i="5"/>
  <c r="AZ19" i="5"/>
  <c r="AY19" i="5"/>
  <c r="AX19" i="5"/>
  <c r="AW19" i="5"/>
  <c r="AV19" i="5"/>
  <c r="AU19" i="5"/>
  <c r="AT19" i="5"/>
  <c r="AR19" i="5"/>
  <c r="AQ19" i="5"/>
  <c r="AP19" i="5"/>
  <c r="AM19" i="5"/>
  <c r="AL19" i="5"/>
  <c r="AK19" i="5"/>
  <c r="AJ19" i="5"/>
  <c r="AI19" i="5"/>
  <c r="AH19" i="5"/>
  <c r="AG19" i="5"/>
  <c r="AF19" i="5"/>
  <c r="AE19" i="5"/>
  <c r="AD19" i="5"/>
  <c r="AC19" i="5"/>
  <c r="AB19" i="5"/>
  <c r="AA19" i="5"/>
  <c r="Z19" i="5"/>
  <c r="Y19" i="5"/>
  <c r="X19" i="5"/>
  <c r="W19" i="5"/>
  <c r="V19" i="5"/>
  <c r="U19" i="5"/>
  <c r="T19" i="5"/>
  <c r="S19" i="5"/>
  <c r="P19" i="5"/>
  <c r="N19" i="5"/>
  <c r="M19" i="5"/>
  <c r="K19" i="5"/>
  <c r="J19" i="5"/>
  <c r="E19" i="5"/>
  <c r="D19" i="5"/>
  <c r="BR18" i="5"/>
  <c r="FJ15" i="2" s="1"/>
  <c r="FK15" i="2" s="1"/>
  <c r="FL15" i="2" s="1"/>
  <c r="HQ15" i="2" s="1"/>
  <c r="BQ18" i="5"/>
  <c r="BP18" i="5"/>
  <c r="FD15" i="2" s="1"/>
  <c r="FE15" i="2" s="1"/>
  <c r="FF15" i="2" s="1"/>
  <c r="HO15" i="2" s="1"/>
  <c r="BO18" i="5"/>
  <c r="BN18" i="5"/>
  <c r="BL18" i="5"/>
  <c r="ER15" i="2" s="1"/>
  <c r="ES15" i="2" s="1"/>
  <c r="ET15" i="2" s="1"/>
  <c r="HK15" i="2" s="1"/>
  <c r="BK18" i="5"/>
  <c r="EO15" i="2" s="1"/>
  <c r="EP15" i="2" s="1"/>
  <c r="EQ15" i="2" s="1"/>
  <c r="HJ15" i="2" s="1"/>
  <c r="BJ18" i="5"/>
  <c r="BI18" i="5"/>
  <c r="BG18" i="5"/>
  <c r="EC15" i="2" s="1"/>
  <c r="ED15" i="2" s="1"/>
  <c r="BF18" i="5"/>
  <c r="DZ15" i="2" s="1"/>
  <c r="EA15" i="2" s="1"/>
  <c r="EB15" i="2" s="1"/>
  <c r="HE15" i="2" s="1"/>
  <c r="BE18" i="5"/>
  <c r="BD18" i="5"/>
  <c r="BC18" i="5"/>
  <c r="DQ15" i="2" s="1"/>
  <c r="DR15" i="2" s="1"/>
  <c r="DS15" i="2" s="1"/>
  <c r="HB15" i="2" s="1"/>
  <c r="BB18" i="5"/>
  <c r="DN15" i="2" s="1"/>
  <c r="DO15" i="2" s="1"/>
  <c r="DP15" i="2" s="1"/>
  <c r="HA15" i="2" s="1"/>
  <c r="BA18" i="5"/>
  <c r="AY18" i="5"/>
  <c r="AX18" i="5"/>
  <c r="AW18" i="5"/>
  <c r="AV18" i="5"/>
  <c r="AT18" i="5"/>
  <c r="AS18" i="5"/>
  <c r="AR18" i="5"/>
  <c r="AQ18" i="5"/>
  <c r="AP18" i="5"/>
  <c r="AO18" i="5"/>
  <c r="AM18" i="5"/>
  <c r="AL18" i="5"/>
  <c r="AK18" i="5"/>
  <c r="AJ18" i="5"/>
  <c r="AH18" i="5"/>
  <c r="AG18" i="5"/>
  <c r="AF18" i="5"/>
  <c r="AE18" i="5"/>
  <c r="AC18" i="5"/>
  <c r="AB18" i="5"/>
  <c r="AA18" i="5"/>
  <c r="Z18" i="5"/>
  <c r="W18" i="5"/>
  <c r="V18" i="5"/>
  <c r="U18" i="5"/>
  <c r="R18" i="5"/>
  <c r="Q18" i="5"/>
  <c r="P18" i="5"/>
  <c r="O18" i="5"/>
  <c r="N18" i="5"/>
  <c r="M18" i="5"/>
  <c r="L18" i="5"/>
  <c r="K18" i="5"/>
  <c r="J18" i="5"/>
  <c r="I18" i="5"/>
  <c r="H18" i="5"/>
  <c r="G18" i="5"/>
  <c r="E18" i="5"/>
  <c r="D18" i="5"/>
  <c r="BR17" i="5"/>
  <c r="BP17" i="5"/>
  <c r="FD14" i="2" s="1"/>
  <c r="FE14" i="2" s="1"/>
  <c r="BO17" i="5"/>
  <c r="BN17" i="5"/>
  <c r="EX14" i="2" s="1"/>
  <c r="EY14" i="2" s="1"/>
  <c r="EZ14" i="2" s="1"/>
  <c r="HM14" i="2" s="1"/>
  <c r="BM17" i="5"/>
  <c r="BL17" i="5"/>
  <c r="BK17" i="5"/>
  <c r="EO14" i="2" s="1"/>
  <c r="EP14" i="2" s="1"/>
  <c r="EQ14" i="2" s="1"/>
  <c r="HJ14" i="2" s="1"/>
  <c r="BJ17" i="5"/>
  <c r="EL14" i="2" s="1"/>
  <c r="EM14" i="2" s="1"/>
  <c r="EN14" i="2" s="1"/>
  <c r="HI14" i="2" s="1"/>
  <c r="BI17" i="5"/>
  <c r="BH17" i="5"/>
  <c r="EF14" i="2" s="1"/>
  <c r="EG14" i="2" s="1"/>
  <c r="EH14" i="2" s="1"/>
  <c r="HG14" i="2" s="1"/>
  <c r="BG17" i="5"/>
  <c r="EC14" i="2" s="1"/>
  <c r="ED14" i="2" s="1"/>
  <c r="EE14" i="2" s="1"/>
  <c r="HF14" i="2" s="1"/>
  <c r="BF17" i="5"/>
  <c r="DZ14" i="2" s="1"/>
  <c r="EA14" i="2" s="1"/>
  <c r="BE17" i="5"/>
  <c r="BD17" i="5"/>
  <c r="BC17" i="5"/>
  <c r="DQ14" i="2" s="1"/>
  <c r="DR14" i="2" s="1"/>
  <c r="BA17" i="5"/>
  <c r="DK14" i="2" s="1"/>
  <c r="DL14" i="2" s="1"/>
  <c r="DM14" i="2" s="1"/>
  <c r="GZ14" i="2" s="1"/>
  <c r="AZ17" i="5"/>
  <c r="AY17" i="5"/>
  <c r="AX17" i="5"/>
  <c r="AW17" i="5"/>
  <c r="AV17" i="5"/>
  <c r="AU17" i="5"/>
  <c r="AT17" i="5"/>
  <c r="AS17" i="5"/>
  <c r="AR17" i="5"/>
  <c r="AQ17" i="5"/>
  <c r="AN17" i="5"/>
  <c r="AK17" i="5"/>
  <c r="AJ17" i="5"/>
  <c r="AI17" i="5"/>
  <c r="AF17" i="5"/>
  <c r="AE17" i="5"/>
  <c r="AD17" i="5"/>
  <c r="AA17" i="5"/>
  <c r="Z17" i="5"/>
  <c r="Y17" i="5"/>
  <c r="X17" i="5"/>
  <c r="W17" i="5"/>
  <c r="V17" i="5"/>
  <c r="U17" i="5"/>
  <c r="T17" i="5"/>
  <c r="S17" i="5"/>
  <c r="R17" i="5"/>
  <c r="Q17" i="5"/>
  <c r="O17" i="5"/>
  <c r="N17" i="5"/>
  <c r="M17" i="5"/>
  <c r="L17" i="5"/>
  <c r="K17" i="5"/>
  <c r="J17" i="5"/>
  <c r="I17" i="5"/>
  <c r="H17" i="5"/>
  <c r="G17" i="5"/>
  <c r="F17" i="5"/>
  <c r="D17" i="5"/>
  <c r="BR16" i="5"/>
  <c r="BP16" i="5"/>
  <c r="BO16" i="5"/>
  <c r="FA13" i="2" s="1"/>
  <c r="FB13" i="2" s="1"/>
  <c r="FC13" i="2" s="1"/>
  <c r="HN13" i="2" s="1"/>
  <c r="BN16" i="5"/>
  <c r="BM16" i="5"/>
  <c r="EU13" i="2" s="1"/>
  <c r="EV13" i="2" s="1"/>
  <c r="BL16" i="5"/>
  <c r="BK16" i="5"/>
  <c r="BJ16" i="5"/>
  <c r="BI16" i="5"/>
  <c r="EI13" i="2" s="1"/>
  <c r="EJ13" i="2" s="1"/>
  <c r="EK13" i="2" s="1"/>
  <c r="HH13" i="2" s="1"/>
  <c r="BH16" i="5"/>
  <c r="BG16" i="5"/>
  <c r="BF16" i="5"/>
  <c r="BE16" i="5"/>
  <c r="DW13" i="2" s="1"/>
  <c r="DX13" i="2" s="1"/>
  <c r="BD16" i="5"/>
  <c r="BC16" i="5"/>
  <c r="BA16" i="5"/>
  <c r="AZ16" i="5"/>
  <c r="AY16" i="5"/>
  <c r="AX16" i="5"/>
  <c r="AW16" i="5"/>
  <c r="AV16" i="5"/>
  <c r="AU16" i="5"/>
  <c r="AT16" i="5"/>
  <c r="AS16" i="5"/>
  <c r="AR16" i="5"/>
  <c r="AQ16" i="5"/>
  <c r="AN16" i="5"/>
  <c r="AK16" i="5"/>
  <c r="AJ16" i="5"/>
  <c r="AI16" i="5"/>
  <c r="AF16" i="5"/>
  <c r="AE16" i="5"/>
  <c r="AD16" i="5"/>
  <c r="AA16" i="5"/>
  <c r="Z16" i="5"/>
  <c r="Y16" i="5"/>
  <c r="X16" i="5"/>
  <c r="W16" i="5"/>
  <c r="V16" i="5"/>
  <c r="U16" i="5"/>
  <c r="T16" i="5"/>
  <c r="S16" i="5"/>
  <c r="R16" i="5"/>
  <c r="Q16" i="5"/>
  <c r="O16" i="5"/>
  <c r="N16" i="5"/>
  <c r="M16" i="5"/>
  <c r="L16" i="5"/>
  <c r="K16" i="5"/>
  <c r="J16" i="5"/>
  <c r="I16" i="5"/>
  <c r="H16" i="5"/>
  <c r="G16" i="5"/>
  <c r="F16" i="5"/>
  <c r="E16" i="5"/>
  <c r="D16" i="5"/>
  <c r="BR15" i="5"/>
  <c r="FJ12" i="2" s="1"/>
  <c r="FK12" i="2" s="1"/>
  <c r="FL12" i="2" s="1"/>
  <c r="HQ12" i="2" s="1"/>
  <c r="BQ15" i="5"/>
  <c r="BP15" i="5"/>
  <c r="FD12" i="2" s="1"/>
  <c r="FE12" i="2" s="1"/>
  <c r="FF12" i="2" s="1"/>
  <c r="HO12" i="2" s="1"/>
  <c r="BO15" i="5"/>
  <c r="BN15" i="5"/>
  <c r="EX12" i="2" s="1"/>
  <c r="EY12" i="2" s="1"/>
  <c r="BM15" i="5"/>
  <c r="BL15" i="5"/>
  <c r="BK15" i="5"/>
  <c r="EO12" i="2" s="1"/>
  <c r="EP12" i="2" s="1"/>
  <c r="EQ12" i="2" s="1"/>
  <c r="HJ12" i="2" s="1"/>
  <c r="BJ15" i="5"/>
  <c r="EL12" i="2" s="1"/>
  <c r="EM12" i="2" s="1"/>
  <c r="EN12" i="2" s="1"/>
  <c r="HI12" i="2" s="1"/>
  <c r="BI15" i="5"/>
  <c r="BH15" i="5"/>
  <c r="EF12" i="2" s="1"/>
  <c r="EG12" i="2" s="1"/>
  <c r="EH12" i="2" s="1"/>
  <c r="HG12" i="2" s="1"/>
  <c r="BG15" i="5"/>
  <c r="EC12" i="2" s="1"/>
  <c r="ED12" i="2" s="1"/>
  <c r="EE12" i="2" s="1"/>
  <c r="HF12" i="2" s="1"/>
  <c r="BE15" i="5"/>
  <c r="DW12" i="2" s="1"/>
  <c r="DX12" i="2" s="1"/>
  <c r="DY12" i="2" s="1"/>
  <c r="HD12" i="2" s="1"/>
  <c r="BD15" i="5"/>
  <c r="BC15" i="5"/>
  <c r="BB15" i="5"/>
  <c r="DN12" i="2" s="1"/>
  <c r="DO12" i="2" s="1"/>
  <c r="DP12" i="2" s="1"/>
  <c r="HA12" i="2" s="1"/>
  <c r="BA15" i="5"/>
  <c r="DK12" i="2" s="1"/>
  <c r="DL12" i="2" s="1"/>
  <c r="DM12" i="2" s="1"/>
  <c r="GZ12" i="2" s="1"/>
  <c r="AZ15" i="5"/>
  <c r="AY15" i="5"/>
  <c r="AX15" i="5"/>
  <c r="AV15" i="5"/>
  <c r="AU15" i="5"/>
  <c r="AT15" i="5"/>
  <c r="AR15" i="5"/>
  <c r="AQ15" i="5"/>
  <c r="AP15" i="5"/>
  <c r="AO15" i="5"/>
  <c r="AN15" i="5"/>
  <c r="AM15" i="5"/>
  <c r="AL15" i="5"/>
  <c r="AK15" i="5"/>
  <c r="AJ15" i="5"/>
  <c r="AI15" i="5"/>
  <c r="AH15" i="5"/>
  <c r="AG15" i="5"/>
  <c r="AF15" i="5"/>
  <c r="AE15" i="5"/>
  <c r="AD15" i="5"/>
  <c r="AC15" i="5"/>
  <c r="AB15" i="5"/>
  <c r="AA15" i="5"/>
  <c r="Z15" i="5"/>
  <c r="Y15" i="5"/>
  <c r="X15" i="5"/>
  <c r="W15" i="5"/>
  <c r="T15" i="5"/>
  <c r="S15" i="5"/>
  <c r="P15" i="5"/>
  <c r="O15" i="5"/>
  <c r="N15" i="5"/>
  <c r="M15" i="5"/>
  <c r="L15" i="5"/>
  <c r="K15" i="5"/>
  <c r="F15" i="5"/>
  <c r="E15" i="5"/>
  <c r="BR14" i="5"/>
  <c r="BQ14" i="5"/>
  <c r="FG11" i="2" s="1"/>
  <c r="FH11" i="2" s="1"/>
  <c r="FI11" i="2" s="1"/>
  <c r="HP11" i="2" s="1"/>
  <c r="BP14" i="5"/>
  <c r="BO14" i="5"/>
  <c r="FA11" i="2" s="1"/>
  <c r="FB11" i="2" s="1"/>
  <c r="FC11" i="2" s="1"/>
  <c r="HN11" i="2" s="1"/>
  <c r="BN14" i="5"/>
  <c r="BM14" i="5"/>
  <c r="EU11" i="2" s="1"/>
  <c r="EV11" i="2" s="1"/>
  <c r="EW11" i="2" s="1"/>
  <c r="HL11" i="2" s="1"/>
  <c r="BL14" i="5"/>
  <c r="BK14" i="5"/>
  <c r="BJ14" i="5"/>
  <c r="BI14" i="5"/>
  <c r="EI11" i="2" s="1"/>
  <c r="EJ11" i="2" s="1"/>
  <c r="EK11" i="2" s="1"/>
  <c r="HH11" i="2" s="1"/>
  <c r="BH14" i="5"/>
  <c r="BG14" i="5"/>
  <c r="EC11" i="2" s="1"/>
  <c r="ED11" i="2" s="1"/>
  <c r="EE11" i="2" s="1"/>
  <c r="HF11" i="2" s="1"/>
  <c r="BF14" i="5"/>
  <c r="DZ11" i="2" s="1"/>
  <c r="EA11" i="2" s="1"/>
  <c r="EB11" i="2" s="1"/>
  <c r="HE11" i="2" s="1"/>
  <c r="BE14" i="5"/>
  <c r="DW11" i="2" s="1"/>
  <c r="DX11" i="2" s="1"/>
  <c r="DY11" i="2" s="1"/>
  <c r="HD11" i="2" s="1"/>
  <c r="BD14" i="5"/>
  <c r="BC14" i="5"/>
  <c r="BA14" i="5"/>
  <c r="AZ14" i="5"/>
  <c r="AY14" i="5"/>
  <c r="AX14" i="5"/>
  <c r="AW14" i="5"/>
  <c r="AV14" i="5"/>
  <c r="AU14" i="5"/>
  <c r="AT14" i="5"/>
  <c r="AS14" i="5"/>
  <c r="AR14" i="5"/>
  <c r="AQ14" i="5"/>
  <c r="AP14" i="5"/>
  <c r="AN14" i="5"/>
  <c r="AK14" i="5"/>
  <c r="AJ14" i="5"/>
  <c r="AI14" i="5"/>
  <c r="AF14" i="5"/>
  <c r="AE14" i="5"/>
  <c r="AD14" i="5"/>
  <c r="AA14" i="5"/>
  <c r="Z14" i="5"/>
  <c r="Y14" i="5"/>
  <c r="X14" i="5"/>
  <c r="W14" i="5"/>
  <c r="V14" i="5"/>
  <c r="U14" i="5"/>
  <c r="T14" i="5"/>
  <c r="S14" i="5"/>
  <c r="R14" i="5"/>
  <c r="Q14" i="5"/>
  <c r="O14" i="5"/>
  <c r="N14" i="5"/>
  <c r="M14" i="5"/>
  <c r="L14" i="5"/>
  <c r="K14" i="5"/>
  <c r="J14" i="5"/>
  <c r="I14" i="5"/>
  <c r="H14" i="5"/>
  <c r="G14" i="5"/>
  <c r="F14" i="5"/>
  <c r="E14" i="5"/>
  <c r="D14" i="5"/>
  <c r="BR13" i="5"/>
  <c r="BQ13" i="5"/>
  <c r="BP13" i="5"/>
  <c r="BO13" i="5"/>
  <c r="BN13" i="5"/>
  <c r="BM13" i="5"/>
  <c r="BL13" i="5"/>
  <c r="BK13" i="5"/>
  <c r="BJ13" i="5"/>
  <c r="BI13" i="5"/>
  <c r="BH13" i="5"/>
  <c r="BG13" i="5"/>
  <c r="BE13" i="5"/>
  <c r="BD13" i="5"/>
  <c r="BC13" i="5"/>
  <c r="BB13" i="5"/>
  <c r="AZ13" i="5"/>
  <c r="AY13" i="5"/>
  <c r="AX13" i="5"/>
  <c r="AW13" i="5"/>
  <c r="AV13" i="5"/>
  <c r="AU13" i="5"/>
  <c r="AT13" i="5"/>
  <c r="AR13" i="5"/>
  <c r="AQ13" i="5"/>
  <c r="AP13" i="5"/>
  <c r="AM13" i="5"/>
  <c r="AL13" i="5"/>
  <c r="AK13" i="5"/>
  <c r="AJ13" i="5"/>
  <c r="AI13" i="5"/>
  <c r="AH13" i="5"/>
  <c r="AG13" i="5"/>
  <c r="AF13" i="5"/>
  <c r="AE13" i="5"/>
  <c r="AD13" i="5"/>
  <c r="AC13" i="5"/>
  <c r="AB13" i="5"/>
  <c r="AA13" i="5"/>
  <c r="Z13" i="5"/>
  <c r="Y13" i="5"/>
  <c r="X13" i="5"/>
  <c r="V13" i="5"/>
  <c r="U13" i="5"/>
  <c r="T13" i="5"/>
  <c r="S13" i="5"/>
  <c r="P13" i="5"/>
  <c r="N13" i="5"/>
  <c r="M13" i="5"/>
  <c r="K13" i="5"/>
  <c r="J13" i="5"/>
  <c r="E13" i="5"/>
  <c r="D13" i="5"/>
  <c r="BR12" i="5"/>
  <c r="BQ12" i="5"/>
  <c r="BP12" i="5"/>
  <c r="BO12" i="5"/>
  <c r="BN12" i="5"/>
  <c r="BM12" i="5"/>
  <c r="BL12" i="5"/>
  <c r="BK12" i="5"/>
  <c r="BJ12" i="5"/>
  <c r="BI12" i="5"/>
  <c r="BH12" i="5"/>
  <c r="BG12" i="5"/>
  <c r="BF12" i="5"/>
  <c r="BE12" i="5"/>
  <c r="BD12" i="5"/>
  <c r="BC12" i="5"/>
  <c r="BB12" i="5"/>
  <c r="BA12" i="5"/>
  <c r="AZ12" i="5"/>
  <c r="AY12" i="5"/>
  <c r="AW12" i="5"/>
  <c r="AV12" i="5"/>
  <c r="AU12" i="5"/>
  <c r="AT12" i="5"/>
  <c r="AS12" i="5"/>
  <c r="AR12" i="5"/>
  <c r="AQ12" i="5"/>
  <c r="AP12" i="5"/>
  <c r="AO12" i="5"/>
  <c r="AN12" i="5"/>
  <c r="AM12" i="5"/>
  <c r="AK12" i="5"/>
  <c r="AJ12" i="5"/>
  <c r="AI12" i="5"/>
  <c r="AF12" i="5"/>
  <c r="AE12" i="5"/>
  <c r="AD12" i="5"/>
  <c r="AA12" i="5"/>
  <c r="Z12" i="5"/>
  <c r="Y12" i="5"/>
  <c r="X12" i="5"/>
  <c r="U12" i="5"/>
  <c r="T12" i="5"/>
  <c r="S12" i="5"/>
  <c r="R12" i="5"/>
  <c r="Q12" i="5"/>
  <c r="O12" i="5"/>
  <c r="N12" i="5"/>
  <c r="M12" i="5"/>
  <c r="L12" i="5"/>
  <c r="K12" i="5"/>
  <c r="J12" i="5"/>
  <c r="I12" i="5"/>
  <c r="H12" i="5"/>
  <c r="G12" i="5"/>
  <c r="F12" i="5"/>
  <c r="E12" i="5"/>
  <c r="D12" i="5"/>
  <c r="BR11" i="5"/>
  <c r="FJ10" i="2" s="1"/>
  <c r="FK10" i="2" s="1"/>
  <c r="FL10" i="2" s="1"/>
  <c r="HQ10" i="2" s="1"/>
  <c r="BQ11" i="5"/>
  <c r="BP11" i="5"/>
  <c r="FD10" i="2" s="1"/>
  <c r="FE10" i="2" s="1"/>
  <c r="FF10" i="2" s="1"/>
  <c r="HO10" i="2" s="1"/>
  <c r="BN11" i="5"/>
  <c r="BM11" i="5"/>
  <c r="EU10" i="2" s="1"/>
  <c r="EV10" i="2" s="1"/>
  <c r="EW10" i="2" s="1"/>
  <c r="HL10" i="2" s="1"/>
  <c r="BL11" i="5"/>
  <c r="BK11" i="5"/>
  <c r="BJ11" i="5"/>
  <c r="EL10" i="2" s="1"/>
  <c r="EM10" i="2" s="1"/>
  <c r="EN10" i="2" s="1"/>
  <c r="HI10" i="2" s="1"/>
  <c r="BI11" i="5"/>
  <c r="EI10" i="2" s="1"/>
  <c r="EJ10" i="2" s="1"/>
  <c r="EK10" i="2" s="1"/>
  <c r="HH10" i="2" s="1"/>
  <c r="BH11" i="5"/>
  <c r="BG11" i="5"/>
  <c r="EC10" i="2" s="1"/>
  <c r="ED10" i="2" s="1"/>
  <c r="EE10" i="2" s="1"/>
  <c r="HF10" i="2" s="1"/>
  <c r="BF11" i="5"/>
  <c r="DZ10" i="2" s="1"/>
  <c r="EA10" i="2" s="1"/>
  <c r="EB10" i="2" s="1"/>
  <c r="HE10" i="2" s="1"/>
  <c r="BE11" i="5"/>
  <c r="DW10" i="2" s="1"/>
  <c r="DX10" i="2" s="1"/>
  <c r="DY10" i="2" s="1"/>
  <c r="HD10" i="2" s="1"/>
  <c r="BD11" i="5"/>
  <c r="BB11" i="5"/>
  <c r="BA11" i="5"/>
  <c r="DK10" i="2" s="1"/>
  <c r="DL10" i="2" s="1"/>
  <c r="DM10" i="2" s="1"/>
  <c r="GZ10" i="2" s="1"/>
  <c r="AZ11" i="5"/>
  <c r="AY11" i="5"/>
  <c r="AX11" i="5"/>
  <c r="AW11" i="5"/>
  <c r="AV11" i="5"/>
  <c r="AU11" i="5"/>
  <c r="AT11" i="5"/>
  <c r="AS11" i="5"/>
  <c r="AR11" i="5"/>
  <c r="AO11" i="5"/>
  <c r="AN11" i="5"/>
  <c r="AM11" i="5"/>
  <c r="AL11" i="5"/>
  <c r="AI11" i="5"/>
  <c r="AH11" i="5"/>
  <c r="AG11" i="5"/>
  <c r="AF11" i="5"/>
  <c r="AD11" i="5"/>
  <c r="AC11" i="5"/>
  <c r="AB11" i="5"/>
  <c r="Y11" i="5"/>
  <c r="X11" i="5"/>
  <c r="W11" i="5"/>
  <c r="V11" i="5"/>
  <c r="U11" i="5"/>
  <c r="T11" i="5"/>
  <c r="S11" i="5"/>
  <c r="R11" i="5"/>
  <c r="Q11" i="5"/>
  <c r="P11" i="5"/>
  <c r="O11" i="5"/>
  <c r="M11" i="5"/>
  <c r="L11" i="5"/>
  <c r="J11" i="5"/>
  <c r="I11" i="5"/>
  <c r="H11" i="5"/>
  <c r="G11" i="5"/>
  <c r="F11" i="5"/>
  <c r="D11" i="5"/>
  <c r="BR10" i="5"/>
  <c r="BQ10" i="5"/>
  <c r="FG9" i="2" s="1"/>
  <c r="FH9" i="2" s="1"/>
  <c r="FI9" i="2" s="1"/>
  <c r="HP9" i="2" s="1"/>
  <c r="BP10" i="5"/>
  <c r="BO10" i="5"/>
  <c r="FA9" i="2" s="1"/>
  <c r="FB9" i="2" s="1"/>
  <c r="FC9" i="2" s="1"/>
  <c r="HN9" i="2" s="1"/>
  <c r="BN10" i="5"/>
  <c r="BM10" i="5"/>
  <c r="EU9" i="2" s="1"/>
  <c r="EV9" i="2" s="1"/>
  <c r="EW9" i="2" s="1"/>
  <c r="HL9" i="2" s="1"/>
  <c r="BK10" i="5"/>
  <c r="BJ10" i="5"/>
  <c r="BI10" i="5"/>
  <c r="EI9" i="2" s="1"/>
  <c r="EJ9" i="2" s="1"/>
  <c r="EK9" i="2" s="1"/>
  <c r="HH9" i="2" s="1"/>
  <c r="BH10" i="5"/>
  <c r="EF9" i="2" s="1"/>
  <c r="EG9" i="2" s="1"/>
  <c r="EH9" i="2" s="1"/>
  <c r="HG9" i="2" s="1"/>
  <c r="BG10" i="5"/>
  <c r="BF10" i="5"/>
  <c r="DZ9" i="2" s="1"/>
  <c r="EA9" i="2" s="1"/>
  <c r="EB9" i="2" s="1"/>
  <c r="HE9" i="2" s="1"/>
  <c r="BE10" i="5"/>
  <c r="DW9" i="2" s="1"/>
  <c r="DX9" i="2" s="1"/>
  <c r="DY9" i="2" s="1"/>
  <c r="HD9" i="2" s="1"/>
  <c r="BD10" i="5"/>
  <c r="BC10" i="5"/>
  <c r="BB10" i="5"/>
  <c r="BA10" i="5"/>
  <c r="DK9" i="2" s="1"/>
  <c r="DL9" i="2" s="1"/>
  <c r="DM9" i="2" s="1"/>
  <c r="GZ9" i="2" s="1"/>
  <c r="AZ10" i="5"/>
  <c r="AX10" i="5"/>
  <c r="AW10" i="5"/>
  <c r="AV10" i="5"/>
  <c r="AU10" i="5"/>
  <c r="AT10" i="5"/>
  <c r="AS10" i="5"/>
  <c r="AR10" i="5"/>
  <c r="AQ10" i="5"/>
  <c r="AP10" i="5"/>
  <c r="AO10" i="5"/>
  <c r="AN10" i="5"/>
  <c r="AM10" i="5"/>
  <c r="AL10" i="5"/>
  <c r="AI10" i="5"/>
  <c r="AH10" i="5"/>
  <c r="AG10" i="5"/>
  <c r="AD10" i="5"/>
  <c r="AC10" i="5"/>
  <c r="AB10" i="5"/>
  <c r="Y10" i="5"/>
  <c r="V10" i="5"/>
  <c r="U10" i="5"/>
  <c r="T10" i="5"/>
  <c r="S10" i="5"/>
  <c r="R10" i="5"/>
  <c r="Q10" i="5"/>
  <c r="P10" i="5"/>
  <c r="O10" i="5"/>
  <c r="N10" i="5"/>
  <c r="M10" i="5"/>
  <c r="L10" i="5"/>
  <c r="J10" i="5"/>
  <c r="I10" i="5"/>
  <c r="H10" i="5"/>
  <c r="G10" i="5"/>
  <c r="F10" i="5"/>
  <c r="D10" i="5"/>
  <c r="BR9" i="5"/>
  <c r="BQ9" i="5"/>
  <c r="BP9" i="5"/>
  <c r="FD8" i="2" s="1"/>
  <c r="BN9" i="5"/>
  <c r="BM9" i="5"/>
  <c r="EU8" i="2" s="1"/>
  <c r="EV8" i="2" s="1"/>
  <c r="EW8" i="2" s="1"/>
  <c r="HL8" i="2" s="1"/>
  <c r="BL9" i="5"/>
  <c r="BK9" i="5"/>
  <c r="EO8" i="2" s="1"/>
  <c r="EP8" i="2" s="1"/>
  <c r="BJ9" i="5"/>
  <c r="BI9" i="5"/>
  <c r="BH9" i="5"/>
  <c r="EF8" i="2" s="1"/>
  <c r="EG8" i="2" s="1"/>
  <c r="BG9" i="5"/>
  <c r="EC8" i="2" s="1"/>
  <c r="ED8" i="2" s="1"/>
  <c r="BF9" i="5"/>
  <c r="BE9" i="5"/>
  <c r="DW8" i="2" s="1"/>
  <c r="DX8" i="2" s="1"/>
  <c r="DY8" i="2" s="1"/>
  <c r="HD8" i="2" s="1"/>
  <c r="BD9" i="5"/>
  <c r="BC9" i="5"/>
  <c r="BB9" i="5"/>
  <c r="BA9" i="5"/>
  <c r="AZ9" i="5"/>
  <c r="AX9" i="5"/>
  <c r="AW9" i="5"/>
  <c r="AV9" i="5"/>
  <c r="AU9" i="5"/>
  <c r="AT9" i="5"/>
  <c r="AS9" i="5"/>
  <c r="AR9" i="5"/>
  <c r="AQ9" i="5"/>
  <c r="AP9" i="5"/>
  <c r="AO9" i="5"/>
  <c r="AN9" i="5"/>
  <c r="AM9" i="5"/>
  <c r="AL9" i="5"/>
  <c r="AK9" i="5"/>
  <c r="AI9" i="5"/>
  <c r="AH9" i="5"/>
  <c r="AG9" i="5"/>
  <c r="AD9" i="5"/>
  <c r="AC9" i="5"/>
  <c r="AB9" i="5"/>
  <c r="Y9" i="5"/>
  <c r="V9" i="5"/>
  <c r="U9" i="5"/>
  <c r="T9" i="5"/>
  <c r="R9" i="5"/>
  <c r="Q9" i="5"/>
  <c r="P9" i="5"/>
  <c r="O9" i="5"/>
  <c r="N9" i="5"/>
  <c r="M9" i="5"/>
  <c r="L9" i="5"/>
  <c r="J9" i="5"/>
  <c r="I9" i="5"/>
  <c r="H9" i="5"/>
  <c r="G9" i="5"/>
  <c r="F9" i="5"/>
  <c r="D9" i="5"/>
  <c r="BR8" i="5"/>
  <c r="BQ8" i="5"/>
  <c r="BP8" i="5"/>
  <c r="BO8" i="5"/>
  <c r="FA7" i="2" s="1"/>
  <c r="FB7" i="2" s="1"/>
  <c r="FC7" i="2" s="1"/>
  <c r="HN7" i="2" s="1"/>
  <c r="BN8" i="5"/>
  <c r="BM8" i="5"/>
  <c r="EU7" i="2" s="1"/>
  <c r="EV7" i="2" s="1"/>
  <c r="EW7" i="2" s="1"/>
  <c r="HL7" i="2" s="1"/>
  <c r="BL8" i="5"/>
  <c r="ER7" i="2" s="1"/>
  <c r="ES7" i="2" s="1"/>
  <c r="ET7" i="2" s="1"/>
  <c r="HK7" i="2" s="1"/>
  <c r="BK8" i="5"/>
  <c r="EO7" i="2" s="1"/>
  <c r="EP7" i="2" s="1"/>
  <c r="EQ7" i="2" s="1"/>
  <c r="HJ7" i="2" s="1"/>
  <c r="BJ8" i="5"/>
  <c r="BI8" i="5"/>
  <c r="BG8" i="5"/>
  <c r="EC7" i="2" s="1"/>
  <c r="ED7" i="2" s="1"/>
  <c r="EE7" i="2" s="1"/>
  <c r="HF7" i="2" s="1"/>
  <c r="BF8" i="5"/>
  <c r="DZ7" i="2" s="1"/>
  <c r="EA7" i="2" s="1"/>
  <c r="EB7" i="2" s="1"/>
  <c r="HE7" i="2" s="1"/>
  <c r="BE8" i="5"/>
  <c r="BC8" i="5"/>
  <c r="BB8" i="5"/>
  <c r="BA8" i="5"/>
  <c r="AZ8" i="5"/>
  <c r="AY8" i="5"/>
  <c r="AX8" i="5"/>
  <c r="AW8" i="5"/>
  <c r="AV8" i="5"/>
  <c r="AT8" i="5"/>
  <c r="AS8" i="5"/>
  <c r="AR8" i="5"/>
  <c r="AP8" i="5"/>
  <c r="AO8" i="5"/>
  <c r="AN8" i="5"/>
  <c r="AM8" i="5"/>
  <c r="AL8" i="5"/>
  <c r="AK8" i="5"/>
  <c r="AJ8" i="5"/>
  <c r="AH8" i="5"/>
  <c r="AG8" i="5"/>
  <c r="AF8" i="5"/>
  <c r="AE8" i="5"/>
  <c r="AC8" i="5"/>
  <c r="AB8" i="5"/>
  <c r="AA8" i="5"/>
  <c r="Z8" i="5"/>
  <c r="X8" i="5"/>
  <c r="W8" i="5"/>
  <c r="V8" i="5"/>
  <c r="R8" i="5"/>
  <c r="Q8" i="5"/>
  <c r="P8" i="5"/>
  <c r="O8" i="5"/>
  <c r="N8" i="5"/>
  <c r="M8" i="5"/>
  <c r="L8" i="5"/>
  <c r="K8" i="5"/>
  <c r="I8" i="5"/>
  <c r="H8" i="5"/>
  <c r="G8" i="5"/>
  <c r="F8" i="5"/>
  <c r="E8" i="5"/>
  <c r="BR7" i="5"/>
  <c r="BQ7" i="5"/>
  <c r="BP7" i="5"/>
  <c r="BO7" i="5"/>
  <c r="BN7" i="5"/>
  <c r="BM7" i="5"/>
  <c r="BL7" i="5"/>
  <c r="BK7" i="5"/>
  <c r="BJ7" i="5"/>
  <c r="BI7" i="5"/>
  <c r="BH7" i="5"/>
  <c r="BG7" i="5"/>
  <c r="BF7" i="5"/>
  <c r="BE7" i="5"/>
  <c r="BD7" i="5"/>
  <c r="BC7" i="5"/>
  <c r="BB7" i="5"/>
  <c r="BA7" i="5"/>
  <c r="AZ7" i="5"/>
  <c r="AY7" i="5"/>
  <c r="AW7" i="5"/>
  <c r="AV7" i="5"/>
  <c r="AU7" i="5"/>
  <c r="AT7" i="5"/>
  <c r="AS7" i="5"/>
  <c r="AR7" i="5"/>
  <c r="AQ7" i="5"/>
  <c r="AP7" i="5"/>
  <c r="AO7" i="5"/>
  <c r="AN7" i="5"/>
  <c r="AK7" i="5"/>
  <c r="AJ7" i="5"/>
  <c r="AI7" i="5"/>
  <c r="AF7" i="5"/>
  <c r="AE7" i="5"/>
  <c r="AD7" i="5"/>
  <c r="AA7" i="5"/>
  <c r="Z7" i="5"/>
  <c r="Y7" i="5"/>
  <c r="X7" i="5"/>
  <c r="U7" i="5"/>
  <c r="T7" i="5"/>
  <c r="S7" i="5"/>
  <c r="R7" i="5"/>
  <c r="O7" i="5"/>
  <c r="N7" i="5"/>
  <c r="M7" i="5"/>
  <c r="L7" i="5"/>
  <c r="K7" i="5"/>
  <c r="J7" i="5"/>
  <c r="I7" i="5"/>
  <c r="H7" i="5"/>
  <c r="G7" i="5"/>
  <c r="F7" i="5"/>
  <c r="E7" i="5"/>
  <c r="D7" i="5"/>
  <c r="BR6" i="5"/>
  <c r="BQ6" i="5"/>
  <c r="BP6" i="5"/>
  <c r="BO6" i="5"/>
  <c r="BN6" i="5"/>
  <c r="BM6" i="5"/>
  <c r="BL6" i="5"/>
  <c r="BK6" i="5"/>
  <c r="BJ6" i="5"/>
  <c r="BI6" i="5"/>
  <c r="BH6" i="5"/>
  <c r="BG6" i="5"/>
  <c r="BF6" i="5"/>
  <c r="BE6" i="5"/>
  <c r="BD6" i="5"/>
  <c r="BB6" i="5"/>
  <c r="BA6" i="5"/>
  <c r="AZ6" i="5"/>
  <c r="AY6" i="5"/>
  <c r="AX6" i="5"/>
  <c r="AW6" i="5"/>
  <c r="AV6" i="5"/>
  <c r="AU6" i="5"/>
  <c r="AT6" i="5"/>
  <c r="AS6" i="5"/>
  <c r="AR6" i="5"/>
  <c r="AQ6" i="5"/>
  <c r="AO6" i="5"/>
  <c r="AN6" i="5"/>
  <c r="AM6" i="5"/>
  <c r="AL6" i="5"/>
  <c r="AI6" i="5"/>
  <c r="AH6" i="5"/>
  <c r="AG6" i="5"/>
  <c r="AD6" i="5"/>
  <c r="AC6" i="5"/>
  <c r="AB6" i="5"/>
  <c r="Y6" i="5"/>
  <c r="X6" i="5"/>
  <c r="W6" i="5"/>
  <c r="V6" i="5"/>
  <c r="U6" i="5"/>
  <c r="T6" i="5"/>
  <c r="S6" i="5"/>
  <c r="R6" i="5"/>
  <c r="Q6" i="5"/>
  <c r="P6" i="5"/>
  <c r="O6" i="5"/>
  <c r="M6" i="5"/>
  <c r="L6" i="5"/>
  <c r="J6" i="5"/>
  <c r="I6" i="5"/>
  <c r="H6" i="5"/>
  <c r="G6" i="5"/>
  <c r="F6" i="5"/>
  <c r="BR5" i="5"/>
  <c r="BQ5" i="5"/>
  <c r="FG6" i="2" s="1"/>
  <c r="BP5" i="5"/>
  <c r="BO5" i="5"/>
  <c r="BN5" i="5"/>
  <c r="EX6" i="2" s="1"/>
  <c r="EY6" i="2" s="1"/>
  <c r="BM5" i="5"/>
  <c r="EU6" i="2" s="1"/>
  <c r="EV6" i="2" s="1"/>
  <c r="EW6" i="2" s="1"/>
  <c r="BL5" i="5"/>
  <c r="BK5" i="5"/>
  <c r="EO6" i="2" s="1"/>
  <c r="EP6" i="2" s="1"/>
  <c r="BJ5" i="5"/>
  <c r="EL6" i="2" s="1"/>
  <c r="EM6" i="2" s="1"/>
  <c r="BI5" i="5"/>
  <c r="EI6" i="2" s="1"/>
  <c r="EJ6" i="2" s="1"/>
  <c r="EK6" i="2" s="1"/>
  <c r="BH5" i="5"/>
  <c r="BG5" i="5"/>
  <c r="BF5" i="5"/>
  <c r="BE5" i="5"/>
  <c r="DW6" i="2" s="1"/>
  <c r="DX6" i="2" s="1"/>
  <c r="DY6" i="2" s="1"/>
  <c r="BD5" i="5"/>
  <c r="BC5" i="5"/>
  <c r="BB5" i="5"/>
  <c r="BA5" i="5"/>
  <c r="AY5" i="5"/>
  <c r="AX5" i="5"/>
  <c r="AW5" i="5"/>
  <c r="AV5" i="5"/>
  <c r="AT5" i="5"/>
  <c r="AS5" i="5"/>
  <c r="AR5" i="5"/>
  <c r="AQ5" i="5"/>
  <c r="AP5" i="5"/>
  <c r="AO5" i="5"/>
  <c r="AN5" i="5"/>
  <c r="AM5" i="5"/>
  <c r="AL5" i="5"/>
  <c r="AK5" i="5"/>
  <c r="AJ5" i="5"/>
  <c r="AI5" i="5"/>
  <c r="AH5" i="5"/>
  <c r="AG5" i="5"/>
  <c r="AF5" i="5"/>
  <c r="AE5" i="5"/>
  <c r="AC5" i="5"/>
  <c r="AB5" i="5"/>
  <c r="AA5" i="5"/>
  <c r="Z5" i="5"/>
  <c r="W5" i="5"/>
  <c r="V5" i="5"/>
  <c r="U5" i="5"/>
  <c r="R5" i="5"/>
  <c r="Q5" i="5"/>
  <c r="P5" i="5"/>
  <c r="O5" i="5"/>
  <c r="N5" i="5"/>
  <c r="M5" i="5"/>
  <c r="L5" i="5"/>
  <c r="K5" i="5"/>
  <c r="J5" i="5"/>
  <c r="I5" i="5"/>
  <c r="H5" i="5"/>
  <c r="G5" i="5"/>
  <c r="E5" i="5"/>
  <c r="D5" i="5"/>
  <c r="FJ25" i="2"/>
  <c r="FK25" i="2" s="1"/>
  <c r="FL25" i="2" s="1"/>
  <c r="HQ25" i="2" s="1"/>
  <c r="EX25" i="2"/>
  <c r="EY25" i="2" s="1"/>
  <c r="EZ25" i="2" s="1"/>
  <c r="HM25" i="2" s="1"/>
  <c r="EU25" i="2"/>
  <c r="EV25" i="2" s="1"/>
  <c r="EL25" i="2"/>
  <c r="EM25" i="2" s="1"/>
  <c r="EN25" i="2" s="1"/>
  <c r="HI25" i="2" s="1"/>
  <c r="EA25" i="2"/>
  <c r="EB25" i="2" s="1"/>
  <c r="HE25" i="2" s="1"/>
  <c r="DZ25" i="2"/>
  <c r="DW25" i="2"/>
  <c r="DX25" i="2" s="1"/>
  <c r="DT25" i="2"/>
  <c r="DU25" i="2" s="1"/>
  <c r="DV25" i="2" s="1"/>
  <c r="HC25" i="2" s="1"/>
  <c r="DQ25" i="2"/>
  <c r="DR25" i="2" s="1"/>
  <c r="DS25" i="2" s="1"/>
  <c r="HB25" i="2" s="1"/>
  <c r="DN25" i="2"/>
  <c r="DO25" i="2" s="1"/>
  <c r="DP25" i="2" s="1"/>
  <c r="HA25" i="2" s="1"/>
  <c r="DL25" i="2"/>
  <c r="DM25" i="2" s="1"/>
  <c r="GZ25" i="2" s="1"/>
  <c r="DK25" i="2"/>
  <c r="DB25" i="2"/>
  <c r="DC25" i="2" s="1"/>
  <c r="DD25" i="2" s="1"/>
  <c r="GW25" i="2" s="1"/>
  <c r="CY25" i="2"/>
  <c r="CZ25" i="2" s="1"/>
  <c r="CV25" i="2"/>
  <c r="CW25" i="2" s="1"/>
  <c r="CX25" i="2" s="1"/>
  <c r="GU25" i="2" s="1"/>
  <c r="CS25" i="2"/>
  <c r="CT25" i="2" s="1"/>
  <c r="CU25" i="2" s="1"/>
  <c r="GT25" i="2" s="1"/>
  <c r="CP25" i="2"/>
  <c r="CQ25" i="2" s="1"/>
  <c r="CR25" i="2" s="1"/>
  <c r="GS25" i="2" s="1"/>
  <c r="CN25" i="2"/>
  <c r="CO25" i="2" s="1"/>
  <c r="GR25" i="2" s="1"/>
  <c r="CM25" i="2"/>
  <c r="CK25" i="2"/>
  <c r="CL25" i="2" s="1"/>
  <c r="GQ25" i="2" s="1"/>
  <c r="CJ25" i="2"/>
  <c r="CG25" i="2"/>
  <c r="CH25" i="2" s="1"/>
  <c r="CI25" i="2" s="1"/>
  <c r="GP25" i="2" s="1"/>
  <c r="CF25" i="2"/>
  <c r="GO25" i="2" s="1"/>
  <c r="CE25" i="2"/>
  <c r="CD25" i="2"/>
  <c r="CB25" i="2"/>
  <c r="CC25" i="2" s="1"/>
  <c r="GN25" i="2" s="1"/>
  <c r="CA25" i="2"/>
  <c r="BX25" i="2"/>
  <c r="BY25" i="2" s="1"/>
  <c r="BZ25" i="2" s="1"/>
  <c r="GM25" i="2" s="1"/>
  <c r="BU25" i="2"/>
  <c r="BV25" i="2" s="1"/>
  <c r="BW25" i="2" s="1"/>
  <c r="GL25" i="2" s="1"/>
  <c r="BR25" i="2"/>
  <c r="BS25" i="2" s="1"/>
  <c r="BT25" i="2" s="1"/>
  <c r="GK25" i="2" s="1"/>
  <c r="BP25" i="2"/>
  <c r="BQ25" i="2" s="1"/>
  <c r="GJ25" i="2" s="1"/>
  <c r="BO25" i="2"/>
  <c r="BL25" i="2"/>
  <c r="BM25" i="2" s="1"/>
  <c r="BN25" i="2" s="1"/>
  <c r="GI25" i="2" s="1"/>
  <c r="BI25" i="2"/>
  <c r="BJ25" i="2" s="1"/>
  <c r="BK25" i="2" s="1"/>
  <c r="GH25" i="2" s="1"/>
  <c r="BH25" i="2"/>
  <c r="GG25" i="2" s="1"/>
  <c r="BG25" i="2"/>
  <c r="BF25" i="2"/>
  <c r="BD25" i="2"/>
  <c r="BE25" i="2" s="1"/>
  <c r="GF25" i="2" s="1"/>
  <c r="BC25" i="2"/>
  <c r="AZ25" i="2"/>
  <c r="BA25" i="2" s="1"/>
  <c r="BB25" i="2" s="1"/>
  <c r="GE25" i="2" s="1"/>
  <c r="AW25" i="2"/>
  <c r="AX25" i="2" s="1"/>
  <c r="AY25" i="2" s="1"/>
  <c r="GD25" i="2" s="1"/>
  <c r="AT25" i="2"/>
  <c r="AU25" i="2" s="1"/>
  <c r="AV25" i="2" s="1"/>
  <c r="GC25" i="2" s="1"/>
  <c r="AS25" i="2"/>
  <c r="GB25" i="2" s="1"/>
  <c r="AR25" i="2"/>
  <c r="AQ25" i="2"/>
  <c r="AN25" i="2"/>
  <c r="AO25" i="2" s="1"/>
  <c r="AP25" i="2" s="1"/>
  <c r="GA25" i="2" s="1"/>
  <c r="AK25" i="2"/>
  <c r="AL25" i="2" s="1"/>
  <c r="AM25" i="2" s="1"/>
  <c r="FZ25" i="2" s="1"/>
  <c r="AF25" i="2"/>
  <c r="AG25" i="2" s="1"/>
  <c r="FX25" i="2" s="1"/>
  <c r="AE25" i="2"/>
  <c r="AB25" i="2"/>
  <c r="AC25" i="2" s="1"/>
  <c r="AD25" i="2" s="1"/>
  <c r="FW25" i="2" s="1"/>
  <c r="Y25" i="2"/>
  <c r="Z25" i="2" s="1"/>
  <c r="AA25" i="2" s="1"/>
  <c r="FV25" i="2" s="1"/>
  <c r="V25" i="2"/>
  <c r="W25" i="2" s="1"/>
  <c r="X25" i="2" s="1"/>
  <c r="FU25" i="2" s="1"/>
  <c r="U25" i="2"/>
  <c r="FT25" i="2" s="1"/>
  <c r="T25" i="2"/>
  <c r="S25" i="2"/>
  <c r="P25" i="2"/>
  <c r="Q25" i="2" s="1"/>
  <c r="R25" i="2" s="1"/>
  <c r="FS25" i="2" s="1"/>
  <c r="M25" i="2"/>
  <c r="N25" i="2" s="1"/>
  <c r="O25" i="2" s="1"/>
  <c r="FR25" i="2" s="1"/>
  <c r="L25" i="2"/>
  <c r="FQ25" i="2" s="1"/>
  <c r="K25" i="2"/>
  <c r="J25" i="2"/>
  <c r="H25" i="2"/>
  <c r="I25" i="2" s="1"/>
  <c r="FP25" i="2" s="1"/>
  <c r="G25" i="2"/>
  <c r="D25" i="2"/>
  <c r="E25" i="2" s="1"/>
  <c r="F25" i="2" s="1"/>
  <c r="FO25" i="2" s="1"/>
  <c r="C25" i="2"/>
  <c r="GM24" i="2"/>
  <c r="FG24" i="2"/>
  <c r="FD24" i="2"/>
  <c r="FE24" i="2" s="1"/>
  <c r="FF24" i="2" s="1"/>
  <c r="HO24" i="2" s="1"/>
  <c r="FA24" i="2"/>
  <c r="EX24" i="2"/>
  <c r="EY24" i="2" s="1"/>
  <c r="EZ24" i="2" s="1"/>
  <c r="HM24" i="2" s="1"/>
  <c r="EU24" i="2"/>
  <c r="EV24" i="2" s="1"/>
  <c r="EW24" i="2" s="1"/>
  <c r="HL24" i="2" s="1"/>
  <c r="ER24" i="2"/>
  <c r="ES24" i="2" s="1"/>
  <c r="ET24" i="2" s="1"/>
  <c r="HK24" i="2" s="1"/>
  <c r="EI24" i="2"/>
  <c r="EJ24" i="2" s="1"/>
  <c r="EK24" i="2" s="1"/>
  <c r="HH24" i="2" s="1"/>
  <c r="EC24" i="2"/>
  <c r="ED24" i="2" s="1"/>
  <c r="EE24" i="2" s="1"/>
  <c r="HF24" i="2" s="1"/>
  <c r="DT24" i="2"/>
  <c r="DU24" i="2" s="1"/>
  <c r="DV24" i="2" s="1"/>
  <c r="HC24" i="2" s="1"/>
  <c r="DR24" i="2"/>
  <c r="DS24" i="2" s="1"/>
  <c r="HB24" i="2" s="1"/>
  <c r="DQ24" i="2"/>
  <c r="DN24" i="2"/>
  <c r="DO24" i="2" s="1"/>
  <c r="DP24" i="2" s="1"/>
  <c r="HA24" i="2" s="1"/>
  <c r="DK24" i="2"/>
  <c r="DL24" i="2" s="1"/>
  <c r="DM24" i="2" s="1"/>
  <c r="GZ24" i="2" s="1"/>
  <c r="DE24" i="2"/>
  <c r="DF24" i="2" s="1"/>
  <c r="DG24" i="2" s="1"/>
  <c r="GX24" i="2" s="1"/>
  <c r="DB24" i="2"/>
  <c r="DC24" i="2" s="1"/>
  <c r="DD24" i="2" s="1"/>
  <c r="GW24" i="2" s="1"/>
  <c r="CY24" i="2"/>
  <c r="CZ24" i="2" s="1"/>
  <c r="DA24" i="2" s="1"/>
  <c r="GV24" i="2" s="1"/>
  <c r="CW24" i="2"/>
  <c r="CX24" i="2" s="1"/>
  <c r="GU24" i="2" s="1"/>
  <c r="CV24" i="2"/>
  <c r="CS24" i="2"/>
  <c r="CT24" i="2" s="1"/>
  <c r="CU24" i="2" s="1"/>
  <c r="GT24" i="2" s="1"/>
  <c r="CP24" i="2"/>
  <c r="CQ24" i="2" s="1"/>
  <c r="CR24" i="2" s="1"/>
  <c r="GS24" i="2" s="1"/>
  <c r="CM24" i="2"/>
  <c r="CN24" i="2" s="1"/>
  <c r="CO24" i="2" s="1"/>
  <c r="GR24" i="2" s="1"/>
  <c r="CK24" i="2"/>
  <c r="CL24" i="2" s="1"/>
  <c r="GQ24" i="2" s="1"/>
  <c r="CJ24" i="2"/>
  <c r="CG24" i="2"/>
  <c r="CH24" i="2" s="1"/>
  <c r="CI24" i="2" s="1"/>
  <c r="GP24" i="2" s="1"/>
  <c r="CC24" i="2"/>
  <c r="GN24" i="2" s="1"/>
  <c r="CB24" i="2"/>
  <c r="CA24" i="2"/>
  <c r="BY24" i="2"/>
  <c r="BZ24" i="2" s="1"/>
  <c r="BX24" i="2"/>
  <c r="BU24" i="2"/>
  <c r="BV24" i="2" s="1"/>
  <c r="BW24" i="2" s="1"/>
  <c r="GL24" i="2" s="1"/>
  <c r="BR24" i="2"/>
  <c r="BS24" i="2" s="1"/>
  <c r="BT24" i="2" s="1"/>
  <c r="GK24" i="2" s="1"/>
  <c r="BQ24" i="2"/>
  <c r="GJ24" i="2" s="1"/>
  <c r="BO24" i="2"/>
  <c r="BP24" i="2" s="1"/>
  <c r="BN24" i="2"/>
  <c r="GI24" i="2" s="1"/>
  <c r="BM24" i="2"/>
  <c r="BL24" i="2"/>
  <c r="BI24" i="2"/>
  <c r="BJ24" i="2" s="1"/>
  <c r="BK24" i="2" s="1"/>
  <c r="GH24" i="2" s="1"/>
  <c r="BF24" i="2"/>
  <c r="BG24" i="2" s="1"/>
  <c r="BH24" i="2" s="1"/>
  <c r="GG24" i="2" s="1"/>
  <c r="BE24" i="2"/>
  <c r="GF24" i="2" s="1"/>
  <c r="BD24" i="2"/>
  <c r="BC24" i="2"/>
  <c r="BA24" i="2"/>
  <c r="BB24" i="2" s="1"/>
  <c r="GE24" i="2" s="1"/>
  <c r="AZ24" i="2"/>
  <c r="AX24" i="2"/>
  <c r="AY24" i="2" s="1"/>
  <c r="GD24" i="2" s="1"/>
  <c r="AW24" i="2"/>
  <c r="AT24" i="2"/>
  <c r="AU24" i="2" s="1"/>
  <c r="AV24" i="2" s="1"/>
  <c r="GC24" i="2" s="1"/>
  <c r="AS24" i="2"/>
  <c r="GB24" i="2" s="1"/>
  <c r="AQ24" i="2"/>
  <c r="AR24" i="2" s="1"/>
  <c r="AO24" i="2"/>
  <c r="AP24" i="2" s="1"/>
  <c r="GA24" i="2" s="1"/>
  <c r="AN24" i="2"/>
  <c r="AK24" i="2"/>
  <c r="AL24" i="2" s="1"/>
  <c r="AM24" i="2" s="1"/>
  <c r="FZ24" i="2" s="1"/>
  <c r="AH24" i="2"/>
  <c r="AI24" i="2" s="1"/>
  <c r="AJ24" i="2" s="1"/>
  <c r="FY24" i="2" s="1"/>
  <c r="AG24" i="2"/>
  <c r="FX24" i="2" s="1"/>
  <c r="AF24" i="2"/>
  <c r="AE24" i="2"/>
  <c r="V24" i="2"/>
  <c r="W24" i="2" s="1"/>
  <c r="X24" i="2" s="1"/>
  <c r="FU24" i="2" s="1"/>
  <c r="S24" i="2"/>
  <c r="T24" i="2" s="1"/>
  <c r="U24" i="2" s="1"/>
  <c r="FT24" i="2" s="1"/>
  <c r="Q24" i="2"/>
  <c r="R24" i="2" s="1"/>
  <c r="FS24" i="2" s="1"/>
  <c r="P24" i="2"/>
  <c r="J24" i="2"/>
  <c r="K24" i="2" s="1"/>
  <c r="L24" i="2" s="1"/>
  <c r="FQ24" i="2" s="1"/>
  <c r="I24" i="2"/>
  <c r="FP24" i="2" s="1"/>
  <c r="H24" i="2"/>
  <c r="G24" i="2"/>
  <c r="E24" i="2"/>
  <c r="F24" i="2" s="1"/>
  <c r="FO24" i="2" s="1"/>
  <c r="D24" i="2"/>
  <c r="C24" i="2"/>
  <c r="GR23" i="2"/>
  <c r="FJ23" i="2"/>
  <c r="FK23" i="2" s="1"/>
  <c r="FL23" i="2" s="1"/>
  <c r="HQ23" i="2" s="1"/>
  <c r="FG23" i="2"/>
  <c r="FH23" i="2" s="1"/>
  <c r="FI23" i="2" s="1"/>
  <c r="HP23" i="2" s="1"/>
  <c r="EX23" i="2"/>
  <c r="EY23" i="2" s="1"/>
  <c r="EZ23" i="2" s="1"/>
  <c r="HM23" i="2" s="1"/>
  <c r="EI23" i="2"/>
  <c r="EJ23" i="2" s="1"/>
  <c r="EK23" i="2" s="1"/>
  <c r="HH23" i="2" s="1"/>
  <c r="EF23" i="2"/>
  <c r="EG23" i="2" s="1"/>
  <c r="DZ23" i="2"/>
  <c r="EA23" i="2" s="1"/>
  <c r="EB23" i="2" s="1"/>
  <c r="HE23" i="2" s="1"/>
  <c r="DU23" i="2"/>
  <c r="DV23" i="2" s="1"/>
  <c r="HC23" i="2" s="1"/>
  <c r="DT23" i="2"/>
  <c r="DR23" i="2"/>
  <c r="DQ23" i="2"/>
  <c r="DN23" i="2"/>
  <c r="DO23" i="2" s="1"/>
  <c r="DP23" i="2" s="1"/>
  <c r="HA23" i="2" s="1"/>
  <c r="DB23" i="2"/>
  <c r="DC23" i="2" s="1"/>
  <c r="DD23" i="2" s="1"/>
  <c r="GW23" i="2" s="1"/>
  <c r="CY23" i="2"/>
  <c r="CZ23" i="2" s="1"/>
  <c r="DA23" i="2" s="1"/>
  <c r="GV23" i="2" s="1"/>
  <c r="CW23" i="2"/>
  <c r="CX23" i="2" s="1"/>
  <c r="GU23" i="2" s="1"/>
  <c r="CV23" i="2"/>
  <c r="CT23" i="2"/>
  <c r="CS23" i="2"/>
  <c r="CP23" i="2"/>
  <c r="CQ23" i="2" s="1"/>
  <c r="CR23" i="2" s="1"/>
  <c r="GS23" i="2" s="1"/>
  <c r="CO23" i="2"/>
  <c r="CM23" i="2"/>
  <c r="CN23" i="2" s="1"/>
  <c r="CJ23" i="2"/>
  <c r="CK23" i="2" s="1"/>
  <c r="CG23" i="2"/>
  <c r="CH23" i="2" s="1"/>
  <c r="CI23" i="2" s="1"/>
  <c r="GP23" i="2" s="1"/>
  <c r="CD23" i="2"/>
  <c r="CE23" i="2" s="1"/>
  <c r="CF23" i="2" s="1"/>
  <c r="GO23" i="2" s="1"/>
  <c r="BY23" i="2"/>
  <c r="BZ23" i="2" s="1"/>
  <c r="GM23" i="2" s="1"/>
  <c r="BX23" i="2"/>
  <c r="BU23" i="2"/>
  <c r="BR23" i="2"/>
  <c r="BS23" i="2" s="1"/>
  <c r="BT23" i="2" s="1"/>
  <c r="GK23" i="2" s="1"/>
  <c r="BO23" i="2"/>
  <c r="BI23" i="2"/>
  <c r="BF23" i="2"/>
  <c r="BC23" i="2"/>
  <c r="AT23" i="2"/>
  <c r="AU23" i="2" s="1"/>
  <c r="AV23" i="2" s="1"/>
  <c r="GC23" i="2" s="1"/>
  <c r="AQ23" i="2"/>
  <c r="AR23" i="2" s="1"/>
  <c r="AS23" i="2" s="1"/>
  <c r="GB23" i="2" s="1"/>
  <c r="AP23" i="2"/>
  <c r="GA23" i="2" s="1"/>
  <c r="AN23" i="2"/>
  <c r="AO23" i="2" s="1"/>
  <c r="AL23" i="2"/>
  <c r="AM23" i="2" s="1"/>
  <c r="FZ23" i="2" s="1"/>
  <c r="AK23" i="2"/>
  <c r="AE23" i="2"/>
  <c r="AF23" i="2" s="1"/>
  <c r="Y23" i="2"/>
  <c r="V23" i="2"/>
  <c r="S23" i="2"/>
  <c r="T23" i="2" s="1"/>
  <c r="U23" i="2" s="1"/>
  <c r="FT23" i="2" s="1"/>
  <c r="P23" i="2"/>
  <c r="J23" i="2"/>
  <c r="D23" i="2"/>
  <c r="C23" i="2"/>
  <c r="GL22" i="2"/>
  <c r="FX22" i="2"/>
  <c r="FJ22" i="2"/>
  <c r="FA22" i="2"/>
  <c r="FB22" i="2" s="1"/>
  <c r="FC22" i="2" s="1"/>
  <c r="HN22" i="2" s="1"/>
  <c r="EO22" i="2"/>
  <c r="EP22" i="2" s="1"/>
  <c r="EQ22" i="2" s="1"/>
  <c r="HJ22" i="2" s="1"/>
  <c r="EL22" i="2"/>
  <c r="EM22" i="2" s="1"/>
  <c r="EN22" i="2" s="1"/>
  <c r="HI22" i="2" s="1"/>
  <c r="EF22" i="2"/>
  <c r="EG22" i="2" s="1"/>
  <c r="EH22" i="2" s="1"/>
  <c r="HG22" i="2" s="1"/>
  <c r="DZ22" i="2"/>
  <c r="EA22" i="2" s="1"/>
  <c r="EB22" i="2" s="1"/>
  <c r="HE22" i="2" s="1"/>
  <c r="DW22" i="2"/>
  <c r="DX22" i="2" s="1"/>
  <c r="DY22" i="2" s="1"/>
  <c r="HD22" i="2" s="1"/>
  <c r="DT22" i="2"/>
  <c r="DU22" i="2" s="1"/>
  <c r="DV22" i="2" s="1"/>
  <c r="HC22" i="2" s="1"/>
  <c r="DR22" i="2"/>
  <c r="DS22" i="2" s="1"/>
  <c r="HB22" i="2" s="1"/>
  <c r="DQ22" i="2"/>
  <c r="DN22" i="2"/>
  <c r="DO22" i="2" s="1"/>
  <c r="DP22" i="2" s="1"/>
  <c r="HA22" i="2" s="1"/>
  <c r="DK22" i="2"/>
  <c r="DL22" i="2" s="1"/>
  <c r="DM22" i="2" s="1"/>
  <c r="GZ22" i="2" s="1"/>
  <c r="DH22" i="2"/>
  <c r="DI22" i="2" s="1"/>
  <c r="DJ22" i="2" s="1"/>
  <c r="GY22" i="2" s="1"/>
  <c r="DE22" i="2"/>
  <c r="DF22" i="2" s="1"/>
  <c r="DG22" i="2" s="1"/>
  <c r="GX22" i="2" s="1"/>
  <c r="DB22" i="2"/>
  <c r="DC22" i="2" s="1"/>
  <c r="DD22" i="2" s="1"/>
  <c r="GW22" i="2" s="1"/>
  <c r="CY22" i="2"/>
  <c r="CZ22" i="2" s="1"/>
  <c r="DA22" i="2" s="1"/>
  <c r="GV22" i="2" s="1"/>
  <c r="CV22" i="2"/>
  <c r="CW22" i="2" s="1"/>
  <c r="CX22" i="2" s="1"/>
  <c r="GU22" i="2" s="1"/>
  <c r="CT22" i="2"/>
  <c r="CU22" i="2" s="1"/>
  <c r="GT22" i="2" s="1"/>
  <c r="CS22" i="2"/>
  <c r="CR22" i="2"/>
  <c r="GS22" i="2" s="1"/>
  <c r="CQ22" i="2"/>
  <c r="CP22" i="2"/>
  <c r="CM22" i="2"/>
  <c r="CN22" i="2" s="1"/>
  <c r="CO22" i="2" s="1"/>
  <c r="GR22" i="2" s="1"/>
  <c r="CJ22" i="2"/>
  <c r="CK22" i="2" s="1"/>
  <c r="CL22" i="2" s="1"/>
  <c r="GQ22" i="2" s="1"/>
  <c r="CI22" i="2"/>
  <c r="GP22" i="2" s="1"/>
  <c r="CD22" i="2"/>
  <c r="CE22" i="2" s="1"/>
  <c r="CF22" i="2" s="1"/>
  <c r="GO22" i="2" s="1"/>
  <c r="CA22" i="2"/>
  <c r="CB22" i="2" s="1"/>
  <c r="CC22" i="2" s="1"/>
  <c r="GN22" i="2" s="1"/>
  <c r="BX22" i="2"/>
  <c r="BY22" i="2" s="1"/>
  <c r="BZ22" i="2" s="1"/>
  <c r="GM22" i="2" s="1"/>
  <c r="BW22" i="2"/>
  <c r="BV22" i="2"/>
  <c r="BU22" i="2"/>
  <c r="BS22" i="2"/>
  <c r="BT22" i="2" s="1"/>
  <c r="GK22" i="2" s="1"/>
  <c r="BR22" i="2"/>
  <c r="BP22" i="2"/>
  <c r="BQ22" i="2" s="1"/>
  <c r="GJ22" i="2" s="1"/>
  <c r="BO22" i="2"/>
  <c r="BN22" i="2"/>
  <c r="GI22" i="2" s="1"/>
  <c r="BL22" i="2"/>
  <c r="BM22" i="2" s="1"/>
  <c r="BK22" i="2"/>
  <c r="GH22" i="2" s="1"/>
  <c r="BI22" i="2"/>
  <c r="BJ22" i="2" s="1"/>
  <c r="BF22" i="2"/>
  <c r="BG22" i="2" s="1"/>
  <c r="BH22" i="2" s="1"/>
  <c r="GG22" i="2" s="1"/>
  <c r="BC22" i="2"/>
  <c r="BD22" i="2" s="1"/>
  <c r="BE22" i="2" s="1"/>
  <c r="GF22" i="2" s="1"/>
  <c r="AZ22" i="2"/>
  <c r="BA22" i="2" s="1"/>
  <c r="BB22" i="2" s="1"/>
  <c r="GE22" i="2" s="1"/>
  <c r="AU22" i="2"/>
  <c r="AV22" i="2" s="1"/>
  <c r="GC22" i="2" s="1"/>
  <c r="AT22" i="2"/>
  <c r="AQ22" i="2"/>
  <c r="AR22" i="2" s="1"/>
  <c r="AS22" i="2" s="1"/>
  <c r="GB22" i="2" s="1"/>
  <c r="AN22" i="2"/>
  <c r="AO22" i="2" s="1"/>
  <c r="AP22" i="2" s="1"/>
  <c r="GA22" i="2" s="1"/>
  <c r="AK22" i="2"/>
  <c r="AL22" i="2" s="1"/>
  <c r="AM22" i="2" s="1"/>
  <c r="FZ22" i="2" s="1"/>
  <c r="AF22" i="2"/>
  <c r="AG22" i="2" s="1"/>
  <c r="AE22" i="2"/>
  <c r="AB22" i="2"/>
  <c r="V22" i="2"/>
  <c r="S22" i="2"/>
  <c r="R22" i="2"/>
  <c r="FS22" i="2" s="1"/>
  <c r="P22" i="2"/>
  <c r="Q22" i="2" s="1"/>
  <c r="K22" i="2"/>
  <c r="L22" i="2" s="1"/>
  <c r="FQ22" i="2" s="1"/>
  <c r="J22" i="2"/>
  <c r="H22" i="2"/>
  <c r="I22" i="2" s="1"/>
  <c r="FP22" i="2" s="1"/>
  <c r="G22" i="2"/>
  <c r="D22" i="2"/>
  <c r="E22" i="2" s="1"/>
  <c r="F22" i="2" s="1"/>
  <c r="FO22" i="2" s="1"/>
  <c r="C22" i="2"/>
  <c r="HB21" i="2"/>
  <c r="GM21" i="2"/>
  <c r="GC21" i="2"/>
  <c r="GA21" i="2"/>
  <c r="FJ21" i="2"/>
  <c r="FK21" i="2" s="1"/>
  <c r="FL21" i="2" s="1"/>
  <c r="HQ21" i="2" s="1"/>
  <c r="FG21" i="2"/>
  <c r="FH21" i="2" s="1"/>
  <c r="FI21" i="2" s="1"/>
  <c r="HP21" i="2" s="1"/>
  <c r="FD21" i="2"/>
  <c r="FE21" i="2" s="1"/>
  <c r="FF21" i="2" s="1"/>
  <c r="HO21" i="2" s="1"/>
  <c r="FA21" i="2"/>
  <c r="FB21" i="2" s="1"/>
  <c r="FC21" i="2" s="1"/>
  <c r="HN21" i="2" s="1"/>
  <c r="EU21" i="2"/>
  <c r="EV21" i="2" s="1"/>
  <c r="EW21" i="2" s="1"/>
  <c r="HL21" i="2" s="1"/>
  <c r="EL21" i="2"/>
  <c r="EM21" i="2" s="1"/>
  <c r="EN21" i="2" s="1"/>
  <c r="HI21" i="2" s="1"/>
  <c r="EI21" i="2"/>
  <c r="EJ21" i="2" s="1"/>
  <c r="EK21" i="2" s="1"/>
  <c r="HH21" i="2" s="1"/>
  <c r="EF21" i="2"/>
  <c r="EG21" i="2" s="1"/>
  <c r="EH21" i="2" s="1"/>
  <c r="HG21" i="2" s="1"/>
  <c r="DW21" i="2"/>
  <c r="DX21" i="2" s="1"/>
  <c r="DY21" i="2" s="1"/>
  <c r="HD21" i="2" s="1"/>
  <c r="DT21" i="2"/>
  <c r="DU21" i="2" s="1"/>
  <c r="DV21" i="2" s="1"/>
  <c r="HC21" i="2" s="1"/>
  <c r="DQ21" i="2"/>
  <c r="DR21" i="2" s="1"/>
  <c r="DS21" i="2" s="1"/>
  <c r="DN21" i="2"/>
  <c r="DO21" i="2" s="1"/>
  <c r="DP21" i="2" s="1"/>
  <c r="HA21" i="2" s="1"/>
  <c r="DK21" i="2"/>
  <c r="DL21" i="2" s="1"/>
  <c r="DM21" i="2" s="1"/>
  <c r="GZ21" i="2" s="1"/>
  <c r="DH21" i="2"/>
  <c r="DI21" i="2" s="1"/>
  <c r="DJ21" i="2" s="1"/>
  <c r="GY21" i="2" s="1"/>
  <c r="DE21" i="2"/>
  <c r="DF21" i="2" s="1"/>
  <c r="DG21" i="2" s="1"/>
  <c r="GX21" i="2" s="1"/>
  <c r="DB21" i="2"/>
  <c r="DC21" i="2" s="1"/>
  <c r="DD21" i="2" s="1"/>
  <c r="GW21" i="2" s="1"/>
  <c r="CY21" i="2"/>
  <c r="CZ21" i="2" s="1"/>
  <c r="DA21" i="2" s="1"/>
  <c r="GV21" i="2" s="1"/>
  <c r="CW21" i="2"/>
  <c r="CX21" i="2" s="1"/>
  <c r="GU21" i="2" s="1"/>
  <c r="CV21" i="2"/>
  <c r="CS21" i="2"/>
  <c r="CT21" i="2" s="1"/>
  <c r="CU21" i="2" s="1"/>
  <c r="GT21" i="2" s="1"/>
  <c r="CR21" i="2"/>
  <c r="GS21" i="2" s="1"/>
  <c r="CQ21" i="2"/>
  <c r="CP21" i="2"/>
  <c r="CN21" i="2"/>
  <c r="CO21" i="2" s="1"/>
  <c r="GR21" i="2" s="1"/>
  <c r="CM21" i="2"/>
  <c r="CJ21" i="2"/>
  <c r="CK21" i="2" s="1"/>
  <c r="CL21" i="2" s="1"/>
  <c r="GQ21" i="2" s="1"/>
  <c r="CI21" i="2"/>
  <c r="GP21" i="2" s="1"/>
  <c r="CG21" i="2"/>
  <c r="CH21" i="2" s="1"/>
  <c r="CE21" i="2"/>
  <c r="CF21" i="2" s="1"/>
  <c r="GO21" i="2" s="1"/>
  <c r="CD21" i="2"/>
  <c r="CA21" i="2"/>
  <c r="CB21" i="2" s="1"/>
  <c r="CC21" i="2" s="1"/>
  <c r="GN21" i="2" s="1"/>
  <c r="BY21" i="2"/>
  <c r="BZ21" i="2" s="1"/>
  <c r="BX21" i="2"/>
  <c r="BU21" i="2"/>
  <c r="BV21" i="2" s="1"/>
  <c r="BW21" i="2" s="1"/>
  <c r="GL21" i="2" s="1"/>
  <c r="BT21" i="2"/>
  <c r="GK21" i="2" s="1"/>
  <c r="BS21" i="2"/>
  <c r="BO21" i="2"/>
  <c r="BP21" i="2" s="1"/>
  <c r="BQ21" i="2" s="1"/>
  <c r="GJ21" i="2" s="1"/>
  <c r="BM21" i="2"/>
  <c r="BN21" i="2" s="1"/>
  <c r="GI21" i="2" s="1"/>
  <c r="BL21" i="2"/>
  <c r="BI21" i="2"/>
  <c r="BJ21" i="2" s="1"/>
  <c r="BK21" i="2" s="1"/>
  <c r="GH21" i="2" s="1"/>
  <c r="BH21" i="2"/>
  <c r="GG21" i="2" s="1"/>
  <c r="BG21" i="2"/>
  <c r="BF21" i="2"/>
  <c r="BD21" i="2"/>
  <c r="BE21" i="2" s="1"/>
  <c r="GF21" i="2" s="1"/>
  <c r="AZ21" i="2"/>
  <c r="BA21" i="2" s="1"/>
  <c r="BB21" i="2" s="1"/>
  <c r="GE21" i="2" s="1"/>
  <c r="AY21" i="2"/>
  <c r="GD21" i="2" s="1"/>
  <c r="AW21" i="2"/>
  <c r="AX21" i="2" s="1"/>
  <c r="AU21" i="2"/>
  <c r="AV21" i="2" s="1"/>
  <c r="AT21" i="2"/>
  <c r="AQ21" i="2"/>
  <c r="AR21" i="2" s="1"/>
  <c r="AS21" i="2" s="1"/>
  <c r="GB21" i="2" s="1"/>
  <c r="AK21" i="2"/>
  <c r="AL21" i="2" s="1"/>
  <c r="AM21" i="2" s="1"/>
  <c r="FZ21" i="2" s="1"/>
  <c r="AJ21" i="2"/>
  <c r="FY21" i="2" s="1"/>
  <c r="AI21" i="2"/>
  <c r="AH21" i="2"/>
  <c r="AG21" i="2"/>
  <c r="FX21" i="2" s="1"/>
  <c r="AF21" i="2"/>
  <c r="AE21" i="2"/>
  <c r="AB21" i="2"/>
  <c r="AC21" i="2" s="1"/>
  <c r="AD21" i="2" s="1"/>
  <c r="FW21" i="2" s="1"/>
  <c r="Y21" i="2"/>
  <c r="Z21" i="2" s="1"/>
  <c r="AA21" i="2" s="1"/>
  <c r="FV21" i="2" s="1"/>
  <c r="X21" i="2"/>
  <c r="FU21" i="2" s="1"/>
  <c r="S21" i="2"/>
  <c r="T21" i="2" s="1"/>
  <c r="U21" i="2" s="1"/>
  <c r="FT21" i="2" s="1"/>
  <c r="R21" i="2"/>
  <c r="FS21" i="2" s="1"/>
  <c r="P21" i="2"/>
  <c r="Q21" i="2" s="1"/>
  <c r="O21" i="2"/>
  <c r="FR21" i="2" s="1"/>
  <c r="M21" i="2"/>
  <c r="N21" i="2" s="1"/>
  <c r="J21" i="2"/>
  <c r="K21" i="2" s="1"/>
  <c r="L21" i="2" s="1"/>
  <c r="FQ21" i="2" s="1"/>
  <c r="I21" i="2"/>
  <c r="FP21" i="2" s="1"/>
  <c r="G21" i="2"/>
  <c r="H21" i="2" s="1"/>
  <c r="D21" i="2"/>
  <c r="E21" i="2" s="1"/>
  <c r="F21" i="2" s="1"/>
  <c r="FO21" i="2" s="1"/>
  <c r="C21" i="2"/>
  <c r="GR20" i="2"/>
  <c r="GN20" i="2"/>
  <c r="FW20" i="2"/>
  <c r="FJ20" i="2"/>
  <c r="FK20" i="2" s="1"/>
  <c r="FL20" i="2" s="1"/>
  <c r="HQ20" i="2" s="1"/>
  <c r="FG20" i="2"/>
  <c r="FH20" i="2" s="1"/>
  <c r="FI20" i="2" s="1"/>
  <c r="HP20" i="2" s="1"/>
  <c r="EX20" i="2"/>
  <c r="EY20" i="2" s="1"/>
  <c r="EZ20" i="2" s="1"/>
  <c r="HM20" i="2" s="1"/>
  <c r="ER20" i="2"/>
  <c r="ES20" i="2" s="1"/>
  <c r="ET20" i="2" s="1"/>
  <c r="HK20" i="2" s="1"/>
  <c r="EJ20" i="2"/>
  <c r="EK20" i="2" s="1"/>
  <c r="HH20" i="2" s="1"/>
  <c r="EI20" i="2"/>
  <c r="EF20" i="2"/>
  <c r="EG20" i="2" s="1"/>
  <c r="EH20" i="2" s="1"/>
  <c r="HG20" i="2" s="1"/>
  <c r="DW20" i="2"/>
  <c r="DX20" i="2" s="1"/>
  <c r="DY20" i="2" s="1"/>
  <c r="HD20" i="2" s="1"/>
  <c r="DT20" i="2"/>
  <c r="DU20" i="2" s="1"/>
  <c r="DV20" i="2" s="1"/>
  <c r="HC20" i="2" s="1"/>
  <c r="DQ20" i="2"/>
  <c r="DR20" i="2" s="1"/>
  <c r="DS20" i="2" s="1"/>
  <c r="HB20" i="2" s="1"/>
  <c r="DN20" i="2"/>
  <c r="DO20" i="2" s="1"/>
  <c r="DP20" i="2" s="1"/>
  <c r="HA20" i="2" s="1"/>
  <c r="DL20" i="2"/>
  <c r="DM20" i="2" s="1"/>
  <c r="GZ20" i="2" s="1"/>
  <c r="DK20" i="2"/>
  <c r="DH20" i="2"/>
  <c r="DI20" i="2" s="1"/>
  <c r="DJ20" i="2" s="1"/>
  <c r="GY20" i="2" s="1"/>
  <c r="DE20" i="2"/>
  <c r="DF20" i="2" s="1"/>
  <c r="DG20" i="2" s="1"/>
  <c r="GX20" i="2" s="1"/>
  <c r="DD20" i="2"/>
  <c r="GW20" i="2" s="1"/>
  <c r="DB20" i="2"/>
  <c r="DC20" i="2" s="1"/>
  <c r="CY20" i="2"/>
  <c r="CZ20" i="2" s="1"/>
  <c r="DA20" i="2" s="1"/>
  <c r="GV20" i="2" s="1"/>
  <c r="CW20" i="2"/>
  <c r="CX20" i="2" s="1"/>
  <c r="GU20" i="2" s="1"/>
  <c r="CV20" i="2"/>
  <c r="CS20" i="2"/>
  <c r="CT20" i="2" s="1"/>
  <c r="CU20" i="2" s="1"/>
  <c r="GT20" i="2" s="1"/>
  <c r="CP20" i="2"/>
  <c r="CQ20" i="2" s="1"/>
  <c r="CR20" i="2" s="1"/>
  <c r="GS20" i="2" s="1"/>
  <c r="CO20" i="2"/>
  <c r="CN20" i="2"/>
  <c r="CM20" i="2"/>
  <c r="CK20" i="2"/>
  <c r="CL20" i="2" s="1"/>
  <c r="GQ20" i="2" s="1"/>
  <c r="CJ20" i="2"/>
  <c r="CH20" i="2"/>
  <c r="CI20" i="2" s="1"/>
  <c r="GP20" i="2" s="1"/>
  <c r="CG20" i="2"/>
  <c r="CD20" i="2"/>
  <c r="CE20" i="2" s="1"/>
  <c r="CF20" i="2" s="1"/>
  <c r="GO20" i="2" s="1"/>
  <c r="CB20" i="2"/>
  <c r="CC20" i="2" s="1"/>
  <c r="CA20" i="2"/>
  <c r="BY20" i="2"/>
  <c r="BZ20" i="2" s="1"/>
  <c r="GM20" i="2" s="1"/>
  <c r="BX20" i="2"/>
  <c r="BU20" i="2"/>
  <c r="BV20" i="2" s="1"/>
  <c r="BW20" i="2" s="1"/>
  <c r="GL20" i="2" s="1"/>
  <c r="BT20" i="2"/>
  <c r="GK20" i="2" s="1"/>
  <c r="BR20" i="2"/>
  <c r="BS20" i="2" s="1"/>
  <c r="BQ20" i="2"/>
  <c r="GJ20" i="2" s="1"/>
  <c r="BP20" i="2"/>
  <c r="BO20" i="2"/>
  <c r="BM20" i="2"/>
  <c r="BN20" i="2" s="1"/>
  <c r="GI20" i="2" s="1"/>
  <c r="BL20" i="2"/>
  <c r="BI20" i="2"/>
  <c r="BJ20" i="2" s="1"/>
  <c r="BK20" i="2" s="1"/>
  <c r="GH20" i="2" s="1"/>
  <c r="BF20" i="2"/>
  <c r="BG20" i="2" s="1"/>
  <c r="BH20" i="2" s="1"/>
  <c r="GG20" i="2" s="1"/>
  <c r="BE20" i="2"/>
  <c r="GF20" i="2" s="1"/>
  <c r="BD20" i="2"/>
  <c r="BC20" i="2"/>
  <c r="AZ20" i="2"/>
  <c r="BA20" i="2" s="1"/>
  <c r="BB20" i="2" s="1"/>
  <c r="GE20" i="2" s="1"/>
  <c r="AW20" i="2"/>
  <c r="AX20" i="2" s="1"/>
  <c r="AY20" i="2" s="1"/>
  <c r="GD20" i="2" s="1"/>
  <c r="AV20" i="2"/>
  <c r="GC20" i="2" s="1"/>
  <c r="AT20" i="2"/>
  <c r="AU20" i="2" s="1"/>
  <c r="AS20" i="2"/>
  <c r="GB20" i="2" s="1"/>
  <c r="AR20" i="2"/>
  <c r="AQ20" i="2"/>
  <c r="AN20" i="2"/>
  <c r="AO20" i="2" s="1"/>
  <c r="AP20" i="2" s="1"/>
  <c r="GA20" i="2" s="1"/>
  <c r="AL20" i="2"/>
  <c r="AM20" i="2" s="1"/>
  <c r="FZ20" i="2" s="1"/>
  <c r="AK20" i="2"/>
  <c r="AJ20" i="2"/>
  <c r="FY20" i="2" s="1"/>
  <c r="AH20" i="2"/>
  <c r="AI20" i="2" s="1"/>
  <c r="AF20" i="2"/>
  <c r="AG20" i="2" s="1"/>
  <c r="FX20" i="2" s="1"/>
  <c r="AE20" i="2"/>
  <c r="AD20" i="2"/>
  <c r="AC20" i="2"/>
  <c r="AB20" i="2"/>
  <c r="V20" i="2"/>
  <c r="W20" i="2" s="1"/>
  <c r="X20" i="2" s="1"/>
  <c r="FU20" i="2" s="1"/>
  <c r="T20" i="2"/>
  <c r="U20" i="2" s="1"/>
  <c r="FT20" i="2" s="1"/>
  <c r="S20" i="2"/>
  <c r="Q20" i="2"/>
  <c r="R20" i="2" s="1"/>
  <c r="FS20" i="2" s="1"/>
  <c r="P20" i="2"/>
  <c r="M20" i="2"/>
  <c r="N20" i="2" s="1"/>
  <c r="O20" i="2" s="1"/>
  <c r="FR20" i="2" s="1"/>
  <c r="J20" i="2"/>
  <c r="K20" i="2" s="1"/>
  <c r="L20" i="2" s="1"/>
  <c r="FQ20" i="2" s="1"/>
  <c r="I20" i="2"/>
  <c r="FP20" i="2" s="1"/>
  <c r="H20" i="2"/>
  <c r="G20" i="2"/>
  <c r="D20" i="2"/>
  <c r="E20" i="2" s="1"/>
  <c r="F20" i="2" s="1"/>
  <c r="FO20" i="2" s="1"/>
  <c r="C20" i="2"/>
  <c r="GK19" i="2"/>
  <c r="FG19" i="2"/>
  <c r="FH19" i="2" s="1"/>
  <c r="FI19" i="2" s="1"/>
  <c r="HP19" i="2" s="1"/>
  <c r="FD19" i="2"/>
  <c r="FE19" i="2" s="1"/>
  <c r="FF19" i="2" s="1"/>
  <c r="HO19" i="2" s="1"/>
  <c r="FA19" i="2"/>
  <c r="FB19" i="2" s="1"/>
  <c r="FC19" i="2" s="1"/>
  <c r="HN19" i="2" s="1"/>
  <c r="EO19" i="2"/>
  <c r="EP19" i="2" s="1"/>
  <c r="EQ19" i="2" s="1"/>
  <c r="HJ19" i="2" s="1"/>
  <c r="EL19" i="2"/>
  <c r="EM19" i="2" s="1"/>
  <c r="EN19" i="2" s="1"/>
  <c r="HI19" i="2" s="1"/>
  <c r="EC19" i="2"/>
  <c r="ED19" i="2" s="1"/>
  <c r="EE19" i="2" s="1"/>
  <c r="HF19" i="2" s="1"/>
  <c r="DW19" i="2"/>
  <c r="DX19" i="2" s="1"/>
  <c r="DY19" i="2" s="1"/>
  <c r="HD19" i="2" s="1"/>
  <c r="DT19" i="2"/>
  <c r="DU19" i="2" s="1"/>
  <c r="DV19" i="2" s="1"/>
  <c r="HC19" i="2" s="1"/>
  <c r="DQ19" i="2"/>
  <c r="DR19" i="2" s="1"/>
  <c r="DS19" i="2" s="1"/>
  <c r="HB19" i="2" s="1"/>
  <c r="DK19" i="2"/>
  <c r="DL19" i="2" s="1"/>
  <c r="DM19" i="2" s="1"/>
  <c r="GZ19" i="2" s="1"/>
  <c r="DI19" i="2"/>
  <c r="DJ19" i="2" s="1"/>
  <c r="GY19" i="2" s="1"/>
  <c r="DH19" i="2"/>
  <c r="DE19" i="2"/>
  <c r="DF19" i="2" s="1"/>
  <c r="DG19" i="2" s="1"/>
  <c r="GX19" i="2" s="1"/>
  <c r="DB19" i="2"/>
  <c r="DC19" i="2" s="1"/>
  <c r="DD19" i="2" s="1"/>
  <c r="GW19" i="2" s="1"/>
  <c r="CY19" i="2"/>
  <c r="CZ19" i="2" s="1"/>
  <c r="DA19" i="2" s="1"/>
  <c r="GV19" i="2" s="1"/>
  <c r="CX19" i="2"/>
  <c r="GU19" i="2" s="1"/>
  <c r="CW19" i="2"/>
  <c r="CV19" i="2"/>
  <c r="CS19" i="2"/>
  <c r="CT19" i="2" s="1"/>
  <c r="CU19" i="2" s="1"/>
  <c r="GT19" i="2" s="1"/>
  <c r="CQ19" i="2"/>
  <c r="CR19" i="2" s="1"/>
  <c r="GS19" i="2" s="1"/>
  <c r="CP19" i="2"/>
  <c r="CO19" i="2"/>
  <c r="GR19" i="2" s="1"/>
  <c r="CM19" i="2"/>
  <c r="CN19" i="2" s="1"/>
  <c r="CK19" i="2"/>
  <c r="CL19" i="2" s="1"/>
  <c r="GQ19" i="2" s="1"/>
  <c r="CJ19" i="2"/>
  <c r="CH19" i="2"/>
  <c r="CI19" i="2" s="1"/>
  <c r="GP19" i="2" s="1"/>
  <c r="CG19" i="2"/>
  <c r="CF19" i="2"/>
  <c r="GO19" i="2" s="1"/>
  <c r="CE19" i="2"/>
  <c r="CD19" i="2"/>
  <c r="CC19" i="2"/>
  <c r="GN19" i="2" s="1"/>
  <c r="CA19" i="2"/>
  <c r="CB19" i="2" s="1"/>
  <c r="BY19" i="2"/>
  <c r="BZ19" i="2" s="1"/>
  <c r="GM19" i="2" s="1"/>
  <c r="BX19" i="2"/>
  <c r="BV19" i="2"/>
  <c r="BW19" i="2" s="1"/>
  <c r="GL19" i="2" s="1"/>
  <c r="BU19" i="2"/>
  <c r="BS19" i="2"/>
  <c r="BT19" i="2" s="1"/>
  <c r="BR19" i="2"/>
  <c r="BP19" i="2"/>
  <c r="BQ19" i="2" s="1"/>
  <c r="GJ19" i="2" s="1"/>
  <c r="BO19" i="2"/>
  <c r="BM19" i="2"/>
  <c r="BN19" i="2" s="1"/>
  <c r="GI19" i="2" s="1"/>
  <c r="BL19" i="2"/>
  <c r="BI19" i="2"/>
  <c r="BJ19" i="2" s="1"/>
  <c r="BK19" i="2" s="1"/>
  <c r="GH19" i="2" s="1"/>
  <c r="BH19" i="2"/>
  <c r="GG19" i="2" s="1"/>
  <c r="BF19" i="2"/>
  <c r="BG19" i="2" s="1"/>
  <c r="BE19" i="2"/>
  <c r="GF19" i="2" s="1"/>
  <c r="BC19" i="2"/>
  <c r="BD19" i="2" s="1"/>
  <c r="AZ19" i="2"/>
  <c r="BA19" i="2" s="1"/>
  <c r="BB19" i="2" s="1"/>
  <c r="GE19" i="2" s="1"/>
  <c r="AW19" i="2"/>
  <c r="AX19" i="2" s="1"/>
  <c r="AY19" i="2" s="1"/>
  <c r="GD19" i="2" s="1"/>
  <c r="AU19" i="2"/>
  <c r="AV19" i="2" s="1"/>
  <c r="GC19" i="2" s="1"/>
  <c r="AT19" i="2"/>
  <c r="AQ19" i="2"/>
  <c r="AR19" i="2" s="1"/>
  <c r="AS19" i="2" s="1"/>
  <c r="GB19" i="2" s="1"/>
  <c r="AP19" i="2"/>
  <c r="GA19" i="2" s="1"/>
  <c r="AO19" i="2"/>
  <c r="AL19" i="2"/>
  <c r="AM19" i="2" s="1"/>
  <c r="FZ19" i="2" s="1"/>
  <c r="AK19" i="2"/>
  <c r="AH19" i="2"/>
  <c r="AI19" i="2" s="1"/>
  <c r="AJ19" i="2" s="1"/>
  <c r="FY19" i="2" s="1"/>
  <c r="AG19" i="2"/>
  <c r="FX19" i="2" s="1"/>
  <c r="AE19" i="2"/>
  <c r="AF19" i="2" s="1"/>
  <c r="AD19" i="2"/>
  <c r="FW19" i="2" s="1"/>
  <c r="AC19" i="2"/>
  <c r="AB19" i="2"/>
  <c r="Y19" i="2"/>
  <c r="Z19" i="2" s="1"/>
  <c r="AA19" i="2" s="1"/>
  <c r="FV19" i="2" s="1"/>
  <c r="W19" i="2"/>
  <c r="X19" i="2" s="1"/>
  <c r="FU19" i="2" s="1"/>
  <c r="V19" i="2"/>
  <c r="T19" i="2"/>
  <c r="U19" i="2" s="1"/>
  <c r="FT19" i="2" s="1"/>
  <c r="S19" i="2"/>
  <c r="P19" i="2"/>
  <c r="M19" i="2"/>
  <c r="N19" i="2" s="1"/>
  <c r="O19" i="2" s="1"/>
  <c r="FR19" i="2" s="1"/>
  <c r="L19" i="2"/>
  <c r="FQ19" i="2" s="1"/>
  <c r="J19" i="2"/>
  <c r="K19" i="2" s="1"/>
  <c r="G19" i="2"/>
  <c r="H19" i="2" s="1"/>
  <c r="I19" i="2" s="1"/>
  <c r="FP19" i="2" s="1"/>
  <c r="D19" i="2"/>
  <c r="E19" i="2" s="1"/>
  <c r="F19" i="2" s="1"/>
  <c r="FO19" i="2" s="1"/>
  <c r="C19" i="2"/>
  <c r="GN18" i="2"/>
  <c r="GE18" i="2"/>
  <c r="FG18" i="2"/>
  <c r="FH18" i="2" s="1"/>
  <c r="FI18" i="2" s="1"/>
  <c r="HP18" i="2" s="1"/>
  <c r="FD18" i="2"/>
  <c r="FE18" i="2" s="1"/>
  <c r="FF18" i="2" s="1"/>
  <c r="HO18" i="2" s="1"/>
  <c r="FA18" i="2"/>
  <c r="FB18" i="2" s="1"/>
  <c r="FC18" i="2" s="1"/>
  <c r="HN18" i="2" s="1"/>
  <c r="EX18" i="2"/>
  <c r="EY18" i="2" s="1"/>
  <c r="EZ18" i="2" s="1"/>
  <c r="HM18" i="2" s="1"/>
  <c r="EU18" i="2"/>
  <c r="EV18" i="2" s="1"/>
  <c r="EW18" i="2" s="1"/>
  <c r="HL18" i="2" s="1"/>
  <c r="ER18" i="2"/>
  <c r="EI18" i="2"/>
  <c r="EJ18" i="2" s="1"/>
  <c r="EK18" i="2" s="1"/>
  <c r="HH18" i="2" s="1"/>
  <c r="DT18" i="2"/>
  <c r="DU18" i="2" s="1"/>
  <c r="DV18" i="2" s="1"/>
  <c r="HC18" i="2" s="1"/>
  <c r="DQ18" i="2"/>
  <c r="DR18" i="2" s="1"/>
  <c r="DS18" i="2" s="1"/>
  <c r="HB18" i="2" s="1"/>
  <c r="DI18" i="2"/>
  <c r="DJ18" i="2" s="1"/>
  <c r="GY18" i="2" s="1"/>
  <c r="DH18" i="2"/>
  <c r="DE18" i="2"/>
  <c r="DF18" i="2" s="1"/>
  <c r="DG18" i="2" s="1"/>
  <c r="GX18" i="2" s="1"/>
  <c r="DB18" i="2"/>
  <c r="DC18" i="2" s="1"/>
  <c r="DD18" i="2" s="1"/>
  <c r="GW18" i="2" s="1"/>
  <c r="CY18" i="2"/>
  <c r="CZ18" i="2" s="1"/>
  <c r="DA18" i="2" s="1"/>
  <c r="GV18" i="2" s="1"/>
  <c r="CV18" i="2"/>
  <c r="CW18" i="2" s="1"/>
  <c r="CX18" i="2" s="1"/>
  <c r="GU18" i="2" s="1"/>
  <c r="CT18" i="2"/>
  <c r="CU18" i="2" s="1"/>
  <c r="GT18" i="2" s="1"/>
  <c r="CS18" i="2"/>
  <c r="CQ18" i="2"/>
  <c r="CR18" i="2" s="1"/>
  <c r="GS18" i="2" s="1"/>
  <c r="CP18" i="2"/>
  <c r="CN18" i="2"/>
  <c r="CO18" i="2" s="1"/>
  <c r="GR18" i="2" s="1"/>
  <c r="CM18" i="2"/>
  <c r="CK18" i="2"/>
  <c r="CL18" i="2" s="1"/>
  <c r="GQ18" i="2" s="1"/>
  <c r="CJ18" i="2"/>
  <c r="CG18" i="2"/>
  <c r="CH18" i="2" s="1"/>
  <c r="CI18" i="2" s="1"/>
  <c r="GP18" i="2" s="1"/>
  <c r="CD18" i="2"/>
  <c r="CE18" i="2" s="1"/>
  <c r="CF18" i="2" s="1"/>
  <c r="GO18" i="2" s="1"/>
  <c r="CC18" i="2"/>
  <c r="CA18" i="2"/>
  <c r="CB18" i="2" s="1"/>
  <c r="BX18" i="2"/>
  <c r="BY18" i="2" s="1"/>
  <c r="BZ18" i="2" s="1"/>
  <c r="GM18" i="2" s="1"/>
  <c r="BV18" i="2"/>
  <c r="BW18" i="2" s="1"/>
  <c r="GL18" i="2" s="1"/>
  <c r="BU18" i="2"/>
  <c r="BS18" i="2"/>
  <c r="BT18" i="2" s="1"/>
  <c r="GK18" i="2" s="1"/>
  <c r="BR18" i="2"/>
  <c r="BP18" i="2"/>
  <c r="BQ18" i="2" s="1"/>
  <c r="GJ18" i="2" s="1"/>
  <c r="BO18" i="2"/>
  <c r="BM18" i="2"/>
  <c r="BN18" i="2" s="1"/>
  <c r="GI18" i="2" s="1"/>
  <c r="BL18" i="2"/>
  <c r="BI18" i="2"/>
  <c r="BJ18" i="2" s="1"/>
  <c r="BK18" i="2" s="1"/>
  <c r="GH18" i="2" s="1"/>
  <c r="BF18" i="2"/>
  <c r="BG18" i="2" s="1"/>
  <c r="BH18" i="2" s="1"/>
  <c r="GG18" i="2" s="1"/>
  <c r="BE18" i="2"/>
  <c r="GF18" i="2" s="1"/>
  <c r="BC18" i="2"/>
  <c r="BD18" i="2" s="1"/>
  <c r="AZ18" i="2"/>
  <c r="BA18" i="2" s="1"/>
  <c r="BB18" i="2" s="1"/>
  <c r="AX18" i="2"/>
  <c r="AY18" i="2" s="1"/>
  <c r="GD18" i="2" s="1"/>
  <c r="AW18" i="2"/>
  <c r="AU18" i="2"/>
  <c r="AV18" i="2" s="1"/>
  <c r="GC18" i="2" s="1"/>
  <c r="AT18" i="2"/>
  <c r="AR18" i="2"/>
  <c r="AS18" i="2" s="1"/>
  <c r="GB18" i="2" s="1"/>
  <c r="AQ18" i="2"/>
  <c r="AO18" i="2"/>
  <c r="AP18" i="2" s="1"/>
  <c r="GA18" i="2" s="1"/>
  <c r="AN18" i="2"/>
  <c r="AK18" i="2"/>
  <c r="AL18" i="2" s="1"/>
  <c r="AM18" i="2" s="1"/>
  <c r="FZ18" i="2" s="1"/>
  <c r="AH18" i="2"/>
  <c r="AI18" i="2" s="1"/>
  <c r="AJ18" i="2" s="1"/>
  <c r="FY18" i="2" s="1"/>
  <c r="AG18" i="2"/>
  <c r="FX18" i="2" s="1"/>
  <c r="AE18" i="2"/>
  <c r="AF18" i="2" s="1"/>
  <c r="AB18" i="2"/>
  <c r="AC18" i="2" s="1"/>
  <c r="AD18" i="2" s="1"/>
  <c r="FW18" i="2" s="1"/>
  <c r="Z18" i="2"/>
  <c r="AA18" i="2" s="1"/>
  <c r="FV18" i="2" s="1"/>
  <c r="Y18" i="2"/>
  <c r="W18" i="2"/>
  <c r="X18" i="2" s="1"/>
  <c r="FU18" i="2" s="1"/>
  <c r="V18" i="2"/>
  <c r="T18" i="2"/>
  <c r="U18" i="2" s="1"/>
  <c r="FT18" i="2" s="1"/>
  <c r="S18" i="2"/>
  <c r="Q18" i="2"/>
  <c r="R18" i="2" s="1"/>
  <c r="FS18" i="2" s="1"/>
  <c r="P18" i="2"/>
  <c r="M18" i="2"/>
  <c r="N18" i="2" s="1"/>
  <c r="O18" i="2" s="1"/>
  <c r="FR18" i="2" s="1"/>
  <c r="J18" i="2"/>
  <c r="K18" i="2" s="1"/>
  <c r="L18" i="2" s="1"/>
  <c r="FQ18" i="2" s="1"/>
  <c r="I18" i="2"/>
  <c r="FP18" i="2" s="1"/>
  <c r="G18" i="2"/>
  <c r="H18" i="2" s="1"/>
  <c r="D18" i="2"/>
  <c r="E18" i="2" s="1"/>
  <c r="F18" i="2" s="1"/>
  <c r="FO18" i="2" s="1"/>
  <c r="C18" i="2"/>
  <c r="GU17" i="2"/>
  <c r="GM17" i="2"/>
  <c r="GE17" i="2"/>
  <c r="FW17" i="2"/>
  <c r="FO17" i="2"/>
  <c r="FK17" i="2"/>
  <c r="FL17" i="2" s="1"/>
  <c r="HQ17" i="2" s="1"/>
  <c r="FJ17" i="2"/>
  <c r="FH17" i="2"/>
  <c r="FI17" i="2" s="1"/>
  <c r="HP17" i="2" s="1"/>
  <c r="FG17" i="2"/>
  <c r="EX17" i="2"/>
  <c r="EY17" i="2" s="1"/>
  <c r="EZ17" i="2" s="1"/>
  <c r="HM17" i="2" s="1"/>
  <c r="EL17" i="2"/>
  <c r="EM17" i="2" s="1"/>
  <c r="EN17" i="2" s="1"/>
  <c r="HI17" i="2" s="1"/>
  <c r="EI17" i="2"/>
  <c r="EJ17" i="2" s="1"/>
  <c r="EK17" i="2" s="1"/>
  <c r="HH17" i="2" s="1"/>
  <c r="DZ17" i="2"/>
  <c r="EA17" i="2" s="1"/>
  <c r="EB17" i="2" s="1"/>
  <c r="HE17" i="2" s="1"/>
  <c r="DW17" i="2"/>
  <c r="DX17" i="2" s="1"/>
  <c r="DY17" i="2" s="1"/>
  <c r="HD17" i="2" s="1"/>
  <c r="DT17" i="2"/>
  <c r="DU17" i="2" s="1"/>
  <c r="DV17" i="2" s="1"/>
  <c r="HC17" i="2" s="1"/>
  <c r="DQ17" i="2"/>
  <c r="DR17" i="2" s="1"/>
  <c r="DS17" i="2" s="1"/>
  <c r="HB17" i="2" s="1"/>
  <c r="DO17" i="2"/>
  <c r="DP17" i="2" s="1"/>
  <c r="HA17" i="2" s="1"/>
  <c r="DN17" i="2"/>
  <c r="DL17" i="2"/>
  <c r="DM17" i="2" s="1"/>
  <c r="GZ17" i="2" s="1"/>
  <c r="DK17" i="2"/>
  <c r="DI17" i="2"/>
  <c r="DJ17" i="2" s="1"/>
  <c r="GY17" i="2" s="1"/>
  <c r="DH17" i="2"/>
  <c r="DF17" i="2"/>
  <c r="DG17" i="2" s="1"/>
  <c r="GX17" i="2" s="1"/>
  <c r="DE17" i="2"/>
  <c r="DB17" i="2"/>
  <c r="DC17" i="2" s="1"/>
  <c r="DD17" i="2" s="1"/>
  <c r="GW17" i="2" s="1"/>
  <c r="CY17" i="2"/>
  <c r="CZ17" i="2" s="1"/>
  <c r="DA17" i="2" s="1"/>
  <c r="GV17" i="2" s="1"/>
  <c r="CX17" i="2"/>
  <c r="CV17" i="2"/>
  <c r="CW17" i="2" s="1"/>
  <c r="CS17" i="2"/>
  <c r="CT17" i="2" s="1"/>
  <c r="CU17" i="2" s="1"/>
  <c r="GT17" i="2" s="1"/>
  <c r="CQ17" i="2"/>
  <c r="CR17" i="2" s="1"/>
  <c r="GS17" i="2" s="1"/>
  <c r="CP17" i="2"/>
  <c r="CN17" i="2"/>
  <c r="CO17" i="2" s="1"/>
  <c r="GR17" i="2" s="1"/>
  <c r="CM17" i="2"/>
  <c r="CK17" i="2"/>
  <c r="CL17" i="2" s="1"/>
  <c r="GQ17" i="2" s="1"/>
  <c r="CJ17" i="2"/>
  <c r="CH17" i="2"/>
  <c r="CI17" i="2" s="1"/>
  <c r="GP17" i="2" s="1"/>
  <c r="CG17" i="2"/>
  <c r="CD17" i="2"/>
  <c r="CE17" i="2" s="1"/>
  <c r="CF17" i="2" s="1"/>
  <c r="GO17" i="2" s="1"/>
  <c r="CC17" i="2"/>
  <c r="GN17" i="2" s="1"/>
  <c r="CA17" i="2"/>
  <c r="CB17" i="2" s="1"/>
  <c r="BZ17" i="2"/>
  <c r="BX17" i="2"/>
  <c r="BY17" i="2" s="1"/>
  <c r="BU17" i="2"/>
  <c r="BV17" i="2" s="1"/>
  <c r="BW17" i="2" s="1"/>
  <c r="GL17" i="2" s="1"/>
  <c r="BS17" i="2"/>
  <c r="BT17" i="2" s="1"/>
  <c r="GK17" i="2" s="1"/>
  <c r="BR17" i="2"/>
  <c r="BP17" i="2"/>
  <c r="BQ17" i="2" s="1"/>
  <c r="GJ17" i="2" s="1"/>
  <c r="BO17" i="2"/>
  <c r="BM17" i="2"/>
  <c r="BN17" i="2" s="1"/>
  <c r="GI17" i="2" s="1"/>
  <c r="BL17" i="2"/>
  <c r="BJ17" i="2"/>
  <c r="BK17" i="2" s="1"/>
  <c r="GH17" i="2" s="1"/>
  <c r="BI17" i="2"/>
  <c r="BF17" i="2"/>
  <c r="BG17" i="2" s="1"/>
  <c r="BH17" i="2" s="1"/>
  <c r="GG17" i="2" s="1"/>
  <c r="BC17" i="2"/>
  <c r="BD17" i="2" s="1"/>
  <c r="BE17" i="2" s="1"/>
  <c r="GF17" i="2" s="1"/>
  <c r="BB17" i="2"/>
  <c r="AZ17" i="2"/>
  <c r="BA17" i="2" s="1"/>
  <c r="AW17" i="2"/>
  <c r="AX17" i="2" s="1"/>
  <c r="AY17" i="2" s="1"/>
  <c r="GD17" i="2" s="1"/>
  <c r="AU17" i="2"/>
  <c r="AV17" i="2" s="1"/>
  <c r="GC17" i="2" s="1"/>
  <c r="AT17" i="2"/>
  <c r="AR17" i="2"/>
  <c r="AS17" i="2" s="1"/>
  <c r="GB17" i="2" s="1"/>
  <c r="AQ17" i="2"/>
  <c r="AO17" i="2"/>
  <c r="AP17" i="2" s="1"/>
  <c r="GA17" i="2" s="1"/>
  <c r="AN17" i="2"/>
  <c r="AL17" i="2"/>
  <c r="AM17" i="2" s="1"/>
  <c r="FZ17" i="2" s="1"/>
  <c r="AK17" i="2"/>
  <c r="AH17" i="2"/>
  <c r="AI17" i="2" s="1"/>
  <c r="AJ17" i="2" s="1"/>
  <c r="FY17" i="2" s="1"/>
  <c r="AE17" i="2"/>
  <c r="AF17" i="2" s="1"/>
  <c r="AG17" i="2" s="1"/>
  <c r="FX17" i="2" s="1"/>
  <c r="AD17" i="2"/>
  <c r="AB17" i="2"/>
  <c r="AC17" i="2" s="1"/>
  <c r="Y17" i="2"/>
  <c r="Z17" i="2" s="1"/>
  <c r="AA17" i="2" s="1"/>
  <c r="FV17" i="2" s="1"/>
  <c r="W17" i="2"/>
  <c r="X17" i="2" s="1"/>
  <c r="FU17" i="2" s="1"/>
  <c r="V17" i="2"/>
  <c r="T17" i="2"/>
  <c r="U17" i="2" s="1"/>
  <c r="FT17" i="2" s="1"/>
  <c r="S17" i="2"/>
  <c r="Q17" i="2"/>
  <c r="R17" i="2" s="1"/>
  <c r="FS17" i="2" s="1"/>
  <c r="P17" i="2"/>
  <c r="N17" i="2"/>
  <c r="O17" i="2" s="1"/>
  <c r="FR17" i="2" s="1"/>
  <c r="M17" i="2"/>
  <c r="J17" i="2"/>
  <c r="K17" i="2" s="1"/>
  <c r="L17" i="2" s="1"/>
  <c r="FQ17" i="2" s="1"/>
  <c r="G17" i="2"/>
  <c r="H17" i="2" s="1"/>
  <c r="I17" i="2" s="1"/>
  <c r="FP17" i="2" s="1"/>
  <c r="F17" i="2"/>
  <c r="D17" i="2"/>
  <c r="E17" i="2" s="1"/>
  <c r="C17" i="2"/>
  <c r="GB16" i="2"/>
  <c r="FG16" i="2"/>
  <c r="FH16" i="2" s="1"/>
  <c r="FD16" i="2"/>
  <c r="FE16" i="2" s="1"/>
  <c r="FF16" i="2" s="1"/>
  <c r="HO16" i="2" s="1"/>
  <c r="FA16" i="2"/>
  <c r="FB16" i="2" s="1"/>
  <c r="EX16" i="2"/>
  <c r="EY16" i="2" s="1"/>
  <c r="EU16" i="2"/>
  <c r="EV16" i="2" s="1"/>
  <c r="ER16" i="2"/>
  <c r="ES16" i="2" s="1"/>
  <c r="EI16" i="2"/>
  <c r="EJ16" i="2" s="1"/>
  <c r="EF16" i="2"/>
  <c r="EG16" i="2" s="1"/>
  <c r="DT16" i="2"/>
  <c r="DU16" i="2" s="1"/>
  <c r="DQ16" i="2"/>
  <c r="DR16" i="2" s="1"/>
  <c r="DN16" i="2"/>
  <c r="DO16" i="2" s="1"/>
  <c r="DL16" i="2"/>
  <c r="DK16" i="2"/>
  <c r="DH16" i="2"/>
  <c r="DI16" i="2" s="1"/>
  <c r="DJ16" i="2" s="1"/>
  <c r="GY16" i="2" s="1"/>
  <c r="DF16" i="2"/>
  <c r="DE16" i="2"/>
  <c r="DB16" i="2"/>
  <c r="DC16" i="2" s="1"/>
  <c r="CY16" i="2"/>
  <c r="CZ16" i="2" s="1"/>
  <c r="DA16" i="2" s="1"/>
  <c r="GV16" i="2" s="1"/>
  <c r="CV16" i="2"/>
  <c r="CW16" i="2" s="1"/>
  <c r="CU16" i="2"/>
  <c r="GT16" i="2" s="1"/>
  <c r="CS16" i="2"/>
  <c r="CT16" i="2" s="1"/>
  <c r="CP16" i="2"/>
  <c r="CQ16" i="2" s="1"/>
  <c r="CN16" i="2"/>
  <c r="CM16" i="2"/>
  <c r="CK16" i="2"/>
  <c r="CL16" i="2" s="1"/>
  <c r="GQ16" i="2" s="1"/>
  <c r="CJ16" i="2"/>
  <c r="CH16" i="2"/>
  <c r="CG16" i="2"/>
  <c r="CE16" i="2"/>
  <c r="CD16" i="2"/>
  <c r="CA16" i="2"/>
  <c r="CB16" i="2" s="1"/>
  <c r="BX16" i="2"/>
  <c r="BY16" i="2" s="1"/>
  <c r="BW16" i="2"/>
  <c r="GL16" i="2" s="1"/>
  <c r="BU16" i="2"/>
  <c r="BV16" i="2" s="1"/>
  <c r="BR16" i="2"/>
  <c r="BS16" i="2" s="1"/>
  <c r="BP16" i="2"/>
  <c r="BO16" i="2"/>
  <c r="BM16" i="2"/>
  <c r="BL16" i="2"/>
  <c r="BJ16" i="2"/>
  <c r="BI16" i="2"/>
  <c r="BG16" i="2"/>
  <c r="BH16" i="2" s="1"/>
  <c r="GG16" i="2" s="1"/>
  <c r="BF16" i="2"/>
  <c r="BC16" i="2"/>
  <c r="BD16" i="2" s="1"/>
  <c r="BE16" i="2" s="1"/>
  <c r="GF16" i="2" s="1"/>
  <c r="AZ16" i="2"/>
  <c r="BA16" i="2" s="1"/>
  <c r="AW16" i="2"/>
  <c r="AX16" i="2" s="1"/>
  <c r="AT16" i="2"/>
  <c r="AU16" i="2" s="1"/>
  <c r="AV16" i="2" s="1"/>
  <c r="GC16" i="2" s="1"/>
  <c r="AR16" i="2"/>
  <c r="AS16" i="2" s="1"/>
  <c r="AQ16" i="2"/>
  <c r="AO16" i="2"/>
  <c r="AN16" i="2"/>
  <c r="AL16" i="2"/>
  <c r="AK16" i="2"/>
  <c r="AI16" i="2"/>
  <c r="AH16" i="2"/>
  <c r="AE16" i="2"/>
  <c r="AF16" i="2" s="1"/>
  <c r="AG16" i="2" s="1"/>
  <c r="FX16" i="2" s="1"/>
  <c r="AB16" i="2"/>
  <c r="AC16" i="2" s="1"/>
  <c r="AD16" i="2" s="1"/>
  <c r="FW16" i="2" s="1"/>
  <c r="Y16" i="2"/>
  <c r="Z16" i="2" s="1"/>
  <c r="V16" i="2"/>
  <c r="W16" i="2" s="1"/>
  <c r="T16" i="2"/>
  <c r="S16" i="2"/>
  <c r="Q16" i="2"/>
  <c r="P16" i="2"/>
  <c r="N16" i="2"/>
  <c r="M16" i="2"/>
  <c r="K16" i="2"/>
  <c r="L16" i="2" s="1"/>
  <c r="FQ16" i="2" s="1"/>
  <c r="J16" i="2"/>
  <c r="G16" i="2"/>
  <c r="H16" i="2" s="1"/>
  <c r="D16" i="2"/>
  <c r="E16" i="2" s="1"/>
  <c r="C16" i="2"/>
  <c r="GW15" i="2"/>
  <c r="GB15" i="2"/>
  <c r="FV15" i="2"/>
  <c r="FQ15" i="2"/>
  <c r="FG15" i="2"/>
  <c r="FH15" i="2" s="1"/>
  <c r="FB15" i="2"/>
  <c r="FC15" i="2" s="1"/>
  <c r="HN15" i="2" s="1"/>
  <c r="FA15" i="2"/>
  <c r="EX15" i="2"/>
  <c r="EY15" i="2" s="1"/>
  <c r="EU15" i="2"/>
  <c r="EV15" i="2" s="1"/>
  <c r="EW15" i="2" s="1"/>
  <c r="HL15" i="2" s="1"/>
  <c r="EL15" i="2"/>
  <c r="EM15" i="2" s="1"/>
  <c r="EN15" i="2" s="1"/>
  <c r="HI15" i="2" s="1"/>
  <c r="EI15" i="2"/>
  <c r="EJ15" i="2" s="1"/>
  <c r="EK15" i="2" s="1"/>
  <c r="HH15" i="2" s="1"/>
  <c r="DW15" i="2"/>
  <c r="DX15" i="2" s="1"/>
  <c r="DY15" i="2" s="1"/>
  <c r="HD15" i="2" s="1"/>
  <c r="DT15" i="2"/>
  <c r="DU15" i="2" s="1"/>
  <c r="DV15" i="2" s="1"/>
  <c r="HC15" i="2" s="1"/>
  <c r="DK15" i="2"/>
  <c r="DL15" i="2" s="1"/>
  <c r="DM15" i="2" s="1"/>
  <c r="GZ15" i="2" s="1"/>
  <c r="DI15" i="2"/>
  <c r="DJ15" i="2" s="1"/>
  <c r="GY15" i="2" s="1"/>
  <c r="DH15" i="2"/>
  <c r="DE15" i="2"/>
  <c r="DF15" i="2" s="1"/>
  <c r="DG15" i="2" s="1"/>
  <c r="GX15" i="2" s="1"/>
  <c r="DB15" i="2"/>
  <c r="DC15" i="2" s="1"/>
  <c r="DD15" i="2" s="1"/>
  <c r="CZ15" i="2"/>
  <c r="DA15" i="2" s="1"/>
  <c r="GV15" i="2" s="1"/>
  <c r="CY15" i="2"/>
  <c r="CV15" i="2"/>
  <c r="CW15" i="2" s="1"/>
  <c r="CX15" i="2" s="1"/>
  <c r="GU15" i="2" s="1"/>
  <c r="CS15" i="2"/>
  <c r="CT15" i="2" s="1"/>
  <c r="CU15" i="2" s="1"/>
  <c r="GT15" i="2" s="1"/>
  <c r="CP15" i="2"/>
  <c r="CQ15" i="2" s="1"/>
  <c r="CR15" i="2" s="1"/>
  <c r="GS15" i="2" s="1"/>
  <c r="CM15" i="2"/>
  <c r="CN15" i="2" s="1"/>
  <c r="CK15" i="2"/>
  <c r="CL15" i="2" s="1"/>
  <c r="GQ15" i="2" s="1"/>
  <c r="CJ15" i="2"/>
  <c r="CH15" i="2"/>
  <c r="CI15" i="2" s="1"/>
  <c r="GP15" i="2" s="1"/>
  <c r="CG15" i="2"/>
  <c r="CD15" i="2"/>
  <c r="CE15" i="2" s="1"/>
  <c r="CF15" i="2" s="1"/>
  <c r="GO15" i="2" s="1"/>
  <c r="CB15" i="2"/>
  <c r="CA15" i="2"/>
  <c r="BX15" i="2"/>
  <c r="BY15" i="2" s="1"/>
  <c r="BZ15" i="2" s="1"/>
  <c r="GM15" i="2" s="1"/>
  <c r="BU15" i="2"/>
  <c r="BV15" i="2" s="1"/>
  <c r="BW15" i="2" s="1"/>
  <c r="GL15" i="2" s="1"/>
  <c r="BR15" i="2"/>
  <c r="BS15" i="2" s="1"/>
  <c r="BO15" i="2"/>
  <c r="BP15" i="2" s="1"/>
  <c r="BQ15" i="2" s="1"/>
  <c r="GJ15" i="2" s="1"/>
  <c r="BL15" i="2"/>
  <c r="BM15" i="2" s="1"/>
  <c r="BN15" i="2" s="1"/>
  <c r="GI15" i="2" s="1"/>
  <c r="BJ15" i="2"/>
  <c r="BK15" i="2" s="1"/>
  <c r="GH15" i="2" s="1"/>
  <c r="BI15" i="2"/>
  <c r="BG15" i="2"/>
  <c r="BF15" i="2"/>
  <c r="BE15" i="2"/>
  <c r="GF15" i="2" s="1"/>
  <c r="BD15" i="2"/>
  <c r="BC15" i="2"/>
  <c r="BB15" i="2"/>
  <c r="GE15" i="2" s="1"/>
  <c r="AZ15" i="2"/>
  <c r="BA15" i="2" s="1"/>
  <c r="AY15" i="2"/>
  <c r="GD15" i="2" s="1"/>
  <c r="AX15" i="2"/>
  <c r="AW15" i="2"/>
  <c r="AV15" i="2"/>
  <c r="GC15" i="2" s="1"/>
  <c r="AT15" i="2"/>
  <c r="AU15" i="2" s="1"/>
  <c r="AQ15" i="2"/>
  <c r="AR15" i="2" s="1"/>
  <c r="AS15" i="2" s="1"/>
  <c r="AN15" i="2"/>
  <c r="AO15" i="2" s="1"/>
  <c r="AP15" i="2" s="1"/>
  <c r="GA15" i="2" s="1"/>
  <c r="AL15" i="2"/>
  <c r="AM15" i="2" s="1"/>
  <c r="FZ15" i="2" s="1"/>
  <c r="AK15" i="2"/>
  <c r="AI15" i="2"/>
  <c r="AJ15" i="2" s="1"/>
  <c r="FY15" i="2" s="1"/>
  <c r="AH15" i="2"/>
  <c r="AF15" i="2"/>
  <c r="AG15" i="2" s="1"/>
  <c r="FX15" i="2" s="1"/>
  <c r="AE15" i="2"/>
  <c r="AD15" i="2"/>
  <c r="FW15" i="2" s="1"/>
  <c r="AB15" i="2"/>
  <c r="AC15" i="2" s="1"/>
  <c r="Z15" i="2"/>
  <c r="AA15" i="2" s="1"/>
  <c r="Y15" i="2"/>
  <c r="V15" i="2"/>
  <c r="W15" i="2" s="1"/>
  <c r="X15" i="2" s="1"/>
  <c r="FU15" i="2" s="1"/>
  <c r="S15" i="2"/>
  <c r="T15" i="2" s="1"/>
  <c r="U15" i="2" s="1"/>
  <c r="FT15" i="2" s="1"/>
  <c r="R15" i="2"/>
  <c r="FS15" i="2" s="1"/>
  <c r="Q15" i="2"/>
  <c r="P15" i="2"/>
  <c r="N15" i="2"/>
  <c r="O15" i="2" s="1"/>
  <c r="FR15" i="2" s="1"/>
  <c r="M15" i="2"/>
  <c r="J15" i="2"/>
  <c r="K15" i="2" s="1"/>
  <c r="L15" i="2" s="1"/>
  <c r="H15" i="2"/>
  <c r="I15" i="2" s="1"/>
  <c r="FP15" i="2" s="1"/>
  <c r="G15" i="2"/>
  <c r="D15" i="2"/>
  <c r="E15" i="2" s="1"/>
  <c r="F15" i="2" s="1"/>
  <c r="FO15" i="2" s="1"/>
  <c r="C15" i="2"/>
  <c r="CC15" i="2" s="1"/>
  <c r="GN15" i="2" s="1"/>
  <c r="GQ14" i="2"/>
  <c r="FK14" i="2"/>
  <c r="FL14" i="2" s="1"/>
  <c r="HQ14" i="2" s="1"/>
  <c r="FJ14" i="2"/>
  <c r="FA14" i="2"/>
  <c r="FB14" i="2" s="1"/>
  <c r="FC14" i="2" s="1"/>
  <c r="HN14" i="2" s="1"/>
  <c r="EU14" i="2"/>
  <c r="EV14" i="2" s="1"/>
  <c r="EW14" i="2" s="1"/>
  <c r="HL14" i="2" s="1"/>
  <c r="ER14" i="2"/>
  <c r="ES14" i="2" s="1"/>
  <c r="ET14" i="2" s="1"/>
  <c r="HK14" i="2" s="1"/>
  <c r="EI14" i="2"/>
  <c r="EJ14" i="2" s="1"/>
  <c r="EK14" i="2" s="1"/>
  <c r="HH14" i="2" s="1"/>
  <c r="DW14" i="2"/>
  <c r="DX14" i="2" s="1"/>
  <c r="DY14" i="2" s="1"/>
  <c r="HD14" i="2" s="1"/>
  <c r="DT14" i="2"/>
  <c r="DU14" i="2" s="1"/>
  <c r="DV14" i="2" s="1"/>
  <c r="HC14" i="2" s="1"/>
  <c r="DN14" i="2"/>
  <c r="DO14" i="2" s="1"/>
  <c r="DP14" i="2" s="1"/>
  <c r="HA14" i="2" s="1"/>
  <c r="DH14" i="2"/>
  <c r="DI14" i="2" s="1"/>
  <c r="DF14" i="2"/>
  <c r="DG14" i="2" s="1"/>
  <c r="GX14" i="2" s="1"/>
  <c r="DE14" i="2"/>
  <c r="DB14" i="2"/>
  <c r="DC14" i="2" s="1"/>
  <c r="DD14" i="2" s="1"/>
  <c r="GW14" i="2" s="1"/>
  <c r="CY14" i="2"/>
  <c r="CZ14" i="2" s="1"/>
  <c r="DA14" i="2" s="1"/>
  <c r="GV14" i="2" s="1"/>
  <c r="CW14" i="2"/>
  <c r="CX14" i="2" s="1"/>
  <c r="GU14" i="2" s="1"/>
  <c r="CV14" i="2"/>
  <c r="CS14" i="2"/>
  <c r="CT14" i="2" s="1"/>
  <c r="CU14" i="2" s="1"/>
  <c r="GT14" i="2" s="1"/>
  <c r="CQ14" i="2"/>
  <c r="CR14" i="2" s="1"/>
  <c r="GS14" i="2" s="1"/>
  <c r="CP14" i="2"/>
  <c r="CN14" i="2"/>
  <c r="CO14" i="2" s="1"/>
  <c r="GR14" i="2" s="1"/>
  <c r="CM14" i="2"/>
  <c r="CJ14" i="2"/>
  <c r="CK14" i="2" s="1"/>
  <c r="CL14" i="2" s="1"/>
  <c r="CH14" i="2"/>
  <c r="CI14" i="2" s="1"/>
  <c r="GP14" i="2" s="1"/>
  <c r="CG14" i="2"/>
  <c r="CE14" i="2"/>
  <c r="CF14" i="2" s="1"/>
  <c r="GO14" i="2" s="1"/>
  <c r="CD14" i="2"/>
  <c r="CB14" i="2"/>
  <c r="CC14" i="2" s="1"/>
  <c r="GN14" i="2" s="1"/>
  <c r="CA14" i="2"/>
  <c r="BZ14" i="2"/>
  <c r="GM14" i="2" s="1"/>
  <c r="BY14" i="2"/>
  <c r="BX14" i="2"/>
  <c r="BW14" i="2"/>
  <c r="GL14" i="2" s="1"/>
  <c r="BU14" i="2"/>
  <c r="BV14" i="2" s="1"/>
  <c r="BS14" i="2"/>
  <c r="BT14" i="2" s="1"/>
  <c r="GK14" i="2" s="1"/>
  <c r="BR14" i="2"/>
  <c r="BQ14" i="2"/>
  <c r="GJ14" i="2" s="1"/>
  <c r="BP14" i="2"/>
  <c r="BO14" i="2"/>
  <c r="BM14" i="2"/>
  <c r="BN14" i="2" s="1"/>
  <c r="GI14" i="2" s="1"/>
  <c r="BL14" i="2"/>
  <c r="BJ14" i="2"/>
  <c r="BK14" i="2" s="1"/>
  <c r="GH14" i="2" s="1"/>
  <c r="BI14" i="2"/>
  <c r="BH14" i="2"/>
  <c r="GG14" i="2" s="1"/>
  <c r="BG14" i="2"/>
  <c r="BF14" i="2"/>
  <c r="BC14" i="2"/>
  <c r="BD14" i="2" s="1"/>
  <c r="BE14" i="2" s="1"/>
  <c r="GF14" i="2" s="1"/>
  <c r="BB14" i="2"/>
  <c r="GE14" i="2" s="1"/>
  <c r="AZ14" i="2"/>
  <c r="BA14" i="2" s="1"/>
  <c r="AW14" i="2"/>
  <c r="AX14" i="2" s="1"/>
  <c r="AV14" i="2"/>
  <c r="GC14" i="2" s="1"/>
  <c r="AT14" i="2"/>
  <c r="AU14" i="2" s="1"/>
  <c r="AS14" i="2"/>
  <c r="GB14" i="2" s="1"/>
  <c r="AQ14" i="2"/>
  <c r="AR14" i="2" s="1"/>
  <c r="AO14" i="2"/>
  <c r="AN14" i="2"/>
  <c r="AM14" i="2"/>
  <c r="FZ14" i="2" s="1"/>
  <c r="AK14" i="2"/>
  <c r="AL14" i="2" s="1"/>
  <c r="AJ14" i="2"/>
  <c r="FY14" i="2" s="1"/>
  <c r="AI14" i="2"/>
  <c r="AH14" i="2"/>
  <c r="AE14" i="2"/>
  <c r="AF14" i="2" s="1"/>
  <c r="AG14" i="2" s="1"/>
  <c r="FX14" i="2" s="1"/>
  <c r="AB14" i="2"/>
  <c r="AC14" i="2" s="1"/>
  <c r="AD14" i="2" s="1"/>
  <c r="FW14" i="2" s="1"/>
  <c r="Y14" i="2"/>
  <c r="Z14" i="2" s="1"/>
  <c r="AA14" i="2" s="1"/>
  <c r="FV14" i="2" s="1"/>
  <c r="V14" i="2"/>
  <c r="W14" i="2" s="1"/>
  <c r="X14" i="2" s="1"/>
  <c r="FU14" i="2" s="1"/>
  <c r="S14" i="2"/>
  <c r="T14" i="2" s="1"/>
  <c r="U14" i="2" s="1"/>
  <c r="FT14" i="2" s="1"/>
  <c r="P14" i="2"/>
  <c r="Q14" i="2" s="1"/>
  <c r="R14" i="2" s="1"/>
  <c r="FS14" i="2" s="1"/>
  <c r="M14" i="2"/>
  <c r="N14" i="2" s="1"/>
  <c r="O14" i="2" s="1"/>
  <c r="FR14" i="2" s="1"/>
  <c r="K14" i="2"/>
  <c r="L14" i="2" s="1"/>
  <c r="FQ14" i="2" s="1"/>
  <c r="J14" i="2"/>
  <c r="H14" i="2"/>
  <c r="I14" i="2" s="1"/>
  <c r="FP14" i="2" s="1"/>
  <c r="G14" i="2"/>
  <c r="E14" i="2"/>
  <c r="F14" i="2" s="1"/>
  <c r="FO14" i="2" s="1"/>
  <c r="D14" i="2"/>
  <c r="C14" i="2"/>
  <c r="FJ13" i="2"/>
  <c r="FK13" i="2" s="1"/>
  <c r="FG13" i="2"/>
  <c r="FH13" i="2" s="1"/>
  <c r="FD13" i="2"/>
  <c r="FE13" i="2" s="1"/>
  <c r="EX13" i="2"/>
  <c r="EY13" i="2" s="1"/>
  <c r="ER13" i="2"/>
  <c r="ES13" i="2" s="1"/>
  <c r="ET13" i="2" s="1"/>
  <c r="HK13" i="2" s="1"/>
  <c r="EO13" i="2"/>
  <c r="EP13" i="2" s="1"/>
  <c r="EQ13" i="2" s="1"/>
  <c r="HJ13" i="2" s="1"/>
  <c r="EL13" i="2"/>
  <c r="EM13" i="2" s="1"/>
  <c r="EF13" i="2"/>
  <c r="EG13" i="2" s="1"/>
  <c r="EH13" i="2" s="1"/>
  <c r="HG13" i="2" s="1"/>
  <c r="EC13" i="2"/>
  <c r="ED13" i="2" s="1"/>
  <c r="DZ13" i="2"/>
  <c r="EA13" i="2" s="1"/>
  <c r="EB13" i="2" s="1"/>
  <c r="HE13" i="2" s="1"/>
  <c r="DT13" i="2"/>
  <c r="DU13" i="2" s="1"/>
  <c r="DQ13" i="2"/>
  <c r="DR13" i="2" s="1"/>
  <c r="DS13" i="2" s="1"/>
  <c r="HB13" i="2" s="1"/>
  <c r="DN13" i="2"/>
  <c r="DO13" i="2" s="1"/>
  <c r="DK13" i="2"/>
  <c r="DL13" i="2" s="1"/>
  <c r="DM13" i="2" s="1"/>
  <c r="GZ13" i="2" s="1"/>
  <c r="DH13" i="2"/>
  <c r="DI13" i="2" s="1"/>
  <c r="DJ13" i="2" s="1"/>
  <c r="GY13" i="2" s="1"/>
  <c r="DE13" i="2"/>
  <c r="DF13" i="2" s="1"/>
  <c r="DB13" i="2"/>
  <c r="DC13" i="2" s="1"/>
  <c r="CZ13" i="2"/>
  <c r="DA13" i="2" s="1"/>
  <c r="GV13" i="2" s="1"/>
  <c r="CY13" i="2"/>
  <c r="CW13" i="2"/>
  <c r="CV13" i="2"/>
  <c r="CT13" i="2"/>
  <c r="CU13" i="2" s="1"/>
  <c r="GT13" i="2" s="1"/>
  <c r="CS13" i="2"/>
  <c r="CR13" i="2"/>
  <c r="GS13" i="2" s="1"/>
  <c r="CP13" i="2"/>
  <c r="CQ13" i="2" s="1"/>
  <c r="CN13" i="2"/>
  <c r="CO13" i="2" s="1"/>
  <c r="GR13" i="2" s="1"/>
  <c r="CM13" i="2"/>
  <c r="CJ13" i="2"/>
  <c r="CK13" i="2" s="1"/>
  <c r="CL13" i="2" s="1"/>
  <c r="GQ13" i="2" s="1"/>
  <c r="CG13" i="2"/>
  <c r="CH13" i="2" s="1"/>
  <c r="CI13" i="2" s="1"/>
  <c r="GP13" i="2" s="1"/>
  <c r="CE13" i="2"/>
  <c r="CD13" i="2"/>
  <c r="CB13" i="2"/>
  <c r="CC13" i="2" s="1"/>
  <c r="GN13" i="2" s="1"/>
  <c r="CA13" i="2"/>
  <c r="BY13" i="2"/>
  <c r="BX13" i="2"/>
  <c r="BU13" i="2"/>
  <c r="BV13" i="2" s="1"/>
  <c r="BW13" i="2" s="1"/>
  <c r="GL13" i="2" s="1"/>
  <c r="BR13" i="2"/>
  <c r="BS13" i="2" s="1"/>
  <c r="BT13" i="2" s="1"/>
  <c r="GK13" i="2" s="1"/>
  <c r="BP13" i="2"/>
  <c r="BQ13" i="2" s="1"/>
  <c r="GJ13" i="2" s="1"/>
  <c r="BO13" i="2"/>
  <c r="BN13" i="2"/>
  <c r="GI13" i="2" s="1"/>
  <c r="BL13" i="2"/>
  <c r="BM13" i="2" s="1"/>
  <c r="BJ13" i="2"/>
  <c r="BK13" i="2" s="1"/>
  <c r="GH13" i="2" s="1"/>
  <c r="BI13" i="2"/>
  <c r="BH13" i="2"/>
  <c r="GG13" i="2" s="1"/>
  <c r="BG13" i="2"/>
  <c r="BF13" i="2"/>
  <c r="BD13" i="2"/>
  <c r="BC13" i="2"/>
  <c r="AZ13" i="2"/>
  <c r="BA13" i="2" s="1"/>
  <c r="BB13" i="2" s="1"/>
  <c r="GE13" i="2" s="1"/>
  <c r="AW13" i="2"/>
  <c r="AX13" i="2" s="1"/>
  <c r="AY13" i="2" s="1"/>
  <c r="GD13" i="2" s="1"/>
  <c r="AT13" i="2"/>
  <c r="AU13" i="2" s="1"/>
  <c r="AV13" i="2" s="1"/>
  <c r="GC13" i="2" s="1"/>
  <c r="AQ13" i="2"/>
  <c r="AR13" i="2" s="1"/>
  <c r="AS13" i="2" s="1"/>
  <c r="GB13" i="2" s="1"/>
  <c r="AN13" i="2"/>
  <c r="AO13" i="2" s="1"/>
  <c r="AP13" i="2" s="1"/>
  <c r="GA13" i="2" s="1"/>
  <c r="AK13" i="2"/>
  <c r="AL13" i="2" s="1"/>
  <c r="AH13" i="2"/>
  <c r="AI13" i="2" s="1"/>
  <c r="AJ13" i="2" s="1"/>
  <c r="FY13" i="2" s="1"/>
  <c r="AG13" i="2"/>
  <c r="FX13" i="2" s="1"/>
  <c r="AF13" i="2"/>
  <c r="AE13" i="2"/>
  <c r="AC13" i="2"/>
  <c r="AD13" i="2" s="1"/>
  <c r="FW13" i="2" s="1"/>
  <c r="AB13" i="2"/>
  <c r="Y13" i="2"/>
  <c r="Z13" i="2" s="1"/>
  <c r="AA13" i="2" s="1"/>
  <c r="FV13" i="2" s="1"/>
  <c r="V13" i="2"/>
  <c r="W13" i="2" s="1"/>
  <c r="X13" i="2" s="1"/>
  <c r="FU13" i="2" s="1"/>
  <c r="T13" i="2"/>
  <c r="U13" i="2" s="1"/>
  <c r="FT13" i="2" s="1"/>
  <c r="S13" i="2"/>
  <c r="P13" i="2"/>
  <c r="Q13" i="2" s="1"/>
  <c r="R13" i="2" s="1"/>
  <c r="FS13" i="2" s="1"/>
  <c r="M13" i="2"/>
  <c r="N13" i="2" s="1"/>
  <c r="K13" i="2"/>
  <c r="L13" i="2" s="1"/>
  <c r="FQ13" i="2" s="1"/>
  <c r="J13" i="2"/>
  <c r="I13" i="2"/>
  <c r="FP13" i="2" s="1"/>
  <c r="H13" i="2"/>
  <c r="G13" i="2"/>
  <c r="E13" i="2"/>
  <c r="D13" i="2"/>
  <c r="C13" i="2"/>
  <c r="FG12" i="2"/>
  <c r="FH12" i="2" s="1"/>
  <c r="FA12" i="2"/>
  <c r="FB12" i="2" s="1"/>
  <c r="FC12" i="2" s="1"/>
  <c r="HN12" i="2" s="1"/>
  <c r="EW12" i="2"/>
  <c r="HL12" i="2" s="1"/>
  <c r="EU12" i="2"/>
  <c r="EV12" i="2" s="1"/>
  <c r="ER12" i="2"/>
  <c r="ES12" i="2" s="1"/>
  <c r="ET12" i="2" s="1"/>
  <c r="HK12" i="2" s="1"/>
  <c r="EI12" i="2"/>
  <c r="EJ12" i="2" s="1"/>
  <c r="EK12" i="2" s="1"/>
  <c r="HH12" i="2" s="1"/>
  <c r="DZ12" i="2"/>
  <c r="EA12" i="2" s="1"/>
  <c r="EB12" i="2" s="1"/>
  <c r="HE12" i="2" s="1"/>
  <c r="DT12" i="2"/>
  <c r="DU12" i="2" s="1"/>
  <c r="DV12" i="2" s="1"/>
  <c r="HC12" i="2" s="1"/>
  <c r="DQ12" i="2"/>
  <c r="DR12" i="2" s="1"/>
  <c r="DS12" i="2" s="1"/>
  <c r="HB12" i="2" s="1"/>
  <c r="DH12" i="2"/>
  <c r="DI12" i="2" s="1"/>
  <c r="DJ12" i="2" s="1"/>
  <c r="GY12" i="2" s="1"/>
  <c r="DE12" i="2"/>
  <c r="DF12" i="2" s="1"/>
  <c r="DG12" i="2" s="1"/>
  <c r="GX12" i="2" s="1"/>
  <c r="DB12" i="2"/>
  <c r="DC12" i="2" s="1"/>
  <c r="DD12" i="2" s="1"/>
  <c r="GW12" i="2" s="1"/>
  <c r="CY12" i="2"/>
  <c r="CZ12" i="2" s="1"/>
  <c r="DA12" i="2" s="1"/>
  <c r="GV12" i="2" s="1"/>
  <c r="CV12" i="2"/>
  <c r="CW12" i="2" s="1"/>
  <c r="CX12" i="2" s="1"/>
  <c r="GU12" i="2" s="1"/>
  <c r="CS12" i="2"/>
  <c r="CT12" i="2" s="1"/>
  <c r="CU12" i="2" s="1"/>
  <c r="GT12" i="2" s="1"/>
  <c r="CP12" i="2"/>
  <c r="CQ12" i="2" s="1"/>
  <c r="CR12" i="2" s="1"/>
  <c r="GS12" i="2" s="1"/>
  <c r="CN12" i="2"/>
  <c r="CO12" i="2" s="1"/>
  <c r="GR12" i="2" s="1"/>
  <c r="CM12" i="2"/>
  <c r="CK12" i="2"/>
  <c r="CL12" i="2" s="1"/>
  <c r="GQ12" i="2" s="1"/>
  <c r="CJ12" i="2"/>
  <c r="CG12" i="2"/>
  <c r="CH12" i="2" s="1"/>
  <c r="CI12" i="2" s="1"/>
  <c r="GP12" i="2" s="1"/>
  <c r="CE12" i="2"/>
  <c r="CF12" i="2" s="1"/>
  <c r="GO12" i="2" s="1"/>
  <c r="CD12" i="2"/>
  <c r="CC12" i="2"/>
  <c r="GN12" i="2" s="1"/>
  <c r="CA12" i="2"/>
  <c r="CB12" i="2" s="1"/>
  <c r="BX12" i="2"/>
  <c r="BY12" i="2" s="1"/>
  <c r="BZ12" i="2" s="1"/>
  <c r="GM12" i="2" s="1"/>
  <c r="BU12" i="2"/>
  <c r="BV12" i="2" s="1"/>
  <c r="BW12" i="2" s="1"/>
  <c r="GL12" i="2" s="1"/>
  <c r="BR12" i="2"/>
  <c r="BS12" i="2" s="1"/>
  <c r="BT12" i="2" s="1"/>
  <c r="GK12" i="2" s="1"/>
  <c r="BP12" i="2"/>
  <c r="BQ12" i="2" s="1"/>
  <c r="GJ12" i="2" s="1"/>
  <c r="BO12" i="2"/>
  <c r="BM12" i="2"/>
  <c r="BN12" i="2" s="1"/>
  <c r="GI12" i="2" s="1"/>
  <c r="BL12" i="2"/>
  <c r="BI12" i="2"/>
  <c r="BJ12" i="2" s="1"/>
  <c r="BK12" i="2" s="1"/>
  <c r="GH12" i="2" s="1"/>
  <c r="BG12" i="2"/>
  <c r="BH12" i="2" s="1"/>
  <c r="GG12" i="2" s="1"/>
  <c r="BF12" i="2"/>
  <c r="BE12" i="2"/>
  <c r="GF12" i="2" s="1"/>
  <c r="BC12" i="2"/>
  <c r="BD12" i="2" s="1"/>
  <c r="AZ12" i="2"/>
  <c r="BA12" i="2" s="1"/>
  <c r="BB12" i="2" s="1"/>
  <c r="GE12" i="2" s="1"/>
  <c r="AW12" i="2"/>
  <c r="AX12" i="2" s="1"/>
  <c r="AY12" i="2" s="1"/>
  <c r="GD12" i="2" s="1"/>
  <c r="AT12" i="2"/>
  <c r="AU12" i="2" s="1"/>
  <c r="AV12" i="2" s="1"/>
  <c r="GC12" i="2" s="1"/>
  <c r="AR12" i="2"/>
  <c r="AS12" i="2" s="1"/>
  <c r="GB12" i="2" s="1"/>
  <c r="AQ12" i="2"/>
  <c r="AO12" i="2"/>
  <c r="AP12" i="2" s="1"/>
  <c r="GA12" i="2" s="1"/>
  <c r="AN12" i="2"/>
  <c r="AK12" i="2"/>
  <c r="AL12" i="2" s="1"/>
  <c r="AM12" i="2" s="1"/>
  <c r="FZ12" i="2" s="1"/>
  <c r="AI12" i="2"/>
  <c r="AJ12" i="2" s="1"/>
  <c r="FY12" i="2" s="1"/>
  <c r="AH12" i="2"/>
  <c r="AG12" i="2"/>
  <c r="FX12" i="2" s="1"/>
  <c r="AE12" i="2"/>
  <c r="AF12" i="2" s="1"/>
  <c r="AB12" i="2"/>
  <c r="AC12" i="2" s="1"/>
  <c r="AD12" i="2" s="1"/>
  <c r="FW12" i="2" s="1"/>
  <c r="Y12" i="2"/>
  <c r="Z12" i="2" s="1"/>
  <c r="AA12" i="2" s="1"/>
  <c r="FV12" i="2" s="1"/>
  <c r="V12" i="2"/>
  <c r="W12" i="2" s="1"/>
  <c r="X12" i="2" s="1"/>
  <c r="FU12" i="2" s="1"/>
  <c r="T12" i="2"/>
  <c r="U12" i="2" s="1"/>
  <c r="FT12" i="2" s="1"/>
  <c r="S12" i="2"/>
  <c r="Q12" i="2"/>
  <c r="R12" i="2" s="1"/>
  <c r="FS12" i="2" s="1"/>
  <c r="P12" i="2"/>
  <c r="M12" i="2"/>
  <c r="N12" i="2" s="1"/>
  <c r="O12" i="2" s="1"/>
  <c r="FR12" i="2" s="1"/>
  <c r="K12" i="2"/>
  <c r="L12" i="2" s="1"/>
  <c r="FQ12" i="2" s="1"/>
  <c r="J12" i="2"/>
  <c r="I12" i="2"/>
  <c r="FP12" i="2" s="1"/>
  <c r="G12" i="2"/>
  <c r="H12" i="2" s="1"/>
  <c r="D12" i="2"/>
  <c r="E12" i="2" s="1"/>
  <c r="F12" i="2" s="1"/>
  <c r="FO12" i="2" s="1"/>
  <c r="C12" i="2"/>
  <c r="FW11" i="2"/>
  <c r="FJ11" i="2"/>
  <c r="FK11" i="2" s="1"/>
  <c r="FL11" i="2" s="1"/>
  <c r="HQ11" i="2" s="1"/>
  <c r="FE11" i="2"/>
  <c r="FF11" i="2" s="1"/>
  <c r="HO11" i="2" s="1"/>
  <c r="FD11" i="2"/>
  <c r="EX11" i="2"/>
  <c r="EY11" i="2" s="1"/>
  <c r="EZ11" i="2" s="1"/>
  <c r="HM11" i="2" s="1"/>
  <c r="ER11" i="2"/>
  <c r="ES11" i="2" s="1"/>
  <c r="ET11" i="2" s="1"/>
  <c r="HK11" i="2" s="1"/>
  <c r="EO11" i="2"/>
  <c r="EP11" i="2" s="1"/>
  <c r="EQ11" i="2" s="1"/>
  <c r="HJ11" i="2" s="1"/>
  <c r="EL11" i="2"/>
  <c r="EM11" i="2" s="1"/>
  <c r="EN11" i="2" s="1"/>
  <c r="HI11" i="2" s="1"/>
  <c r="EF11" i="2"/>
  <c r="EG11" i="2" s="1"/>
  <c r="EH11" i="2" s="1"/>
  <c r="HG11" i="2" s="1"/>
  <c r="DT11" i="2"/>
  <c r="DU11" i="2" s="1"/>
  <c r="DV11" i="2" s="1"/>
  <c r="HC11" i="2" s="1"/>
  <c r="DQ11" i="2"/>
  <c r="DR11" i="2" s="1"/>
  <c r="DS11" i="2" s="1"/>
  <c r="HB11" i="2" s="1"/>
  <c r="DP11" i="2"/>
  <c r="HA11" i="2" s="1"/>
  <c r="DN11" i="2"/>
  <c r="DO11" i="2" s="1"/>
  <c r="DK11" i="2"/>
  <c r="DL11" i="2" s="1"/>
  <c r="DM11" i="2" s="1"/>
  <c r="GZ11" i="2" s="1"/>
  <c r="DH11" i="2"/>
  <c r="DI11" i="2" s="1"/>
  <c r="DJ11" i="2" s="1"/>
  <c r="GY11" i="2" s="1"/>
  <c r="DF11" i="2"/>
  <c r="DG11" i="2" s="1"/>
  <c r="GX11" i="2" s="1"/>
  <c r="DE11" i="2"/>
  <c r="DB11" i="2"/>
  <c r="DC11" i="2" s="1"/>
  <c r="DD11" i="2" s="1"/>
  <c r="GW11" i="2" s="1"/>
  <c r="CZ11" i="2"/>
  <c r="DA11" i="2" s="1"/>
  <c r="GV11" i="2" s="1"/>
  <c r="CY11" i="2"/>
  <c r="CV11" i="2"/>
  <c r="CW11" i="2" s="1"/>
  <c r="CX11" i="2" s="1"/>
  <c r="GU11" i="2" s="1"/>
  <c r="CT11" i="2"/>
  <c r="CU11" i="2" s="1"/>
  <c r="GT11" i="2" s="1"/>
  <c r="CS11" i="2"/>
  <c r="CR11" i="2"/>
  <c r="GS11" i="2" s="1"/>
  <c r="CP11" i="2"/>
  <c r="CQ11" i="2" s="1"/>
  <c r="CM11" i="2"/>
  <c r="CN11" i="2" s="1"/>
  <c r="CO11" i="2" s="1"/>
  <c r="GR11" i="2" s="1"/>
  <c r="CK11" i="2"/>
  <c r="CL11" i="2" s="1"/>
  <c r="GQ11" i="2" s="1"/>
  <c r="CJ11" i="2"/>
  <c r="CH11" i="2"/>
  <c r="CI11" i="2" s="1"/>
  <c r="GP11" i="2" s="1"/>
  <c r="CG11" i="2"/>
  <c r="CD11" i="2"/>
  <c r="CE11" i="2" s="1"/>
  <c r="CF11" i="2" s="1"/>
  <c r="GO11" i="2" s="1"/>
  <c r="CB11" i="2"/>
  <c r="CC11" i="2" s="1"/>
  <c r="GN11" i="2" s="1"/>
  <c r="CA11" i="2"/>
  <c r="BZ11" i="2"/>
  <c r="GM11" i="2" s="1"/>
  <c r="BX11" i="2"/>
  <c r="BY11" i="2" s="1"/>
  <c r="BV11" i="2"/>
  <c r="BW11" i="2" s="1"/>
  <c r="GL11" i="2" s="1"/>
  <c r="BU11" i="2"/>
  <c r="BT11" i="2"/>
  <c r="GK11" i="2" s="1"/>
  <c r="BR11" i="2"/>
  <c r="BS11" i="2" s="1"/>
  <c r="BO11" i="2"/>
  <c r="BP11" i="2" s="1"/>
  <c r="BQ11" i="2" s="1"/>
  <c r="GJ11" i="2" s="1"/>
  <c r="BM11" i="2"/>
  <c r="BN11" i="2" s="1"/>
  <c r="GI11" i="2" s="1"/>
  <c r="BL11" i="2"/>
  <c r="BJ11" i="2"/>
  <c r="BK11" i="2" s="1"/>
  <c r="GH11" i="2" s="1"/>
  <c r="BI11" i="2"/>
  <c r="BH11" i="2"/>
  <c r="GG11" i="2" s="1"/>
  <c r="BF11" i="2"/>
  <c r="BG11" i="2" s="1"/>
  <c r="BD11" i="2"/>
  <c r="BE11" i="2" s="1"/>
  <c r="GF11" i="2" s="1"/>
  <c r="BC11" i="2"/>
  <c r="AZ11" i="2"/>
  <c r="BA11" i="2" s="1"/>
  <c r="BB11" i="2" s="1"/>
  <c r="GE11" i="2" s="1"/>
  <c r="AX11" i="2"/>
  <c r="AY11" i="2" s="1"/>
  <c r="GD11" i="2" s="1"/>
  <c r="AW11" i="2"/>
  <c r="AV11" i="2"/>
  <c r="GC11" i="2" s="1"/>
  <c r="AT11" i="2"/>
  <c r="AU11" i="2" s="1"/>
  <c r="AQ11" i="2"/>
  <c r="AR11" i="2" s="1"/>
  <c r="AS11" i="2" s="1"/>
  <c r="GB11" i="2" s="1"/>
  <c r="AO11" i="2"/>
  <c r="AP11" i="2" s="1"/>
  <c r="GA11" i="2" s="1"/>
  <c r="AN11" i="2"/>
  <c r="AL11" i="2"/>
  <c r="AM11" i="2" s="1"/>
  <c r="FZ11" i="2" s="1"/>
  <c r="AK11" i="2"/>
  <c r="AH11" i="2"/>
  <c r="AI11" i="2" s="1"/>
  <c r="AJ11" i="2" s="1"/>
  <c r="FY11" i="2" s="1"/>
  <c r="AF11" i="2"/>
  <c r="AG11" i="2" s="1"/>
  <c r="FX11" i="2" s="1"/>
  <c r="AE11" i="2"/>
  <c r="AB11" i="2"/>
  <c r="AC11" i="2" s="1"/>
  <c r="AD11" i="2" s="1"/>
  <c r="Z11" i="2"/>
  <c r="AA11" i="2" s="1"/>
  <c r="FV11" i="2" s="1"/>
  <c r="Y11" i="2"/>
  <c r="X11" i="2"/>
  <c r="FU11" i="2" s="1"/>
  <c r="V11" i="2"/>
  <c r="W11" i="2" s="1"/>
  <c r="S11" i="2"/>
  <c r="T11" i="2" s="1"/>
  <c r="U11" i="2" s="1"/>
  <c r="FT11" i="2" s="1"/>
  <c r="Q11" i="2"/>
  <c r="R11" i="2" s="1"/>
  <c r="FS11" i="2" s="1"/>
  <c r="P11" i="2"/>
  <c r="N11" i="2"/>
  <c r="O11" i="2" s="1"/>
  <c r="FR11" i="2" s="1"/>
  <c r="M11" i="2"/>
  <c r="J11" i="2"/>
  <c r="K11" i="2" s="1"/>
  <c r="L11" i="2" s="1"/>
  <c r="FQ11" i="2" s="1"/>
  <c r="H11" i="2"/>
  <c r="I11" i="2" s="1"/>
  <c r="FP11" i="2" s="1"/>
  <c r="G11" i="2"/>
  <c r="D11" i="2"/>
  <c r="E11" i="2" s="1"/>
  <c r="F11" i="2" s="1"/>
  <c r="FO11" i="2" s="1"/>
  <c r="C11" i="2"/>
  <c r="GM10" i="2"/>
  <c r="FG10" i="2"/>
  <c r="FH10" i="2" s="1"/>
  <c r="FI10" i="2" s="1"/>
  <c r="HP10" i="2" s="1"/>
  <c r="EX10" i="2"/>
  <c r="EY10" i="2" s="1"/>
  <c r="EZ10" i="2" s="1"/>
  <c r="HM10" i="2" s="1"/>
  <c r="ER10" i="2"/>
  <c r="ES10" i="2" s="1"/>
  <c r="ET10" i="2" s="1"/>
  <c r="HK10" i="2" s="1"/>
  <c r="EO10" i="2"/>
  <c r="EP10" i="2" s="1"/>
  <c r="EQ10" i="2" s="1"/>
  <c r="HJ10" i="2" s="1"/>
  <c r="EF10" i="2"/>
  <c r="EG10" i="2" s="1"/>
  <c r="EH10" i="2" s="1"/>
  <c r="HG10" i="2" s="1"/>
  <c r="DT10" i="2"/>
  <c r="DU10" i="2" s="1"/>
  <c r="DV10" i="2" s="1"/>
  <c r="HC10" i="2" s="1"/>
  <c r="DQ10" i="2"/>
  <c r="DR10" i="2" s="1"/>
  <c r="DS10" i="2" s="1"/>
  <c r="HB10" i="2" s="1"/>
  <c r="DN10" i="2"/>
  <c r="DO10" i="2" s="1"/>
  <c r="DP10" i="2" s="1"/>
  <c r="HA10" i="2" s="1"/>
  <c r="DH10" i="2"/>
  <c r="DI10" i="2" s="1"/>
  <c r="DJ10" i="2" s="1"/>
  <c r="GY10" i="2" s="1"/>
  <c r="DE10" i="2"/>
  <c r="DF10" i="2" s="1"/>
  <c r="DG10" i="2" s="1"/>
  <c r="GX10" i="2" s="1"/>
  <c r="DB10" i="2"/>
  <c r="DC10" i="2" s="1"/>
  <c r="DD10" i="2" s="1"/>
  <c r="GW10" i="2" s="1"/>
  <c r="CY10" i="2"/>
  <c r="CZ10" i="2" s="1"/>
  <c r="DA10" i="2" s="1"/>
  <c r="GV10" i="2" s="1"/>
  <c r="CX10" i="2"/>
  <c r="GU10" i="2" s="1"/>
  <c r="CW10" i="2"/>
  <c r="CV10" i="2"/>
  <c r="CT10" i="2"/>
  <c r="CU10" i="2" s="1"/>
  <c r="GT10" i="2" s="1"/>
  <c r="CS10" i="2"/>
  <c r="CP10" i="2"/>
  <c r="CQ10" i="2" s="1"/>
  <c r="CR10" i="2" s="1"/>
  <c r="GS10" i="2" s="1"/>
  <c r="CM10" i="2"/>
  <c r="CN10" i="2" s="1"/>
  <c r="CO10" i="2" s="1"/>
  <c r="GR10" i="2" s="1"/>
  <c r="CK10" i="2"/>
  <c r="CL10" i="2" s="1"/>
  <c r="GQ10" i="2" s="1"/>
  <c r="CJ10" i="2"/>
  <c r="CI10" i="2"/>
  <c r="GP10" i="2" s="1"/>
  <c r="CG10" i="2"/>
  <c r="CH10" i="2" s="1"/>
  <c r="CD10" i="2"/>
  <c r="CE10" i="2" s="1"/>
  <c r="CF10" i="2" s="1"/>
  <c r="GO10" i="2" s="1"/>
  <c r="CB10" i="2"/>
  <c r="CC10" i="2" s="1"/>
  <c r="GN10" i="2" s="1"/>
  <c r="CA10" i="2"/>
  <c r="BZ10" i="2"/>
  <c r="BY10" i="2"/>
  <c r="BX10" i="2"/>
  <c r="BV10" i="2"/>
  <c r="BW10" i="2" s="1"/>
  <c r="GL10" i="2" s="1"/>
  <c r="BU10" i="2"/>
  <c r="BR10" i="2"/>
  <c r="BS10" i="2" s="1"/>
  <c r="BT10" i="2" s="1"/>
  <c r="GK10" i="2" s="1"/>
  <c r="BO10" i="2"/>
  <c r="BP10" i="2" s="1"/>
  <c r="BQ10" i="2" s="1"/>
  <c r="GJ10" i="2" s="1"/>
  <c r="BM10" i="2"/>
  <c r="BN10" i="2" s="1"/>
  <c r="GI10" i="2" s="1"/>
  <c r="BL10" i="2"/>
  <c r="BI10" i="2"/>
  <c r="BJ10" i="2" s="1"/>
  <c r="BK10" i="2" s="1"/>
  <c r="GH10" i="2" s="1"/>
  <c r="BF10" i="2"/>
  <c r="BG10" i="2" s="1"/>
  <c r="BH10" i="2" s="1"/>
  <c r="GG10" i="2" s="1"/>
  <c r="BD10" i="2"/>
  <c r="BE10" i="2" s="1"/>
  <c r="GF10" i="2" s="1"/>
  <c r="BC10" i="2"/>
  <c r="BB10" i="2"/>
  <c r="GE10" i="2" s="1"/>
  <c r="BA10" i="2"/>
  <c r="AZ10" i="2"/>
  <c r="AX10" i="2"/>
  <c r="AY10" i="2" s="1"/>
  <c r="GD10" i="2" s="1"/>
  <c r="AW10" i="2"/>
  <c r="AT10" i="2"/>
  <c r="AU10" i="2" s="1"/>
  <c r="AV10" i="2" s="1"/>
  <c r="GC10" i="2" s="1"/>
  <c r="AQ10" i="2"/>
  <c r="AR10" i="2" s="1"/>
  <c r="AS10" i="2" s="1"/>
  <c r="GB10" i="2" s="1"/>
  <c r="AO10" i="2"/>
  <c r="AP10" i="2" s="1"/>
  <c r="GA10" i="2" s="1"/>
  <c r="AN10" i="2"/>
  <c r="AK10" i="2"/>
  <c r="AL10" i="2" s="1"/>
  <c r="AM10" i="2" s="1"/>
  <c r="FZ10" i="2" s="1"/>
  <c r="AH10" i="2"/>
  <c r="AI10" i="2" s="1"/>
  <c r="AJ10" i="2" s="1"/>
  <c r="FY10" i="2" s="1"/>
  <c r="AF10" i="2"/>
  <c r="AG10" i="2" s="1"/>
  <c r="FX10" i="2" s="1"/>
  <c r="AE10" i="2"/>
  <c r="AD10" i="2"/>
  <c r="FW10" i="2" s="1"/>
  <c r="AC10" i="2"/>
  <c r="AB10" i="2"/>
  <c r="Z10" i="2"/>
  <c r="AA10" i="2" s="1"/>
  <c r="FV10" i="2" s="1"/>
  <c r="Y10" i="2"/>
  <c r="V10" i="2"/>
  <c r="W10" i="2" s="1"/>
  <c r="X10" i="2" s="1"/>
  <c r="FU10" i="2" s="1"/>
  <c r="S10" i="2"/>
  <c r="T10" i="2" s="1"/>
  <c r="U10" i="2" s="1"/>
  <c r="FT10" i="2" s="1"/>
  <c r="Q10" i="2"/>
  <c r="R10" i="2" s="1"/>
  <c r="FS10" i="2" s="1"/>
  <c r="P10" i="2"/>
  <c r="M10" i="2"/>
  <c r="N10" i="2" s="1"/>
  <c r="O10" i="2" s="1"/>
  <c r="FR10" i="2" s="1"/>
  <c r="J10" i="2"/>
  <c r="K10" i="2" s="1"/>
  <c r="L10" i="2" s="1"/>
  <c r="FQ10" i="2" s="1"/>
  <c r="H10" i="2"/>
  <c r="I10" i="2" s="1"/>
  <c r="FP10" i="2" s="1"/>
  <c r="G10" i="2"/>
  <c r="F10" i="2"/>
  <c r="FO10" i="2" s="1"/>
  <c r="E10" i="2"/>
  <c r="D10" i="2"/>
  <c r="C10" i="2"/>
  <c r="GN9" i="2"/>
  <c r="FJ9" i="2"/>
  <c r="FK9" i="2" s="1"/>
  <c r="FL9" i="2" s="1"/>
  <c r="HQ9" i="2" s="1"/>
  <c r="FD9" i="2"/>
  <c r="FE9" i="2" s="1"/>
  <c r="FF9" i="2" s="1"/>
  <c r="HO9" i="2" s="1"/>
  <c r="EX9" i="2"/>
  <c r="EY9" i="2" s="1"/>
  <c r="EZ9" i="2" s="1"/>
  <c r="HM9" i="2" s="1"/>
  <c r="EO9" i="2"/>
  <c r="EP9" i="2" s="1"/>
  <c r="EQ9" i="2" s="1"/>
  <c r="HJ9" i="2" s="1"/>
  <c r="EL9" i="2"/>
  <c r="EM9" i="2" s="1"/>
  <c r="EN9" i="2" s="1"/>
  <c r="HI9" i="2" s="1"/>
  <c r="EC9" i="2"/>
  <c r="ED9" i="2" s="1"/>
  <c r="EE9" i="2" s="1"/>
  <c r="HF9" i="2" s="1"/>
  <c r="DT9" i="2"/>
  <c r="DU9" i="2" s="1"/>
  <c r="DV9" i="2" s="1"/>
  <c r="HC9" i="2" s="1"/>
  <c r="DQ9" i="2"/>
  <c r="DR9" i="2" s="1"/>
  <c r="DS9" i="2" s="1"/>
  <c r="HB9" i="2" s="1"/>
  <c r="DN9" i="2"/>
  <c r="DO9" i="2" s="1"/>
  <c r="DP9" i="2" s="1"/>
  <c r="HA9" i="2" s="1"/>
  <c r="DJ9" i="2"/>
  <c r="GY9" i="2" s="1"/>
  <c r="DH9" i="2"/>
  <c r="DI9" i="2" s="1"/>
  <c r="DE9" i="2"/>
  <c r="DF9" i="2" s="1"/>
  <c r="DG9" i="2" s="1"/>
  <c r="GX9" i="2" s="1"/>
  <c r="DC9" i="2"/>
  <c r="DD9" i="2" s="1"/>
  <c r="GW9" i="2" s="1"/>
  <c r="DB9" i="2"/>
  <c r="CZ9" i="2"/>
  <c r="DA9" i="2" s="1"/>
  <c r="GV9" i="2" s="1"/>
  <c r="CY9" i="2"/>
  <c r="CV9" i="2"/>
  <c r="CW9" i="2" s="1"/>
  <c r="CX9" i="2" s="1"/>
  <c r="GU9" i="2" s="1"/>
  <c r="CT9" i="2"/>
  <c r="CU9" i="2" s="1"/>
  <c r="GT9" i="2" s="1"/>
  <c r="CS9" i="2"/>
  <c r="CP9" i="2"/>
  <c r="CQ9" i="2" s="1"/>
  <c r="CR9" i="2" s="1"/>
  <c r="GS9" i="2" s="1"/>
  <c r="CN9" i="2"/>
  <c r="CO9" i="2" s="1"/>
  <c r="GR9" i="2" s="1"/>
  <c r="CM9" i="2"/>
  <c r="CL9" i="2"/>
  <c r="GQ9" i="2" s="1"/>
  <c r="CJ9" i="2"/>
  <c r="CK9" i="2" s="1"/>
  <c r="CG9" i="2"/>
  <c r="CH9" i="2" s="1"/>
  <c r="CI9" i="2" s="1"/>
  <c r="GP9" i="2" s="1"/>
  <c r="CE9" i="2"/>
  <c r="CF9" i="2" s="1"/>
  <c r="GO9" i="2" s="1"/>
  <c r="CD9" i="2"/>
  <c r="CB9" i="2"/>
  <c r="CC9" i="2" s="1"/>
  <c r="CA9" i="2"/>
  <c r="BX9" i="2"/>
  <c r="BY9" i="2" s="1"/>
  <c r="BZ9" i="2" s="1"/>
  <c r="GM9" i="2" s="1"/>
  <c r="BV9" i="2"/>
  <c r="BW9" i="2" s="1"/>
  <c r="GL9" i="2" s="1"/>
  <c r="BU9" i="2"/>
  <c r="BR9" i="2"/>
  <c r="BS9" i="2" s="1"/>
  <c r="BT9" i="2" s="1"/>
  <c r="GK9" i="2" s="1"/>
  <c r="BP9" i="2"/>
  <c r="BQ9" i="2" s="1"/>
  <c r="GJ9" i="2" s="1"/>
  <c r="BO9" i="2"/>
  <c r="BN9" i="2"/>
  <c r="GI9" i="2" s="1"/>
  <c r="BL9" i="2"/>
  <c r="BM9" i="2" s="1"/>
  <c r="BI9" i="2"/>
  <c r="BJ9" i="2" s="1"/>
  <c r="BK9" i="2" s="1"/>
  <c r="GH9" i="2" s="1"/>
  <c r="BG9" i="2"/>
  <c r="BH9" i="2" s="1"/>
  <c r="GG9" i="2" s="1"/>
  <c r="BF9" i="2"/>
  <c r="BD9" i="2"/>
  <c r="BE9" i="2" s="1"/>
  <c r="GF9" i="2" s="1"/>
  <c r="BC9" i="2"/>
  <c r="AZ9" i="2"/>
  <c r="BA9" i="2" s="1"/>
  <c r="BB9" i="2" s="1"/>
  <c r="GE9" i="2" s="1"/>
  <c r="AX9" i="2"/>
  <c r="AY9" i="2" s="1"/>
  <c r="GD9" i="2" s="1"/>
  <c r="AW9" i="2"/>
  <c r="AT9" i="2"/>
  <c r="AU9" i="2" s="1"/>
  <c r="AV9" i="2" s="1"/>
  <c r="GC9" i="2" s="1"/>
  <c r="AR9" i="2"/>
  <c r="AS9" i="2" s="1"/>
  <c r="GB9" i="2" s="1"/>
  <c r="AQ9" i="2"/>
  <c r="AN9" i="2"/>
  <c r="AO9" i="2" s="1"/>
  <c r="AP9" i="2" s="1"/>
  <c r="GA9" i="2" s="1"/>
  <c r="AL9" i="2"/>
  <c r="AM9" i="2" s="1"/>
  <c r="FZ9" i="2" s="1"/>
  <c r="AK9" i="2"/>
  <c r="AJ9" i="2"/>
  <c r="FY9" i="2" s="1"/>
  <c r="AH9" i="2"/>
  <c r="AI9" i="2" s="1"/>
  <c r="AF9" i="2"/>
  <c r="AG9" i="2" s="1"/>
  <c r="FX9" i="2" s="1"/>
  <c r="AE9" i="2"/>
  <c r="AB9" i="2"/>
  <c r="AC9" i="2" s="1"/>
  <c r="AD9" i="2" s="1"/>
  <c r="FW9" i="2" s="1"/>
  <c r="Z9" i="2"/>
  <c r="AA9" i="2" s="1"/>
  <c r="FV9" i="2" s="1"/>
  <c r="Y9" i="2"/>
  <c r="V9" i="2"/>
  <c r="W9" i="2" s="1"/>
  <c r="X9" i="2" s="1"/>
  <c r="FU9" i="2" s="1"/>
  <c r="T9" i="2"/>
  <c r="U9" i="2" s="1"/>
  <c r="FT9" i="2" s="1"/>
  <c r="S9" i="2"/>
  <c r="R9" i="2"/>
  <c r="FS9" i="2" s="1"/>
  <c r="P9" i="2"/>
  <c r="Q9" i="2" s="1"/>
  <c r="N9" i="2"/>
  <c r="O9" i="2" s="1"/>
  <c r="FR9" i="2" s="1"/>
  <c r="M9" i="2"/>
  <c r="J9" i="2"/>
  <c r="K9" i="2" s="1"/>
  <c r="L9" i="2" s="1"/>
  <c r="FQ9" i="2" s="1"/>
  <c r="H9" i="2"/>
  <c r="I9" i="2" s="1"/>
  <c r="FP9" i="2" s="1"/>
  <c r="G9" i="2"/>
  <c r="D9" i="2"/>
  <c r="E9" i="2" s="1"/>
  <c r="F9" i="2" s="1"/>
  <c r="FO9" i="2" s="1"/>
  <c r="C9" i="2"/>
  <c r="FJ8" i="2"/>
  <c r="FG8" i="2"/>
  <c r="FH8" i="2" s="1"/>
  <c r="FI8" i="2" s="1"/>
  <c r="HP8" i="2" s="1"/>
  <c r="FA8" i="2"/>
  <c r="EX8" i="2"/>
  <c r="ER8" i="2"/>
  <c r="ES8" i="2" s="1"/>
  <c r="EL8" i="2"/>
  <c r="EM8" i="2" s="1"/>
  <c r="EN8" i="2" s="1"/>
  <c r="HI8" i="2" s="1"/>
  <c r="EI8" i="2"/>
  <c r="EJ8" i="2" s="1"/>
  <c r="EK8" i="2" s="1"/>
  <c r="HH8" i="2" s="1"/>
  <c r="DZ8" i="2"/>
  <c r="EA8" i="2" s="1"/>
  <c r="DU8" i="2"/>
  <c r="DT8" i="2"/>
  <c r="DQ8" i="2"/>
  <c r="DR8" i="2" s="1"/>
  <c r="DO8" i="2"/>
  <c r="DN8" i="2"/>
  <c r="DK8" i="2"/>
  <c r="DL8" i="2" s="1"/>
  <c r="DM8" i="2" s="1"/>
  <c r="GZ8" i="2" s="1"/>
  <c r="DI8" i="2"/>
  <c r="DH8" i="2"/>
  <c r="DE8" i="2"/>
  <c r="DF8" i="2" s="1"/>
  <c r="DG8" i="2" s="1"/>
  <c r="GX8" i="2" s="1"/>
  <c r="DB8" i="2"/>
  <c r="DC8" i="2" s="1"/>
  <c r="CY8" i="2"/>
  <c r="CZ8" i="2" s="1"/>
  <c r="DA8" i="2" s="1"/>
  <c r="GV8" i="2" s="1"/>
  <c r="CW8" i="2"/>
  <c r="CV8" i="2"/>
  <c r="CS8" i="2"/>
  <c r="CT8" i="2" s="1"/>
  <c r="CQ8" i="2"/>
  <c r="CR8" i="2" s="1"/>
  <c r="GS8" i="2" s="1"/>
  <c r="CP8" i="2"/>
  <c r="CM8" i="2"/>
  <c r="CN8" i="2" s="1"/>
  <c r="CK8" i="2"/>
  <c r="CL8" i="2" s="1"/>
  <c r="GQ8" i="2" s="1"/>
  <c r="CJ8" i="2"/>
  <c r="CG8" i="2"/>
  <c r="CH8" i="2" s="1"/>
  <c r="CI8" i="2" s="1"/>
  <c r="GP8" i="2" s="1"/>
  <c r="CE8" i="2"/>
  <c r="CD8" i="2"/>
  <c r="CA8" i="2"/>
  <c r="CB8" i="2" s="1"/>
  <c r="BY8" i="2"/>
  <c r="BZ8" i="2" s="1"/>
  <c r="GM8" i="2" s="1"/>
  <c r="BX8" i="2"/>
  <c r="BU8" i="2"/>
  <c r="BV8" i="2" s="1"/>
  <c r="BW8" i="2" s="1"/>
  <c r="GL8" i="2" s="1"/>
  <c r="BS8" i="2"/>
  <c r="BT8" i="2" s="1"/>
  <c r="GK8" i="2" s="1"/>
  <c r="BR8" i="2"/>
  <c r="BO8" i="2"/>
  <c r="BP8" i="2" s="1"/>
  <c r="BQ8" i="2" s="1"/>
  <c r="GJ8" i="2" s="1"/>
  <c r="BM8" i="2"/>
  <c r="BL8" i="2"/>
  <c r="BI8" i="2"/>
  <c r="BJ8" i="2" s="1"/>
  <c r="BK8" i="2" s="1"/>
  <c r="GH8" i="2" s="1"/>
  <c r="BG8" i="2"/>
  <c r="BH8" i="2" s="1"/>
  <c r="GG8" i="2" s="1"/>
  <c r="BF8" i="2"/>
  <c r="BC8" i="2"/>
  <c r="BD8" i="2" s="1"/>
  <c r="BE8" i="2" s="1"/>
  <c r="GF8" i="2" s="1"/>
  <c r="BA8" i="2"/>
  <c r="AZ8" i="2"/>
  <c r="AW8" i="2"/>
  <c r="AX8" i="2" s="1"/>
  <c r="AY8" i="2" s="1"/>
  <c r="GD8" i="2" s="1"/>
  <c r="AU8" i="2"/>
  <c r="AV8" i="2" s="1"/>
  <c r="GC8" i="2" s="1"/>
  <c r="AT8" i="2"/>
  <c r="AQ8" i="2"/>
  <c r="AR8" i="2" s="1"/>
  <c r="AS8" i="2" s="1"/>
  <c r="GB8" i="2" s="1"/>
  <c r="AO8" i="2"/>
  <c r="AN8" i="2"/>
  <c r="AK8" i="2"/>
  <c r="AL8" i="2" s="1"/>
  <c r="AI8" i="2"/>
  <c r="AJ8" i="2" s="1"/>
  <c r="FY8" i="2" s="1"/>
  <c r="AH8" i="2"/>
  <c r="AE8" i="2"/>
  <c r="AF8" i="2" s="1"/>
  <c r="AG8" i="2" s="1"/>
  <c r="FX8" i="2" s="1"/>
  <c r="AC8" i="2"/>
  <c r="AD8" i="2" s="1"/>
  <c r="FW8" i="2" s="1"/>
  <c r="AB8" i="2"/>
  <c r="Y8" i="2"/>
  <c r="Z8" i="2" s="1"/>
  <c r="AA8" i="2" s="1"/>
  <c r="FV8" i="2" s="1"/>
  <c r="W8" i="2"/>
  <c r="X8" i="2" s="1"/>
  <c r="FU8" i="2" s="1"/>
  <c r="V8" i="2"/>
  <c r="S8" i="2"/>
  <c r="T8" i="2" s="1"/>
  <c r="U8" i="2" s="1"/>
  <c r="FT8" i="2" s="1"/>
  <c r="Q8" i="2"/>
  <c r="R8" i="2" s="1"/>
  <c r="FS8" i="2" s="1"/>
  <c r="P8" i="2"/>
  <c r="M8" i="2"/>
  <c r="N8" i="2" s="1"/>
  <c r="O8" i="2" s="1"/>
  <c r="FR8" i="2" s="1"/>
  <c r="K8" i="2"/>
  <c r="L8" i="2" s="1"/>
  <c r="FQ8" i="2" s="1"/>
  <c r="J8" i="2"/>
  <c r="G8" i="2"/>
  <c r="H8" i="2" s="1"/>
  <c r="I8" i="2" s="1"/>
  <c r="FP8" i="2" s="1"/>
  <c r="E8" i="2"/>
  <c r="F8" i="2" s="1"/>
  <c r="FO8" i="2" s="1"/>
  <c r="D8" i="2"/>
  <c r="C8" i="2"/>
  <c r="GR7" i="2"/>
  <c r="FJ7" i="2"/>
  <c r="FK7" i="2" s="1"/>
  <c r="FL7" i="2" s="1"/>
  <c r="HQ7" i="2" s="1"/>
  <c r="FG7" i="2"/>
  <c r="FH7" i="2" s="1"/>
  <c r="FI7" i="2" s="1"/>
  <c r="HP7" i="2" s="1"/>
  <c r="FD7" i="2"/>
  <c r="FE7" i="2" s="1"/>
  <c r="FF7" i="2" s="1"/>
  <c r="HO7" i="2" s="1"/>
  <c r="EX7" i="2"/>
  <c r="EY7" i="2" s="1"/>
  <c r="EZ7" i="2" s="1"/>
  <c r="HM7" i="2" s="1"/>
  <c r="EL7" i="2"/>
  <c r="EM7" i="2" s="1"/>
  <c r="EN7" i="2" s="1"/>
  <c r="HI7" i="2" s="1"/>
  <c r="EI7" i="2"/>
  <c r="EJ7" i="2" s="1"/>
  <c r="EK7" i="2" s="1"/>
  <c r="HH7" i="2" s="1"/>
  <c r="DW7" i="2"/>
  <c r="DX7" i="2" s="1"/>
  <c r="DY7" i="2" s="1"/>
  <c r="HD7" i="2" s="1"/>
  <c r="DT7" i="2"/>
  <c r="DU7" i="2" s="1"/>
  <c r="DV7" i="2" s="1"/>
  <c r="HC7" i="2" s="1"/>
  <c r="DQ7" i="2"/>
  <c r="DR7" i="2" s="1"/>
  <c r="DS7" i="2" s="1"/>
  <c r="HB7" i="2" s="1"/>
  <c r="DN7" i="2"/>
  <c r="DO7" i="2" s="1"/>
  <c r="DP7" i="2" s="1"/>
  <c r="HA7" i="2" s="1"/>
  <c r="DL7" i="2"/>
  <c r="DM7" i="2" s="1"/>
  <c r="GZ7" i="2" s="1"/>
  <c r="DK7" i="2"/>
  <c r="DH7" i="2"/>
  <c r="DI7" i="2" s="1"/>
  <c r="DJ7" i="2" s="1"/>
  <c r="GY7" i="2" s="1"/>
  <c r="DE7" i="2"/>
  <c r="DF7" i="2" s="1"/>
  <c r="DG7" i="2" s="1"/>
  <c r="GX7" i="2" s="1"/>
  <c r="DB7" i="2"/>
  <c r="DC7" i="2" s="1"/>
  <c r="DD7" i="2" s="1"/>
  <c r="GW7" i="2" s="1"/>
  <c r="CZ7" i="2"/>
  <c r="DA7" i="2" s="1"/>
  <c r="GV7" i="2" s="1"/>
  <c r="CY7" i="2"/>
  <c r="CV7" i="2"/>
  <c r="CW7" i="2" s="1"/>
  <c r="CX7" i="2" s="1"/>
  <c r="GU7" i="2" s="1"/>
  <c r="CT7" i="2"/>
  <c r="CU7" i="2" s="1"/>
  <c r="GT7" i="2" s="1"/>
  <c r="CS7" i="2"/>
  <c r="CP7" i="2"/>
  <c r="CQ7" i="2" s="1"/>
  <c r="CR7" i="2" s="1"/>
  <c r="GS7" i="2" s="1"/>
  <c r="CN7" i="2"/>
  <c r="CO7" i="2" s="1"/>
  <c r="CM7" i="2"/>
  <c r="CJ7" i="2"/>
  <c r="CK7" i="2" s="1"/>
  <c r="CL7" i="2" s="1"/>
  <c r="GQ7" i="2" s="1"/>
  <c r="CH7" i="2"/>
  <c r="CI7" i="2" s="1"/>
  <c r="GP7" i="2" s="1"/>
  <c r="CG7" i="2"/>
  <c r="CD7" i="2"/>
  <c r="CE7" i="2" s="1"/>
  <c r="CF7" i="2" s="1"/>
  <c r="GO7" i="2" s="1"/>
  <c r="CB7" i="2"/>
  <c r="CC7" i="2" s="1"/>
  <c r="GN7" i="2" s="1"/>
  <c r="CA7" i="2"/>
  <c r="BX7" i="2"/>
  <c r="BY7" i="2" s="1"/>
  <c r="BZ7" i="2" s="1"/>
  <c r="GM7" i="2" s="1"/>
  <c r="BV7" i="2"/>
  <c r="BW7" i="2" s="1"/>
  <c r="GL7" i="2" s="1"/>
  <c r="BU7" i="2"/>
  <c r="BR7" i="2"/>
  <c r="BS7" i="2" s="1"/>
  <c r="BT7" i="2" s="1"/>
  <c r="GK7" i="2" s="1"/>
  <c r="BP7" i="2"/>
  <c r="BQ7" i="2" s="1"/>
  <c r="GJ7" i="2" s="1"/>
  <c r="BO7" i="2"/>
  <c r="BL7" i="2"/>
  <c r="BM7" i="2" s="1"/>
  <c r="BN7" i="2" s="1"/>
  <c r="GI7" i="2" s="1"/>
  <c r="BJ7" i="2"/>
  <c r="BK7" i="2" s="1"/>
  <c r="GH7" i="2" s="1"/>
  <c r="BI7" i="2"/>
  <c r="BF7" i="2"/>
  <c r="BG7" i="2" s="1"/>
  <c r="BH7" i="2" s="1"/>
  <c r="GG7" i="2" s="1"/>
  <c r="BD7" i="2"/>
  <c r="BE7" i="2" s="1"/>
  <c r="GF7" i="2" s="1"/>
  <c r="BC7" i="2"/>
  <c r="AZ7" i="2"/>
  <c r="BA7" i="2" s="1"/>
  <c r="BB7" i="2" s="1"/>
  <c r="GE7" i="2" s="1"/>
  <c r="AX7" i="2"/>
  <c r="AY7" i="2" s="1"/>
  <c r="GD7" i="2" s="1"/>
  <c r="AW7" i="2"/>
  <c r="AT7" i="2"/>
  <c r="AU7" i="2" s="1"/>
  <c r="AV7" i="2" s="1"/>
  <c r="GC7" i="2" s="1"/>
  <c r="AR7" i="2"/>
  <c r="AS7" i="2" s="1"/>
  <c r="GB7" i="2" s="1"/>
  <c r="AQ7" i="2"/>
  <c r="AN7" i="2"/>
  <c r="AO7" i="2" s="1"/>
  <c r="AP7" i="2" s="1"/>
  <c r="GA7" i="2" s="1"/>
  <c r="AL7" i="2"/>
  <c r="AM7" i="2" s="1"/>
  <c r="FZ7" i="2" s="1"/>
  <c r="AK7" i="2"/>
  <c r="AH7" i="2"/>
  <c r="AI7" i="2" s="1"/>
  <c r="AJ7" i="2" s="1"/>
  <c r="FY7" i="2" s="1"/>
  <c r="AF7" i="2"/>
  <c r="AG7" i="2" s="1"/>
  <c r="FX7" i="2" s="1"/>
  <c r="AE7" i="2"/>
  <c r="AB7" i="2"/>
  <c r="AC7" i="2" s="1"/>
  <c r="AD7" i="2" s="1"/>
  <c r="FW7" i="2" s="1"/>
  <c r="Z7" i="2"/>
  <c r="AA7" i="2" s="1"/>
  <c r="FV7" i="2" s="1"/>
  <c r="Y7" i="2"/>
  <c r="V7" i="2"/>
  <c r="W7" i="2" s="1"/>
  <c r="X7" i="2" s="1"/>
  <c r="FU7" i="2" s="1"/>
  <c r="T7" i="2"/>
  <c r="U7" i="2" s="1"/>
  <c r="FT7" i="2" s="1"/>
  <c r="S7" i="2"/>
  <c r="P7" i="2"/>
  <c r="Q7" i="2" s="1"/>
  <c r="R7" i="2" s="1"/>
  <c r="FS7" i="2" s="1"/>
  <c r="N7" i="2"/>
  <c r="O7" i="2" s="1"/>
  <c r="FR7" i="2" s="1"/>
  <c r="M7" i="2"/>
  <c r="J7" i="2"/>
  <c r="K7" i="2" s="1"/>
  <c r="L7" i="2" s="1"/>
  <c r="FQ7" i="2" s="1"/>
  <c r="H7" i="2"/>
  <c r="I7" i="2" s="1"/>
  <c r="FP7" i="2" s="1"/>
  <c r="G7" i="2"/>
  <c r="D7" i="2"/>
  <c r="E7" i="2" s="1"/>
  <c r="F7" i="2" s="1"/>
  <c r="FO7" i="2" s="1"/>
  <c r="C7" i="2"/>
  <c r="FJ6" i="2"/>
  <c r="FK6" i="2" s="1"/>
  <c r="FD6" i="2"/>
  <c r="FA6" i="2"/>
  <c r="ER6" i="2"/>
  <c r="ES6" i="2" s="1"/>
  <c r="EF6" i="2"/>
  <c r="EG6" i="2" s="1"/>
  <c r="EC6" i="2"/>
  <c r="ED6" i="2" s="1"/>
  <c r="EE6" i="2" s="1"/>
  <c r="DZ6" i="2"/>
  <c r="EA6" i="2" s="1"/>
  <c r="DU6" i="2"/>
  <c r="DT6" i="2"/>
  <c r="DQ6" i="2"/>
  <c r="DR6" i="2" s="1"/>
  <c r="DS6" i="2" s="1"/>
  <c r="DN6" i="2"/>
  <c r="DO6" i="2" s="1"/>
  <c r="DK6" i="2"/>
  <c r="DL6" i="2" s="1"/>
  <c r="DM6" i="2" s="1"/>
  <c r="DI6" i="2"/>
  <c r="DH6" i="2"/>
  <c r="DE6" i="2"/>
  <c r="DF6" i="2" s="1"/>
  <c r="DG6" i="2" s="1"/>
  <c r="DC6" i="2"/>
  <c r="DB6" i="2"/>
  <c r="CY6" i="2"/>
  <c r="CZ6" i="2" s="1"/>
  <c r="DA6" i="2" s="1"/>
  <c r="CW6" i="2"/>
  <c r="CV6" i="2"/>
  <c r="CS6" i="2"/>
  <c r="CT6" i="2" s="1"/>
  <c r="CU6" i="2" s="1"/>
  <c r="CQ6" i="2"/>
  <c r="CP6" i="2"/>
  <c r="CM6" i="2"/>
  <c r="CN6" i="2" s="1"/>
  <c r="CO6" i="2" s="1"/>
  <c r="CK6" i="2"/>
  <c r="CJ6" i="2"/>
  <c r="CG6" i="2"/>
  <c r="CH6" i="2" s="1"/>
  <c r="CI6" i="2" s="1"/>
  <c r="CE6" i="2"/>
  <c r="CD6" i="2"/>
  <c r="CA6" i="2"/>
  <c r="CB6" i="2" s="1"/>
  <c r="CC6" i="2" s="1"/>
  <c r="BY6" i="2"/>
  <c r="BX6" i="2"/>
  <c r="BU6" i="2"/>
  <c r="BV6" i="2" s="1"/>
  <c r="BW6" i="2" s="1"/>
  <c r="BS6" i="2"/>
  <c r="BR6" i="2"/>
  <c r="BO6" i="2"/>
  <c r="BP6" i="2" s="1"/>
  <c r="BQ6" i="2" s="1"/>
  <c r="BM6" i="2"/>
  <c r="BL6" i="2"/>
  <c r="BI6" i="2"/>
  <c r="BJ6" i="2" s="1"/>
  <c r="BK6" i="2" s="1"/>
  <c r="BG6" i="2"/>
  <c r="BF6" i="2"/>
  <c r="BC6" i="2"/>
  <c r="BD6" i="2" s="1"/>
  <c r="BE6" i="2" s="1"/>
  <c r="BA6" i="2"/>
  <c r="AZ6" i="2"/>
  <c r="AW6" i="2"/>
  <c r="AX6" i="2" s="1"/>
  <c r="AY6" i="2" s="1"/>
  <c r="AU6" i="2"/>
  <c r="AV6" i="2" s="1"/>
  <c r="AT6" i="2"/>
  <c r="AQ6" i="2"/>
  <c r="AR6" i="2" s="1"/>
  <c r="AS6" i="2" s="1"/>
  <c r="AO6" i="2"/>
  <c r="AN6" i="2"/>
  <c r="AK6" i="2"/>
  <c r="AL6" i="2" s="1"/>
  <c r="AM6" i="2" s="1"/>
  <c r="AI6" i="2"/>
  <c r="AJ6" i="2" s="1"/>
  <c r="FY6" i="2" s="1"/>
  <c r="AH6" i="2"/>
  <c r="AE6" i="2"/>
  <c r="AF6" i="2" s="1"/>
  <c r="AG6" i="2" s="1"/>
  <c r="AC6" i="2"/>
  <c r="AD6" i="2" s="1"/>
  <c r="AB6" i="2"/>
  <c r="Y6" i="2"/>
  <c r="Z6" i="2" s="1"/>
  <c r="AA6" i="2" s="1"/>
  <c r="W6" i="2"/>
  <c r="X6" i="2" s="1"/>
  <c r="V6" i="2"/>
  <c r="S6" i="2"/>
  <c r="T6" i="2" s="1"/>
  <c r="U6" i="2" s="1"/>
  <c r="Q6" i="2"/>
  <c r="R6" i="2" s="1"/>
  <c r="FS6" i="2" s="1"/>
  <c r="P6" i="2"/>
  <c r="M6" i="2"/>
  <c r="N6" i="2" s="1"/>
  <c r="O6" i="2" s="1"/>
  <c r="K6" i="2"/>
  <c r="L6" i="2" s="1"/>
  <c r="J6" i="2"/>
  <c r="G6" i="2"/>
  <c r="H6" i="2" s="1"/>
  <c r="I6" i="2" s="1"/>
  <c r="E6" i="2"/>
  <c r="F6" i="2" s="1"/>
  <c r="FO6" i="2" s="1"/>
  <c r="D6" i="2"/>
  <c r="C6" i="2"/>
  <c r="DS14" i="2" l="1"/>
  <c r="HB14" i="2" s="1"/>
  <c r="FL13" i="2"/>
  <c r="HQ13" i="2" s="1"/>
  <c r="FE6" i="2"/>
  <c r="FE8" i="2"/>
  <c r="EY22" i="2"/>
  <c r="EZ22" i="2" s="1"/>
  <c r="HM22" i="2" s="1"/>
  <c r="FF23" i="2"/>
  <c r="HO23" i="2" s="1"/>
  <c r="FB6" i="2"/>
  <c r="FC6" i="2" s="1"/>
  <c r="HN6" i="2" s="1"/>
  <c r="FE22" i="2"/>
  <c r="FF22" i="2" s="1"/>
  <c r="HO22" i="2" s="1"/>
  <c r="FB24" i="2"/>
  <c r="FC24" i="2" s="1"/>
  <c r="HN24" i="2" s="1"/>
  <c r="EW25" i="2"/>
  <c r="HL25" i="2" s="1"/>
  <c r="FK8" i="2"/>
  <c r="FL8" i="2" s="1"/>
  <c r="HQ8" i="2" s="1"/>
  <c r="FI12" i="2"/>
  <c r="HP12" i="2" s="1"/>
  <c r="FH22" i="2"/>
  <c r="FI22" i="2" s="1"/>
  <c r="HP22" i="2" s="1"/>
  <c r="EP18" i="2"/>
  <c r="EQ18" i="2" s="1"/>
  <c r="HJ18" i="2" s="1"/>
  <c r="FH6" i="2"/>
  <c r="FI6" i="2" s="1"/>
  <c r="HP6" i="2" s="1"/>
  <c r="EY8" i="2"/>
  <c r="EZ8" i="2" s="1"/>
  <c r="HM8" i="2" s="1"/>
  <c r="FK22" i="2"/>
  <c r="FL22" i="2" s="1"/>
  <c r="HQ22" i="2" s="1"/>
  <c r="FB8" i="2"/>
  <c r="FC8" i="2" s="1"/>
  <c r="HN8" i="2" s="1"/>
  <c r="FH24" i="2"/>
  <c r="FI24" i="2" s="1"/>
  <c r="HP24" i="2" s="1"/>
  <c r="FK24" i="2"/>
  <c r="FL24" i="2" s="1"/>
  <c r="HQ24" i="2" s="1"/>
  <c r="FB25" i="2"/>
  <c r="FC25" i="2" s="1"/>
  <c r="HN25" i="2" s="1"/>
  <c r="EM18" i="2"/>
  <c r="EN18" i="2" s="1"/>
  <c r="HI18" i="2" s="1"/>
  <c r="EE8" i="2"/>
  <c r="HF8" i="2" s="1"/>
  <c r="ES18" i="2"/>
  <c r="ET18" i="2" s="1"/>
  <c r="HK18" i="2" s="1"/>
  <c r="FT6" i="2"/>
  <c r="E87" i="3"/>
  <c r="F87" i="3" s="1"/>
  <c r="D88" i="3"/>
  <c r="D86" i="3"/>
  <c r="GJ6" i="2"/>
  <c r="GZ6" i="2"/>
  <c r="HL6" i="2"/>
  <c r="B7" i="3"/>
  <c r="D6" i="3"/>
  <c r="FZ6" i="2"/>
  <c r="GP6" i="2"/>
  <c r="HF6" i="2"/>
  <c r="GV6" i="2"/>
  <c r="FV6" i="2"/>
  <c r="GL6" i="2"/>
  <c r="HB6" i="2"/>
  <c r="AS26" i="2"/>
  <c r="D17" i="1" s="1"/>
  <c r="E17" i="1" s="1"/>
  <c r="GB6" i="2"/>
  <c r="GR6" i="2"/>
  <c r="HH6" i="2"/>
  <c r="GF6" i="2"/>
  <c r="FR6" i="2"/>
  <c r="GH6" i="2"/>
  <c r="GX6" i="2"/>
  <c r="FX6" i="2"/>
  <c r="GN6" i="2"/>
  <c r="HD6" i="2"/>
  <c r="FP6" i="2"/>
  <c r="D39" i="3"/>
  <c r="D40" i="3"/>
  <c r="GD6" i="2"/>
  <c r="GT6" i="2"/>
  <c r="AM8" i="2"/>
  <c r="FZ8" i="2" s="1"/>
  <c r="BB8" i="2"/>
  <c r="GE8" i="2" s="1"/>
  <c r="BN8" i="2"/>
  <c r="GI8" i="2" s="1"/>
  <c r="CC8" i="2"/>
  <c r="GN8" i="2" s="1"/>
  <c r="DD8" i="2"/>
  <c r="GW8" i="2" s="1"/>
  <c r="DS8" i="2"/>
  <c r="HB8" i="2" s="1"/>
  <c r="ET8" i="2"/>
  <c r="HK8" i="2" s="1"/>
  <c r="FF8" i="2"/>
  <c r="HO8" i="2" s="1"/>
  <c r="AV26" i="2"/>
  <c r="D18" i="1" s="1"/>
  <c r="E18" i="1" s="1"/>
  <c r="BH6" i="2"/>
  <c r="BT6" i="2"/>
  <c r="CF6" i="2"/>
  <c r="CR6" i="2"/>
  <c r="DD6" i="2"/>
  <c r="DP6" i="2"/>
  <c r="EB6" i="2"/>
  <c r="EN6" i="2"/>
  <c r="EZ6" i="2"/>
  <c r="FL6" i="2"/>
  <c r="GC6" i="2"/>
  <c r="AP8" i="2"/>
  <c r="GA8" i="2" s="1"/>
  <c r="CF8" i="2"/>
  <c r="GO8" i="2" s="1"/>
  <c r="CU8" i="2"/>
  <c r="GT8" i="2" s="1"/>
  <c r="DV8" i="2"/>
  <c r="HC8" i="2" s="1"/>
  <c r="EH8" i="2"/>
  <c r="HG8" i="2" s="1"/>
  <c r="EQ6" i="2"/>
  <c r="FQ6" i="2"/>
  <c r="CX8" i="2"/>
  <c r="GU8" i="2" s="1"/>
  <c r="DJ8" i="2"/>
  <c r="GY8" i="2" s="1"/>
  <c r="AP6" i="2"/>
  <c r="BB6" i="2"/>
  <c r="BN6" i="2"/>
  <c r="BZ6" i="2"/>
  <c r="CL6" i="2"/>
  <c r="CX6" i="2"/>
  <c r="DJ6" i="2"/>
  <c r="DV6" i="2"/>
  <c r="EH6" i="2"/>
  <c r="ET6" i="2"/>
  <c r="FF6" i="2"/>
  <c r="FU6" i="2"/>
  <c r="FW6" i="2"/>
  <c r="EB8" i="2"/>
  <c r="HE8" i="2" s="1"/>
  <c r="EQ8" i="2"/>
  <c r="HJ8" i="2" s="1"/>
  <c r="CO8" i="2"/>
  <c r="GR8" i="2" s="1"/>
  <c r="DP8" i="2"/>
  <c r="HA8" i="2" s="1"/>
  <c r="O13" i="2"/>
  <c r="FR13" i="2" s="1"/>
  <c r="BE13" i="2"/>
  <c r="GF13" i="2" s="1"/>
  <c r="DP13" i="2"/>
  <c r="HA13" i="2" s="1"/>
  <c r="DY13" i="2"/>
  <c r="HD13" i="2" s="1"/>
  <c r="ET16" i="2"/>
  <c r="HK16" i="2" s="1"/>
  <c r="DV16" i="2"/>
  <c r="HC16" i="2" s="1"/>
  <c r="R16" i="2"/>
  <c r="FS16" i="2" s="1"/>
  <c r="C40" i="3" s="1"/>
  <c r="BZ16" i="2"/>
  <c r="GM16" i="2" s="1"/>
  <c r="DD16" i="2"/>
  <c r="GW16" i="2" s="1"/>
  <c r="EW16" i="2"/>
  <c r="HL16" i="2" s="1"/>
  <c r="EZ12" i="2"/>
  <c r="HM12" i="2" s="1"/>
  <c r="BZ13" i="2"/>
  <c r="GM13" i="2" s="1"/>
  <c r="DD13" i="2"/>
  <c r="GW13" i="2" s="1"/>
  <c r="FF13" i="2"/>
  <c r="HO13" i="2" s="1"/>
  <c r="F16" i="2"/>
  <c r="FO16" i="2" s="1"/>
  <c r="AJ16" i="2"/>
  <c r="FY16" i="2" s="1"/>
  <c r="C87" i="3" s="1"/>
  <c r="CC16" i="2"/>
  <c r="GN16" i="2" s="1"/>
  <c r="DS16" i="2"/>
  <c r="HB16" i="2" s="1"/>
  <c r="EH16" i="2"/>
  <c r="HG16" i="2" s="1"/>
  <c r="F13" i="2"/>
  <c r="FO13" i="2" s="1"/>
  <c r="D7" i="3" s="1"/>
  <c r="AM13" i="2"/>
  <c r="FZ13" i="2" s="1"/>
  <c r="DG13" i="2"/>
  <c r="GX13" i="2" s="1"/>
  <c r="EN13" i="2"/>
  <c r="HI13" i="2" s="1"/>
  <c r="EW13" i="2"/>
  <c r="HL13" i="2" s="1"/>
  <c r="I16" i="2"/>
  <c r="FP16" i="2" s="1"/>
  <c r="AY16" i="2"/>
  <c r="GD16" i="2" s="1"/>
  <c r="BN16" i="2"/>
  <c r="GI16" i="2" s="1"/>
  <c r="EZ16" i="2"/>
  <c r="HM16" i="2" s="1"/>
  <c r="X16" i="2"/>
  <c r="FU16" i="2" s="1"/>
  <c r="BB16" i="2"/>
  <c r="GE16" i="2" s="1"/>
  <c r="CF16" i="2"/>
  <c r="GO16" i="2" s="1"/>
  <c r="DY16" i="2"/>
  <c r="HD16" i="2" s="1"/>
  <c r="CX13" i="2"/>
  <c r="GU13" i="2" s="1"/>
  <c r="EE13" i="2"/>
  <c r="HF13" i="2" s="1"/>
  <c r="FI13" i="2"/>
  <c r="HP13" i="2" s="1"/>
  <c r="DV13" i="2"/>
  <c r="HC13" i="2" s="1"/>
  <c r="EZ13" i="2"/>
  <c r="HM13" i="2" s="1"/>
  <c r="AA16" i="2"/>
  <c r="FV16" i="2" s="1"/>
  <c r="AP16" i="2"/>
  <c r="GA16" i="2" s="1"/>
  <c r="CX16" i="2"/>
  <c r="GU16" i="2" s="1"/>
  <c r="EB16" i="2"/>
  <c r="HE16" i="2" s="1"/>
  <c r="CF13" i="2"/>
  <c r="GO13" i="2" s="1"/>
  <c r="EB14" i="2"/>
  <c r="HE14" i="2" s="1"/>
  <c r="AP14" i="2"/>
  <c r="GA14" i="2" s="1"/>
  <c r="AY14" i="2"/>
  <c r="GD14" i="2" s="1"/>
  <c r="DJ14" i="2"/>
  <c r="GY14" i="2" s="1"/>
  <c r="BH15" i="2"/>
  <c r="GG15" i="2" s="1"/>
  <c r="BT15" i="2"/>
  <c r="GK15" i="2" s="1"/>
  <c r="CO15" i="2"/>
  <c r="GR15" i="2" s="1"/>
  <c r="EE15" i="2"/>
  <c r="HF15" i="2" s="1"/>
  <c r="EZ15" i="2"/>
  <c r="HM15" i="2" s="1"/>
  <c r="U16" i="2"/>
  <c r="FT16" i="2" s="1"/>
  <c r="BQ16" i="2"/>
  <c r="GJ16" i="2" s="1"/>
  <c r="CO16" i="2"/>
  <c r="GR16" i="2" s="1"/>
  <c r="DM16" i="2"/>
  <c r="GZ16" i="2" s="1"/>
  <c r="EK16" i="2"/>
  <c r="HH16" i="2" s="1"/>
  <c r="FI16" i="2"/>
  <c r="HP16" i="2" s="1"/>
  <c r="BT16" i="2"/>
  <c r="GK16" i="2" s="1"/>
  <c r="CR16" i="2"/>
  <c r="GS16" i="2" s="1"/>
  <c r="DP16" i="2"/>
  <c r="HA16" i="2" s="1"/>
  <c r="EN16" i="2"/>
  <c r="HI16" i="2" s="1"/>
  <c r="FL16" i="2"/>
  <c r="HQ16" i="2" s="1"/>
  <c r="O16" i="2"/>
  <c r="FR16" i="2" s="1"/>
  <c r="AM16" i="2"/>
  <c r="FZ16" i="2" s="1"/>
  <c r="BK16" i="2"/>
  <c r="GH16" i="2" s="1"/>
  <c r="CI16" i="2"/>
  <c r="GP16" i="2" s="1"/>
  <c r="DG16" i="2"/>
  <c r="GX16" i="2" s="1"/>
  <c r="EE16" i="2"/>
  <c r="HF16" i="2" s="1"/>
  <c r="FC16" i="2"/>
  <c r="HN16" i="2" s="1"/>
  <c r="FF14" i="2"/>
  <c r="HO14" i="2" s="1"/>
  <c r="FI15" i="2"/>
  <c r="HP15" i="2" s="1"/>
  <c r="W22" i="2"/>
  <c r="X22" i="2" s="1"/>
  <c r="FU22" i="2" s="1"/>
  <c r="K23" i="2"/>
  <c r="L23" i="2" s="1"/>
  <c r="FQ23" i="2" s="1"/>
  <c r="BD23" i="2"/>
  <c r="BE23" i="2" s="1"/>
  <c r="GF23" i="2" s="1"/>
  <c r="N23" i="2"/>
  <c r="O23" i="2" s="1"/>
  <c r="FR23" i="2" s="1"/>
  <c r="Z23" i="2"/>
  <c r="AA23" i="2" s="1"/>
  <c r="FV23" i="2" s="1"/>
  <c r="W23" i="2"/>
  <c r="X23" i="2" s="1"/>
  <c r="FU23" i="2" s="1"/>
  <c r="Z22" i="2"/>
  <c r="AA22" i="2" s="1"/>
  <c r="FV22" i="2" s="1"/>
  <c r="BV23" i="2"/>
  <c r="BW23" i="2" s="1"/>
  <c r="GL23" i="2" s="1"/>
  <c r="BJ23" i="2"/>
  <c r="BK23" i="2" s="1"/>
  <c r="GH23" i="2" s="1"/>
  <c r="AG23" i="2"/>
  <c r="FX23" i="2" s="1"/>
  <c r="BG23" i="2"/>
  <c r="BH23" i="2" s="1"/>
  <c r="GG23" i="2" s="1"/>
  <c r="AC22" i="2"/>
  <c r="AD22" i="2" s="1"/>
  <c r="FW22" i="2" s="1"/>
  <c r="CU23" i="2"/>
  <c r="GT23" i="2" s="1"/>
  <c r="DS23" i="2"/>
  <c r="HB23" i="2" s="1"/>
  <c r="EQ23" i="2"/>
  <c r="HJ23" i="2" s="1"/>
  <c r="CL23" i="2"/>
  <c r="GQ23" i="2" s="1"/>
  <c r="DJ23" i="2"/>
  <c r="GY23" i="2" s="1"/>
  <c r="EH23" i="2"/>
  <c r="HG23" i="2" s="1"/>
  <c r="EQ21" i="2"/>
  <c r="HJ21" i="2" s="1"/>
  <c r="Q23" i="2"/>
  <c r="R23" i="2" s="1"/>
  <c r="FS23" i="2" s="1"/>
  <c r="BP23" i="2"/>
  <c r="BQ23" i="2" s="1"/>
  <c r="GJ23" i="2" s="1"/>
  <c r="BM23" i="2"/>
  <c r="BN23" i="2" s="1"/>
  <c r="GI23" i="2" s="1"/>
  <c r="DA25" i="2"/>
  <c r="GV25" i="2" s="1"/>
  <c r="DY25" i="2"/>
  <c r="HD25" i="2" s="1"/>
  <c r="BT26" i="2" l="1"/>
  <c r="D26" i="1" s="1"/>
  <c r="E26" i="1" s="1"/>
  <c r="GK6" i="2"/>
  <c r="D57" i="3"/>
  <c r="C54" i="3"/>
  <c r="D58" i="3"/>
  <c r="E56" i="3"/>
  <c r="F56" i="3" s="1"/>
  <c r="C58" i="3"/>
  <c r="D56" i="3"/>
  <c r="E54" i="3"/>
  <c r="F54" i="3" s="1"/>
  <c r="B58" i="3"/>
  <c r="C56" i="3"/>
  <c r="D54" i="3"/>
  <c r="B56" i="3"/>
  <c r="B54" i="3"/>
  <c r="E57" i="3"/>
  <c r="F57" i="3" s="1"/>
  <c r="E55" i="3"/>
  <c r="F55" i="3" s="1"/>
  <c r="C57" i="3"/>
  <c r="D55" i="3"/>
  <c r="B57" i="3"/>
  <c r="C55" i="3"/>
  <c r="E58" i="3"/>
  <c r="F58" i="3" s="1"/>
  <c r="B55" i="3"/>
  <c r="BZ26" i="2"/>
  <c r="D28" i="1" s="1"/>
  <c r="E28" i="1" s="1"/>
  <c r="GM6" i="2"/>
  <c r="CR26" i="2"/>
  <c r="D34" i="1" s="1"/>
  <c r="E34" i="1" s="1"/>
  <c r="GS6" i="2"/>
  <c r="E258" i="3"/>
  <c r="F258" i="3" s="1"/>
  <c r="B257" i="3"/>
  <c r="D255" i="3"/>
  <c r="C257" i="3"/>
  <c r="C255" i="3"/>
  <c r="B255" i="3"/>
  <c r="D258" i="3"/>
  <c r="E256" i="3"/>
  <c r="F256" i="3" s="1"/>
  <c r="C258" i="3"/>
  <c r="D256" i="3"/>
  <c r="E254" i="3"/>
  <c r="F254" i="3" s="1"/>
  <c r="B258" i="3"/>
  <c r="C256" i="3"/>
  <c r="D254" i="3"/>
  <c r="B256" i="3"/>
  <c r="C254" i="3"/>
  <c r="D257" i="3"/>
  <c r="E255" i="3"/>
  <c r="F255" i="3" s="1"/>
  <c r="B254" i="3"/>
  <c r="E257" i="3"/>
  <c r="F257" i="3" s="1"/>
  <c r="B42" i="3"/>
  <c r="C39" i="3"/>
  <c r="E418" i="3"/>
  <c r="F418" i="3" s="1"/>
  <c r="B417" i="3"/>
  <c r="D415" i="3"/>
  <c r="B415" i="3"/>
  <c r="C418" i="3"/>
  <c r="D416" i="3"/>
  <c r="E414" i="3"/>
  <c r="F414" i="3" s="1"/>
  <c r="B418" i="3"/>
  <c r="C416" i="3"/>
  <c r="D414" i="3"/>
  <c r="B416" i="3"/>
  <c r="C414" i="3"/>
  <c r="E417" i="3"/>
  <c r="F417" i="3" s="1"/>
  <c r="E416" i="3"/>
  <c r="F416" i="3" s="1"/>
  <c r="E415" i="3"/>
  <c r="F415" i="3" s="1"/>
  <c r="C415" i="3"/>
  <c r="B414" i="3"/>
  <c r="D418" i="3"/>
  <c r="D417" i="3"/>
  <c r="C417" i="3"/>
  <c r="E81" i="3"/>
  <c r="F81" i="3" s="1"/>
  <c r="D81" i="3"/>
  <c r="C78" i="3"/>
  <c r="E82" i="3"/>
  <c r="F82" i="3" s="1"/>
  <c r="B81" i="3"/>
  <c r="D82" i="3"/>
  <c r="C79" i="3"/>
  <c r="B80" i="3"/>
  <c r="C82" i="3"/>
  <c r="E79" i="3"/>
  <c r="F79" i="3" s="1"/>
  <c r="B82" i="3"/>
  <c r="D79" i="3"/>
  <c r="B79" i="3"/>
  <c r="C81" i="3"/>
  <c r="E80" i="3"/>
  <c r="F80" i="3" s="1"/>
  <c r="E78" i="3"/>
  <c r="F78" i="3" s="1"/>
  <c r="D80" i="3"/>
  <c r="D78" i="3"/>
  <c r="B78" i="3"/>
  <c r="C80" i="3"/>
  <c r="C144" i="3"/>
  <c r="E142" i="3"/>
  <c r="F142" i="3" s="1"/>
  <c r="E145" i="3"/>
  <c r="F145" i="3" s="1"/>
  <c r="B144" i="3"/>
  <c r="D142" i="3"/>
  <c r="D145" i="3"/>
  <c r="C142" i="3"/>
  <c r="C145" i="3"/>
  <c r="E143" i="3"/>
  <c r="F143" i="3" s="1"/>
  <c r="B142" i="3"/>
  <c r="E146" i="3"/>
  <c r="F146" i="3" s="1"/>
  <c r="B145" i="3"/>
  <c r="D143" i="3"/>
  <c r="D146" i="3"/>
  <c r="C143" i="3"/>
  <c r="B146" i="3"/>
  <c r="E144" i="3"/>
  <c r="F144" i="3" s="1"/>
  <c r="D144" i="3"/>
  <c r="B143" i="3"/>
  <c r="C146" i="3"/>
  <c r="C321" i="3"/>
  <c r="E319" i="3"/>
  <c r="F319" i="3" s="1"/>
  <c r="B318" i="3"/>
  <c r="D322" i="3"/>
  <c r="C319" i="3"/>
  <c r="B322" i="3"/>
  <c r="B320" i="3"/>
  <c r="E321" i="3"/>
  <c r="F321" i="3" s="1"/>
  <c r="D319" i="3"/>
  <c r="D321" i="3"/>
  <c r="B319" i="3"/>
  <c r="B321" i="3"/>
  <c r="E320" i="3"/>
  <c r="F320" i="3" s="1"/>
  <c r="E318" i="3"/>
  <c r="F318" i="3" s="1"/>
  <c r="D320" i="3"/>
  <c r="C320" i="3"/>
  <c r="D318" i="3"/>
  <c r="C318" i="3"/>
  <c r="E322" i="3"/>
  <c r="F322" i="3" s="1"/>
  <c r="C322" i="3"/>
  <c r="D354" i="3"/>
  <c r="C351" i="3"/>
  <c r="B354" i="3"/>
  <c r="D352" i="3"/>
  <c r="C352" i="3"/>
  <c r="E350" i="3"/>
  <c r="F350" i="3" s="1"/>
  <c r="E353" i="3"/>
  <c r="F353" i="3" s="1"/>
  <c r="B352" i="3"/>
  <c r="D350" i="3"/>
  <c r="D353" i="3"/>
  <c r="C350" i="3"/>
  <c r="C353" i="3"/>
  <c r="B350" i="3"/>
  <c r="B353" i="3"/>
  <c r="E352" i="3"/>
  <c r="F352" i="3" s="1"/>
  <c r="E351" i="3"/>
  <c r="F351" i="3" s="1"/>
  <c r="E354" i="3"/>
  <c r="F354" i="3" s="1"/>
  <c r="C354" i="3"/>
  <c r="D351" i="3"/>
  <c r="B351" i="3"/>
  <c r="C6" i="3"/>
  <c r="E8" i="3"/>
  <c r="F8" i="3" s="1"/>
  <c r="B9" i="3"/>
  <c r="E178" i="3"/>
  <c r="F178" i="3" s="1"/>
  <c r="B177" i="3"/>
  <c r="D175" i="3"/>
  <c r="D178" i="3"/>
  <c r="C175" i="3"/>
  <c r="C178" i="3"/>
  <c r="E176" i="3"/>
  <c r="F176" i="3" s="1"/>
  <c r="B175" i="3"/>
  <c r="B178" i="3"/>
  <c r="D176" i="3"/>
  <c r="C176" i="3"/>
  <c r="E174" i="3"/>
  <c r="F174" i="3" s="1"/>
  <c r="E177" i="3"/>
  <c r="F177" i="3" s="1"/>
  <c r="B176" i="3"/>
  <c r="D174" i="3"/>
  <c r="C177" i="3"/>
  <c r="E175" i="3"/>
  <c r="F175" i="3" s="1"/>
  <c r="C174" i="3"/>
  <c r="B174" i="3"/>
  <c r="D177" i="3"/>
  <c r="B88" i="3"/>
  <c r="D90" i="3"/>
  <c r="FF26" i="2"/>
  <c r="HO6" i="2"/>
  <c r="BN26" i="2"/>
  <c r="D24" i="1" s="1"/>
  <c r="E24" i="1" s="1"/>
  <c r="GI6" i="2"/>
  <c r="D122" i="3"/>
  <c r="C119" i="3"/>
  <c r="C122" i="3"/>
  <c r="E120" i="3"/>
  <c r="F120" i="3" s="1"/>
  <c r="B119" i="3"/>
  <c r="B122" i="3"/>
  <c r="D120" i="3"/>
  <c r="C120" i="3"/>
  <c r="E118" i="3"/>
  <c r="F118" i="3" s="1"/>
  <c r="E121" i="3"/>
  <c r="F121" i="3" s="1"/>
  <c r="B120" i="3"/>
  <c r="D118" i="3"/>
  <c r="D121" i="3"/>
  <c r="C118" i="3"/>
  <c r="E122" i="3"/>
  <c r="F122" i="3" s="1"/>
  <c r="C121" i="3"/>
  <c r="B121" i="3"/>
  <c r="E119" i="3"/>
  <c r="F119" i="3" s="1"/>
  <c r="D119" i="3"/>
  <c r="B118" i="3"/>
  <c r="CF26" i="2"/>
  <c r="D30" i="1" s="1"/>
  <c r="E30" i="1" s="1"/>
  <c r="GO6" i="2"/>
  <c r="CU26" i="2"/>
  <c r="D35" i="1" s="1"/>
  <c r="E35" i="1" s="1"/>
  <c r="D38" i="3"/>
  <c r="B41" i="3"/>
  <c r="FC26" i="2"/>
  <c r="AG26" i="2"/>
  <c r="D13" i="1" s="1"/>
  <c r="E13" i="1" s="1"/>
  <c r="BE26" i="2"/>
  <c r="D21" i="1" s="1"/>
  <c r="E21" i="1" s="1"/>
  <c r="DS26" i="2"/>
  <c r="EE26" i="2"/>
  <c r="B8" i="3"/>
  <c r="D10" i="3"/>
  <c r="E10" i="3"/>
  <c r="F10" i="3" s="1"/>
  <c r="BQ26" i="2"/>
  <c r="D25" i="1" s="1"/>
  <c r="E25" i="1" s="1"/>
  <c r="C88" i="3"/>
  <c r="B86" i="3"/>
  <c r="FL26" i="2"/>
  <c r="HQ6" i="2"/>
  <c r="EH26" i="2"/>
  <c r="HG6" i="2"/>
  <c r="AP26" i="2"/>
  <c r="D16" i="1" s="1"/>
  <c r="E16" i="1" s="1"/>
  <c r="GA6" i="2"/>
  <c r="EQ26" i="2"/>
  <c r="HJ6" i="2"/>
  <c r="EZ26" i="2"/>
  <c r="HM6" i="2"/>
  <c r="BH26" i="2"/>
  <c r="D22" i="1" s="1"/>
  <c r="E22" i="1" s="1"/>
  <c r="GG6" i="2"/>
  <c r="AY26" i="2"/>
  <c r="D19" i="1" s="1"/>
  <c r="E19" i="1" s="1"/>
  <c r="C42" i="3"/>
  <c r="C41" i="3"/>
  <c r="I26" i="2"/>
  <c r="E5" i="1" s="1"/>
  <c r="DG26" i="2"/>
  <c r="EK26" i="2"/>
  <c r="BW26" i="2"/>
  <c r="D27" i="1" s="1"/>
  <c r="E27" i="1" s="1"/>
  <c r="CI26" i="2"/>
  <c r="D31" i="1" s="1"/>
  <c r="E31" i="1" s="1"/>
  <c r="C8" i="3"/>
  <c r="C7" i="3"/>
  <c r="EW26" i="2"/>
  <c r="E89" i="3"/>
  <c r="F89" i="3" s="1"/>
  <c r="B89" i="3"/>
  <c r="C89" i="3"/>
  <c r="DV26" i="2"/>
  <c r="HC6" i="2"/>
  <c r="AD26" i="2"/>
  <c r="D12" i="1" s="1"/>
  <c r="E12" i="1" s="1"/>
  <c r="EN26" i="2"/>
  <c r="HI6" i="2"/>
  <c r="B38" i="3"/>
  <c r="E40" i="3"/>
  <c r="F40" i="3" s="1"/>
  <c r="E39" i="3"/>
  <c r="F39" i="3" s="1"/>
  <c r="C337" i="3"/>
  <c r="D338" i="3"/>
  <c r="C335" i="3"/>
  <c r="C338" i="3"/>
  <c r="E336" i="3"/>
  <c r="F336" i="3" s="1"/>
  <c r="B335" i="3"/>
  <c r="B338" i="3"/>
  <c r="D336" i="3"/>
  <c r="D335" i="3"/>
  <c r="E337" i="3"/>
  <c r="F337" i="3" s="1"/>
  <c r="E334" i="3"/>
  <c r="F334" i="3" s="1"/>
  <c r="D337" i="3"/>
  <c r="D334" i="3"/>
  <c r="B337" i="3"/>
  <c r="C334" i="3"/>
  <c r="C336" i="3"/>
  <c r="B334" i="3"/>
  <c r="B336" i="3"/>
  <c r="E335" i="3"/>
  <c r="F335" i="3" s="1"/>
  <c r="E338" i="3"/>
  <c r="F338" i="3" s="1"/>
  <c r="D161" i="3"/>
  <c r="C158" i="3"/>
  <c r="C161" i="3"/>
  <c r="E159" i="3"/>
  <c r="F159" i="3" s="1"/>
  <c r="B158" i="3"/>
  <c r="E162" i="3"/>
  <c r="F162" i="3" s="1"/>
  <c r="B161" i="3"/>
  <c r="D159" i="3"/>
  <c r="D162" i="3"/>
  <c r="C159" i="3"/>
  <c r="C162" i="3"/>
  <c r="E160" i="3"/>
  <c r="F160" i="3" s="1"/>
  <c r="B159" i="3"/>
  <c r="B162" i="3"/>
  <c r="D160" i="3"/>
  <c r="D158" i="3"/>
  <c r="E161" i="3"/>
  <c r="F161" i="3" s="1"/>
  <c r="C160" i="3"/>
  <c r="B160" i="3"/>
  <c r="E158" i="3"/>
  <c r="F158" i="3" s="1"/>
  <c r="D241" i="3"/>
  <c r="C238" i="3"/>
  <c r="B242" i="3"/>
  <c r="C240" i="3"/>
  <c r="D238" i="3"/>
  <c r="B240" i="3"/>
  <c r="B238" i="3"/>
  <c r="E241" i="3"/>
  <c r="F241" i="3" s="1"/>
  <c r="E239" i="3"/>
  <c r="F239" i="3" s="1"/>
  <c r="C241" i="3"/>
  <c r="D239" i="3"/>
  <c r="B241" i="3"/>
  <c r="C239" i="3"/>
  <c r="E242" i="3"/>
  <c r="F242" i="3" s="1"/>
  <c r="B239" i="3"/>
  <c r="D242" i="3"/>
  <c r="C242" i="3"/>
  <c r="E240" i="3"/>
  <c r="F240" i="3" s="1"/>
  <c r="D240" i="3"/>
  <c r="E238" i="3"/>
  <c r="F238" i="3" s="1"/>
  <c r="C64" i="3"/>
  <c r="C65" i="3"/>
  <c r="E63" i="3"/>
  <c r="F63" i="3" s="1"/>
  <c r="B62" i="3"/>
  <c r="D65" i="3"/>
  <c r="C63" i="3"/>
  <c r="B65" i="3"/>
  <c r="B63" i="3"/>
  <c r="E66" i="3"/>
  <c r="F66" i="3" s="1"/>
  <c r="E64" i="3"/>
  <c r="F64" i="3" s="1"/>
  <c r="E62" i="3"/>
  <c r="F62" i="3" s="1"/>
  <c r="D66" i="3"/>
  <c r="D64" i="3"/>
  <c r="D62" i="3"/>
  <c r="C66" i="3"/>
  <c r="B64" i="3"/>
  <c r="C62" i="3"/>
  <c r="B66" i="3"/>
  <c r="E65" i="3"/>
  <c r="F65" i="3" s="1"/>
  <c r="D63" i="3"/>
  <c r="D97" i="3"/>
  <c r="C97" i="3"/>
  <c r="E95" i="3"/>
  <c r="F95" i="3" s="1"/>
  <c r="B94" i="3"/>
  <c r="E98" i="3"/>
  <c r="F98" i="3" s="1"/>
  <c r="B97" i="3"/>
  <c r="D95" i="3"/>
  <c r="D98" i="3"/>
  <c r="C95" i="3"/>
  <c r="C98" i="3"/>
  <c r="E96" i="3"/>
  <c r="F96" i="3" s="1"/>
  <c r="B95" i="3"/>
  <c r="B98" i="3"/>
  <c r="D96" i="3"/>
  <c r="B96" i="3"/>
  <c r="E94" i="3"/>
  <c r="F94" i="3" s="1"/>
  <c r="D94" i="3"/>
  <c r="C94" i="3"/>
  <c r="E97" i="3"/>
  <c r="F97" i="3" s="1"/>
  <c r="C96" i="3"/>
  <c r="B10" i="3"/>
  <c r="C9" i="3"/>
  <c r="C434" i="3"/>
  <c r="E432" i="3"/>
  <c r="F432" i="3" s="1"/>
  <c r="B431" i="3"/>
  <c r="B432" i="3"/>
  <c r="C430" i="3"/>
  <c r="D433" i="3"/>
  <c r="E431" i="3"/>
  <c r="F431" i="3" s="1"/>
  <c r="C433" i="3"/>
  <c r="D431" i="3"/>
  <c r="B433" i="3"/>
  <c r="C431" i="3"/>
  <c r="E434" i="3"/>
  <c r="F434" i="3" s="1"/>
  <c r="C432" i="3"/>
  <c r="E430" i="3"/>
  <c r="F430" i="3" s="1"/>
  <c r="D430" i="3"/>
  <c r="D434" i="3"/>
  <c r="B430" i="3"/>
  <c r="B434" i="3"/>
  <c r="E433" i="3"/>
  <c r="F433" i="3" s="1"/>
  <c r="D432" i="3"/>
  <c r="E86" i="3"/>
  <c r="F86" i="3" s="1"/>
  <c r="B87" i="3"/>
  <c r="C86" i="3"/>
  <c r="DJ26" i="2"/>
  <c r="GY6" i="2"/>
  <c r="R26" i="2"/>
  <c r="D8" i="1" s="1"/>
  <c r="E8" i="1" s="1"/>
  <c r="EB26" i="2"/>
  <c r="HE6" i="2"/>
  <c r="AJ26" i="2"/>
  <c r="D14" i="1" s="1"/>
  <c r="E14" i="1" s="1"/>
  <c r="E41" i="3"/>
  <c r="F41" i="3" s="1"/>
  <c r="D42" i="3"/>
  <c r="D41" i="3"/>
  <c r="DY26" i="2"/>
  <c r="BK26" i="2"/>
  <c r="D23" i="1" s="1"/>
  <c r="E23" i="1" s="1"/>
  <c r="CO26" i="2"/>
  <c r="D33" i="1" s="1"/>
  <c r="E33" i="1" s="1"/>
  <c r="AA26" i="2"/>
  <c r="D11" i="1" s="1"/>
  <c r="E11" i="1" s="1"/>
  <c r="AM26" i="2"/>
  <c r="D15" i="1" s="1"/>
  <c r="E15" i="1" s="1"/>
  <c r="E6" i="3"/>
  <c r="F6" i="3" s="1"/>
  <c r="E7" i="3"/>
  <c r="F7" i="3" s="1"/>
  <c r="FI26" i="2"/>
  <c r="B90" i="3"/>
  <c r="E88" i="3"/>
  <c r="F88" i="3" s="1"/>
  <c r="D89" i="3"/>
  <c r="ET26" i="2"/>
  <c r="HK6" i="2"/>
  <c r="C26" i="3"/>
  <c r="E24" i="3"/>
  <c r="F24" i="3" s="1"/>
  <c r="B23" i="3"/>
  <c r="D26" i="3"/>
  <c r="D24" i="3"/>
  <c r="E22" i="3"/>
  <c r="F22" i="3" s="1"/>
  <c r="B26" i="3"/>
  <c r="C24" i="3"/>
  <c r="D22" i="3"/>
  <c r="B24" i="3"/>
  <c r="C22" i="3"/>
  <c r="E25" i="3"/>
  <c r="F25" i="3" s="1"/>
  <c r="B22" i="3"/>
  <c r="D25" i="3"/>
  <c r="E23" i="3"/>
  <c r="F23" i="3" s="1"/>
  <c r="C25" i="3"/>
  <c r="D23" i="3"/>
  <c r="B25" i="3"/>
  <c r="C23" i="3"/>
  <c r="E26" i="3"/>
  <c r="F26" i="3" s="1"/>
  <c r="C130" i="3"/>
  <c r="E128" i="3"/>
  <c r="F128" i="3" s="1"/>
  <c r="B127" i="3"/>
  <c r="B130" i="3"/>
  <c r="D128" i="3"/>
  <c r="C128" i="3"/>
  <c r="E126" i="3"/>
  <c r="F126" i="3" s="1"/>
  <c r="E129" i="3"/>
  <c r="F129" i="3" s="1"/>
  <c r="B128" i="3"/>
  <c r="D126" i="3"/>
  <c r="D129" i="3"/>
  <c r="C126" i="3"/>
  <c r="C129" i="3"/>
  <c r="E127" i="3"/>
  <c r="F127" i="3" s="1"/>
  <c r="B126" i="3"/>
  <c r="C127" i="3"/>
  <c r="E130" i="3"/>
  <c r="F130" i="3" s="1"/>
  <c r="D130" i="3"/>
  <c r="B129" i="3"/>
  <c r="D127" i="3"/>
  <c r="D18" i="3"/>
  <c r="C15" i="3"/>
  <c r="B16" i="3"/>
  <c r="C14" i="3"/>
  <c r="E17" i="3"/>
  <c r="F17" i="3" s="1"/>
  <c r="B14" i="3"/>
  <c r="D17" i="3"/>
  <c r="E15" i="3"/>
  <c r="F15" i="3" s="1"/>
  <c r="C17" i="3"/>
  <c r="D15" i="3"/>
  <c r="B17" i="3"/>
  <c r="B15" i="3"/>
  <c r="E18" i="3"/>
  <c r="F18" i="3" s="1"/>
  <c r="E16" i="3"/>
  <c r="F16" i="3" s="1"/>
  <c r="C18" i="3"/>
  <c r="D16" i="3"/>
  <c r="E14" i="3"/>
  <c r="F14" i="3" s="1"/>
  <c r="B18" i="3"/>
  <c r="C16" i="3"/>
  <c r="D14" i="3"/>
  <c r="E290" i="3"/>
  <c r="F290" i="3" s="1"/>
  <c r="B289" i="3"/>
  <c r="D287" i="3"/>
  <c r="D290" i="3"/>
  <c r="C287" i="3"/>
  <c r="C290" i="3"/>
  <c r="E288" i="3"/>
  <c r="F288" i="3" s="1"/>
  <c r="B287" i="3"/>
  <c r="C288" i="3"/>
  <c r="E286" i="3"/>
  <c r="F286" i="3" s="1"/>
  <c r="B288" i="3"/>
  <c r="E287" i="3"/>
  <c r="F287" i="3" s="1"/>
  <c r="B290" i="3"/>
  <c r="E289" i="3"/>
  <c r="F289" i="3" s="1"/>
  <c r="D286" i="3"/>
  <c r="D289" i="3"/>
  <c r="C286" i="3"/>
  <c r="C289" i="3"/>
  <c r="D288" i="3"/>
  <c r="B286" i="3"/>
  <c r="B370" i="3"/>
  <c r="D368" i="3"/>
  <c r="E369" i="3"/>
  <c r="F369" i="3" s="1"/>
  <c r="B368" i="3"/>
  <c r="D366" i="3"/>
  <c r="D369" i="3"/>
  <c r="C366" i="3"/>
  <c r="C369" i="3"/>
  <c r="E367" i="3"/>
  <c r="F367" i="3" s="1"/>
  <c r="B366" i="3"/>
  <c r="B369" i="3"/>
  <c r="E368" i="3"/>
  <c r="F368" i="3" s="1"/>
  <c r="C368" i="3"/>
  <c r="E370" i="3"/>
  <c r="F370" i="3" s="1"/>
  <c r="D367" i="3"/>
  <c r="D370" i="3"/>
  <c r="C367" i="3"/>
  <c r="C370" i="3"/>
  <c r="B367" i="3"/>
  <c r="E366" i="3"/>
  <c r="F366" i="3" s="1"/>
  <c r="E194" i="3"/>
  <c r="F194" i="3" s="1"/>
  <c r="B193" i="3"/>
  <c r="D191" i="3"/>
  <c r="B191" i="3"/>
  <c r="D194" i="3"/>
  <c r="E192" i="3"/>
  <c r="F192" i="3" s="1"/>
  <c r="C194" i="3"/>
  <c r="D192" i="3"/>
  <c r="E190" i="3"/>
  <c r="F190" i="3" s="1"/>
  <c r="B194" i="3"/>
  <c r="C192" i="3"/>
  <c r="D190" i="3"/>
  <c r="B192" i="3"/>
  <c r="C190" i="3"/>
  <c r="E193" i="3"/>
  <c r="F193" i="3" s="1"/>
  <c r="B190" i="3"/>
  <c r="D193" i="3"/>
  <c r="C193" i="3"/>
  <c r="E191" i="3"/>
  <c r="F191" i="3" s="1"/>
  <c r="C191" i="3"/>
  <c r="D401" i="3"/>
  <c r="C398" i="3"/>
  <c r="B400" i="3"/>
  <c r="B398" i="3"/>
  <c r="C401" i="3"/>
  <c r="D399" i="3"/>
  <c r="B401" i="3"/>
  <c r="C399" i="3"/>
  <c r="E402" i="3"/>
  <c r="F402" i="3" s="1"/>
  <c r="B399" i="3"/>
  <c r="D402" i="3"/>
  <c r="C402" i="3"/>
  <c r="E398" i="3"/>
  <c r="F398" i="3" s="1"/>
  <c r="B402" i="3"/>
  <c r="D398" i="3"/>
  <c r="E401" i="3"/>
  <c r="F401" i="3" s="1"/>
  <c r="E400" i="3"/>
  <c r="F400" i="3" s="1"/>
  <c r="D400" i="3"/>
  <c r="C400" i="3"/>
  <c r="E399" i="3"/>
  <c r="F399" i="3" s="1"/>
  <c r="CX26" i="2"/>
  <c r="D36" i="1" s="1"/>
  <c r="E36" i="1" s="1"/>
  <c r="GU6" i="2"/>
  <c r="F26" i="2"/>
  <c r="E4" i="1" s="1"/>
  <c r="DP26" i="2"/>
  <c r="HA6" i="2"/>
  <c r="X26" i="2"/>
  <c r="D10" i="1" s="1"/>
  <c r="E10" i="1" s="1"/>
  <c r="C38" i="3"/>
  <c r="B39" i="3"/>
  <c r="E38" i="3"/>
  <c r="F38" i="3" s="1"/>
  <c r="C210" i="3"/>
  <c r="E208" i="3"/>
  <c r="F208" i="3" s="1"/>
  <c r="B207" i="3"/>
  <c r="B208" i="3"/>
  <c r="C206" i="3"/>
  <c r="E209" i="3"/>
  <c r="F209" i="3" s="1"/>
  <c r="B206" i="3"/>
  <c r="D209" i="3"/>
  <c r="E207" i="3"/>
  <c r="F207" i="3" s="1"/>
  <c r="C209" i="3"/>
  <c r="D207" i="3"/>
  <c r="B209" i="3"/>
  <c r="C207" i="3"/>
  <c r="E210" i="3"/>
  <c r="F210" i="3" s="1"/>
  <c r="B210" i="3"/>
  <c r="D208" i="3"/>
  <c r="C208" i="3"/>
  <c r="E206" i="3"/>
  <c r="F206" i="3" s="1"/>
  <c r="D206" i="3"/>
  <c r="D210" i="3"/>
  <c r="B34" i="3"/>
  <c r="D32" i="3"/>
  <c r="B33" i="3"/>
  <c r="C31" i="3"/>
  <c r="E34" i="3"/>
  <c r="F34" i="3" s="1"/>
  <c r="B31" i="3"/>
  <c r="D34" i="3"/>
  <c r="E32" i="3"/>
  <c r="F32" i="3" s="1"/>
  <c r="E30" i="3"/>
  <c r="F30" i="3" s="1"/>
  <c r="C34" i="3"/>
  <c r="C32" i="3"/>
  <c r="D30" i="3"/>
  <c r="B32" i="3"/>
  <c r="C30" i="3"/>
  <c r="E33" i="3"/>
  <c r="F33" i="3" s="1"/>
  <c r="B30" i="3"/>
  <c r="D33" i="3"/>
  <c r="E31" i="3"/>
  <c r="F31" i="3" s="1"/>
  <c r="C33" i="3"/>
  <c r="D31" i="3"/>
  <c r="E114" i="3"/>
  <c r="F114" i="3" s="1"/>
  <c r="B113" i="3"/>
  <c r="D111" i="3"/>
  <c r="D114" i="3"/>
  <c r="C111" i="3"/>
  <c r="C114" i="3"/>
  <c r="E112" i="3"/>
  <c r="F112" i="3" s="1"/>
  <c r="B111" i="3"/>
  <c r="B114" i="3"/>
  <c r="D112" i="3"/>
  <c r="C112" i="3"/>
  <c r="E110" i="3"/>
  <c r="F110" i="3" s="1"/>
  <c r="E113" i="3"/>
  <c r="F113" i="3" s="1"/>
  <c r="B112" i="3"/>
  <c r="D110" i="3"/>
  <c r="D113" i="3"/>
  <c r="C113" i="3"/>
  <c r="E111" i="3"/>
  <c r="F111" i="3" s="1"/>
  <c r="C110" i="3"/>
  <c r="B110" i="3"/>
  <c r="C273" i="3"/>
  <c r="E271" i="3"/>
  <c r="F271" i="3" s="1"/>
  <c r="C274" i="3"/>
  <c r="E272" i="3"/>
  <c r="F272" i="3" s="1"/>
  <c r="B271" i="3"/>
  <c r="E274" i="3"/>
  <c r="F274" i="3" s="1"/>
  <c r="D272" i="3"/>
  <c r="D270" i="3"/>
  <c r="D274" i="3"/>
  <c r="C272" i="3"/>
  <c r="C270" i="3"/>
  <c r="B274" i="3"/>
  <c r="B272" i="3"/>
  <c r="B270" i="3"/>
  <c r="E273" i="3"/>
  <c r="F273" i="3" s="1"/>
  <c r="D271" i="3"/>
  <c r="D273" i="3"/>
  <c r="C271" i="3"/>
  <c r="E270" i="3"/>
  <c r="F270" i="3" s="1"/>
  <c r="B273" i="3"/>
  <c r="E9" i="3"/>
  <c r="F9" i="3" s="1"/>
  <c r="D8" i="3"/>
  <c r="D9" i="3"/>
  <c r="D306" i="3"/>
  <c r="C303" i="3"/>
  <c r="C306" i="3"/>
  <c r="E304" i="3"/>
  <c r="F304" i="3" s="1"/>
  <c r="B303" i="3"/>
  <c r="B306" i="3"/>
  <c r="D304" i="3"/>
  <c r="C304" i="3"/>
  <c r="E302" i="3"/>
  <c r="F302" i="3" s="1"/>
  <c r="E305" i="3"/>
  <c r="F305" i="3" s="1"/>
  <c r="B304" i="3"/>
  <c r="D302" i="3"/>
  <c r="D305" i="3"/>
  <c r="C302" i="3"/>
  <c r="E306" i="3"/>
  <c r="F306" i="3" s="1"/>
  <c r="C305" i="3"/>
  <c r="B305" i="3"/>
  <c r="E303" i="3"/>
  <c r="F303" i="3" s="1"/>
  <c r="D303" i="3"/>
  <c r="B302" i="3"/>
  <c r="D87" i="3"/>
  <c r="C90" i="3"/>
  <c r="E49" i="3"/>
  <c r="F49" i="3" s="1"/>
  <c r="B48" i="3"/>
  <c r="D46" i="3"/>
  <c r="B50" i="3"/>
  <c r="C48" i="3"/>
  <c r="C46" i="3"/>
  <c r="B46" i="3"/>
  <c r="D49" i="3"/>
  <c r="E47" i="3"/>
  <c r="F47" i="3" s="1"/>
  <c r="C49" i="3"/>
  <c r="D47" i="3"/>
  <c r="B49" i="3"/>
  <c r="C47" i="3"/>
  <c r="E50" i="3"/>
  <c r="F50" i="3" s="1"/>
  <c r="B47" i="3"/>
  <c r="D50" i="3"/>
  <c r="E48" i="3"/>
  <c r="F48" i="3" s="1"/>
  <c r="C50" i="3"/>
  <c r="D48" i="3"/>
  <c r="E46" i="3"/>
  <c r="F46" i="3" s="1"/>
  <c r="BB26" i="2"/>
  <c r="D20" i="1" s="1"/>
  <c r="E20" i="1" s="1"/>
  <c r="GE6" i="2"/>
  <c r="C224" i="3"/>
  <c r="E222" i="3"/>
  <c r="F222" i="3" s="1"/>
  <c r="B225" i="3"/>
  <c r="C223" i="3"/>
  <c r="E226" i="3"/>
  <c r="F226" i="3" s="1"/>
  <c r="B223" i="3"/>
  <c r="D226" i="3"/>
  <c r="E224" i="3"/>
  <c r="F224" i="3" s="1"/>
  <c r="C226" i="3"/>
  <c r="D224" i="3"/>
  <c r="D222" i="3"/>
  <c r="B226" i="3"/>
  <c r="B224" i="3"/>
  <c r="C222" i="3"/>
  <c r="E225" i="3"/>
  <c r="F225" i="3" s="1"/>
  <c r="B222" i="3"/>
  <c r="D223" i="3"/>
  <c r="D225" i="3"/>
  <c r="C225" i="3"/>
  <c r="E223" i="3"/>
  <c r="F223" i="3" s="1"/>
  <c r="E73" i="3"/>
  <c r="F73" i="3" s="1"/>
  <c r="B72" i="3"/>
  <c r="D70" i="3"/>
  <c r="E74" i="3"/>
  <c r="F74" i="3" s="1"/>
  <c r="B73" i="3"/>
  <c r="D71" i="3"/>
  <c r="E72" i="3"/>
  <c r="F72" i="3" s="1"/>
  <c r="E70" i="3"/>
  <c r="F70" i="3" s="1"/>
  <c r="D74" i="3"/>
  <c r="D72" i="3"/>
  <c r="C70" i="3"/>
  <c r="C74" i="3"/>
  <c r="C72" i="3"/>
  <c r="B70" i="3"/>
  <c r="B74" i="3"/>
  <c r="E71" i="3"/>
  <c r="F71" i="3" s="1"/>
  <c r="D73" i="3"/>
  <c r="C71" i="3"/>
  <c r="C73" i="3"/>
  <c r="B71" i="3"/>
  <c r="CL26" i="2"/>
  <c r="D32" i="1" s="1"/>
  <c r="E32" i="1" s="1"/>
  <c r="GQ6" i="2"/>
  <c r="DD26" i="2"/>
  <c r="GW6" i="2"/>
  <c r="L26" i="2"/>
  <c r="D6" i="1" s="1"/>
  <c r="E6" i="1" s="1"/>
  <c r="B40" i="3"/>
  <c r="E42" i="3"/>
  <c r="F42" i="3" s="1"/>
  <c r="CC26" i="2"/>
  <c r="D29" i="1" s="1"/>
  <c r="E29" i="1" s="1"/>
  <c r="O26" i="2"/>
  <c r="D7" i="1" s="1"/>
  <c r="E7" i="1" s="1"/>
  <c r="DA26" i="2"/>
  <c r="B6" i="3"/>
  <c r="C10" i="3"/>
  <c r="DM26" i="2"/>
  <c r="E90" i="3"/>
  <c r="F90" i="3" s="1"/>
  <c r="U26" i="2"/>
  <c r="D9" i="1" s="1"/>
  <c r="E9" i="1" s="1"/>
  <c r="E233" i="3" l="1"/>
  <c r="F233" i="3" s="1"/>
  <c r="B232" i="3"/>
  <c r="D230" i="3"/>
  <c r="D233" i="3"/>
  <c r="E231" i="3"/>
  <c r="F231" i="3" s="1"/>
  <c r="C233" i="3"/>
  <c r="D231" i="3"/>
  <c r="B233" i="3"/>
  <c r="C231" i="3"/>
  <c r="E234" i="3"/>
  <c r="F234" i="3" s="1"/>
  <c r="B231" i="3"/>
  <c r="D234" i="3"/>
  <c r="E232" i="3"/>
  <c r="F232" i="3" s="1"/>
  <c r="C234" i="3"/>
  <c r="D232" i="3"/>
  <c r="E230" i="3"/>
  <c r="F230" i="3" s="1"/>
  <c r="C232" i="3"/>
  <c r="C230" i="3"/>
  <c r="B230" i="3"/>
  <c r="B234" i="3"/>
  <c r="D266" i="3"/>
  <c r="C263" i="3"/>
  <c r="E265" i="3"/>
  <c r="F265" i="3" s="1"/>
  <c r="B262" i="3"/>
  <c r="D265" i="3"/>
  <c r="E263" i="3"/>
  <c r="F263" i="3" s="1"/>
  <c r="C265" i="3"/>
  <c r="D263" i="3"/>
  <c r="B265" i="3"/>
  <c r="B263" i="3"/>
  <c r="E266" i="3"/>
  <c r="F266" i="3" s="1"/>
  <c r="E264" i="3"/>
  <c r="F264" i="3" s="1"/>
  <c r="C266" i="3"/>
  <c r="D264" i="3"/>
  <c r="E262" i="3"/>
  <c r="F262" i="3" s="1"/>
  <c r="B266" i="3"/>
  <c r="C264" i="3"/>
  <c r="B264" i="3"/>
  <c r="D262" i="3"/>
  <c r="C262" i="3"/>
  <c r="D202" i="3"/>
  <c r="C199" i="3"/>
  <c r="D201" i="3"/>
  <c r="E199" i="3"/>
  <c r="F199" i="3" s="1"/>
  <c r="C201" i="3"/>
  <c r="D199" i="3"/>
  <c r="B201" i="3"/>
  <c r="B199" i="3"/>
  <c r="E202" i="3"/>
  <c r="F202" i="3" s="1"/>
  <c r="E200" i="3"/>
  <c r="F200" i="3" s="1"/>
  <c r="C202" i="3"/>
  <c r="D200" i="3"/>
  <c r="E198" i="3"/>
  <c r="F198" i="3" s="1"/>
  <c r="B202" i="3"/>
  <c r="C200" i="3"/>
  <c r="D198" i="3"/>
  <c r="C198" i="3"/>
  <c r="B198" i="3"/>
  <c r="E201" i="3"/>
  <c r="F201" i="3" s="1"/>
  <c r="B200" i="3"/>
  <c r="C409" i="3"/>
  <c r="E407" i="3"/>
  <c r="F407" i="3" s="1"/>
  <c r="B406" i="3"/>
  <c r="C410" i="3"/>
  <c r="D408" i="3"/>
  <c r="E406" i="3"/>
  <c r="F406" i="3" s="1"/>
  <c r="B408" i="3"/>
  <c r="C406" i="3"/>
  <c r="E409" i="3"/>
  <c r="F409" i="3" s="1"/>
  <c r="D409" i="3"/>
  <c r="D407" i="3"/>
  <c r="B409" i="3"/>
  <c r="E408" i="3"/>
  <c r="F408" i="3" s="1"/>
  <c r="C408" i="3"/>
  <c r="C407" i="3"/>
  <c r="E410" i="3"/>
  <c r="F410" i="3" s="1"/>
  <c r="B407" i="3"/>
  <c r="D410" i="3"/>
  <c r="B410" i="3"/>
  <c r="D406" i="3"/>
  <c r="B442" i="3"/>
  <c r="D440" i="3"/>
  <c r="D442" i="3"/>
  <c r="E440" i="3"/>
  <c r="F440" i="3" s="1"/>
  <c r="E438" i="3"/>
  <c r="F438" i="3" s="1"/>
  <c r="B440" i="3"/>
  <c r="C438" i="3"/>
  <c r="E441" i="3"/>
  <c r="F441" i="3" s="1"/>
  <c r="B438" i="3"/>
  <c r="D441" i="3"/>
  <c r="E439" i="3"/>
  <c r="F439" i="3" s="1"/>
  <c r="C441" i="3"/>
  <c r="D439" i="3"/>
  <c r="C440" i="3"/>
  <c r="C439" i="3"/>
  <c r="B439" i="3"/>
  <c r="D438" i="3"/>
  <c r="E442" i="3"/>
  <c r="F442" i="3" s="1"/>
  <c r="C442" i="3"/>
  <c r="B441" i="3"/>
  <c r="B218" i="3"/>
  <c r="D216" i="3"/>
  <c r="D218" i="3"/>
  <c r="E216" i="3"/>
  <c r="F216" i="3" s="1"/>
  <c r="E214" i="3"/>
  <c r="F214" i="3" s="1"/>
  <c r="C218" i="3"/>
  <c r="C216" i="3"/>
  <c r="D214" i="3"/>
  <c r="B216" i="3"/>
  <c r="C214" i="3"/>
  <c r="E217" i="3"/>
  <c r="F217" i="3" s="1"/>
  <c r="B214" i="3"/>
  <c r="D217" i="3"/>
  <c r="E215" i="3"/>
  <c r="F215" i="3" s="1"/>
  <c r="C217" i="3"/>
  <c r="D215" i="3"/>
  <c r="E218" i="3"/>
  <c r="F218" i="3" s="1"/>
  <c r="B217" i="3"/>
  <c r="C215" i="3"/>
  <c r="B215" i="3"/>
  <c r="D426" i="3"/>
  <c r="C423" i="3"/>
  <c r="D425" i="3"/>
  <c r="E423" i="3"/>
  <c r="F423" i="3" s="1"/>
  <c r="B425" i="3"/>
  <c r="B423" i="3"/>
  <c r="E426" i="3"/>
  <c r="F426" i="3" s="1"/>
  <c r="E424" i="3"/>
  <c r="F424" i="3" s="1"/>
  <c r="C426" i="3"/>
  <c r="D424" i="3"/>
  <c r="E422" i="3"/>
  <c r="F422" i="3" s="1"/>
  <c r="B426" i="3"/>
  <c r="C424" i="3"/>
  <c r="D422" i="3"/>
  <c r="B424" i="3"/>
  <c r="D423" i="3"/>
  <c r="C422" i="3"/>
  <c r="B422" i="3"/>
  <c r="E425" i="3"/>
  <c r="F425" i="3" s="1"/>
  <c r="C425" i="3"/>
  <c r="B138" i="3"/>
  <c r="D136" i="3"/>
  <c r="C136" i="3"/>
  <c r="E134" i="3"/>
  <c r="F134" i="3" s="1"/>
  <c r="E137" i="3"/>
  <c r="F137" i="3" s="1"/>
  <c r="B136" i="3"/>
  <c r="D134" i="3"/>
  <c r="D137" i="3"/>
  <c r="C134" i="3"/>
  <c r="C137" i="3"/>
  <c r="E135" i="3"/>
  <c r="F135" i="3" s="1"/>
  <c r="B134" i="3"/>
  <c r="E138" i="3"/>
  <c r="F138" i="3" s="1"/>
  <c r="B137" i="3"/>
  <c r="D135" i="3"/>
  <c r="E136" i="3"/>
  <c r="F136" i="3" s="1"/>
  <c r="C135" i="3"/>
  <c r="B135" i="3"/>
  <c r="D138" i="3"/>
  <c r="C138" i="3"/>
  <c r="E298" i="3"/>
  <c r="F298" i="3" s="1"/>
  <c r="D298" i="3"/>
  <c r="C295" i="3"/>
  <c r="C298" i="3"/>
  <c r="E296" i="3"/>
  <c r="F296" i="3" s="1"/>
  <c r="B295" i="3"/>
  <c r="B298" i="3"/>
  <c r="D296" i="3"/>
  <c r="E297" i="3"/>
  <c r="F297" i="3" s="1"/>
  <c r="B296" i="3"/>
  <c r="D294" i="3"/>
  <c r="D297" i="3"/>
  <c r="C294" i="3"/>
  <c r="C297" i="3"/>
  <c r="B294" i="3"/>
  <c r="B297" i="3"/>
  <c r="C296" i="3"/>
  <c r="E295" i="3"/>
  <c r="F295" i="3" s="1"/>
  <c r="D295" i="3"/>
  <c r="E294" i="3"/>
  <c r="F294" i="3" s="1"/>
  <c r="C384" i="3"/>
  <c r="E382" i="3"/>
  <c r="F382" i="3" s="1"/>
  <c r="E386" i="3"/>
  <c r="F386" i="3" s="1"/>
  <c r="B383" i="3"/>
  <c r="C386" i="3"/>
  <c r="D384" i="3"/>
  <c r="D382" i="3"/>
  <c r="B386" i="3"/>
  <c r="B384" i="3"/>
  <c r="C382" i="3"/>
  <c r="E385" i="3"/>
  <c r="F385" i="3" s="1"/>
  <c r="B382" i="3"/>
  <c r="D385" i="3"/>
  <c r="C385" i="3"/>
  <c r="B385" i="3"/>
  <c r="E384" i="3"/>
  <c r="F384" i="3" s="1"/>
  <c r="E383" i="3"/>
  <c r="F383" i="3" s="1"/>
  <c r="D383" i="3"/>
  <c r="D386" i="3"/>
  <c r="C383" i="3"/>
  <c r="B378" i="3"/>
  <c r="D376" i="3"/>
  <c r="C378" i="3"/>
  <c r="C376" i="3"/>
  <c r="E374" i="3"/>
  <c r="F374" i="3" s="1"/>
  <c r="E377" i="3"/>
  <c r="F377" i="3" s="1"/>
  <c r="C374" i="3"/>
  <c r="D377" i="3"/>
  <c r="E375" i="3"/>
  <c r="F375" i="3" s="1"/>
  <c r="B374" i="3"/>
  <c r="C377" i="3"/>
  <c r="D375" i="3"/>
  <c r="C375" i="3"/>
  <c r="E378" i="3"/>
  <c r="F378" i="3" s="1"/>
  <c r="B375" i="3"/>
  <c r="D378" i="3"/>
  <c r="D374" i="3"/>
  <c r="B377" i="3"/>
  <c r="E376" i="3"/>
  <c r="F376" i="3" s="1"/>
  <c r="B376" i="3"/>
  <c r="D313" i="3"/>
  <c r="E314" i="3"/>
  <c r="F314" i="3" s="1"/>
  <c r="B313" i="3"/>
  <c r="E312" i="3"/>
  <c r="F312" i="3" s="1"/>
  <c r="B311" i="3"/>
  <c r="D314" i="3"/>
  <c r="D312" i="3"/>
  <c r="C314" i="3"/>
  <c r="C312" i="3"/>
  <c r="E310" i="3"/>
  <c r="F310" i="3" s="1"/>
  <c r="B314" i="3"/>
  <c r="B312" i="3"/>
  <c r="D310" i="3"/>
  <c r="C310" i="3"/>
  <c r="E313" i="3"/>
  <c r="F313" i="3" s="1"/>
  <c r="E311" i="3"/>
  <c r="F311" i="3" s="1"/>
  <c r="B310" i="3"/>
  <c r="C313" i="3"/>
  <c r="C311" i="3"/>
  <c r="D311" i="3"/>
  <c r="C105" i="3"/>
  <c r="E103" i="3"/>
  <c r="F103" i="3" s="1"/>
  <c r="B102" i="3"/>
  <c r="E106" i="3"/>
  <c r="F106" i="3" s="1"/>
  <c r="B105" i="3"/>
  <c r="D103" i="3"/>
  <c r="D106" i="3"/>
  <c r="C103" i="3"/>
  <c r="C106" i="3"/>
  <c r="E104" i="3"/>
  <c r="F104" i="3" s="1"/>
  <c r="B103" i="3"/>
  <c r="B106" i="3"/>
  <c r="D104" i="3"/>
  <c r="C104" i="3"/>
  <c r="E102" i="3"/>
  <c r="F102" i="3" s="1"/>
  <c r="D105" i="3"/>
  <c r="B104" i="3"/>
  <c r="D102" i="3"/>
  <c r="C102" i="3"/>
  <c r="E105" i="3"/>
  <c r="F105" i="3" s="1"/>
  <c r="C281" i="3"/>
  <c r="E282" i="3"/>
  <c r="F282" i="3" s="1"/>
  <c r="B281" i="3"/>
  <c r="D279" i="3"/>
  <c r="B282" i="3"/>
  <c r="D280" i="3"/>
  <c r="C282" i="3"/>
  <c r="E279" i="3"/>
  <c r="F279" i="3" s="1"/>
  <c r="E281" i="3"/>
  <c r="F281" i="3" s="1"/>
  <c r="C279" i="3"/>
  <c r="D281" i="3"/>
  <c r="B279" i="3"/>
  <c r="E278" i="3"/>
  <c r="F278" i="3" s="1"/>
  <c r="E280" i="3"/>
  <c r="F280" i="3" s="1"/>
  <c r="D278" i="3"/>
  <c r="D282" i="3"/>
  <c r="C280" i="3"/>
  <c r="B280" i="3"/>
  <c r="C278" i="3"/>
  <c r="B278" i="3"/>
  <c r="E393" i="3"/>
  <c r="F393" i="3" s="1"/>
  <c r="B392" i="3"/>
  <c r="D390" i="3"/>
  <c r="C393" i="3"/>
  <c r="D391" i="3"/>
  <c r="E394" i="3"/>
  <c r="F394" i="3" s="1"/>
  <c r="B391" i="3"/>
  <c r="D394" i="3"/>
  <c r="E392" i="3"/>
  <c r="F392" i="3" s="1"/>
  <c r="C394" i="3"/>
  <c r="D392" i="3"/>
  <c r="E390" i="3"/>
  <c r="F390" i="3" s="1"/>
  <c r="C392" i="3"/>
  <c r="E391" i="3"/>
  <c r="F391" i="3" s="1"/>
  <c r="C391" i="3"/>
  <c r="B394" i="3"/>
  <c r="C390" i="3"/>
  <c r="B390" i="3"/>
  <c r="D393" i="3"/>
  <c r="B393" i="3"/>
  <c r="C249" i="3"/>
  <c r="E247" i="3"/>
  <c r="F247" i="3" s="1"/>
  <c r="B246" i="3"/>
  <c r="D250" i="3"/>
  <c r="E248" i="3"/>
  <c r="F248" i="3" s="1"/>
  <c r="C250" i="3"/>
  <c r="D248" i="3"/>
  <c r="E246" i="3"/>
  <c r="F246" i="3" s="1"/>
  <c r="B250" i="3"/>
  <c r="C248" i="3"/>
  <c r="D246" i="3"/>
  <c r="B248" i="3"/>
  <c r="C246" i="3"/>
  <c r="E249" i="3"/>
  <c r="F249" i="3" s="1"/>
  <c r="D249" i="3"/>
  <c r="D247" i="3"/>
  <c r="B247" i="3"/>
  <c r="E250" i="3"/>
  <c r="F250" i="3" s="1"/>
  <c r="B249" i="3"/>
  <c r="C247" i="3"/>
  <c r="D186" i="3"/>
  <c r="C183" i="3"/>
  <c r="C186" i="3"/>
  <c r="E184" i="3"/>
  <c r="F184" i="3" s="1"/>
  <c r="B183" i="3"/>
  <c r="B186" i="3"/>
  <c r="D184" i="3"/>
  <c r="C184" i="3"/>
  <c r="E182" i="3"/>
  <c r="F182" i="3" s="1"/>
  <c r="E185" i="3"/>
  <c r="F185" i="3" s="1"/>
  <c r="B184" i="3"/>
  <c r="D182" i="3"/>
  <c r="D185" i="3"/>
  <c r="C182" i="3"/>
  <c r="E186" i="3"/>
  <c r="F186" i="3" s="1"/>
  <c r="C185" i="3"/>
  <c r="B185" i="3"/>
  <c r="E183" i="3"/>
  <c r="F183" i="3" s="1"/>
  <c r="D183" i="3"/>
  <c r="B182" i="3"/>
  <c r="E346" i="3"/>
  <c r="F346" i="3" s="1"/>
  <c r="B345" i="3"/>
  <c r="D343" i="3"/>
  <c r="C346" i="3"/>
  <c r="E344" i="3"/>
  <c r="F344" i="3" s="1"/>
  <c r="B343" i="3"/>
  <c r="B346" i="3"/>
  <c r="D344" i="3"/>
  <c r="C344" i="3"/>
  <c r="E342" i="3"/>
  <c r="F342" i="3" s="1"/>
  <c r="B344" i="3"/>
  <c r="E343" i="3"/>
  <c r="F343" i="3" s="1"/>
  <c r="D346" i="3"/>
  <c r="C343" i="3"/>
  <c r="E345" i="3"/>
  <c r="F345" i="3" s="1"/>
  <c r="D342" i="3"/>
  <c r="D345" i="3"/>
  <c r="C342" i="3"/>
  <c r="C345" i="3"/>
  <c r="B342" i="3"/>
  <c r="E330" i="3"/>
  <c r="F330" i="3" s="1"/>
  <c r="B329" i="3"/>
  <c r="D327" i="3"/>
  <c r="D330" i="3"/>
  <c r="C330" i="3"/>
  <c r="E328" i="3"/>
  <c r="F328" i="3" s="1"/>
  <c r="B327" i="3"/>
  <c r="E329" i="3"/>
  <c r="F329" i="3" s="1"/>
  <c r="C327" i="3"/>
  <c r="D329" i="3"/>
  <c r="C329" i="3"/>
  <c r="E326" i="3"/>
  <c r="F326" i="3" s="1"/>
  <c r="D328" i="3"/>
  <c r="D326" i="3"/>
  <c r="C328" i="3"/>
  <c r="C326" i="3"/>
  <c r="B328" i="3"/>
  <c r="B326" i="3"/>
  <c r="B330" i="3"/>
  <c r="E327" i="3"/>
  <c r="F327" i="3" s="1"/>
  <c r="E153" i="3"/>
  <c r="F153" i="3" s="1"/>
  <c r="B152" i="3"/>
  <c r="D150" i="3"/>
  <c r="D153" i="3"/>
  <c r="C150" i="3"/>
  <c r="C153" i="3"/>
  <c r="E151" i="3"/>
  <c r="F151" i="3" s="1"/>
  <c r="B150" i="3"/>
  <c r="E154" i="3"/>
  <c r="F154" i="3" s="1"/>
  <c r="B153" i="3"/>
  <c r="D151" i="3"/>
  <c r="D154" i="3"/>
  <c r="C151" i="3"/>
  <c r="C154" i="3"/>
  <c r="E152" i="3"/>
  <c r="F152" i="3" s="1"/>
  <c r="B151" i="3"/>
  <c r="B154" i="3"/>
  <c r="D152" i="3"/>
  <c r="C152" i="3"/>
  <c r="E150" i="3"/>
  <c r="F150" i="3" s="1"/>
  <c r="C362" i="3"/>
  <c r="E360" i="3"/>
  <c r="F360" i="3" s="1"/>
  <c r="B359" i="3"/>
  <c r="C360" i="3"/>
  <c r="E358" i="3"/>
  <c r="F358" i="3" s="1"/>
  <c r="E361" i="3"/>
  <c r="F361" i="3" s="1"/>
  <c r="B360" i="3"/>
  <c r="D358" i="3"/>
  <c r="D361" i="3"/>
  <c r="C358" i="3"/>
  <c r="E359" i="3"/>
  <c r="F359" i="3" s="1"/>
  <c r="E362" i="3"/>
  <c r="F362" i="3" s="1"/>
  <c r="D359" i="3"/>
  <c r="D362" i="3"/>
  <c r="C359" i="3"/>
  <c r="B362" i="3"/>
  <c r="C361" i="3"/>
  <c r="B358" i="3"/>
  <c r="B361" i="3"/>
  <c r="D360" i="3"/>
  <c r="C169" i="3"/>
  <c r="E167" i="3"/>
  <c r="F167" i="3" s="1"/>
  <c r="B166" i="3"/>
  <c r="E170" i="3"/>
  <c r="F170" i="3" s="1"/>
  <c r="B169" i="3"/>
  <c r="D167" i="3"/>
  <c r="D170" i="3"/>
  <c r="C167" i="3"/>
  <c r="C170" i="3"/>
  <c r="E168" i="3"/>
  <c r="F168" i="3" s="1"/>
  <c r="B167" i="3"/>
  <c r="B170" i="3"/>
  <c r="D168" i="3"/>
  <c r="C168" i="3"/>
  <c r="E166" i="3"/>
  <c r="F166" i="3" s="1"/>
  <c r="D166" i="3"/>
  <c r="C166" i="3"/>
  <c r="E169" i="3"/>
  <c r="F169" i="3" s="1"/>
  <c r="D169" i="3"/>
  <c r="B168" i="3"/>
</calcChain>
</file>

<file path=xl/sharedStrings.xml><?xml version="1.0" encoding="utf-8"?>
<sst xmlns="http://schemas.openxmlformats.org/spreadsheetml/2006/main" count="1870" uniqueCount="505">
  <si>
    <t>No</t>
  </si>
  <si>
    <t>Bulan - Minggu</t>
  </si>
  <si>
    <t>Rentang Tanggal</t>
  </si>
  <si>
    <t>Growth IPH (%)</t>
  </si>
  <si>
    <t>Arah</t>
  </si>
  <si>
    <t>PERHITUNGAN IPH MINGGUAN JANUARI - DESEMBER 2025 (55 minggu) - PASAR PON JOMBANG</t>
  </si>
  <si>
    <t>Formula: Andil_i(Mt) = Bobot_i x [(P̄Mt,i - P̄bulan sebelumnya,i)/P̄bulan sebelumnya,i] x 100% ; Growth IPH(Mt) = Σ Andil_i(Mt). Acuan m-1 tiap minggu = rata-rata bulan kalender sebelumnya (mis. minggu2 Januari acuan = rata2 Desember 2024).</t>
  </si>
  <si>
    <t>Jan 2025 - M1 (01-03)</t>
  </si>
  <si>
    <t>Jan 2025 - M2 (06-10)</t>
  </si>
  <si>
    <t>Jan 2025 - M3 (13-17)</t>
  </si>
  <si>
    <t>Jan 2025 - M4 (20-24)</t>
  </si>
  <si>
    <t>Jan 2025 - M5 (27-31)</t>
  </si>
  <si>
    <t>Feb 2025 - M1 (03-07)</t>
  </si>
  <si>
    <t>Feb 2025 - M2 (10-14)</t>
  </si>
  <si>
    <t>Feb 2025 - M3 (17-21)</t>
  </si>
  <si>
    <t>Feb 2025 - M4 (24-28)</t>
  </si>
  <si>
    <t>Mar 2025 - M1 (03-07)</t>
  </si>
  <si>
    <t>Mar 2025 - M2 (10-14)</t>
  </si>
  <si>
    <t>Mar 2025 - M3 (17-21)</t>
  </si>
  <si>
    <t>Mar 2025 - M4 (24-28)</t>
  </si>
  <si>
    <t>Mar 2025 - M5 (31-31)</t>
  </si>
  <si>
    <t>Apr 2025 - M1 (01-04)</t>
  </si>
  <si>
    <t>Apr 2025 - M2 (07-11)</t>
  </si>
  <si>
    <t>Apr 2025 - M3 (14-18)</t>
  </si>
  <si>
    <t>Apr 2025 - M4 (21-25)</t>
  </si>
  <si>
    <t>Apr 2025 - M5 (28-30)</t>
  </si>
  <si>
    <t>Mei 2025 - M1 (01-02)</t>
  </si>
  <si>
    <t>Mei 2025 - M2 (05-09)</t>
  </si>
  <si>
    <t>Mei 2025 - M3 (12-16)</t>
  </si>
  <si>
    <t>Mei 2025 - M4 (19-23)</t>
  </si>
  <si>
    <t>Mei 2025 - M5 (26-30)</t>
  </si>
  <si>
    <t>Jun 2025 - M1 (02-06)</t>
  </si>
  <si>
    <t>Jun 2025 - M2 (09-13)</t>
  </si>
  <si>
    <t>Jun 2025 - M3 (16-20)</t>
  </si>
  <si>
    <t>Jun 2025 - M4 (23-27)</t>
  </si>
  <si>
    <t>Jul 2025 - M1 (01-04)</t>
  </si>
  <si>
    <t>Jul 2025 - M2 (07-11)</t>
  </si>
  <si>
    <t>Jul 2025 - M3 (14-18)</t>
  </si>
  <si>
    <t>Jul 2025 - M4 (21-25)</t>
  </si>
  <si>
    <t>Jul 2025 - M5 (28-31)</t>
  </si>
  <si>
    <t>Agu 2025 - M1 (04-08)</t>
  </si>
  <si>
    <t>Agu 2025 - M2 (11-15)</t>
  </si>
  <si>
    <t>Agu 2025 - M3 (18-22)</t>
  </si>
  <si>
    <t>Agu 2025 - M4 (25-29)</t>
  </si>
  <si>
    <t>Sep 2025 - M1 (01-05)</t>
  </si>
  <si>
    <t>Sep 2025 - M2 (08-12)</t>
  </si>
  <si>
    <t>Sep 2025 - M3 (15-19)</t>
  </si>
  <si>
    <t>Sep 2025 - M4 (22-26)</t>
  </si>
  <si>
    <t>Okt 2025 - M1 (01-03)</t>
  </si>
  <si>
    <t>Okt 2025 - M2 (06-10)</t>
  </si>
  <si>
    <t>Okt 2025 - M3 (13-17)</t>
  </si>
  <si>
    <t>Okt 2025 - M4 (20-24)</t>
  </si>
  <si>
    <t>Okt 2025 - M5 (27-31)</t>
  </si>
  <si>
    <t>Nov 2025 - M1 (03-07)</t>
  </si>
  <si>
    <t>Nov 2025 - M2 (10-14)</t>
  </si>
  <si>
    <t>Nov 2025 - M3 (17-21)</t>
  </si>
  <si>
    <t>Nov 2025 - M4 (24-28)</t>
  </si>
  <si>
    <t>Des 2025 - M1 (01-05)</t>
  </si>
  <si>
    <t>Des 2025 - M2 (08-12)</t>
  </si>
  <si>
    <t>Des 2025 - M3 (15-19)</t>
  </si>
  <si>
    <t>Des 2025 - M4 (22-26)</t>
  </si>
  <si>
    <t>Des 2025 - M5 (29-31)</t>
  </si>
  <si>
    <t>Komoditas (standar IPH)</t>
  </si>
  <si>
    <t>Bobot (wi)</t>
  </si>
  <si>
    <t>P̄</t>
  </si>
  <si>
    <t>Growth%</t>
  </si>
  <si>
    <t>Andil%</t>
  </si>
  <si>
    <t>Catatan Pemetaan</t>
  </si>
  <si>
    <t>ABS[Jan 2025-M1]</t>
  </si>
  <si>
    <t>ABS[Jan 2025-M2]</t>
  </si>
  <si>
    <t>ABS[Jan 2025-M3]</t>
  </si>
  <si>
    <t>ABS[Jan 2025-M4]</t>
  </si>
  <si>
    <t>ABS[Jan 2025-M5]</t>
  </si>
  <si>
    <t>ABS[Feb 2025-M1]</t>
  </si>
  <si>
    <t>ABS[Feb 2025-M2]</t>
  </si>
  <si>
    <t>ABS[Feb 2025-M3]</t>
  </si>
  <si>
    <t>ABS[Feb 2025-M4]</t>
  </si>
  <si>
    <t>ABS[Mar 2025-M1]</t>
  </si>
  <si>
    <t>ABS[Mar 2025-M2]</t>
  </si>
  <si>
    <t>ABS[Mar 2025-M3]</t>
  </si>
  <si>
    <t>ABS[Mar 2025-M4]</t>
  </si>
  <si>
    <t>ABS[Mar 2025-M5]</t>
  </si>
  <si>
    <t>ABS[Apr 2025-M1]</t>
  </si>
  <si>
    <t>ABS[Apr 2025-M2]</t>
  </si>
  <si>
    <t>ABS[Apr 2025-M3]</t>
  </si>
  <si>
    <t>ABS[Apr 2025-M4]</t>
  </si>
  <si>
    <t>ABS[Apr 2025-M5]</t>
  </si>
  <si>
    <t>ABS[Mei 2025-M1]</t>
  </si>
  <si>
    <t>ABS[Mei 2025-M2]</t>
  </si>
  <si>
    <t>ABS[Mei 2025-M3]</t>
  </si>
  <si>
    <t>ABS[Mei 2025-M4]</t>
  </si>
  <si>
    <t>ABS[Mei 2025-M5]</t>
  </si>
  <si>
    <t>ABS[Jun 2025-M1]</t>
  </si>
  <si>
    <t>ABS[Jun 2025-M2]</t>
  </si>
  <si>
    <t>ABS[Jun 2025-M3]</t>
  </si>
  <si>
    <t>ABS[Jun 2025-M4]</t>
  </si>
  <si>
    <t>ABS[Jul 2025-M1]</t>
  </si>
  <si>
    <t>ABS[Jul 2025-M2]</t>
  </si>
  <si>
    <t>ABS[Jul 2025-M3]</t>
  </si>
  <si>
    <t>ABS[Jul 2025-M4]</t>
  </si>
  <si>
    <t>ABS[Jul 2025-M5]</t>
  </si>
  <si>
    <t>ABS[Agu 2025-M1]</t>
  </si>
  <si>
    <t>ABS[Agu 2025-M2]</t>
  </si>
  <si>
    <t>ABS[Agu 2025-M3]</t>
  </si>
  <si>
    <t>ABS[Agu 2025-M4]</t>
  </si>
  <si>
    <t>ABS[Sep 2025-M1]</t>
  </si>
  <si>
    <t>ABS[Sep 2025-M2]</t>
  </si>
  <si>
    <t>ABS[Sep 2025-M3]</t>
  </si>
  <si>
    <t>ABS[Sep 2025-M4]</t>
  </si>
  <si>
    <t>ABS[Okt 2025-M1]</t>
  </si>
  <si>
    <t>ABS[Okt 2025-M2]</t>
  </si>
  <si>
    <t>ABS[Okt 2025-M3]</t>
  </si>
  <si>
    <t>ABS[Okt 2025-M4]</t>
  </si>
  <si>
    <t>ABS[Okt 2025-M5]</t>
  </si>
  <si>
    <t>ABS[Nov 2025-M1]</t>
  </si>
  <si>
    <t>ABS[Nov 2025-M2]</t>
  </si>
  <si>
    <t>ABS[Nov 2025-M3]</t>
  </si>
  <si>
    <t>ABS[Nov 2025-M4]</t>
  </si>
  <si>
    <t>ABS[Des 2025-M1]</t>
  </si>
  <si>
    <t>ABS[Des 2025-M2]</t>
  </si>
  <si>
    <t>ABS[Des 2025-M3]</t>
  </si>
  <si>
    <t>ABS[Des 2025-M4]</t>
  </si>
  <si>
    <t>ABS[Des 2025-M5]</t>
  </si>
  <si>
    <t>beras 1111001</t>
  </si>
  <si>
    <t>tepung terigu 01115005</t>
  </si>
  <si>
    <t>tahu mentah 1194011</t>
  </si>
  <si>
    <t>daging ayam ras 1124003</t>
  </si>
  <si>
    <t>minyak goreng 01154001/4</t>
  </si>
  <si>
    <t>udang lobster 01132004</t>
  </si>
  <si>
    <t>Proksi: 'Udang Basah' (tidak ada varian lobster).</t>
  </si>
  <si>
    <t>pisang ambon 1162001</t>
  </si>
  <si>
    <t>Proksi: 'Pisang Lokal' (tidak ada varian ambon).</t>
  </si>
  <si>
    <t>cabai rawit 01173013</t>
  </si>
  <si>
    <t>telur ayam ras 01147002</t>
  </si>
  <si>
    <t>gula pasir 1181001</t>
  </si>
  <si>
    <t>ikan kembung 01131028</t>
  </si>
  <si>
    <t>Proksi: 'Ikan Tongkol' (ikan laut sejenis).</t>
  </si>
  <si>
    <t>susu bubuk bayi 01143001/2</t>
  </si>
  <si>
    <t>Proksi: 'Susu Bubuk Balita'.</t>
  </si>
  <si>
    <t>bawang merah 1174006</t>
  </si>
  <si>
    <t>bawang putih 01174007</t>
  </si>
  <si>
    <t>mi instan 01115012</t>
  </si>
  <si>
    <t>susu bubuk 01143001/2</t>
  </si>
  <si>
    <t>Proksi: 'Susu Kental Manis' (tidak ada varian susu bubuk dewasa terpisah).</t>
  </si>
  <si>
    <t>cabai merah 01173012</t>
  </si>
  <si>
    <t>daging sapi 01121001</t>
  </si>
  <si>
    <t>tempe 01194013</t>
  </si>
  <si>
    <t>jeruk 01161001-33</t>
  </si>
  <si>
    <t>TOTAL / GROWTH IPH MINGGU INI</t>
  </si>
  <si>
    <t>Diurutkan berdasarkan nilai mutlak (absolut) andil per minggu. Keterangan: KENAIKAN/PENURUNAN menunjukkan arah kontribusi komoditas terhadap IPH minggu tsb.</t>
  </si>
  <si>
    <t>Peringkat</t>
  </si>
  <si>
    <t>Komoditas</t>
  </si>
  <si>
    <t>Pertumbuhan Harga (%)</t>
  </si>
  <si>
    <t>Andil thd IPH (%)</t>
  </si>
  <si>
    <t>Keterangan</t>
  </si>
  <si>
    <t>ANALISIS &amp; SARAN KEBIJAKAN UNTUK PEMERINTAH KABUPATEN JOMBANG - TAHUN 2025</t>
  </si>
  <si>
    <t>Berdasarkan hasil perhitungan IPH mingguan Januari-Desember 2025 (55 minggu, data Pasar Pon Jombang)</t>
  </si>
  <si>
    <t>1. POLA UMUM SEPANJANG TAHUN 2025</t>
  </si>
  <si>
    <t>Dari 55 minggu yang dihitung, terdapat 2 minggu tanpa data valid (31 Maret &amp; 1-4 April 2025) karena pasar tutup libur Idul Fitri 1446H - ditandai 'Data tidak tersedia' pada sheet perhitungan. Periode MEI 2025 menonjol sebagai bulan dengan tekanan PENURUNAN IPH paling konsisten (growth mingguan berkisar -2,2% s/d -2,9% di seluruh 5 minggunya), kemungkinan koreksi harga pasca lonjakan permintaan Ramadhan-Lebaran (Maret-April). Sebaliknya, JULI 2025 menunjukkan tren KENAIKAN IPH yang cukup konsisten (4 dari 5 minggu positif, hingga +2,1%), dan DESEMBER 2025 kembali berfluktuasi menjelang Natal &amp; Tahun Baru.</t>
  </si>
  <si>
    <t>2. KOMODITAS PALING SERING MENJADI PENYUMBANG KENAIKAN IPH</t>
  </si>
  <si>
    <t>CABAI RAWIT paling sering muncul sebagai penyumbang kenaikan terbesar (23 dari 55 minggu) dengan andil kumulatif net POSITIF terbesar sepanjang tahun - komoditas ini paling volatile dan paling sering mendorong IPH naik. CABAI MERAH (18 minggu), TELUR AYAM RAS (18 minggu), DAGING AYAM RAS (17 minggu), dan BAWANG MERAH (17 minggu) juga berulang kali menjadi penyumbang kenaikan, meski beberapa di antaranya (daging ayam ras, bawang merah) sama seringnya menjadi penyumbang PENURUNAN di minggu lain - menunjukkan harga yang sangat fluktuatif dua arah, bukan tren naik searah.</t>
  </si>
  <si>
    <t>3. KOMODITAS DENGAN TREN PENURUNAN NET SEPANJANG TAHUN</t>
  </si>
  <si>
    <t>DAGING AYAM RAS mencatat andil kumulatif NET NEGATIF terbesar (muncul sebagai penyumbang penurunan di 25 dari 55 minggu) - mengindikasikan harga cenderung melemah sepanjang tahun, baik bagi konsumen namun perlu diwaspadai dampaknya ke peternak lokal. JERUK LOKAL, DAGING SAPI, dan PISANG LOKAL juga mencatat andil net negatif - harga komoditas hortikultura dan protein hewani ini secara umum melandai sepanjang 2025 di Pasar Pon Jombang.</t>
  </si>
  <si>
    <t>4. SARAN UNTUK PEMERINTAH KABUPATEN JOMBANG</t>
  </si>
  <si>
    <t>a. CABAI RAWIT &amp; CABAI MERAH (paling sering mendorong kenaikan IPH, hingga +50% dalam seminggu pada Januari): perkuat program tanam cabai mandiri/pekarangan (Gerakan Tanam Cabai), perluas kerja sama dengan sentra produksi luar daerah untuk stabilisasi pasokan saat off-season, dan siapkan operasi pasar cepat-tanggap begitu andil mingguannya mulai naik tajam (&gt;0,3%) - jangan menunggu akumulasi bulanan.</t>
  </si>
  <si>
    <t>b. TELUR AYAM RAS &amp; DAGING AYAM RAS (fluktuatif dua arah, sering top-5 di kedua arah): koordinasikan dengan asosiasi peternak lokal untuk kontrak harga/pasokan yang lebih stabil, serta pantau harga pakan ternak (jagung, konsentrat) yang menjadi determinan utama biaya produksi kedua komoditas ini.</t>
  </si>
  <si>
    <t>c. Pantau khusus periode MEI 2025 sebagai preseden: penurunan harga pasca-Lebaran yang tajam dan berkepanjangan (5 minggu berturut-turut) menunjukkan perlunya skema penyerapan hasil panen/ternak lokal pasca hari besar keagamaan agar produsen tidak mengalami kerugian akibat surplus pasokan/permintaan yang anjlok mendadak.</t>
  </si>
  <si>
    <t>d. Jadikan minggu-minggu dengan status 'Data tidak tersedia' (libur panjang keagamaan) sebagai perhatian khusus - pastikan pemantauan SP2KP tetap berjalan di pasar alternatif pada periode libur panjang agar IPH tetap terukur dan kebijakan pengendalian inflasi tidak kehilangan data pada momen krusial (menjelang &amp; sesudah hari raya, biasanya periode rawan gejolak harga).</t>
  </si>
  <si>
    <t>e. Karena seluruh perhitungan ini hanya berbasis SATU pasar (Pasar Pon Jombang), lengkapi dengan data SP2KP dari pasar/kios lain di seluruh kecamatan agar IPH mingguan kabupaten merepresentasikan kondisi riil secara utuh, sesuai metodologi resmi BPS.</t>
  </si>
  <si>
    <t>f. Gunakan sheet 'Ringkasan Mingguan 2025' (beserta grafik tren) dan 'Top 5 Andil per Minggu 2025' sebagai bahan rutin Rapat Koordinasi Pengendalian Inflasi Daerah (TPID) mingguan - seluruh angka di file ini otomatis ter-update apabila data harga harian baru di-input.</t>
  </si>
  <si>
    <t>PEMETAAN 20 KOMODITAS STANDAR IPH KE VARIAN HARGA PASAR PON JOMBANG</t>
  </si>
  <si>
    <t>Digunakan oleh seluruh formula AVERAGEIF pada sheet 'Perhitungan IPH Mingguan 2025'. Ubah pemetaan di kolom B jika tersedia data yang lebih sesuai.</t>
  </si>
  <si>
    <t>Variant Sumber Data</t>
  </si>
  <si>
    <t>P̄ Des 2024 (m-1)</t>
  </si>
  <si>
    <t>P̄ Jan 2025 (m-1)</t>
  </si>
  <si>
    <t>P̄ Feb 2025 (m-1)</t>
  </si>
  <si>
    <t>P̄ Mar 2025 (m-1)</t>
  </si>
  <si>
    <t>P̄ Apr 2025 (m-1)</t>
  </si>
  <si>
    <t>P̄ Mei 2025 (m-1)</t>
  </si>
  <si>
    <t>P̄ Jun 2025 (m-1)</t>
  </si>
  <si>
    <t>P̄ Jul 2025 (m-1)</t>
  </si>
  <si>
    <t>P̄ Agu 2025 (m-1)</t>
  </si>
  <si>
    <t>P̄ Sep 2025 (m-1)</t>
  </si>
  <si>
    <t>P̄ Okt 2025 (m-1)</t>
  </si>
  <si>
    <t>P̄ Nov 2025 (m-1)</t>
  </si>
  <si>
    <t>P̄ Jan 2025 M1 (01-03)</t>
  </si>
  <si>
    <t>P̄ Jan 2025 M2 (06-10)</t>
  </si>
  <si>
    <t>P̄ Jan 2025 M3 (13-17)</t>
  </si>
  <si>
    <t>P̄ Jan 2025 M4 (20-24)</t>
  </si>
  <si>
    <t>P̄ Jan 2025 M5 (27-31)</t>
  </si>
  <si>
    <t>P̄ Feb 2025 M1 (03-07)</t>
  </si>
  <si>
    <t>P̄ Feb 2025 M2 (10-14)</t>
  </si>
  <si>
    <t>P̄ Feb 2025 M3 (17-21)</t>
  </si>
  <si>
    <t>P̄ Feb 2025 M4 (24-28)</t>
  </si>
  <si>
    <t>P̄ Mar 2025 M1 (03-07)</t>
  </si>
  <si>
    <t>P̄ Mar 2025 M2 (10-14)</t>
  </si>
  <si>
    <t>P̄ Mar 2025 M3 (17-21)</t>
  </si>
  <si>
    <t>P̄ Mar 2025 M4 (24-28)</t>
  </si>
  <si>
    <t>P̄ Mar 2025 M5 (31-31)</t>
  </si>
  <si>
    <t>P̄ Apr 2025 M1 (01-04)</t>
  </si>
  <si>
    <t>P̄ Apr 2025 M2 (07-11)</t>
  </si>
  <si>
    <t>P̄ Apr 2025 M3 (14-18)</t>
  </si>
  <si>
    <t>P̄ Apr 2025 M4 (21-25)</t>
  </si>
  <si>
    <t>P̄ Apr 2025 M5 (28-30)</t>
  </si>
  <si>
    <t>P̄ Mei 2025 M1 (01-02)</t>
  </si>
  <si>
    <t>P̄ Mei 2025 M2 (05-09)</t>
  </si>
  <si>
    <t>P̄ Mei 2025 M3 (12-16)</t>
  </si>
  <si>
    <t>P̄ Mei 2025 M4 (19-23)</t>
  </si>
  <si>
    <t>P̄ Mei 2025 M5 (26-30)</t>
  </si>
  <si>
    <t>P̄ Jun 2025 M1 (02-06)</t>
  </si>
  <si>
    <t>P̄ Jun 2025 M2 (09-13)</t>
  </si>
  <si>
    <t>P̄ Jun 2025 M3 (16-20)</t>
  </si>
  <si>
    <t>P̄ Jun 2025 M4 (23-27)</t>
  </si>
  <si>
    <t>P̄ Jul 2025 M1 (01-04)</t>
  </si>
  <si>
    <t>P̄ Jul 2025 M2 (07-11)</t>
  </si>
  <si>
    <t>P̄ Jul 2025 M3 (14-18)</t>
  </si>
  <si>
    <t>P̄ Jul 2025 M4 (21-25)</t>
  </si>
  <si>
    <t>P̄ Jul 2025 M5 (28-31)</t>
  </si>
  <si>
    <t>P̄ Agu 2025 M1 (04-08)</t>
  </si>
  <si>
    <t>P̄ Agu 2025 M2 (11-15)</t>
  </si>
  <si>
    <t>P̄ Agu 2025 M3 (18-22)</t>
  </si>
  <si>
    <t>P̄ Agu 2025 M4 (25-29)</t>
  </si>
  <si>
    <t>P̄ Sep 2025 M1 (01-05)</t>
  </si>
  <si>
    <t>P̄ Sep 2025 M2 (08-12)</t>
  </si>
  <si>
    <t>P̄ Sep 2025 M3 (15-19)</t>
  </si>
  <si>
    <t>P̄ Sep 2025 M4 (22-26)</t>
  </si>
  <si>
    <t>P̄ Okt 2025 M1 (01-03)</t>
  </si>
  <si>
    <t>P̄ Okt 2025 M2 (06-10)</t>
  </si>
  <si>
    <t>P̄ Okt 2025 M3 (13-17)</t>
  </si>
  <si>
    <t>P̄ Okt 2025 M4 (20-24)</t>
  </si>
  <si>
    <t>P̄ Okt 2025 M5 (27-31)</t>
  </si>
  <si>
    <t>P̄ Nov 2025 M1 (03-07)</t>
  </si>
  <si>
    <t>P̄ Nov 2025 M2 (10-14)</t>
  </si>
  <si>
    <t>P̄ Nov 2025 M3 (17-21)</t>
  </si>
  <si>
    <t>P̄ Nov 2025 M4 (24-28)</t>
  </si>
  <si>
    <t>P̄ Des 2025 M1 (01-05)</t>
  </si>
  <si>
    <t>P̄ Des 2025 M2 (08-12)</t>
  </si>
  <si>
    <t>P̄ Des 2025 M3 (15-19)</t>
  </si>
  <si>
    <t>P̄ Des 2025 M4 (22-26)</t>
  </si>
  <si>
    <t>P̄ Des 2025 M5 (29-31)</t>
  </si>
  <si>
    <t>Beras Medium</t>
  </si>
  <si>
    <t>Beras Premium</t>
  </si>
  <si>
    <t>Beras SPHP Bulog</t>
  </si>
  <si>
    <t>Tepung Terigu</t>
  </si>
  <si>
    <t>Tahu Putih</t>
  </si>
  <si>
    <t>Daging Ayam Ras</t>
  </si>
  <si>
    <t>Minyak Goreng Sawit Curah</t>
  </si>
  <si>
    <t>Minyak Goreng Sawit Kemasan Premium</t>
  </si>
  <si>
    <t>Minyakita</t>
  </si>
  <si>
    <t>Udang Basah</t>
  </si>
  <si>
    <t>Pisang Lokal</t>
  </si>
  <si>
    <t>Cabai Rawit Merah</t>
  </si>
  <si>
    <t>Telur Ayam Ras</t>
  </si>
  <si>
    <t>Gula Pasir Curah</t>
  </si>
  <si>
    <t>Ikan Tongkol</t>
  </si>
  <si>
    <t>Susu Bubuk Balita</t>
  </si>
  <si>
    <t>Bawang Merah</t>
  </si>
  <si>
    <t>Bawang Putih Honan</t>
  </si>
  <si>
    <t>Bawang Putih Kating</t>
  </si>
  <si>
    <t>Mie Instan</t>
  </si>
  <si>
    <t>Susu Kental Manis</t>
  </si>
  <si>
    <t>Cabai Merah Keriting</t>
  </si>
  <si>
    <t>Cabai Merah Besar</t>
  </si>
  <si>
    <t>Daging Sapi Paha Belakang</t>
  </si>
  <si>
    <t>Daging Sapi Sandung Lamur</t>
  </si>
  <si>
    <t>Daging Sapi Tetelan</t>
  </si>
  <si>
    <t>Tempe Bungkus</t>
  </si>
  <si>
    <t>Jeruk Lokal</t>
  </si>
  <si>
    <t>NILAI KONSUMSI DASAR 2022 (P0i . Q0i) &amp; BOBOT - 20 KOMODITAS IPH</t>
  </si>
  <si>
    <t>Sumber: file P0Q0.xlsx. Bobot diambil langsung dari sheet 'bobot' pada file sumber (nilai resmi).</t>
  </si>
  <si>
    <t>Q0i (Volume)</t>
  </si>
  <si>
    <t>P0i (Harga dasar 2022)</t>
  </si>
  <si>
    <t>Nilai Konsumsi0</t>
  </si>
  <si>
    <t>Bobot (wi) - resmi</t>
  </si>
  <si>
    <t>TOTAL</t>
  </si>
  <si>
    <t>DATA HARGA HARIAN - PASAR PON JOMBANG - DES 2024</t>
  </si>
  <si>
    <t>Sumber: SP2KP Kementerian Perdagangan. Nilai 0 (hari libur pasar) dikecualikan dari rata-rata.</t>
  </si>
  <si>
    <t>Variant</t>
  </si>
  <si>
    <t>Unit</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</si>
  <si>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</si>
  <si>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</si>
  <si>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</si>
  <si>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</si>
  <si>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</si>
  <si>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</si>
  <si>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</si>
  <si>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</si>
  <si>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</si>
  <si>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</si>
  <si>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</si>
  <si>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</si>
  <si>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</si>
  <si>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</si>
  <si>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</si>
  <si>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</si>
  <si>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</si>
  <si>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</si>
  <si>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</si>
  <si>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</si>
  <si>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Rata-rata M1 (02-06)</t>
  </si>
  <si>
    <t>Rata-rata M2 (09-13)</t>
  </si>
  <si>
    <t>Rata-rata M3 (16-20)</t>
  </si>
  <si>
    <t>Rata-rata M4 (23-27)</t>
  </si>
  <si>
    <t>Rata-rata Bulan Des 2024</t>
  </si>
  <si>
    <t>kg</t>
  </si>
  <si>
    <t>Kedelai Impor</t>
  </si>
  <si>
    <t>Ikan Bandeng</t>
  </si>
  <si>
    <t>Ikan Teri</t>
  </si>
  <si>
    <t>Bawang Bombai</t>
  </si>
  <si>
    <t>Garam Halus</t>
  </si>
  <si>
    <t>Tomat</t>
  </si>
  <si>
    <t>Kentang Sedang</t>
  </si>
  <si>
    <t>Sawi Hijau</t>
  </si>
  <si>
    <t>Kangkung</t>
  </si>
  <si>
    <t>Ketimun Sedang</t>
  </si>
  <si>
    <t>Kacang Panjang</t>
  </si>
  <si>
    <t>Ketela Pohon</t>
  </si>
  <si>
    <t>Daging Ayam Kampung</t>
  </si>
  <si>
    <t>Telur Ayam Kampung</t>
  </si>
  <si>
    <t>Kacang Tanah</t>
  </si>
  <si>
    <t>Kacang Hijau</t>
  </si>
  <si>
    <t>Rata-rata M1 (01-03)</t>
  </si>
  <si>
    <t>Rata-rata M2 (06-10)</t>
  </si>
  <si>
    <t>Rata-rata M3 (13-17)</t>
  </si>
  <si>
    <t>Rata-rata M4 (20-24)</t>
  </si>
  <si>
    <t>Rata-rata M5 (27-31)</t>
  </si>
  <si>
    <t>Rata-rata M1 (03-07)</t>
  </si>
  <si>
    <t>Rata-rata M2 (10-14)</t>
  </si>
  <si>
    <t>Rata-rata M3 (17-21)</t>
  </si>
  <si>
    <t>Rata-rata M4 (24-28)</t>
  </si>
  <si>
    <t>Rata-rata M5 (31-31)</t>
  </si>
  <si>
    <t>Rata-rata M1 (01-04)</t>
  </si>
  <si>
    <t>Rata-rata M2 (07-11)</t>
  </si>
  <si>
    <t>Rata-rata M3 (14-18)</t>
  </si>
  <si>
    <t>Rata-rata M4 (21-25)</t>
  </si>
  <si>
    <t>Rata-rata M5 (28-30)</t>
  </si>
  <si>
    <t>Rata-rata M1 (01-02)</t>
  </si>
  <si>
    <t>Rata-rata M2 (05-09)</t>
  </si>
  <si>
    <t>Rata-rata M3 (12-16)</t>
  </si>
  <si>
    <t>Rata-rata M4 (19-23)</t>
  </si>
  <si>
    <t>Rata-rata M5 (26-30)</t>
  </si>
  <si>
    <t>Rata-rata M5 (28-31)</t>
  </si>
  <si>
    <t>DATA HARGA HARIAN - PASAR PON JOMBANG - AGU 2025</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</si>
  <si>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</si>
  <si>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</si>
  <si>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</si>
  <si>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</si>
  <si>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</si>
  <si>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</si>
  <si>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</si>
  <si>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</si>
  <si>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</si>
  <si>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</si>
  <si>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</si>
  <si>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</si>
  <si>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</si>
  <si>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</si>
  <si>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</si>
  <si>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</si>
  <si>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</si>
  <si>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</si>
  <si>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</si>
  <si>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</si>
  <si>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Rata-rata M1 (04-08)</t>
  </si>
  <si>
    <t>Rata-rata M2 (11-15)</t>
  </si>
  <si>
    <t>Rata-rata M3 (18-22)</t>
  </si>
  <si>
    <t>Rata-rata M4 (25-29)</t>
  </si>
  <si>
    <t>Rata-rata Bulan Agu 2025</t>
  </si>
  <si>
    <t>RINGKASAN GROWTH IPH MINGGUAN JANUARI - DESEMBER 2026 (Pasar Pon Jombang)</t>
  </si>
  <si>
    <t>Jan 2026 - M1</t>
  </si>
  <si>
    <t>2026-01-01 s/d 2026-01-03</t>
  </si>
  <si>
    <t>Jan 2026 - M2</t>
  </si>
  <si>
    <t>2026-01-06 s/d 2026-01-10</t>
  </si>
  <si>
    <t>DATA HARGA HARIAN - PASAR PON JOMBANG - APR 2026</t>
  </si>
  <si>
    <t>Rata-rata Bulan Apr 2026</t>
  </si>
  <si>
    <t>DATA HARGA HARIAN - PASAR PON JOMBANG - MEI 2026</t>
  </si>
  <si>
    <t>Rata-rata Bulan Mei 2026</t>
  </si>
  <si>
    <t>DATA HARGA HARIAN - PASAR PON JOMBANG - JUN 2026</t>
  </si>
  <si>
    <t>Rata-rata Bulan Jun 2026</t>
  </si>
  <si>
    <t>DATA HARGA HARIAN - PASAR PON JOMBANG - JAN 2026</t>
  </si>
  <si>
    <t>Rata-rata Bulan Jan 2026</t>
  </si>
  <si>
    <t>DATA HARGA HARIAN - PASAR PON JOMBANG - FEB 2026</t>
  </si>
  <si>
    <t>Rata-rata Bulan Feb 2026</t>
  </si>
  <si>
    <t>DATA HARGA HARIAN - PASAR PON JOMBANG - MAR 2026</t>
  </si>
  <si>
    <t>Rata-rata Bulan Mar 2026</t>
  </si>
  <si>
    <t>DATA HARGA HARIAN - PASAR PON JOMBANG - JUL 2026</t>
  </si>
  <si>
    <t>Rata-rata Bulan Jul 2026</t>
  </si>
  <si>
    <t>Jan 2026 - M3</t>
  </si>
  <si>
    <t>2026-01-13 s/d 2026-01-17</t>
  </si>
  <si>
    <t>Jan 2026 - M4</t>
  </si>
  <si>
    <t>2026-01-20 s/d 2026-01-24</t>
  </si>
  <si>
    <t>Jan 2026 - M5</t>
  </si>
  <si>
    <t>2026-01-27 s/d 2026-01-31</t>
  </si>
  <si>
    <t>Feb 2026 - M1</t>
  </si>
  <si>
    <t>2026-02-03 s/d 2026-02-07</t>
  </si>
  <si>
    <t>Feb 2026 - M2</t>
  </si>
  <si>
    <t>2026-02-10 s/d 2026-02-14</t>
  </si>
  <si>
    <t>Feb 2026 - M3</t>
  </si>
  <si>
    <t>2026-02-17 s/d 2026-02-21</t>
  </si>
  <si>
    <t>Feb 2026 - M4</t>
  </si>
  <si>
    <t>2026-02-24 s/d 2026-02-28</t>
  </si>
  <si>
    <t>Mar 2026 - M1</t>
  </si>
  <si>
    <t>2026-03-03 s/d 2026-03-07</t>
  </si>
  <si>
    <t>Mar 2026 - M2</t>
  </si>
  <si>
    <t>2026-03-10 s/d 2026-03-14</t>
  </si>
  <si>
    <t>Mar 2026 - M3</t>
  </si>
  <si>
    <t>2026-03-17 s/d 2026-03-21</t>
  </si>
  <si>
    <t>Mar 2026 - M4</t>
  </si>
  <si>
    <t>2026-03-24 s/d 2026-03-28</t>
  </si>
  <si>
    <t>Mar 2026 - M5</t>
  </si>
  <si>
    <t>2026-03-31 s/d 2026-03-31</t>
  </si>
  <si>
    <t>Apr 2026 - M1</t>
  </si>
  <si>
    <t>2026-04-01 s/d 2026-04-04</t>
  </si>
  <si>
    <t>Apr 2026 - M2</t>
  </si>
  <si>
    <t>2026-04-07 s/d 2026-04-11</t>
  </si>
  <si>
    <t>Apr 2026 - M3</t>
  </si>
  <si>
    <t>2026-04-14 s/d 2026-04-18</t>
  </si>
  <si>
    <t>Apr 2026 - M4</t>
  </si>
  <si>
    <t>2026-04-21 s/d 2026-04-25</t>
  </si>
  <si>
    <t>Apr 2026 - M5</t>
  </si>
  <si>
    <t>2026-04-28 s/d 2026-04-30</t>
  </si>
  <si>
    <t>Mei 2026 - M1</t>
  </si>
  <si>
    <t>2026-05-01 s/d 2026-05-02</t>
  </si>
  <si>
    <t>Mei 2026 - M2</t>
  </si>
  <si>
    <t>2026-05-05 s/d 2026-05-09</t>
  </si>
  <si>
    <t>Mei 2026 - M3</t>
  </si>
  <si>
    <t>2026-05-12 s/d 2026-05-16</t>
  </si>
  <si>
    <t>Mei 2026 - M4</t>
  </si>
  <si>
    <t>2026-05-19 s/d 2026-05-23</t>
  </si>
  <si>
    <t>Mei 2026 - M5</t>
  </si>
  <si>
    <t>2026-05-26 s/d 2026-05-30</t>
  </si>
  <si>
    <t>Jun 2026 - M1</t>
  </si>
  <si>
    <t>2026-06-02 s/d 2026-06-06</t>
  </si>
  <si>
    <t>Jun 2026 - M2</t>
  </si>
  <si>
    <t>2026-06-09 s/d 2026-06-13</t>
  </si>
  <si>
    <t>Jun 2026 - M3</t>
  </si>
  <si>
    <t>2026-06-16 s/d 2026-06-20</t>
  </si>
  <si>
    <t>Jun 2026 - M4</t>
  </si>
  <si>
    <t>2026-06-23 s/d 2026-06-27</t>
  </si>
  <si>
    <t>Jul 2026 - M1</t>
  </si>
  <si>
    <t>2026-07-01 s/d 2026-07-04</t>
  </si>
  <si>
    <t>Jul 2026 - M2</t>
  </si>
  <si>
    <t>2026-07-07 s/d 2026-07-11</t>
  </si>
  <si>
    <t>Jul 2026 - M3</t>
  </si>
  <si>
    <t>2026-07-14 s/d 2026-07-18</t>
  </si>
  <si>
    <t>Jul 2026 - M4</t>
  </si>
  <si>
    <t>2026-07-21 s/d 2026-07-25</t>
  </si>
  <si>
    <t>Jul 2026 - M5</t>
  </si>
  <si>
    <t>2026-07-28 s/d 2026-07-31</t>
  </si>
  <si>
    <t>5 KOMODITAS DENGAN ANDIL TERBESAR PER MINGGU - JANUARI-AGUSTUS 2026</t>
  </si>
  <si>
    <t>JAN 2026 - MINGGU M1 (2026-01-01 s/d 2026-01-03)</t>
  </si>
  <si>
    <t>JAN 2026 - MINGGU M2 (2026-01-06 s/d 2026-01-10)</t>
  </si>
  <si>
    <t>JAN 2026 - MINGGU M3 (2026-01-13 s/d 2026-01-17)</t>
  </si>
  <si>
    <t>JAN 2026 - MINGGU M4 (2026-01-20 s/d 2026-01-24)</t>
  </si>
  <si>
    <t>JAN 2026 - MINGGU M5 (2026-01-27 s/d 2026-01-31)</t>
  </si>
  <si>
    <t>FEB 2026 - MINGGU M1 (2026-02-03 s/d 2026-02-07)</t>
  </si>
  <si>
    <t>FEB 2026 - MINGGU M2 (2026-02-10 s/d 2026-02-14)</t>
  </si>
  <si>
    <t>FEB 2026 - MINGGU M3 (2026-02-17 s/d 2026-02-21)</t>
  </si>
  <si>
    <t>FEB 2026 - MINGGU M4 (2026-02-24 s/d 2026-02-28)</t>
  </si>
  <si>
    <t>MAR 2026 - MINGGU M1 (2026-03-03 s/d 2026-03-07)</t>
  </si>
  <si>
    <t>MAR 2026 - MINGGU M2 (2026-03-10 s/d 2026-03-14)</t>
  </si>
  <si>
    <t>MAR 2026 - MINGGU M3 (2026-03-17 s/d 2026-03-21)</t>
  </si>
  <si>
    <t>MAR 2026 - MINGGU M4 (2026-03-24 s/d 2026-03-28)</t>
  </si>
  <si>
    <t>MAR 2026 - MINGGU M5 (2026-03-31 s/d 2026-03-31)</t>
  </si>
  <si>
    <t>APR 2026 - MINGGU M1 (2026-04-01 s/d 2026-04-04)</t>
  </si>
  <si>
    <t>APR 2026 - MINGGU M2 (2026-04-07 s/d 2026-04-11)</t>
  </si>
  <si>
    <t>APR 2026 - MINGGU M3 (2026-04-14 s/d 2026-04-18)</t>
  </si>
  <si>
    <t>APR 2026 - MINGGU M4 (2026-04-21 s/d 2026-04-25)</t>
  </si>
  <si>
    <t>APR 2026 - MINGGU M5 (2026-04-28 s/d 2026-04-30)</t>
  </si>
  <si>
    <t>MEI 2026 - MINGGU M1 (2026-05-01 s/d 2026-05-02)</t>
  </si>
  <si>
    <t>MEI 2026 - MINGGU M2 (2026-05-05 s/d 2026-05-09)</t>
  </si>
  <si>
    <t>MEI 2026 - MINGGU M3 (2026-05-12 s/d 2026-05-16)</t>
  </si>
  <si>
    <t>MEI 2026 - MINGGU M4 (2026-05-19 s/d 2026-05-23)</t>
  </si>
  <si>
    <t>MEI 2026 - MINGGU M5 (2026-05-26 s/d 2026-05-30)</t>
  </si>
  <si>
    <t>JUN 2026 - MINGGU M1 (2026-06-02 s/d 2026-06-06)</t>
  </si>
  <si>
    <t>JUN 2026 - MINGGU M2 (2026-06-09 s/d 2026-06-13)</t>
  </si>
  <si>
    <t>JUN 2026 - MINGGU M3 (2026-06-16 s/d 2026-06-20)</t>
  </si>
  <si>
    <t>JUN 2026 - MINGGU M4 (2026-06-23 s/d 2026-06-27)</t>
  </si>
  <si>
    <t>JUL 2026 - MINGGU M1 (2026-07-01 s/d 2026-07-04)</t>
  </si>
  <si>
    <t>JUL 2026 - MINGGU M2 (2026-07-07 s/d 2026-07-11)</t>
  </si>
  <si>
    <t>JUL 2026 - MINGGU M3 (2026-07-14 s/d 2026-07-18)</t>
  </si>
  <si>
    <t>JUL 2026 - MINGGU M4 (2026-07-21 s/d 2026-07-25)</t>
  </si>
  <si>
    <t>JUL 2026 - MINGGU M5 (2026-07-28 s/d 2026-07-31)</t>
  </si>
  <si>
    <t>AGU 2026 - MINGGU M1 (2026-08-04 s/d 2026-08-08)</t>
  </si>
  <si>
    <t>AGU 2026 - MINGGU M2 (2026-08-11 s/d 2026-08-15)</t>
  </si>
  <si>
    <t>AGU 2026 - MINGGU M3 (2026-08-18 s/d 2026-08-22)</t>
  </si>
  <si>
    <t>AGU 2026 - MINGGU M4 (2026-08-25 s/d 2026-08-29)</t>
  </si>
  <si>
    <t>SEP 2026 - MINGGU M1 (2026-09-01 s/d 2026-09-05)</t>
  </si>
  <si>
    <t>SEP 2026 - MINGGU M2 (2026-09-08 s/d 2026-09-12)</t>
  </si>
  <si>
    <t>SEP 2026 - MINGGU M3 (2026-09-15 s/d 2026-09-19)</t>
  </si>
  <si>
    <t>SEP 2026 - MINGGU M4 (2026-09-22 s/d 2026-09-26)</t>
  </si>
  <si>
    <t>OKT 2026 - MINGGU M1 (2026-10-01 s/d 2026-10-03)</t>
  </si>
  <si>
    <t>OKT 2026 - MINGGU M2 (2026-10-06 s/d 2026-10-10)</t>
  </si>
  <si>
    <t>OKT 2026 - MINGGU M3 (2026-10-13 s/d 2026-10-17)</t>
  </si>
  <si>
    <t>OKT 2026 - MINGGU M4 (2026-10-20 s/d 2026-10-24)</t>
  </si>
  <si>
    <t>OKT 2026 - MINGGU M5 (2026-10-27 s/d 2026-10-31)</t>
  </si>
  <si>
    <t>NOV 2026 - MINGGU M1 (2026-11-03 s/d 2026-11-07)</t>
  </si>
  <si>
    <t>NOV 2026 - MINGGU M2 (2026-11-10 s/d 2026-11-14)</t>
  </si>
  <si>
    <t>NOV 2026 - MINGGU M3 (2026-11-17 s/d 2026-11-21)</t>
  </si>
  <si>
    <t>NOV 2026 - MINGGU M4 (2026-11-24 s/d 2026-11-28)</t>
  </si>
  <si>
    <t>DES 2026 - MINGGU M1 (2026-12-01 s/d 2026-12-05)</t>
  </si>
  <si>
    <t>DES 2026 - MINGGU M2 (2026-12-08 s/d 2026-12-12)</t>
  </si>
  <si>
    <t>DES 2026 - MINGGU M3 (2026-12-15 s/d 2026-12-19)</t>
  </si>
  <si>
    <t>DES 2026 - MINGGU M4 (2026-12-22 s/d 2026-12-26)</t>
  </si>
  <si>
    <t>DES 2026 - MINGGU M5 (2026-12-29 s/d 2026-12-31)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</si>
</sst>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
    <numFmt numFmtId="166" formatCode="0.000000"/>
  </numFmts>
  <fonts count="14" x14ac:knownFonts="1">
    <font>
      <sz val="11"/>
      <color theme="1"/>
      <name val="Calibri"/>
      <family val="2"/>
      <charset val="1"/>
    </font>
    <font>
      <b/>
      <sz val="13"/>
      <color rgb="FFFFFFFF"/>
      <name val="Arial"/>
      <charset val="1"/>
    </font>
    <font>
      <b/>
      <sz val="9"/>
      <color rgb="FFFFFFFF"/>
      <name val="Arial"/>
      <charset val="1"/>
    </font>
    <font>
      <sz val="9"/>
      <name val="Arial"/>
      <charset val="1"/>
    </font>
    <font>
      <sz val="9"/>
      <color rgb="FF000000"/>
      <name val="Arial"/>
      <charset val="1"/>
    </font>
    <font>
      <i/>
      <sz val="9"/>
      <color rgb="FF595959"/>
      <name val="Arial"/>
      <charset val="1"/>
    </font>
    <font>
      <b/>
      <sz val="8"/>
      <color rgb="FFFFFFFF"/>
      <name val="Arial"/>
      <charset val="1"/>
    </font>
    <font>
      <sz val="7"/>
      <color rgb="FFA6A6A6"/>
      <name val="Arial"/>
      <charset val="1"/>
    </font>
    <font>
      <sz val="9"/>
      <color rgb="FF008000"/>
      <name val="Arial"/>
      <charset val="1"/>
    </font>
    <font>
      <b/>
      <sz val="10"/>
      <name val="Arial"/>
      <charset val="1"/>
    </font>
    <font>
      <b/>
      <sz val="10"/>
      <color rgb="FFFFFFFF"/>
      <name val="Arial"/>
      <charset val="1"/>
    </font>
    <font>
      <b/>
      <sz val="11"/>
      <color rgb="FFFFFFFF"/>
      <name val="Arial"/>
      <charset val="1"/>
    </font>
    <font>
      <sz val="10"/>
      <name val="Arial"/>
      <charset val="1"/>
    </font>
    <font>
      <sz val="9"/>
      <color rgb="FF0000FF"/>
      <name val="Arial"/>
      <charset val="1"/>
    </font>
  </fonts>
  <fills count="5">
    <fill>
      <patternFill patternType="none"/>
    </fill>
    <fill>
      <patternFill patternType="gray125"/>
    </fill>
    <fill>
      <patternFill patternType="solid">
        <fgColor rgb="FF1F4E78"/>
        <bgColor rgb="FF003366"/>
      </patternFill>
    </fill>
    <fill>
      <patternFill patternType="solid">
        <fgColor rgb="FFFFE699"/>
        <bgColor rgb="FFF8CBAD"/>
      </patternFill>
    </fill>
    <fill>
      <patternFill patternType="solid">
        <fgColor rgb="FF2E75B6"/>
        <bgColor rgb="FF0066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5">
    <xf numFmtId="0" fontId="0" fillId="0" borderId="0" xfId="0"/>
    <xf numFmtId="0" fontId="1" fillId="2" borderId="0" xfId="0" applyFont="1" applyFill="1"/>
    <xf numFmtId="0" fontId="2" fillId="2" borderId="1" xfId="0" applyFont="1" applyFill="1" applyBorder="1" applyAlignment="1">
      <alignment horizontal="center" vertical="center" wrapText="1"/>
    </xf>
    <xf numFmtId="0" fontId="3" fillId="0" borderId="1" xfId="0" applyFont="1" applyBorder="1"/>
    <xf numFmtId="164" fontId="4" fillId="0" borderId="1" xfId="0" applyNumberFormat="1" applyFont="1" applyBorder="1"/>
    <xf numFmtId="0" fontId="4" fillId="0" borderId="1" xfId="0" applyFont="1" applyBorder="1"/>
    <xf numFmtId="0" fontId="5" fillId="0" borderId="0" xfId="0" applyFont="1"/>
    <xf numFmtId="0" fontId="0" fillId="2" borderId="1" xfId="0" applyFill="1" applyBorder="1"/>
    <xf numFmtId="0" fontId="6" fillId="2" borderId="1" xfId="0" applyFont="1" applyFill="1" applyBorder="1" applyAlignment="1">
      <alignment horizontal="center" vertical="center" wrapText="1"/>
    </xf>
    <xf numFmtId="0" fontId="7" fillId="0" borderId="0" xfId="0" applyFont="1"/>
    <xf numFmtId="165" fontId="8" fillId="0" borderId="1" xfId="0" applyNumberFormat="1" applyFont="1" applyBorder="1"/>
    <xf numFmtId="4" fontId="4" fillId="0" borderId="1" xfId="0" applyNumberFormat="1" applyFont="1" applyBorder="1"/>
    <xf numFmtId="2" fontId="4" fillId="0" borderId="1" xfId="0" applyNumberFormat="1" applyFont="1" applyBorder="1"/>
    <xf numFmtId="0" fontId="5" fillId="0" borderId="1" xfId="0" applyFont="1" applyBorder="1"/>
    <xf numFmtId="0" fontId="0" fillId="3" borderId="1" xfId="0" applyFill="1" applyBorder="1"/>
    <xf numFmtId="0" fontId="9" fillId="3" borderId="1" xfId="0" applyFont="1" applyFill="1" applyBorder="1"/>
    <xf numFmtId="164" fontId="9" fillId="3" borderId="1" xfId="0" applyNumberFormat="1" applyFont="1" applyFill="1" applyBorder="1"/>
    <xf numFmtId="165" fontId="4" fillId="0" borderId="1" xfId="0" applyNumberFormat="1" applyFont="1" applyBorder="1"/>
    <xf numFmtId="0" fontId="9" fillId="0" borderId="1" xfId="0" applyFont="1" applyBorder="1"/>
    <xf numFmtId="0" fontId="6" fillId="2" borderId="1" xfId="0" applyFont="1" applyFill="1" applyBorder="1" applyAlignment="1">
      <alignment horizontal="center" wrapText="1"/>
    </xf>
    <xf numFmtId="0" fontId="13" fillId="0" borderId="1" xfId="0" applyFont="1" applyBorder="1"/>
    <xf numFmtId="4" fontId="8" fillId="0" borderId="1" xfId="0" applyNumberFormat="1" applyFont="1" applyBorder="1"/>
    <xf numFmtId="166" fontId="13" fillId="0" borderId="1" xfId="0" applyNumberFormat="1" applyFont="1" applyBorder="1"/>
    <xf numFmtId="4" fontId="13" fillId="0" borderId="1" xfId="0" applyNumberFormat="1" applyFont="1" applyBorder="1"/>
    <xf numFmtId="165" fontId="13" fillId="0" borderId="1" xfId="0" applyNumberFormat="1" applyFont="1" applyBorder="1"/>
    <xf numFmtId="0" fontId="9" fillId="0" borderId="0" xfId="0" applyFont="1"/>
    <xf numFmtId="165" fontId="9" fillId="3" borderId="0" xfId="0" applyNumberFormat="1" applyFont="1" applyFill="1"/>
    <xf numFmtId="3" fontId="13" fillId="0" borderId="1" xfId="0" applyNumberFormat="1" applyFont="1" applyBorder="1"/>
    <xf numFmtId="0" fontId="0" fillId="0" borderId="1" xfId="0" applyBorder="1"/>
    <xf numFmtId="14" fontId="6" fillId="2" borderId="1" xfId="0" applyNumberFormat="1" applyFont="1" applyFill="1" applyBorder="1" applyAlignment="1">
      <alignment horizontal="center" vertical="center" wrapText="1"/>
    </xf>
    <xf numFmtId="0" fontId="1" fillId="2" borderId="0" xfId="0" applyFont="1" applyFill="1"/>
    <xf numFmtId="0" fontId="6" fillId="2" borderId="1" xfId="0" applyFont="1" applyFill="1" applyBorder="1" applyAlignment="1">
      <alignment horizontal="center"/>
    </xf>
    <xf numFmtId="0" fontId="10" fillId="4" borderId="0" xfId="0" applyFont="1" applyFill="1"/>
    <xf numFmtId="0" fontId="12" fillId="0" borderId="0" xfId="0" applyFont="1" applyAlignment="1">
      <alignment vertical="top" wrapText="1"/>
    </xf>
    <xf numFmtId="0" fontId="11" fillId="4" borderId="0" xfId="0" applyFont="1" applyFill="1"/>
  </cellXfs>
  <cellStyles count="1">
    <cellStyle name="Normal" xfId="0" builtinId="0"/>
  </cellStyles>
  <dxfs count="112">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2E75B6"/>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Growth IPH Mingguan 2026 (Pasar Pon Jombang)</a:t>
            </a:r>
          </a:p>
        </c:rich>
      </c:tx>
      <c:overlay val="0"/>
      <c:spPr>
        <a:noFill/>
        <a:ln w="0">
          <a:noFill/>
        </a:ln>
      </c:spPr>
    </c:title>
    <c:autoTitleDeleted val="0"/>
    <c:plotArea>
      <c:layout>
        <c:manualLayout>
          <c:layoutTarget val="inner"/>
          <c:xMode val="edge"/>
          <c:yMode val="edge"/>
          <c:x val="8.5215719826304312E-2"/>
          <c:y val="0.20518305555519467"/>
          <c:w val="0.79258060549292131"/>
          <c:h val="0.77467972910298166"/>
        </c:manualLayout>
      </c:layout>
      <c:lineChart>
        <c:grouping val="standard"/>
        <c:varyColors val="0"/>
        <c:ser>
          <c:idx val="0"/>
          <c:order val="0"/>
          <c:tx>
            <c:strRef>
              <c:f>'Ringkasan Mingguan 2026'!$D$3</c:f>
              <c:strCache>
                <c:ptCount val="1"/>
                <c:pt idx="0">
                  <c:v>Growth IPH (%)</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'Ringkasan Mingguan 2026'!$B$4:$B$58</c:f>
              <c:strCache>
                <c:ptCount val="33"/>
                <c:pt idx="0">
                  <c:v>Jan 2026 - M1</c:v>
                </c:pt>
                <c:pt idx="1">
                  <c:v>Jan 2026 - M2</c:v>
                </c:pt>
                <c:pt idx="2">
                  <c:v>Jan 2026 - M3</c:v>
                </c:pt>
                <c:pt idx="3">
                  <c:v>Jan 2026 - M4</c:v>
                </c:pt>
                <c:pt idx="4">
                  <c:v>Jan 2026 - M5</c:v>
                </c:pt>
                <c:pt idx="5">
                  <c:v>Feb 2026 - M1</c:v>
                </c:pt>
                <c:pt idx="6">
                  <c:v>Feb 2026 - M2</c:v>
                </c:pt>
                <c:pt idx="7">
                  <c:v>Feb 2026 - M3</c:v>
                </c:pt>
                <c:pt idx="8">
                  <c:v>Feb 2026 - M4</c:v>
                </c:pt>
                <c:pt idx="9">
                  <c:v>Mar 2026 - M1</c:v>
                </c:pt>
                <c:pt idx="10">
                  <c:v>Mar 2026 - M2</c:v>
                </c:pt>
                <c:pt idx="11">
                  <c:v>Mar 2026 - M3</c:v>
                </c:pt>
                <c:pt idx="12">
                  <c:v>Mar 2026 - M4</c:v>
                </c:pt>
                <c:pt idx="13">
                  <c:v>Mar 2026 - M5</c:v>
                </c:pt>
                <c:pt idx="14">
                  <c:v>Apr 2026 - M1</c:v>
                </c:pt>
                <c:pt idx="15">
                  <c:v>Apr 2026 - M2</c:v>
                </c:pt>
                <c:pt idx="16">
                  <c:v>Apr 2026 - M3</c:v>
                </c:pt>
                <c:pt idx="17">
                  <c:v>Apr 2026 - M4</c:v>
                </c:pt>
                <c:pt idx="18">
                  <c:v>Apr 2026 - M5</c:v>
                </c:pt>
                <c:pt idx="19">
                  <c:v>Mei 2026 - M1</c:v>
                </c:pt>
                <c:pt idx="20">
                  <c:v>Mei 2026 - M2</c:v>
                </c:pt>
                <c:pt idx="21">
                  <c:v>Mei 2026 - M3</c:v>
                </c:pt>
                <c:pt idx="22">
                  <c:v>Mei 2026 - M4</c:v>
                </c:pt>
                <c:pt idx="23">
                  <c:v>Mei 2026 - M5</c:v>
                </c:pt>
                <c:pt idx="24">
                  <c:v>Jun 2026 - M1</c:v>
                </c:pt>
                <c:pt idx="25">
                  <c:v>Jun 2026 - M2</c:v>
                </c:pt>
                <c:pt idx="26">
                  <c:v>Jun 2026 - M3</c:v>
                </c:pt>
                <c:pt idx="27">
                  <c:v>Jun 2026 - M4</c:v>
                </c:pt>
                <c:pt idx="28">
                  <c:v>Jul 2026 - M1</c:v>
                </c:pt>
                <c:pt idx="29">
                  <c:v>Jul 2026 - M2</c:v>
                </c:pt>
                <c:pt idx="30">
                  <c:v>Jul 2026 - M3</c:v>
                </c:pt>
                <c:pt idx="31">
                  <c:v>Jul 2026 - M4</c:v>
                </c:pt>
                <c:pt idx="32">
                  <c:v>Jul 2026 - M5</c:v>
                </c:pt>
              </c:strCache>
            </c:strRef>
          </c:cat>
          <c:val>
            <c:numRef>
              <c:f>'Ringkasan Mingguan 2026'!$D$4:$D$58</c:f>
              <c:numCache>
                <c:formatCode>0.0000</c:formatCode>
                <c:ptCount val="55"/>
                <c:pt idx="0">
                  <c:v>1.1530139849890313</c:v>
                </c:pt>
                <c:pt idx="1">
                  <c:v>0.15142596793834739</c:v>
                </c:pt>
                <c:pt idx="2">
                  <c:v>-0.25084792924398852</c:v>
                </c:pt>
                <c:pt idx="3">
                  <c:v>-0.30159398975557572</c:v>
                </c:pt>
                <c:pt idx="4">
                  <c:v>-0.10571837146977697</c:v>
                </c:pt>
                <c:pt idx="5">
                  <c:v>-0.11346942587549752</c:v>
                </c:pt>
                <c:pt idx="6">
                  <c:v>0.2535249453527898</c:v>
                </c:pt>
                <c:pt idx="7">
                  <c:v>0.56512699350189899</c:v>
                </c:pt>
                <c:pt idx="8">
                  <c:v>0.66673851962785413</c:v>
                </c:pt>
                <c:pt idx="9">
                  <c:v>-0.19664308760111171</c:v>
                </c:pt>
                <c:pt idx="10">
                  <c:v>-0.49580175927155878</c:v>
                </c:pt>
                <c:pt idx="11">
                  <c:v>-0.38663971345566772</c:v>
                </c:pt>
                <c:pt idx="12">
                  <c:v>-0.18705727228308988</c:v>
                </c:pt>
                <c:pt idx="13">
                  <c:v>0</c:v>
                </c:pt>
                <c:pt idx="14">
                  <c:v>0</c:v>
                </c:pt>
                <c:pt idx="15">
                  <c:v>1.3979463972709847</c:v>
                </c:pt>
                <c:pt idx="16">
                  <c:v>0.15108690811807685</c:v>
                </c:pt>
                <c:pt idx="17">
                  <c:v>-0.73894568612045042</c:v>
                </c:pt>
                <c:pt idx="18">
                  <c:v>-2.9422083707634115</c:v>
                </c:pt>
                <c:pt idx="19">
                  <c:v>-2.7846872776417957</c:v>
                </c:pt>
                <c:pt idx="20">
                  <c:v>-2.6192920369874297</c:v>
                </c:pt>
                <c:pt idx="21">
                  <c:v>-2.6757647826570863</c:v>
                </c:pt>
                <c:pt idx="22">
                  <c:v>-2.6305094572302008</c:v>
                </c:pt>
                <c:pt idx="23">
                  <c:v>-2.1536787855374193</c:v>
                </c:pt>
                <c:pt idx="24">
                  <c:v>2.1033152300334943</c:v>
                </c:pt>
                <c:pt idx="25">
                  <c:v>-6.6809020422701468E-2</c:v>
                </c:pt>
                <c:pt idx="26">
                  <c:v>-2.6092597655702159</c:v>
                </c:pt>
                <c:pt idx="27">
                  <c:v>-2.1984711702121564</c:v>
                </c:pt>
                <c:pt idx="28">
                  <c:v>-0.41679671985782191</c:v>
                </c:pt>
                <c:pt idx="29">
                  <c:v>1.4606367053740379</c:v>
                </c:pt>
                <c:pt idx="30">
                  <c:v>1.0420114081359162</c:v>
                </c:pt>
                <c:pt idx="31">
                  <c:v>2.1075933185867433</c:v>
                </c:pt>
                <c:pt idx="32">
                  <c:v>1.6725605587016106</c:v>
                </c:pt>
              </c:numCache>
            </c:numRef>
          </c:val>
          <c:smooth val="1"/>
          <c:extLst>
            <c:ext xmlns:c16="http://schemas.microsoft.com/office/drawing/2014/chart" uri="{C3380CC4-5D6E-409C-BE32-E72D297353CC}">
              <c16:uniqueId val="{00000000-39DA-41CB-925B-8D3CA2DF902F}"/>
            </c:ext>
          </c:extLst>
        </c:ser>
        <c:dLbls>
          <c:showLegendKey val="0"/>
          <c:showVal val="0"/>
          <c:showCatName val="0"/>
          <c:showSerName val="0"/>
          <c:showPercent val="0"/>
          <c:showBubbleSize val="0"/>
        </c:dLbls>
        <c:hiLowLines>
          <c:spPr>
            <a:ln w="0">
              <a:noFill/>
            </a:ln>
          </c:spPr>
        </c:hiLowLines>
        <c:smooth val="0"/>
        <c:axId val="26198960"/>
        <c:axId val="18802732"/>
      </c:lineChart>
      <c:catAx>
        <c:axId val="261989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8802732"/>
        <c:crosses val="autoZero"/>
        <c:auto val="1"/>
        <c:lblAlgn val="ctr"/>
        <c:lblOffset val="100"/>
        <c:noMultiLvlLbl val="0"/>
      </c:catAx>
      <c:valAx>
        <c:axId val="1880273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Growth IPH (%)</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19896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175680</xdr:rowOff>
    </xdr:from>
    <xdr:to>
      <xdr:col>24</xdr:col>
      <xdr:colOff>512280</xdr:colOff>
      <xdr:row>22</xdr:row>
      <xdr:rowOff>135000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
  <sheetViews>
    <sheetView showGridLines="0" zoomScale="64" zoomScaleNormal="100" workbookViewId="0">
      <pane ySplit="3" topLeftCell="A4" activePane="bottomLeft" state="frozen"/>
      <selection pane="bottomLeft" activeCell="O38" sqref="O38"/>
    </sheetView>
  </sheetViews>
  <sheetFormatPr defaultColWidth="8.6328125" defaultRowHeight="14.5" x14ac:dyDescent="0.35"/>
  <cols>
    <col min="1" max="1" width="4" customWidth="1"/>
    <col min="2" max="2" width="16" customWidth="1"/>
    <col min="3" max="3" width="22" customWidth="1"/>
    <col min="4" max="4" width="16" customWidth="1"/>
    <col min="5" max="5" width="10" customWidth="1"/>
  </cols>
  <sheetData>
    <row r="1" spans="1:5" ht="16.5" x14ac:dyDescent="0.35">
      <c r="A1" s="30" t="s">
        <v>368</v>
      </c>
      <c r="B1" s="30"/>
      <c r="C1" s="30"/>
      <c r="D1" s="30"/>
      <c r="E1" s="30"/>
    </row>
    <row r="3" spans="1:5" x14ac:dyDescent="0.35">
      <c r="A3" s="2" t="s">
        <v>0</v>
      </c>
      <c r="B3" s="2" t="s">
        <v>1</v>
      </c>
      <c r="C3" s="2" t="s">
        <v>2</v>
      </c>
      <c r="D3" s="2" t="s">
        <v>3</v>
      </c>
      <c r="E3" s="2" t="s">
        <v>4</v>
      </c>
    </row>
    <row r="4" spans="1:5" x14ac:dyDescent="0.35">
      <c r="A4" s="3">
        <v>1</v>
      </c>
      <c r="B4" s="3" t="s">
        <v>369</v>
      </c>
      <c r="C4" s="3" t="s">
        <v>370</v>
      </c>
      <c r="D4" s="4">
        <f>'Perhitungan IPH Mingguan 2026'!F26</f>
        <v>1.1530139849890313</v>
      </c>
      <c r="E4" s="5" t="str">
        <f t="shared" ref="E4:E35" si="0">IF(ISNUMBER(D4),IF(D4&gt;0,"Naik","Turun"),"-")</f>
        <v>Naik</v>
      </c>
    </row>
    <row r="5" spans="1:5" x14ac:dyDescent="0.35">
      <c r="A5" s="3">
        <v>2</v>
      </c>
      <c r="B5" s="3" t="s">
        <v>371</v>
      </c>
      <c r="C5" s="3" t="s">
        <v>372</v>
      </c>
      <c r="D5" s="4">
        <f>'Perhitungan IPH Mingguan 2026'!I26</f>
        <v>0.15142596793834739</v>
      </c>
      <c r="E5" s="5" t="str">
        <f t="shared" si="0"/>
        <v>Naik</v>
      </c>
    </row>
    <row r="6" spans="1:5" x14ac:dyDescent="0.35">
      <c r="A6" s="3">
        <v>3</v>
      </c>
      <c r="B6" s="3" t="s">
        <v>387</v>
      </c>
      <c r="C6" s="3" t="s">
        <v>388</v>
      </c>
      <c r="D6" s="4">
        <f>'Perhitungan IPH Mingguan 2026'!L26</f>
        <v>-0.25084792924398852</v>
      </c>
      <c r="E6" s="5" t="str">
        <f t="shared" si="0"/>
        <v>Turun</v>
      </c>
    </row>
    <row r="7" spans="1:5" x14ac:dyDescent="0.35">
      <c r="A7" s="3">
        <v>4</v>
      </c>
      <c r="B7" s="3" t="s">
        <v>389</v>
      </c>
      <c r="C7" s="3" t="s">
        <v>390</v>
      </c>
      <c r="D7" s="4">
        <f>'Perhitungan IPH Mingguan 2026'!O26</f>
        <v>-0.30159398975557572</v>
      </c>
      <c r="E7" s="5" t="str">
        <f t="shared" si="0"/>
        <v>Turun</v>
      </c>
    </row>
    <row r="8" spans="1:5" x14ac:dyDescent="0.35">
      <c r="A8" s="3">
        <v>5</v>
      </c>
      <c r="B8" s="3" t="s">
        <v>391</v>
      </c>
      <c r="C8" s="3" t="s">
        <v>392</v>
      </c>
      <c r="D8" s="4">
        <f>'Perhitungan IPH Mingguan 2026'!R26</f>
        <v>-0.10571837146977697</v>
      </c>
      <c r="E8" s="5" t="str">
        <f t="shared" si="0"/>
        <v>Turun</v>
      </c>
    </row>
    <row r="9" spans="1:5" x14ac:dyDescent="0.35">
      <c r="A9" s="3">
        <v>6</v>
      </c>
      <c r="B9" s="3" t="s">
        <v>393</v>
      </c>
      <c r="C9" s="3" t="s">
        <v>394</v>
      </c>
      <c r="D9" s="4">
        <f>'Perhitungan IPH Mingguan 2026'!U26</f>
        <v>-0.11346942587549752</v>
      </c>
      <c r="E9" s="5" t="str">
        <f t="shared" si="0"/>
        <v>Turun</v>
      </c>
    </row>
    <row r="10" spans="1:5" x14ac:dyDescent="0.35">
      <c r="A10" s="3">
        <v>7</v>
      </c>
      <c r="B10" s="3" t="s">
        <v>395</v>
      </c>
      <c r="C10" s="3" t="s">
        <v>396</v>
      </c>
      <c r="D10" s="4">
        <f>'Perhitungan IPH Mingguan 2026'!X26</f>
        <v>0.2535249453527898</v>
      </c>
      <c r="E10" s="5" t="str">
        <f t="shared" si="0"/>
        <v>Naik</v>
      </c>
    </row>
    <row r="11" spans="1:5" x14ac:dyDescent="0.35">
      <c r="A11" s="3">
        <v>8</v>
      </c>
      <c r="B11" s="3" t="s">
        <v>397</v>
      </c>
      <c r="C11" s="3" t="s">
        <v>398</v>
      </c>
      <c r="D11" s="4">
        <f>'Perhitungan IPH Mingguan 2026'!AA26</f>
        <v>0.56512699350189899</v>
      </c>
      <c r="E11" s="5" t="str">
        <f t="shared" si="0"/>
        <v>Naik</v>
      </c>
    </row>
    <row r="12" spans="1:5" x14ac:dyDescent="0.35">
      <c r="A12" s="3">
        <v>9</v>
      </c>
      <c r="B12" s="3" t="s">
        <v>399</v>
      </c>
      <c r="C12" s="3" t="s">
        <v>400</v>
      </c>
      <c r="D12" s="4">
        <f>'Perhitungan IPH Mingguan 2026'!AD26</f>
        <v>0.66673851962785413</v>
      </c>
      <c r="E12" s="5" t="str">
        <f t="shared" si="0"/>
        <v>Naik</v>
      </c>
    </row>
    <row r="13" spans="1:5" x14ac:dyDescent="0.35">
      <c r="A13" s="3">
        <v>10</v>
      </c>
      <c r="B13" s="3" t="s">
        <v>401</v>
      </c>
      <c r="C13" s="3" t="s">
        <v>402</v>
      </c>
      <c r="D13" s="4">
        <f>'Perhitungan IPH Mingguan 2026'!AG26</f>
        <v>-0.19664308760111171</v>
      </c>
      <c r="E13" s="5" t="str">
        <f t="shared" si="0"/>
        <v>Turun</v>
      </c>
    </row>
    <row r="14" spans="1:5" x14ac:dyDescent="0.35">
      <c r="A14" s="3">
        <v>11</v>
      </c>
      <c r="B14" s="3" t="s">
        <v>403</v>
      </c>
      <c r="C14" s="3" t="s">
        <v>404</v>
      </c>
      <c r="D14" s="4">
        <f>'Perhitungan IPH Mingguan 2026'!AJ26</f>
        <v>-0.49580175927155878</v>
      </c>
      <c r="E14" s="5" t="str">
        <f t="shared" si="0"/>
        <v>Turun</v>
      </c>
    </row>
    <row r="15" spans="1:5" x14ac:dyDescent="0.35">
      <c r="A15" s="3">
        <v>12</v>
      </c>
      <c r="B15" s="3" t="s">
        <v>405</v>
      </c>
      <c r="C15" s="3" t="s">
        <v>406</v>
      </c>
      <c r="D15" s="4">
        <f>'Perhitungan IPH Mingguan 2026'!AM26</f>
        <v>-0.38663971345566772</v>
      </c>
      <c r="E15" s="5" t="str">
        <f t="shared" si="0"/>
        <v>Turun</v>
      </c>
    </row>
    <row r="16" spans="1:5" x14ac:dyDescent="0.35">
      <c r="A16" s="3">
        <v>13</v>
      </c>
      <c r="B16" s="3" t="s">
        <v>407</v>
      </c>
      <c r="C16" s="3" t="s">
        <v>408</v>
      </c>
      <c r="D16" s="4">
        <f>'Perhitungan IPH Mingguan 2026'!AP26</f>
        <v>-0.18705727228308988</v>
      </c>
      <c r="E16" s="5" t="str">
        <f t="shared" si="0"/>
        <v>Turun</v>
      </c>
    </row>
    <row r="17" spans="1:5" x14ac:dyDescent="0.35">
      <c r="A17" s="3">
        <v>14</v>
      </c>
      <c r="B17" s="3" t="s">
        <v>409</v>
      </c>
      <c r="C17" s="3" t="s">
        <v>410</v>
      </c>
      <c r="D17" s="4" t="str">
        <f>'Perhitungan IPH Mingguan 2026'!AS26</f>
        <v>Data tidak tersedia</v>
      </c>
      <c r="E17" s="5" t="str">
        <f t="shared" si="0"/>
        <v>-</v>
      </c>
    </row>
    <row r="18" spans="1:5" x14ac:dyDescent="0.35">
      <c r="A18" s="3">
        <v>15</v>
      </c>
      <c r="B18" s="3" t="s">
        <v>411</v>
      </c>
      <c r="C18" s="3" t="s">
        <v>412</v>
      </c>
      <c r="D18" s="4" t="str">
        <f>'Perhitungan IPH Mingguan 2026'!AV26</f>
        <v>Data tidak tersedia</v>
      </c>
      <c r="E18" s="5" t="str">
        <f t="shared" si="0"/>
        <v>-</v>
      </c>
    </row>
    <row r="19" spans="1:5" x14ac:dyDescent="0.35">
      <c r="A19" s="3">
        <v>16</v>
      </c>
      <c r="B19" s="3" t="s">
        <v>413</v>
      </c>
      <c r="C19" s="3" t="s">
        <v>414</v>
      </c>
      <c r="D19" s="4">
        <f>'Perhitungan IPH Mingguan 2026'!AY26</f>
        <v>1.3979463972709847</v>
      </c>
      <c r="E19" s="5" t="str">
        <f t="shared" si="0"/>
        <v>Naik</v>
      </c>
    </row>
    <row r="20" spans="1:5" x14ac:dyDescent="0.35">
      <c r="A20" s="3">
        <v>17</v>
      </c>
      <c r="B20" s="3" t="s">
        <v>415</v>
      </c>
      <c r="C20" s="3" t="s">
        <v>416</v>
      </c>
      <c r="D20" s="4">
        <f>'Perhitungan IPH Mingguan 2026'!BB26</f>
        <v>0.15108690811807685</v>
      </c>
      <c r="E20" s="5" t="str">
        <f t="shared" si="0"/>
        <v>Naik</v>
      </c>
    </row>
    <row r="21" spans="1:5" x14ac:dyDescent="0.35">
      <c r="A21" s="3">
        <v>18</v>
      </c>
      <c r="B21" s="3" t="s">
        <v>417</v>
      </c>
      <c r="C21" s="3" t="s">
        <v>418</v>
      </c>
      <c r="D21" s="4">
        <f>'Perhitungan IPH Mingguan 2026'!BE26</f>
        <v>-0.73894568612045042</v>
      </c>
      <c r="E21" s="5" t="str">
        <f t="shared" si="0"/>
        <v>Turun</v>
      </c>
    </row>
    <row r="22" spans="1:5" x14ac:dyDescent="0.35">
      <c r="A22" s="3">
        <v>19</v>
      </c>
      <c r="B22" s="3" t="s">
        <v>419</v>
      </c>
      <c r="C22" s="3" t="s">
        <v>420</v>
      </c>
      <c r="D22" s="4">
        <f>'Perhitungan IPH Mingguan 2026'!BH26</f>
        <v>-2.9422083707634115</v>
      </c>
      <c r="E22" s="5" t="str">
        <f t="shared" si="0"/>
        <v>Turun</v>
      </c>
    </row>
    <row r="23" spans="1:5" x14ac:dyDescent="0.35">
      <c r="A23" s="3">
        <v>20</v>
      </c>
      <c r="B23" s="3" t="s">
        <v>421</v>
      </c>
      <c r="C23" s="3" t="s">
        <v>422</v>
      </c>
      <c r="D23" s="4">
        <f>'Perhitungan IPH Mingguan 2026'!BK26</f>
        <v>-2.7846872776417957</v>
      </c>
      <c r="E23" s="5" t="str">
        <f t="shared" si="0"/>
        <v>Turun</v>
      </c>
    </row>
    <row r="24" spans="1:5" x14ac:dyDescent="0.35">
      <c r="A24" s="3">
        <v>21</v>
      </c>
      <c r="B24" s="3" t="s">
        <v>423</v>
      </c>
      <c r="C24" s="3" t="s">
        <v>424</v>
      </c>
      <c r="D24" s="4">
        <f>'Perhitungan IPH Mingguan 2026'!BN26</f>
        <v>-2.6192920369874297</v>
      </c>
      <c r="E24" s="5" t="str">
        <f t="shared" si="0"/>
        <v>Turun</v>
      </c>
    </row>
    <row r="25" spans="1:5" x14ac:dyDescent="0.35">
      <c r="A25" s="3">
        <v>22</v>
      </c>
      <c r="B25" s="3" t="s">
        <v>425</v>
      </c>
      <c r="C25" s="3" t="s">
        <v>426</v>
      </c>
      <c r="D25" s="4">
        <f>'Perhitungan IPH Mingguan 2026'!BQ26</f>
        <v>-2.6757647826570863</v>
      </c>
      <c r="E25" s="5" t="str">
        <f t="shared" si="0"/>
        <v>Turun</v>
      </c>
    </row>
    <row r="26" spans="1:5" x14ac:dyDescent="0.35">
      <c r="A26" s="3">
        <v>23</v>
      </c>
      <c r="B26" s="3" t="s">
        <v>427</v>
      </c>
      <c r="C26" s="3" t="s">
        <v>428</v>
      </c>
      <c r="D26" s="4">
        <f>'Perhitungan IPH Mingguan 2026'!BT26</f>
        <v>-2.6305094572302008</v>
      </c>
      <c r="E26" s="5" t="str">
        <f t="shared" si="0"/>
        <v>Turun</v>
      </c>
    </row>
    <row r="27" spans="1:5" x14ac:dyDescent="0.35">
      <c r="A27" s="3">
        <v>24</v>
      </c>
      <c r="B27" s="3" t="s">
        <v>429</v>
      </c>
      <c r="C27" s="3" t="s">
        <v>430</v>
      </c>
      <c r="D27" s="4">
        <f>'Perhitungan IPH Mingguan 2026'!BW26</f>
        <v>-2.1536787855374193</v>
      </c>
      <c r="E27" s="5" t="str">
        <f t="shared" si="0"/>
        <v>Turun</v>
      </c>
    </row>
    <row r="28" spans="1:5" x14ac:dyDescent="0.35">
      <c r="A28" s="3">
        <v>25</v>
      </c>
      <c r="B28" s="3" t="s">
        <v>431</v>
      </c>
      <c r="C28" s="3" t="s">
        <v>432</v>
      </c>
      <c r="D28" s="4">
        <f>'Perhitungan IPH Mingguan 2026'!BZ26</f>
        <v>2.1033152300334943</v>
      </c>
      <c r="E28" s="5" t="str">
        <f t="shared" si="0"/>
        <v>Naik</v>
      </c>
    </row>
    <row r="29" spans="1:5" x14ac:dyDescent="0.35">
      <c r="A29" s="3">
        <v>26</v>
      </c>
      <c r="B29" s="3" t="s">
        <v>433</v>
      </c>
      <c r="C29" s="3" t="s">
        <v>434</v>
      </c>
      <c r="D29" s="4">
        <f>'Perhitungan IPH Mingguan 2026'!CC26</f>
        <v>-6.6809020422701468E-2</v>
      </c>
      <c r="E29" s="5" t="str">
        <f t="shared" si="0"/>
        <v>Turun</v>
      </c>
    </row>
    <row r="30" spans="1:5" x14ac:dyDescent="0.35">
      <c r="A30" s="3">
        <v>27</v>
      </c>
      <c r="B30" s="3" t="s">
        <v>435</v>
      </c>
      <c r="C30" s="3" t="s">
        <v>436</v>
      </c>
      <c r="D30" s="4">
        <f>'Perhitungan IPH Mingguan 2026'!CF26</f>
        <v>-2.6092597655702159</v>
      </c>
      <c r="E30" s="5" t="str">
        <f t="shared" si="0"/>
        <v>Turun</v>
      </c>
    </row>
    <row r="31" spans="1:5" x14ac:dyDescent="0.35">
      <c r="A31" s="3">
        <v>28</v>
      </c>
      <c r="B31" s="3" t="s">
        <v>437</v>
      </c>
      <c r="C31" s="3" t="s">
        <v>438</v>
      </c>
      <c r="D31" s="4">
        <f>'Perhitungan IPH Mingguan 2026'!CI26</f>
        <v>-2.1984711702121564</v>
      </c>
      <c r="E31" s="5" t="str">
        <f t="shared" si="0"/>
        <v>Turun</v>
      </c>
    </row>
    <row r="32" spans="1:5" x14ac:dyDescent="0.35">
      <c r="A32" s="3">
        <v>29</v>
      </c>
      <c r="B32" s="3" t="s">
        <v>439</v>
      </c>
      <c r="C32" s="3" t="s">
        <v>440</v>
      </c>
      <c r="D32" s="4">
        <f>'Perhitungan IPH Mingguan 2026'!CL26</f>
        <v>-0.41679671985782191</v>
      </c>
      <c r="E32" s="5" t="str">
        <f t="shared" si="0"/>
        <v>Turun</v>
      </c>
    </row>
    <row r="33" spans="1:5" x14ac:dyDescent="0.35">
      <c r="A33" s="3">
        <v>30</v>
      </c>
      <c r="B33" s="3" t="s">
        <v>441</v>
      </c>
      <c r="C33" s="3" t="s">
        <v>442</v>
      </c>
      <c r="D33" s="4">
        <f>'Perhitungan IPH Mingguan 2026'!CO26</f>
        <v>1.4606367053740379</v>
      </c>
      <c r="E33" s="5" t="str">
        <f t="shared" si="0"/>
        <v>Naik</v>
      </c>
    </row>
    <row r="34" spans="1:5" x14ac:dyDescent="0.35">
      <c r="A34" s="3">
        <v>31</v>
      </c>
      <c r="B34" s="3" t="s">
        <v>443</v>
      </c>
      <c r="C34" s="3" t="s">
        <v>444</v>
      </c>
      <c r="D34" s="4">
        <f>'Perhitungan IPH Mingguan 2026'!CR26</f>
        <v>1.0420114081359162</v>
      </c>
      <c r="E34" s="5" t="str">
        <f t="shared" si="0"/>
        <v>Naik</v>
      </c>
    </row>
    <row r="35" spans="1:5" x14ac:dyDescent="0.35">
      <c r="A35" s="3">
        <v>32</v>
      </c>
      <c r="B35" s="3" t="s">
        <v>445</v>
      </c>
      <c r="C35" s="3" t="s">
        <v>446</v>
      </c>
      <c r="D35" s="4">
        <f>'Perhitungan IPH Mingguan 2026'!CU26</f>
        <v>2.1075933185867433</v>
      </c>
      <c r="E35" s="5" t="str">
        <f t="shared" si="0"/>
        <v>Naik</v>
      </c>
    </row>
    <row r="36" spans="1:5" x14ac:dyDescent="0.35">
      <c r="A36" s="3">
        <v>33</v>
      </c>
      <c r="B36" s="3" t="s">
        <v>447</v>
      </c>
      <c r="C36" s="3" t="s">
        <v>448</v>
      </c>
      <c r="D36" s="4">
        <f>'Perhitungan IPH Mingguan 2026'!CX26</f>
        <v>1.6725605587016106</v>
      </c>
      <c r="E36" s="5" t="str">
        <f t="shared" ref="E36" si="1">IF(ISNUMBER(D36),IF(D36&gt;0,"Naik","Turun"),"-")</f>
        <v>Naik</v>
      </c>
    </row>
    <row r="37" spans="1:5" x14ac:dyDescent="0.35">
      <c r="A37" s="3"/>
      <c r="B37" s="3"/>
      <c r="C37" s="3"/>
      <c r="D37" s="4"/>
      <c r="E37" s="5"/>
    </row>
    <row r="38" spans="1:5" x14ac:dyDescent="0.35">
      <c r="A38" s="3"/>
      <c r="B38" s="3"/>
      <c r="C38" s="3"/>
      <c r="D38" s="4"/>
      <c r="E38" s="5"/>
    </row>
    <row r="39" spans="1:5" x14ac:dyDescent="0.35">
      <c r="A39" s="3"/>
      <c r="B39" s="3"/>
      <c r="C39" s="3"/>
      <c r="D39" s="4"/>
      <c r="E39" s="5"/>
    </row>
    <row r="40" spans="1:5" x14ac:dyDescent="0.35">
      <c r="A40" s="3"/>
      <c r="B40" s="3"/>
      <c r="C40" s="3"/>
      <c r="D40" s="4"/>
      <c r="E40" s="5"/>
    </row>
    <row r="41" spans="1:5" x14ac:dyDescent="0.35">
      <c r="A41" s="3"/>
      <c r="B41" s="3"/>
      <c r="C41" s="3"/>
      <c r="D41" s="4"/>
      <c r="E41" s="5"/>
    </row>
    <row r="42" spans="1:5" x14ac:dyDescent="0.35">
      <c r="A42" s="3"/>
      <c r="B42" s="3"/>
      <c r="C42" s="3"/>
      <c r="D42" s="4"/>
      <c r="E42" s="5"/>
    </row>
    <row r="43" spans="1:5" x14ac:dyDescent="0.35">
      <c r="A43" s="3"/>
      <c r="B43" s="3"/>
      <c r="C43" s="3"/>
      <c r="D43" s="4"/>
      <c r="E43" s="5"/>
    </row>
    <row r="44" spans="1:5" x14ac:dyDescent="0.35">
      <c r="A44" s="3"/>
      <c r="B44" s="3"/>
      <c r="C44" s="3"/>
      <c r="D44" s="4"/>
      <c r="E44" s="5"/>
    </row>
    <row r="45" spans="1:5" x14ac:dyDescent="0.35">
      <c r="A45" s="3"/>
      <c r="B45" s="3"/>
      <c r="C45" s="3"/>
      <c r="D45" s="4"/>
      <c r="E45" s="5"/>
    </row>
    <row r="46" spans="1:5" x14ac:dyDescent="0.35">
      <c r="A46" s="3"/>
      <c r="B46" s="3"/>
      <c r="C46" s="3"/>
      <c r="D46" s="4"/>
      <c r="E46" s="5"/>
    </row>
    <row r="47" spans="1:5" x14ac:dyDescent="0.35">
      <c r="A47" s="3"/>
      <c r="B47" s="3"/>
      <c r="C47" s="3"/>
      <c r="D47" s="4"/>
      <c r="E47" s="5"/>
    </row>
    <row r="48" spans="1:5" x14ac:dyDescent="0.35">
      <c r="A48" s="3"/>
      <c r="B48" s="3"/>
      <c r="C48" s="3"/>
      <c r="D48" s="4"/>
      <c r="E48" s="5"/>
    </row>
    <row r="49" spans="1:5" x14ac:dyDescent="0.35">
      <c r="A49" s="3"/>
      <c r="B49" s="3"/>
      <c r="C49" s="3"/>
      <c r="D49" s="4"/>
      <c r="E49" s="5"/>
    </row>
    <row r="50" spans="1:5" x14ac:dyDescent="0.35">
      <c r="A50" s="3"/>
      <c r="B50" s="3"/>
      <c r="C50" s="3"/>
      <c r="D50" s="4"/>
      <c r="E50" s="5"/>
    </row>
    <row r="51" spans="1:5" x14ac:dyDescent="0.35">
      <c r="A51" s="3"/>
      <c r="B51" s="3"/>
      <c r="C51" s="3"/>
      <c r="D51" s="4"/>
      <c r="E51" s="5"/>
    </row>
    <row r="52" spans="1:5" x14ac:dyDescent="0.35">
      <c r="A52" s="3"/>
      <c r="B52" s="3"/>
      <c r="C52" s="3"/>
      <c r="D52" s="4"/>
      <c r="E52" s="5"/>
    </row>
    <row r="53" spans="1:5" x14ac:dyDescent="0.35">
      <c r="A53" s="3"/>
      <c r="B53" s="3"/>
      <c r="C53" s="3"/>
      <c r="D53" s="4"/>
      <c r="E53" s="5"/>
    </row>
    <row r="54" spans="1:5" x14ac:dyDescent="0.35">
      <c r="A54" s="3"/>
      <c r="B54" s="3"/>
      <c r="C54" s="3"/>
      <c r="D54" s="4"/>
      <c r="E54" s="5"/>
    </row>
    <row r="55" spans="1:5" x14ac:dyDescent="0.35">
      <c r="A55" s="3"/>
      <c r="B55" s="3"/>
      <c r="C55" s="3"/>
      <c r="D55" s="4"/>
      <c r="E55" s="5"/>
    </row>
    <row r="56" spans="1:5" x14ac:dyDescent="0.35">
      <c r="A56" s="3"/>
      <c r="B56" s="3"/>
      <c r="C56" s="3"/>
      <c r="D56" s="4"/>
      <c r="E56" s="5"/>
    </row>
    <row r="57" spans="1:5" x14ac:dyDescent="0.35">
      <c r="A57" s="3"/>
      <c r="B57" s="3"/>
      <c r="C57" s="3"/>
      <c r="D57" s="4"/>
      <c r="E57" s="5"/>
    </row>
    <row r="58" spans="1:5" x14ac:dyDescent="0.35">
      <c r="A58" s="3"/>
      <c r="B58" s="3"/>
      <c r="C58" s="3"/>
      <c r="D58" s="4"/>
      <c r="E58" s="5"/>
    </row>
  </sheetData>
  <mergeCells count="1">
    <mergeCell ref="A1:E1"/>
  </mergeCells>
  <conditionalFormatting sqref="D4:D58">
    <cfRule type="cellIs" dxfId="111" priority="2" operator="greaterThan">
      <formula>0</formula>
    </cfRule>
    <cfRule type="cellIs" dxfId="110" priority="3" operator="lessThan">
      <formula>0</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Q26"/>
  <sheetViews>
    <sheetView showGridLines="0" zoomScaleNormal="100" workbookViewId="0">
      <pane xSplit="3" ySplit="5" topLeftCell="T6" activePane="bottomRight" state="frozen"/>
      <selection pane="topRight" activeCell="D1" sqref="D1"/>
      <selection pane="bottomLeft" activeCell="A6" sqref="A6"/>
      <selection pane="bottomRight" activeCell="F15" sqref="F15"/>
    </sheetView>
  </sheetViews>
  <sheetFormatPr defaultColWidth="8.6328125" defaultRowHeight="14.5" x14ac:dyDescent="0.35"/>
  <cols>
    <col min="1" max="1" width="4" customWidth="1"/>
    <col min="2" max="2" width="30" customWidth="1"/>
    <col min="3" max="4" width="10" customWidth="1"/>
    <col min="5" max="6" width="9" customWidth="1"/>
    <col min="7" max="7" width="10" customWidth="1"/>
    <col min="8" max="9" width="9" customWidth="1"/>
    <col min="10" max="10" width="10" customWidth="1"/>
    <col min="11" max="12" width="9" customWidth="1"/>
    <col min="13" max="13" width="10" customWidth="1"/>
    <col min="14" max="15" width="9" customWidth="1"/>
    <col min="16" max="16" width="10" customWidth="1"/>
    <col min="17" max="18" width="9" customWidth="1"/>
    <col min="19" max="19" width="10" customWidth="1"/>
    <col min="20" max="21" width="9" customWidth="1"/>
    <col min="22" max="22" width="10" customWidth="1"/>
    <col min="23" max="24" width="9" customWidth="1"/>
    <col min="25" max="25" width="10" customWidth="1"/>
    <col min="26" max="27" width="9" customWidth="1"/>
    <col min="28" max="28" width="10" customWidth="1"/>
    <col min="29" max="30" width="9" customWidth="1"/>
    <col min="31" max="31" width="10" customWidth="1"/>
    <col min="32" max="33" width="9" customWidth="1"/>
    <col min="34" max="34" width="10" customWidth="1"/>
    <col min="35" max="36" width="9" customWidth="1"/>
    <col min="37" max="37" width="10" customWidth="1"/>
    <col min="38" max="39" width="9" customWidth="1"/>
    <col min="40" max="40" width="10" customWidth="1"/>
    <col min="41" max="42" width="9" customWidth="1"/>
    <col min="43" max="43" width="10" customWidth="1"/>
    <col min="44" max="45" width="9" customWidth="1"/>
    <col min="46" max="46" width="10" customWidth="1"/>
    <col min="47" max="48" width="9" customWidth="1"/>
    <col min="49" max="49" width="10" customWidth="1"/>
    <col min="50" max="51" width="9" customWidth="1"/>
    <col min="52" max="52" width="10" customWidth="1"/>
    <col min="53" max="54" width="9" customWidth="1"/>
    <col min="55" max="55" width="10" customWidth="1"/>
    <col min="56" max="57" width="9" customWidth="1"/>
    <col min="58" max="58" width="10" customWidth="1"/>
    <col min="59" max="60" width="9" customWidth="1"/>
    <col min="61" max="61" width="10" customWidth="1"/>
    <col min="62" max="63" width="9" customWidth="1"/>
    <col min="64" max="64" width="10" customWidth="1"/>
    <col min="65" max="66" width="9" customWidth="1"/>
    <col min="67" max="67" width="10" customWidth="1"/>
    <col min="68" max="69" width="9" customWidth="1"/>
    <col min="70" max="70" width="10" customWidth="1"/>
    <col min="71" max="72" width="9" customWidth="1"/>
    <col min="73" max="73" width="10" customWidth="1"/>
    <col min="74" max="75" width="9" customWidth="1"/>
    <col min="76" max="76" width="10" customWidth="1"/>
    <col min="77" max="78" width="9" customWidth="1"/>
    <col min="79" max="79" width="10" customWidth="1"/>
    <col min="80" max="81" width="9" customWidth="1"/>
    <col min="82" max="82" width="10" customWidth="1"/>
    <col min="83" max="84" width="9" customWidth="1"/>
    <col min="85" max="85" width="10" customWidth="1"/>
    <col min="86" max="87" width="9" customWidth="1"/>
    <col min="88" max="88" width="10" customWidth="1"/>
    <col min="89" max="90" width="9" customWidth="1"/>
    <col min="91" max="91" width="10" customWidth="1"/>
    <col min="92" max="93" width="9" customWidth="1"/>
    <col min="94" max="94" width="10" customWidth="1"/>
    <col min="95" max="96" width="9" customWidth="1"/>
    <col min="97" max="97" width="10" customWidth="1"/>
    <col min="98" max="99" width="9" customWidth="1"/>
    <col min="100" max="100" width="10" customWidth="1"/>
    <col min="101" max="102" width="9" customWidth="1"/>
    <col min="103" max="103" width="10" customWidth="1"/>
    <col min="104" max="105" width="9" customWidth="1"/>
    <col min="106" max="106" width="10" customWidth="1"/>
    <col min="107" max="108" width="9" customWidth="1"/>
    <col min="109" max="109" width="10" customWidth="1"/>
    <col min="110" max="111" width="9" customWidth="1"/>
    <col min="112" max="112" width="10" customWidth="1"/>
    <col min="113" max="114" width="9" customWidth="1"/>
    <col min="115" max="115" width="10" customWidth="1"/>
    <col min="116" max="117" width="9" customWidth="1"/>
    <col min="118" max="118" width="10" customWidth="1"/>
    <col min="119" max="120" width="9" customWidth="1"/>
    <col min="121" max="121" width="10" customWidth="1"/>
    <col min="122" max="123" width="9" customWidth="1"/>
    <col min="124" max="124" width="10" customWidth="1"/>
    <col min="125" max="126" width="9" customWidth="1"/>
    <col min="127" max="127" width="10" customWidth="1"/>
    <col min="128" max="129" width="9" customWidth="1"/>
    <col min="130" max="130" width="10" customWidth="1"/>
    <col min="131" max="132" width="9" customWidth="1"/>
    <col min="133" max="133" width="10" customWidth="1"/>
    <col min="134" max="135" width="9" customWidth="1"/>
    <col min="136" max="136" width="10" customWidth="1"/>
    <col min="137" max="138" width="9" customWidth="1"/>
    <col min="139" max="139" width="10" customWidth="1"/>
    <col min="140" max="141" width="9" customWidth="1"/>
    <col min="142" max="142" width="10" customWidth="1"/>
    <col min="143" max="144" width="9" customWidth="1"/>
    <col min="145" max="145" width="10" customWidth="1"/>
    <col min="146" max="147" width="9" customWidth="1"/>
    <col min="148" max="148" width="10" customWidth="1"/>
    <col min="149" max="150" width="9" customWidth="1"/>
    <col min="151" max="151" width="10" customWidth="1"/>
    <col min="152" max="153" width="9" customWidth="1"/>
    <col min="154" max="154" width="10" customWidth="1"/>
    <col min="155" max="156" width="9" customWidth="1"/>
    <col min="157" max="157" width="10" customWidth="1"/>
    <col min="158" max="159" width="9" customWidth="1"/>
    <col min="160" max="160" width="10" customWidth="1"/>
    <col min="161" max="162" width="9" customWidth="1"/>
    <col min="163" max="163" width="10" customWidth="1"/>
    <col min="164" max="165" width="9" customWidth="1"/>
    <col min="166" max="166" width="10" customWidth="1"/>
    <col min="167" max="168" width="9" customWidth="1"/>
    <col min="169" max="169" width="40" customWidth="1"/>
    <col min="170" max="224" width="8" customWidth="1"/>
  </cols>
  <sheetData>
    <row r="1" spans="1:225" ht="16.5" x14ac:dyDescent="0.35">
      <c r="A1" s="1" t="s">
        <v>5</v>
      </c>
    </row>
    <row r="2" spans="1:225" x14ac:dyDescent="0.35">
      <c r="A2" s="6" t="s">
        <v>6</v>
      </c>
    </row>
    <row r="4" spans="1:225" x14ac:dyDescent="0.35">
      <c r="A4" s="7"/>
      <c r="B4" s="7"/>
      <c r="C4" s="7"/>
      <c r="D4" s="31" t="s">
        <v>7</v>
      </c>
      <c r="E4" s="31"/>
      <c r="F4" s="31"/>
      <c r="G4" s="31" t="s">
        <v>8</v>
      </c>
      <c r="H4" s="31"/>
      <c r="I4" s="31"/>
      <c r="J4" s="31" t="s">
        <v>9</v>
      </c>
      <c r="K4" s="31"/>
      <c r="L4" s="31"/>
      <c r="M4" s="31" t="s">
        <v>10</v>
      </c>
      <c r="N4" s="31"/>
      <c r="O4" s="31"/>
      <c r="P4" s="31" t="s">
        <v>11</v>
      </c>
      <c r="Q4" s="31"/>
      <c r="R4" s="31"/>
      <c r="S4" s="31" t="s">
        <v>12</v>
      </c>
      <c r="T4" s="31"/>
      <c r="U4" s="31"/>
      <c r="V4" s="31" t="s">
        <v>13</v>
      </c>
      <c r="W4" s="31"/>
      <c r="X4" s="31"/>
      <c r="Y4" s="31" t="s">
        <v>14</v>
      </c>
      <c r="Z4" s="31"/>
      <c r="AA4" s="31"/>
      <c r="AB4" s="31" t="s">
        <v>15</v>
      </c>
      <c r="AC4" s="31"/>
      <c r="AD4" s="31"/>
      <c r="AE4" s="31" t="s">
        <v>16</v>
      </c>
      <c r="AF4" s="31"/>
      <c r="AG4" s="31"/>
      <c r="AH4" s="31" t="s">
        <v>17</v>
      </c>
      <c r="AI4" s="31"/>
      <c r="AJ4" s="31"/>
      <c r="AK4" s="31" t="s">
        <v>18</v>
      </c>
      <c r="AL4" s="31"/>
      <c r="AM4" s="31"/>
      <c r="AN4" s="31" t="s">
        <v>19</v>
      </c>
      <c r="AO4" s="31"/>
      <c r="AP4" s="31"/>
      <c r="AQ4" s="31" t="s">
        <v>20</v>
      </c>
      <c r="AR4" s="31"/>
      <c r="AS4" s="31"/>
      <c r="AT4" s="31" t="s">
        <v>21</v>
      </c>
      <c r="AU4" s="31"/>
      <c r="AV4" s="31"/>
      <c r="AW4" s="31" t="s">
        <v>22</v>
      </c>
      <c r="AX4" s="31"/>
      <c r="AY4" s="31"/>
      <c r="AZ4" s="31" t="s">
        <v>23</v>
      </c>
      <c r="BA4" s="31"/>
      <c r="BB4" s="31"/>
      <c r="BC4" s="31" t="s">
        <v>24</v>
      </c>
      <c r="BD4" s="31"/>
      <c r="BE4" s="31"/>
      <c r="BF4" s="31" t="s">
        <v>25</v>
      </c>
      <c r="BG4" s="31"/>
      <c r="BH4" s="31"/>
      <c r="BI4" s="31" t="s">
        <v>26</v>
      </c>
      <c r="BJ4" s="31"/>
      <c r="BK4" s="31"/>
      <c r="BL4" s="31" t="s">
        <v>27</v>
      </c>
      <c r="BM4" s="31"/>
      <c r="BN4" s="31"/>
      <c r="BO4" s="31" t="s">
        <v>28</v>
      </c>
      <c r="BP4" s="31"/>
      <c r="BQ4" s="31"/>
      <c r="BR4" s="31" t="s">
        <v>29</v>
      </c>
      <c r="BS4" s="31"/>
      <c r="BT4" s="31"/>
      <c r="BU4" s="31" t="s">
        <v>30</v>
      </c>
      <c r="BV4" s="31"/>
      <c r="BW4" s="31"/>
      <c r="BX4" s="31" t="s">
        <v>31</v>
      </c>
      <c r="BY4" s="31"/>
      <c r="BZ4" s="31"/>
      <c r="CA4" s="31" t="s">
        <v>32</v>
      </c>
      <c r="CB4" s="31"/>
      <c r="CC4" s="31"/>
      <c r="CD4" s="31" t="s">
        <v>33</v>
      </c>
      <c r="CE4" s="31"/>
      <c r="CF4" s="31"/>
      <c r="CG4" s="31" t="s">
        <v>34</v>
      </c>
      <c r="CH4" s="31"/>
      <c r="CI4" s="31"/>
      <c r="CJ4" s="31" t="s">
        <v>35</v>
      </c>
      <c r="CK4" s="31"/>
      <c r="CL4" s="31"/>
      <c r="CM4" s="31" t="s">
        <v>36</v>
      </c>
      <c r="CN4" s="31"/>
      <c r="CO4" s="31"/>
      <c r="CP4" s="31" t="s">
        <v>37</v>
      </c>
      <c r="CQ4" s="31"/>
      <c r="CR4" s="31"/>
      <c r="CS4" s="31" t="s">
        <v>38</v>
      </c>
      <c r="CT4" s="31"/>
      <c r="CU4" s="31"/>
      <c r="CV4" s="31" t="s">
        <v>39</v>
      </c>
      <c r="CW4" s="31"/>
      <c r="CX4" s="31"/>
      <c r="CY4" s="31" t="s">
        <v>40</v>
      </c>
      <c r="CZ4" s="31"/>
      <c r="DA4" s="31"/>
      <c r="DB4" s="31" t="s">
        <v>41</v>
      </c>
      <c r="DC4" s="31"/>
      <c r="DD4" s="31"/>
      <c r="DE4" s="31" t="s">
        <v>42</v>
      </c>
      <c r="DF4" s="31"/>
      <c r="DG4" s="31"/>
      <c r="DH4" s="31" t="s">
        <v>43</v>
      </c>
      <c r="DI4" s="31"/>
      <c r="DJ4" s="31"/>
      <c r="DK4" s="31" t="s">
        <v>44</v>
      </c>
      <c r="DL4" s="31"/>
      <c r="DM4" s="31"/>
      <c r="DN4" s="31" t="s">
        <v>45</v>
      </c>
      <c r="DO4" s="31"/>
      <c r="DP4" s="31"/>
      <c r="DQ4" s="31" t="s">
        <v>46</v>
      </c>
      <c r="DR4" s="31"/>
      <c r="DS4" s="31"/>
      <c r="DT4" s="31" t="s">
        <v>47</v>
      </c>
      <c r="DU4" s="31"/>
      <c r="DV4" s="31"/>
      <c r="DW4" s="31" t="s">
        <v>48</v>
      </c>
      <c r="DX4" s="31"/>
      <c r="DY4" s="31"/>
      <c r="DZ4" s="31" t="s">
        <v>49</v>
      </c>
      <c r="EA4" s="31"/>
      <c r="EB4" s="31"/>
      <c r="EC4" s="31" t="s">
        <v>50</v>
      </c>
      <c r="ED4" s="31"/>
      <c r="EE4" s="31"/>
      <c r="EF4" s="31" t="s">
        <v>51</v>
      </c>
      <c r="EG4" s="31"/>
      <c r="EH4" s="31"/>
      <c r="EI4" s="31" t="s">
        <v>52</v>
      </c>
      <c r="EJ4" s="31"/>
      <c r="EK4" s="31"/>
      <c r="EL4" s="31" t="s">
        <v>53</v>
      </c>
      <c r="EM4" s="31"/>
      <c r="EN4" s="31"/>
      <c r="EO4" s="31" t="s">
        <v>54</v>
      </c>
      <c r="EP4" s="31"/>
      <c r="EQ4" s="31"/>
      <c r="ER4" s="31" t="s">
        <v>55</v>
      </c>
      <c r="ES4" s="31"/>
      <c r="ET4" s="31"/>
      <c r="EU4" s="31" t="s">
        <v>56</v>
      </c>
      <c r="EV4" s="31"/>
      <c r="EW4" s="31"/>
      <c r="EX4" s="31" t="s">
        <v>57</v>
      </c>
      <c r="EY4" s="31"/>
      <c r="EZ4" s="31"/>
      <c r="FA4" s="31" t="s">
        <v>58</v>
      </c>
      <c r="FB4" s="31"/>
      <c r="FC4" s="31"/>
      <c r="FD4" s="31" t="s">
        <v>59</v>
      </c>
      <c r="FE4" s="31"/>
      <c r="FF4" s="31"/>
      <c r="FG4" s="31" t="s">
        <v>60</v>
      </c>
      <c r="FH4" s="31"/>
      <c r="FI4" s="31"/>
      <c r="FJ4" s="31" t="s">
        <v>61</v>
      </c>
      <c r="FK4" s="31"/>
      <c r="FL4" s="31"/>
      <c r="FM4" s="7"/>
    </row>
    <row r="5" spans="1:225" x14ac:dyDescent="0.35">
      <c r="A5" s="8" t="s">
        <v>0</v>
      </c>
      <c r="B5" s="8" t="s">
        <v>62</v>
      </c>
      <c r="C5" s="8" t="s">
        <v>63</v>
      </c>
      <c r="D5" s="8" t="s">
        <v>64</v>
      </c>
      <c r="E5" s="8" t="s">
        <v>65</v>
      </c>
      <c r="F5" s="8" t="s">
        <v>66</v>
      </c>
      <c r="G5" s="8" t="s">
        <v>64</v>
      </c>
      <c r="H5" s="8" t="s">
        <v>65</v>
      </c>
      <c r="I5" s="8" t="s">
        <v>66</v>
      </c>
      <c r="J5" s="8" t="s">
        <v>64</v>
      </c>
      <c r="K5" s="8" t="s">
        <v>65</v>
      </c>
      <c r="L5" s="8" t="s">
        <v>66</v>
      </c>
      <c r="M5" s="8" t="s">
        <v>64</v>
      </c>
      <c r="N5" s="8" t="s">
        <v>65</v>
      </c>
      <c r="O5" s="8" t="s">
        <v>66</v>
      </c>
      <c r="P5" s="8" t="s">
        <v>64</v>
      </c>
      <c r="Q5" s="8" t="s">
        <v>65</v>
      </c>
      <c r="R5" s="8" t="s">
        <v>66</v>
      </c>
      <c r="S5" s="8" t="s">
        <v>64</v>
      </c>
      <c r="T5" s="8" t="s">
        <v>65</v>
      </c>
      <c r="U5" s="8" t="s">
        <v>66</v>
      </c>
      <c r="V5" s="8" t="s">
        <v>64</v>
      </c>
      <c r="W5" s="8" t="s">
        <v>65</v>
      </c>
      <c r="X5" s="8" t="s">
        <v>66</v>
      </c>
      <c r="Y5" s="8" t="s">
        <v>64</v>
      </c>
      <c r="Z5" s="8" t="s">
        <v>65</v>
      </c>
      <c r="AA5" s="8" t="s">
        <v>66</v>
      </c>
      <c r="AB5" s="8" t="s">
        <v>64</v>
      </c>
      <c r="AC5" s="8" t="s">
        <v>65</v>
      </c>
      <c r="AD5" s="8" t="s">
        <v>66</v>
      </c>
      <c r="AE5" s="8" t="s">
        <v>64</v>
      </c>
      <c r="AF5" s="8" t="s">
        <v>65</v>
      </c>
      <c r="AG5" s="8" t="s">
        <v>66</v>
      </c>
      <c r="AH5" s="8" t="s">
        <v>64</v>
      </c>
      <c r="AI5" s="8" t="s">
        <v>65</v>
      </c>
      <c r="AJ5" s="8" t="s">
        <v>66</v>
      </c>
      <c r="AK5" s="8" t="s">
        <v>64</v>
      </c>
      <c r="AL5" s="8" t="s">
        <v>65</v>
      </c>
      <c r="AM5" s="8" t="s">
        <v>66</v>
      </c>
      <c r="AN5" s="8" t="s">
        <v>64</v>
      </c>
      <c r="AO5" s="8" t="s">
        <v>65</v>
      </c>
      <c r="AP5" s="8" t="s">
        <v>66</v>
      </c>
      <c r="AQ5" s="8" t="s">
        <v>64</v>
      </c>
      <c r="AR5" s="8" t="s">
        <v>65</v>
      </c>
      <c r="AS5" s="8" t="s">
        <v>66</v>
      </c>
      <c r="AT5" s="8" t="s">
        <v>64</v>
      </c>
      <c r="AU5" s="8" t="s">
        <v>65</v>
      </c>
      <c r="AV5" s="8" t="s">
        <v>66</v>
      </c>
      <c r="AW5" s="8" t="s">
        <v>64</v>
      </c>
      <c r="AX5" s="8" t="s">
        <v>65</v>
      </c>
      <c r="AY5" s="8" t="s">
        <v>66</v>
      </c>
      <c r="AZ5" s="8" t="s">
        <v>64</v>
      </c>
      <c r="BA5" s="8" t="s">
        <v>65</v>
      </c>
      <c r="BB5" s="8" t="s">
        <v>66</v>
      </c>
      <c r="BC5" s="8" t="s">
        <v>64</v>
      </c>
      <c r="BD5" s="8" t="s">
        <v>65</v>
      </c>
      <c r="BE5" s="8" t="s">
        <v>66</v>
      </c>
      <c r="BF5" s="8" t="s">
        <v>64</v>
      </c>
      <c r="BG5" s="8" t="s">
        <v>65</v>
      </c>
      <c r="BH5" s="8" t="s">
        <v>66</v>
      </c>
      <c r="BI5" s="8" t="s">
        <v>64</v>
      </c>
      <c r="BJ5" s="8" t="s">
        <v>65</v>
      </c>
      <c r="BK5" s="8" t="s">
        <v>66</v>
      </c>
      <c r="BL5" s="8" t="s">
        <v>64</v>
      </c>
      <c r="BM5" s="8" t="s">
        <v>65</v>
      </c>
      <c r="BN5" s="8" t="s">
        <v>66</v>
      </c>
      <c r="BO5" s="8" t="s">
        <v>64</v>
      </c>
      <c r="BP5" s="8" t="s">
        <v>65</v>
      </c>
      <c r="BQ5" s="8" t="s">
        <v>66</v>
      </c>
      <c r="BR5" s="8" t="s">
        <v>64</v>
      </c>
      <c r="BS5" s="8" t="s">
        <v>65</v>
      </c>
      <c r="BT5" s="8" t="s">
        <v>66</v>
      </c>
      <c r="BU5" s="8" t="s">
        <v>64</v>
      </c>
      <c r="BV5" s="8" t="s">
        <v>65</v>
      </c>
      <c r="BW5" s="8" t="s">
        <v>66</v>
      </c>
      <c r="BX5" s="8" t="s">
        <v>64</v>
      </c>
      <c r="BY5" s="8" t="s">
        <v>65</v>
      </c>
      <c r="BZ5" s="8" t="s">
        <v>66</v>
      </c>
      <c r="CA5" s="8" t="s">
        <v>64</v>
      </c>
      <c r="CB5" s="8" t="s">
        <v>65</v>
      </c>
      <c r="CC5" s="8" t="s">
        <v>66</v>
      </c>
      <c r="CD5" s="8" t="s">
        <v>64</v>
      </c>
      <c r="CE5" s="8" t="s">
        <v>65</v>
      </c>
      <c r="CF5" s="8" t="s">
        <v>66</v>
      </c>
      <c r="CG5" s="8" t="s">
        <v>64</v>
      </c>
      <c r="CH5" s="8" t="s">
        <v>65</v>
      </c>
      <c r="CI5" s="8" t="s">
        <v>66</v>
      </c>
      <c r="CJ5" s="8" t="s">
        <v>64</v>
      </c>
      <c r="CK5" s="8" t="s">
        <v>65</v>
      </c>
      <c r="CL5" s="8" t="s">
        <v>66</v>
      </c>
      <c r="CM5" s="8" t="s">
        <v>64</v>
      </c>
      <c r="CN5" s="8" t="s">
        <v>65</v>
      </c>
      <c r="CO5" s="8" t="s">
        <v>66</v>
      </c>
      <c r="CP5" s="8" t="s">
        <v>64</v>
      </c>
      <c r="CQ5" s="8" t="s">
        <v>65</v>
      </c>
      <c r="CR5" s="8" t="s">
        <v>66</v>
      </c>
      <c r="CS5" s="8" t="s">
        <v>64</v>
      </c>
      <c r="CT5" s="8" t="s">
        <v>65</v>
      </c>
      <c r="CU5" s="8" t="s">
        <v>66</v>
      </c>
      <c r="CV5" s="8" t="s">
        <v>64</v>
      </c>
      <c r="CW5" s="8" t="s">
        <v>65</v>
      </c>
      <c r="CX5" s="8" t="s">
        <v>66</v>
      </c>
      <c r="CY5" s="8" t="s">
        <v>64</v>
      </c>
      <c r="CZ5" s="8" t="s">
        <v>65</v>
      </c>
      <c r="DA5" s="8" t="s">
        <v>66</v>
      </c>
      <c r="DB5" s="8" t="s">
        <v>64</v>
      </c>
      <c r="DC5" s="8" t="s">
        <v>65</v>
      </c>
      <c r="DD5" s="8" t="s">
        <v>66</v>
      </c>
      <c r="DE5" s="8" t="s">
        <v>64</v>
      </c>
      <c r="DF5" s="8" t="s">
        <v>65</v>
      </c>
      <c r="DG5" s="8" t="s">
        <v>66</v>
      </c>
      <c r="DH5" s="8" t="s">
        <v>64</v>
      </c>
      <c r="DI5" s="8" t="s">
        <v>65</v>
      </c>
      <c r="DJ5" s="8" t="s">
        <v>66</v>
      </c>
      <c r="DK5" s="8" t="s">
        <v>64</v>
      </c>
      <c r="DL5" s="8" t="s">
        <v>65</v>
      </c>
      <c r="DM5" s="8" t="s">
        <v>66</v>
      </c>
      <c r="DN5" s="8" t="s">
        <v>64</v>
      </c>
      <c r="DO5" s="8" t="s">
        <v>65</v>
      </c>
      <c r="DP5" s="8" t="s">
        <v>66</v>
      </c>
      <c r="DQ5" s="8" t="s">
        <v>64</v>
      </c>
      <c r="DR5" s="8" t="s">
        <v>65</v>
      </c>
      <c r="DS5" s="8" t="s">
        <v>66</v>
      </c>
      <c r="DT5" s="8" t="s">
        <v>64</v>
      </c>
      <c r="DU5" s="8" t="s">
        <v>65</v>
      </c>
      <c r="DV5" s="8" t="s">
        <v>66</v>
      </c>
      <c r="DW5" s="8" t="s">
        <v>64</v>
      </c>
      <c r="DX5" s="8" t="s">
        <v>65</v>
      </c>
      <c r="DY5" s="8" t="s">
        <v>66</v>
      </c>
      <c r="DZ5" s="8" t="s">
        <v>64</v>
      </c>
      <c r="EA5" s="8" t="s">
        <v>65</v>
      </c>
      <c r="EB5" s="8" t="s">
        <v>66</v>
      </c>
      <c r="EC5" s="8" t="s">
        <v>64</v>
      </c>
      <c r="ED5" s="8" t="s">
        <v>65</v>
      </c>
      <c r="EE5" s="8" t="s">
        <v>66</v>
      </c>
      <c r="EF5" s="8" t="s">
        <v>64</v>
      </c>
      <c r="EG5" s="8" t="s">
        <v>65</v>
      </c>
      <c r="EH5" s="8" t="s">
        <v>66</v>
      </c>
      <c r="EI5" s="8" t="s">
        <v>64</v>
      </c>
      <c r="EJ5" s="8" t="s">
        <v>65</v>
      </c>
      <c r="EK5" s="8" t="s">
        <v>66</v>
      </c>
      <c r="EL5" s="8" t="s">
        <v>64</v>
      </c>
      <c r="EM5" s="8" t="s">
        <v>65</v>
      </c>
      <c r="EN5" s="8" t="s">
        <v>66</v>
      </c>
      <c r="EO5" s="8" t="s">
        <v>64</v>
      </c>
      <c r="EP5" s="8" t="s">
        <v>65</v>
      </c>
      <c r="EQ5" s="8" t="s">
        <v>66</v>
      </c>
      <c r="ER5" s="8" t="s">
        <v>64</v>
      </c>
      <c r="ES5" s="8" t="s">
        <v>65</v>
      </c>
      <c r="ET5" s="8" t="s">
        <v>66</v>
      </c>
      <c r="EU5" s="8" t="s">
        <v>64</v>
      </c>
      <c r="EV5" s="8" t="s">
        <v>65</v>
      </c>
      <c r="EW5" s="8" t="s">
        <v>66</v>
      </c>
      <c r="EX5" s="8" t="s">
        <v>64</v>
      </c>
      <c r="EY5" s="8" t="s">
        <v>65</v>
      </c>
      <c r="EZ5" s="8" t="s">
        <v>66</v>
      </c>
      <c r="FA5" s="8" t="s">
        <v>64</v>
      </c>
      <c r="FB5" s="8" t="s">
        <v>65</v>
      </c>
      <c r="FC5" s="8" t="s">
        <v>66</v>
      </c>
      <c r="FD5" s="8" t="s">
        <v>64</v>
      </c>
      <c r="FE5" s="8" t="s">
        <v>65</v>
      </c>
      <c r="FF5" s="8" t="s">
        <v>66</v>
      </c>
      <c r="FG5" s="8" t="s">
        <v>64</v>
      </c>
      <c r="FH5" s="8" t="s">
        <v>65</v>
      </c>
      <c r="FI5" s="8" t="s">
        <v>66</v>
      </c>
      <c r="FJ5" s="8" t="s">
        <v>64</v>
      </c>
      <c r="FK5" s="8" t="s">
        <v>65</v>
      </c>
      <c r="FL5" s="8" t="s">
        <v>66</v>
      </c>
      <c r="FM5" s="8" t="s">
        <v>67</v>
      </c>
      <c r="FO5" s="9" t="s">
        <v>68</v>
      </c>
      <c r="FP5" s="9" t="s">
        <v>69</v>
      </c>
      <c r="FQ5" s="9" t="s">
        <v>70</v>
      </c>
      <c r="FR5" s="9" t="s">
        <v>71</v>
      </c>
      <c r="FS5" s="9" t="s">
        <v>72</v>
      </c>
      <c r="FT5" s="9" t="s">
        <v>73</v>
      </c>
      <c r="FU5" s="9" t="s">
        <v>74</v>
      </c>
      <c r="FV5" s="9" t="s">
        <v>75</v>
      </c>
      <c r="FW5" s="9" t="s">
        <v>76</v>
      </c>
      <c r="FX5" s="9" t="s">
        <v>77</v>
      </c>
      <c r="FY5" s="9" t="s">
        <v>78</v>
      </c>
      <c r="FZ5" s="9" t="s">
        <v>79</v>
      </c>
      <c r="GA5" s="9" t="s">
        <v>80</v>
      </c>
      <c r="GB5" s="9" t="s">
        <v>81</v>
      </c>
      <c r="GC5" s="9" t="s">
        <v>82</v>
      </c>
      <c r="GD5" s="9" t="s">
        <v>83</v>
      </c>
      <c r="GE5" s="9" t="s">
        <v>84</v>
      </c>
      <c r="GF5" s="9" t="s">
        <v>85</v>
      </c>
      <c r="GG5" s="9" t="s">
        <v>86</v>
      </c>
      <c r="GH5" s="9" t="s">
        <v>87</v>
      </c>
      <c r="GI5" s="9" t="s">
        <v>88</v>
      </c>
      <c r="GJ5" s="9" t="s">
        <v>89</v>
      </c>
      <c r="GK5" s="9" t="s">
        <v>90</v>
      </c>
      <c r="GL5" s="9" t="s">
        <v>91</v>
      </c>
      <c r="GM5" s="9" t="s">
        <v>92</v>
      </c>
      <c r="GN5" s="9" t="s">
        <v>93</v>
      </c>
      <c r="GO5" s="9" t="s">
        <v>94</v>
      </c>
      <c r="GP5" s="9" t="s">
        <v>95</v>
      </c>
      <c r="GQ5" s="9" t="s">
        <v>96</v>
      </c>
      <c r="GR5" s="9" t="s">
        <v>97</v>
      </c>
      <c r="GS5" s="9" t="s">
        <v>98</v>
      </c>
      <c r="GT5" s="9" t="s">
        <v>99</v>
      </c>
      <c r="GU5" s="9" t="s">
        <v>100</v>
      </c>
      <c r="GV5" s="9" t="s">
        <v>101</v>
      </c>
      <c r="GW5" s="9" t="s">
        <v>102</v>
      </c>
      <c r="GX5" s="9" t="s">
        <v>103</v>
      </c>
      <c r="GY5" s="9" t="s">
        <v>104</v>
      </c>
      <c r="GZ5" s="9" t="s">
        <v>105</v>
      </c>
      <c r="HA5" s="9" t="s">
        <v>106</v>
      </c>
      <c r="HB5" s="9" t="s">
        <v>107</v>
      </c>
      <c r="HC5" s="9" t="s">
        <v>108</v>
      </c>
      <c r="HD5" s="9" t="s">
        <v>109</v>
      </c>
      <c r="HE5" s="9" t="s">
        <v>110</v>
      </c>
      <c r="HF5" s="9" t="s">
        <v>111</v>
      </c>
      <c r="HG5" s="9" t="s">
        <v>112</v>
      </c>
      <c r="HH5" s="9" t="s">
        <v>113</v>
      </c>
      <c r="HI5" s="9" t="s">
        <v>114</v>
      </c>
      <c r="HJ5" s="9" t="s">
        <v>115</v>
      </c>
      <c r="HK5" s="9" t="s">
        <v>116</v>
      </c>
      <c r="HL5" s="9" t="s">
        <v>117</v>
      </c>
      <c r="HM5" s="9" t="s">
        <v>118</v>
      </c>
      <c r="HN5" s="9" t="s">
        <v>119</v>
      </c>
      <c r="HO5" s="9" t="s">
        <v>120</v>
      </c>
      <c r="HP5" s="9" t="s">
        <v>121</v>
      </c>
      <c r="HQ5" s="9" t="s">
        <v>122</v>
      </c>
    </row>
    <row r="6" spans="1:225" x14ac:dyDescent="0.35">
      <c r="A6" s="3">
        <v>1</v>
      </c>
      <c r="B6" s="3" t="s">
        <v>123</v>
      </c>
      <c r="C6" s="10">
        <f>'P0Q0 Dasar 2022'!F5</f>
        <v>0.12508905675934601</v>
      </c>
      <c r="D6" s="11">
        <f>IFERROR(AVERAGEIF('Pemetaan Variant'!$A$5:$A$32,$B6,'Pemetaan Variant'!$P$5:$P$32),"n/a")</f>
        <v>12500</v>
      </c>
      <c r="E6" s="12">
        <f>IFERROR(IF(ISNUMBER(D6),(D6-AVERAGEIF('Pemetaan Variant'!$A$5:$A$32,$B6,'Pemetaan Variant'!$D$5:$D$32))/AVERAGEIF('Pemetaan Variant'!$A$5:$A$32,$B6,'Pemetaan Variant'!$D$5:$D$32)*100,"n/a"),"n/a")</f>
        <v>0</v>
      </c>
      <c r="F6" s="4">
        <f t="shared" ref="F6:F25" si="0">IFERROR(IF(ISNUMBER(E6),$C6*E6,"n/a"),"n/a")</f>
        <v>0</v>
      </c>
      <c r="G6" s="11">
        <f>IFERROR(AVERAGEIF('Pemetaan Variant'!$A$5:$A$32,$B6,'Pemetaan Variant'!$Q$5:$Q$32),"n/a")</f>
        <v>12500</v>
      </c>
      <c r="H6" s="12">
        <f>IFERROR(IF(ISNUMBER(G6),(G6-AVERAGEIF('Pemetaan Variant'!$A$5:$A$32,$B6,'Pemetaan Variant'!$D$5:$D$32))/AVERAGEIF('Pemetaan Variant'!$A$5:$A$32,$B6,'Pemetaan Variant'!$D$5:$D$32)*100,"n/a"),"n/a")</f>
        <v>0</v>
      </c>
      <c r="I6" s="4">
        <f t="shared" ref="I6:I25" si="1">IFERROR(IF(ISNUMBER(H6),$C6*H6,"n/a"),"n/a")</f>
        <v>0</v>
      </c>
      <c r="J6" s="11">
        <f>IFERROR(AVERAGEIF('Pemetaan Variant'!$A$5:$A$32,$B6,'Pemetaan Variant'!$R$5:$R$32),"n/a")</f>
        <v>12500</v>
      </c>
      <c r="K6" s="12">
        <f>IFERROR(IF(ISNUMBER(J6),(J6-AVERAGEIF('Pemetaan Variant'!$A$5:$A$32,$B6,'Pemetaan Variant'!$D$5:$D$32))/AVERAGEIF('Pemetaan Variant'!$A$5:$A$32,$B6,'Pemetaan Variant'!$D$5:$D$32)*100,"n/a"),"n/a")</f>
        <v>0</v>
      </c>
      <c r="L6" s="4">
        <f t="shared" ref="L6:L25" si="2">IFERROR(IF(ISNUMBER(K6),$C6*K6,"n/a"),"n/a")</f>
        <v>0</v>
      </c>
      <c r="M6" s="11">
        <f>IFERROR(AVERAGEIF('Pemetaan Variant'!$A$5:$A$32,$B6,'Pemetaan Variant'!$S$5:$S$32),"n/a")</f>
        <v>12500</v>
      </c>
      <c r="N6" s="12">
        <f>IFERROR(IF(ISNUMBER(M6),(M6-AVERAGEIF('Pemetaan Variant'!$A$5:$A$32,$B6,'Pemetaan Variant'!$D$5:$D$32))/AVERAGEIF('Pemetaan Variant'!$A$5:$A$32,$B6,'Pemetaan Variant'!$D$5:$D$32)*100,"n/a"),"n/a")</f>
        <v>0</v>
      </c>
      <c r="O6" s="4">
        <f t="shared" ref="O6:O25" si="3">IFERROR(IF(ISNUMBER(N6),$C6*N6,"n/a"),"n/a")</f>
        <v>0</v>
      </c>
      <c r="P6" s="11">
        <f>IFERROR(AVERAGEIF('Pemetaan Variant'!$A$5:$A$32,$B6,'Pemetaan Variant'!$T$5:$T$32),"n/a")</f>
        <v>12500</v>
      </c>
      <c r="Q6" s="12">
        <f>IFERROR(IF(ISNUMBER(P6),(P6-AVERAGEIF('Pemetaan Variant'!$A$5:$A$32,$B6,'Pemetaan Variant'!$D$5:$D$32))/AVERAGEIF('Pemetaan Variant'!$A$5:$A$32,$B6,'Pemetaan Variant'!$D$5:$D$32)*100,"n/a"),"n/a")</f>
        <v>0</v>
      </c>
      <c r="R6" s="4">
        <f t="shared" ref="R6:R25" si="4">IFERROR(IF(ISNUMBER(Q6),$C6*Q6,"n/a"),"n/a")</f>
        <v>0</v>
      </c>
      <c r="S6" s="11">
        <f>IFERROR(AVERAGEIF('Pemetaan Variant'!$A$5:$A$32,$B6,'Pemetaan Variant'!$U$5:$U$32),"n/a")</f>
        <v>12500</v>
      </c>
      <c r="T6" s="12">
        <f>IFERROR(IF(ISNUMBER(S6),(S6-AVERAGEIF('Pemetaan Variant'!$A$5:$A$32,$B6,'Pemetaan Variant'!$E$5:$E$32))/AVERAGEIF('Pemetaan Variant'!$A$5:$A$32,$B6,'Pemetaan Variant'!$E$5:$E$32)*100,"n/a"),"n/a")</f>
        <v>0</v>
      </c>
      <c r="U6" s="4">
        <f t="shared" ref="U6:U25" si="5">IFERROR(IF(ISNUMBER(T6),$C6*T6,"n/a"),"n/a")</f>
        <v>0</v>
      </c>
      <c r="V6" s="11">
        <f>IFERROR(AVERAGEIF('Pemetaan Variant'!$A$5:$A$32,$B6,'Pemetaan Variant'!$V$5:$V$32),"n/a")</f>
        <v>12500</v>
      </c>
      <c r="W6" s="12">
        <f>IFERROR(IF(ISNUMBER(V6),(V6-AVERAGEIF('Pemetaan Variant'!$A$5:$A$32,$B6,'Pemetaan Variant'!$E$5:$E$32))/AVERAGEIF('Pemetaan Variant'!$A$5:$A$32,$B6,'Pemetaan Variant'!$E$5:$E$32)*100,"n/a"),"n/a")</f>
        <v>0</v>
      </c>
      <c r="X6" s="4">
        <f t="shared" ref="X6:X25" si="6">IFERROR(IF(ISNUMBER(W6),$C6*W6,"n/a"),"n/a")</f>
        <v>0</v>
      </c>
      <c r="Y6" s="11">
        <f>IFERROR(AVERAGEIF('Pemetaan Variant'!$A$5:$A$32,$B6,'Pemetaan Variant'!$W$5:$W$32),"n/a")</f>
        <v>12500</v>
      </c>
      <c r="Z6" s="12">
        <f>IFERROR(IF(ISNUMBER(Y6),(Y6-AVERAGEIF('Pemetaan Variant'!$A$5:$A$32,$B6,'Pemetaan Variant'!$E$5:$E$32))/AVERAGEIF('Pemetaan Variant'!$A$5:$A$32,$B6,'Pemetaan Variant'!$E$5:$E$32)*100,"n/a"),"n/a")</f>
        <v>0</v>
      </c>
      <c r="AA6" s="4">
        <f t="shared" ref="AA6:AA25" si="7">IFERROR(IF(ISNUMBER(Z6),$C6*Z6,"n/a"),"n/a")</f>
        <v>0</v>
      </c>
      <c r="AB6" s="11">
        <f>IFERROR(AVERAGEIF('Pemetaan Variant'!$A$5:$A$32,$B6,'Pemetaan Variant'!$X$5:$X$32),"n/a")</f>
        <v>12500</v>
      </c>
      <c r="AC6" s="12">
        <f>IFERROR(IF(ISNUMBER(AB6),(AB6-AVERAGEIF('Pemetaan Variant'!$A$5:$A$32,$B6,'Pemetaan Variant'!$E$5:$E$32))/AVERAGEIF('Pemetaan Variant'!$A$5:$A$32,$B6,'Pemetaan Variant'!$E$5:$E$32)*100,"n/a"),"n/a")</f>
        <v>0</v>
      </c>
      <c r="AD6" s="4">
        <f t="shared" ref="AD6:AD25" si="8">IFERROR(IF(ISNUMBER(AC6),$C6*AC6,"n/a"),"n/a")</f>
        <v>0</v>
      </c>
      <c r="AE6" s="11">
        <f>IFERROR(AVERAGEIF('Pemetaan Variant'!$A$5:$A$32,$B6,'Pemetaan Variant'!$Y$5:$Y$32),"n/a")</f>
        <v>12500</v>
      </c>
      <c r="AF6" s="12">
        <f>IFERROR(IF(ISNUMBER(AE6),(AE6-AVERAGEIF('Pemetaan Variant'!$A$5:$A$32,$B6,'Pemetaan Variant'!$F$5:$F$32))/AVERAGEIF('Pemetaan Variant'!$A$5:$A$32,$B6,'Pemetaan Variant'!$F$5:$F$32)*100,"n/a"),"n/a")</f>
        <v>0</v>
      </c>
      <c r="AG6" s="4">
        <f t="shared" ref="AG6:AG25" si="9">IFERROR(IF(ISNUMBER(AF6),$C6*AF6,"n/a"),"n/a")</f>
        <v>0</v>
      </c>
      <c r="AH6" s="11">
        <f>IFERROR(AVERAGEIF('Pemetaan Variant'!$A$5:$A$32,$B6,'Pemetaan Variant'!$Z$5:$Z$32),"n/a")</f>
        <v>12500</v>
      </c>
      <c r="AI6" s="12">
        <f>IFERROR(IF(ISNUMBER(AH6),(AH6-AVERAGEIF('Pemetaan Variant'!$A$5:$A$32,$B6,'Pemetaan Variant'!$F$5:$F$32))/AVERAGEIF('Pemetaan Variant'!$A$5:$A$32,$B6,'Pemetaan Variant'!$F$5:$F$32)*100,"n/a"),"n/a")</f>
        <v>0</v>
      </c>
      <c r="AJ6" s="4">
        <f t="shared" ref="AJ6:AJ25" si="10">IFERROR(IF(ISNUMBER(AI6),$C6*AI6,"n/a"),"n/a")</f>
        <v>0</v>
      </c>
      <c r="AK6" s="11">
        <f>IFERROR(AVERAGEIF('Pemetaan Variant'!$A$5:$A$32,$B6,'Pemetaan Variant'!$AA$5:$AA$32),"n/a")</f>
        <v>12500</v>
      </c>
      <c r="AL6" s="12">
        <f>IFERROR(IF(ISNUMBER(AK6),(AK6-AVERAGEIF('Pemetaan Variant'!$A$5:$A$32,$B6,'Pemetaan Variant'!$F$5:$F$32))/AVERAGEIF('Pemetaan Variant'!$A$5:$A$32,$B6,'Pemetaan Variant'!$F$5:$F$32)*100,"n/a"),"n/a")</f>
        <v>0</v>
      </c>
      <c r="AM6" s="4">
        <f t="shared" ref="AM6:AM25" si="11">IFERROR(IF(ISNUMBER(AL6),$C6*AL6,"n/a"),"n/a")</f>
        <v>0</v>
      </c>
      <c r="AN6" s="11">
        <f>IFERROR(AVERAGEIF('Pemetaan Variant'!$A$5:$A$32,$B6,'Pemetaan Variant'!$AB$5:$AB$32),"n/a")</f>
        <v>12500</v>
      </c>
      <c r="AO6" s="12">
        <f>IFERROR(IF(ISNUMBER(AN6),(AN6-AVERAGEIF('Pemetaan Variant'!$A$5:$A$32,$B6,'Pemetaan Variant'!$F$5:$F$32))/AVERAGEIF('Pemetaan Variant'!$A$5:$A$32,$B6,'Pemetaan Variant'!$F$5:$F$32)*100,"n/a"),"n/a")</f>
        <v>0</v>
      </c>
      <c r="AP6" s="4">
        <f t="shared" ref="AP6:AP25" si="12">IFERROR(IF(ISNUMBER(AO6),$C6*AO6,"n/a"),"n/a")</f>
        <v>0</v>
      </c>
      <c r="AQ6" s="11" t="str">
        <f>IFERROR(AVERAGEIF('Pemetaan Variant'!$A$5:$A$32,$B6,'Pemetaan Variant'!$AC$5:$AC$32),"n/a")</f>
        <v>n/a</v>
      </c>
      <c r="AR6" s="12" t="str">
        <f>IFERROR(IF(ISNUMBER(AQ6),(AQ6-AVERAGEIF('Pemetaan Variant'!$A$5:$A$32,$B6,'Pemetaan Variant'!$F$5:$F$32))/AVERAGEIF('Pemetaan Variant'!$A$5:$A$32,$B6,'Pemetaan Variant'!$F$5:$F$32)*100,"n/a"),"n/a")</f>
        <v>n/a</v>
      </c>
      <c r="AS6" s="4" t="str">
        <f t="shared" ref="AS6:AS25" si="13">IFERROR(IF(ISNUMBER(AR6),$C6*AR6,"n/a"),"n/a")</f>
        <v>n/a</v>
      </c>
      <c r="AT6" s="11" t="str">
        <f>IFERROR(AVERAGEIF('Pemetaan Variant'!$A$5:$A$32,$B6,'Pemetaan Variant'!$AD$5:$AD$32),"n/a")</f>
        <v>n/a</v>
      </c>
      <c r="AU6" s="12" t="str">
        <f>IFERROR(IF(ISNUMBER(AT6),(AT6-AVERAGEIF('Pemetaan Variant'!$A$5:$A$32,$B6,'Pemetaan Variant'!$G$5:$G$32))/AVERAGEIF('Pemetaan Variant'!$A$5:$A$32,$B6,'Pemetaan Variant'!$G$5:$G$32)*100,"n/a"),"n/a")</f>
        <v>n/a</v>
      </c>
      <c r="AV6" s="4" t="str">
        <f t="shared" ref="AV6:AV25" si="14">IFERROR(IF(ISNUMBER(AU6),$C6*AU6,"n/a"),"n/a")</f>
        <v>n/a</v>
      </c>
      <c r="AW6" s="11">
        <f>IFERROR(AVERAGEIF('Pemetaan Variant'!$A$5:$A$32,$B6,'Pemetaan Variant'!$AE$5:$AE$32),"n/a")</f>
        <v>12500</v>
      </c>
      <c r="AX6" s="12">
        <f>IFERROR(IF(ISNUMBER(AW6),(AW6-AVERAGEIF('Pemetaan Variant'!$A$5:$A$32,$B6,'Pemetaan Variant'!$G$5:$G$32))/AVERAGEIF('Pemetaan Variant'!$A$5:$A$32,$B6,'Pemetaan Variant'!$G$5:$G$32)*100,"n/a"),"n/a")</f>
        <v>0</v>
      </c>
      <c r="AY6" s="4">
        <f t="shared" ref="AY6:AY25" si="15">IFERROR(IF(ISNUMBER(AX6),$C6*AX6,"n/a"),"n/a")</f>
        <v>0</v>
      </c>
      <c r="AZ6" s="11">
        <f>IFERROR(AVERAGEIF('Pemetaan Variant'!$A$5:$A$32,$B6,'Pemetaan Variant'!$AF$5:$AF$32),"n/a")</f>
        <v>12500</v>
      </c>
      <c r="BA6" s="12">
        <f>IFERROR(IF(ISNUMBER(AZ6),(AZ6-AVERAGEIF('Pemetaan Variant'!$A$5:$A$32,$B6,'Pemetaan Variant'!$G$5:$G$32))/AVERAGEIF('Pemetaan Variant'!$A$5:$A$32,$B6,'Pemetaan Variant'!$G$5:$G$32)*100,"n/a"),"n/a")</f>
        <v>0</v>
      </c>
      <c r="BB6" s="4">
        <f t="shared" ref="BB6:BB25" si="16">IFERROR(IF(ISNUMBER(BA6),$C6*BA6,"n/a"),"n/a")</f>
        <v>0</v>
      </c>
      <c r="BC6" s="11">
        <f>IFERROR(AVERAGEIF('Pemetaan Variant'!$A$5:$A$32,$B6,'Pemetaan Variant'!$AG$5:$AG$32),"n/a")</f>
        <v>12500</v>
      </c>
      <c r="BD6" s="12">
        <f>IFERROR(IF(ISNUMBER(BC6),(BC6-AVERAGEIF('Pemetaan Variant'!$A$5:$A$32,$B6,'Pemetaan Variant'!$G$5:$G$32))/AVERAGEIF('Pemetaan Variant'!$A$5:$A$32,$B6,'Pemetaan Variant'!$G$5:$G$32)*100,"n/a"),"n/a")</f>
        <v>0</v>
      </c>
      <c r="BE6" s="4">
        <f t="shared" ref="BE6:BE25" si="17">IFERROR(IF(ISNUMBER(BD6),$C6*BD6,"n/a"),"n/a")</f>
        <v>0</v>
      </c>
      <c r="BF6" s="11">
        <f>IFERROR(AVERAGEIF('Pemetaan Variant'!$A$5:$A$32,$B6,'Pemetaan Variant'!$AH$5:$AH$32),"n/a")</f>
        <v>12500</v>
      </c>
      <c r="BG6" s="12">
        <f>IFERROR(IF(ISNUMBER(BF6),(BF6-AVERAGEIF('Pemetaan Variant'!$A$5:$A$32,$B6,'Pemetaan Variant'!$G$5:$G$32))/AVERAGEIF('Pemetaan Variant'!$A$5:$A$32,$B6,'Pemetaan Variant'!$G$5:$G$32)*100,"n/a"),"n/a")</f>
        <v>0</v>
      </c>
      <c r="BH6" s="4">
        <f t="shared" ref="BH6:BH25" si="18">IFERROR(IF(ISNUMBER(BG6),$C6*BG6,"n/a"),"n/a")</f>
        <v>0</v>
      </c>
      <c r="BI6" s="11">
        <f>IFERROR(AVERAGEIF('Pemetaan Variant'!$A$5:$A$32,$B6,'Pemetaan Variant'!$AI$5:$AI$32),"n/a")</f>
        <v>12500</v>
      </c>
      <c r="BJ6" s="12">
        <f>IFERROR(IF(ISNUMBER(BI6),(BI6-AVERAGEIF('Pemetaan Variant'!$A$5:$A$32,$B6,'Pemetaan Variant'!$H$5:$H$32))/AVERAGEIF('Pemetaan Variant'!$A$5:$A$32,$B6,'Pemetaan Variant'!$H$5:$H$32)*100,"n/a"),"n/a")</f>
        <v>0</v>
      </c>
      <c r="BK6" s="4">
        <f t="shared" ref="BK6:BK25" si="19">IFERROR(IF(ISNUMBER(BJ6),$C6*BJ6,"n/a"),"n/a")</f>
        <v>0</v>
      </c>
      <c r="BL6" s="11">
        <f>IFERROR(AVERAGEIF('Pemetaan Variant'!$A$5:$A$32,$B6,'Pemetaan Variant'!$AJ$5:$AJ$32),"n/a")</f>
        <v>12500</v>
      </c>
      <c r="BM6" s="12">
        <f>IFERROR(IF(ISNUMBER(BL6),(BL6-AVERAGEIF('Pemetaan Variant'!$A$5:$A$32,$B6,'Pemetaan Variant'!$H$5:$H$32))/AVERAGEIF('Pemetaan Variant'!$A$5:$A$32,$B6,'Pemetaan Variant'!$H$5:$H$32)*100,"n/a"),"n/a")</f>
        <v>0</v>
      </c>
      <c r="BN6" s="4">
        <f t="shared" ref="BN6:BN25" si="20">IFERROR(IF(ISNUMBER(BM6),$C6*BM6,"n/a"),"n/a")</f>
        <v>0</v>
      </c>
      <c r="BO6" s="11">
        <f>IFERROR(AVERAGEIF('Pemetaan Variant'!$A$5:$A$32,$B6,'Pemetaan Variant'!$AK$5:$AK$32),"n/a")</f>
        <v>12500</v>
      </c>
      <c r="BP6" s="12">
        <f>IFERROR(IF(ISNUMBER(BO6),(BO6-AVERAGEIF('Pemetaan Variant'!$A$5:$A$32,$B6,'Pemetaan Variant'!$H$5:$H$32))/AVERAGEIF('Pemetaan Variant'!$A$5:$A$32,$B6,'Pemetaan Variant'!$H$5:$H$32)*100,"n/a"),"n/a")</f>
        <v>0</v>
      </c>
      <c r="BQ6" s="4">
        <f t="shared" ref="BQ6:BQ25" si="21">IFERROR(IF(ISNUMBER(BP6),$C6*BP6,"n/a"),"n/a")</f>
        <v>0</v>
      </c>
      <c r="BR6" s="11">
        <f>IFERROR(AVERAGEIF('Pemetaan Variant'!$A$5:$A$32,$B6,'Pemetaan Variant'!$AL$5:$AL$32),"n/a")</f>
        <v>12500</v>
      </c>
      <c r="BS6" s="12">
        <f>IFERROR(IF(ISNUMBER(BR6),(BR6-AVERAGEIF('Pemetaan Variant'!$A$5:$A$32,$B6,'Pemetaan Variant'!$H$5:$H$32))/AVERAGEIF('Pemetaan Variant'!$A$5:$A$32,$B6,'Pemetaan Variant'!$H$5:$H$32)*100,"n/a"),"n/a")</f>
        <v>0</v>
      </c>
      <c r="BT6" s="4">
        <f t="shared" ref="BT6:BT25" si="22">IFERROR(IF(ISNUMBER(BS6),$C6*BS6,"n/a"),"n/a")</f>
        <v>0</v>
      </c>
      <c r="BU6" s="11">
        <f>IFERROR(AVERAGEIF('Pemetaan Variant'!$A$5:$A$32,$B6,'Pemetaan Variant'!$AM$5:$AM$32),"n/a")</f>
        <v>12500</v>
      </c>
      <c r="BV6" s="12">
        <f>IFERROR(IF(ISNUMBER(BU6),(BU6-AVERAGEIF('Pemetaan Variant'!$A$5:$A$32,$B6,'Pemetaan Variant'!$H$5:$H$32))/AVERAGEIF('Pemetaan Variant'!$A$5:$A$32,$B6,'Pemetaan Variant'!$H$5:$H$32)*100,"n/a"),"n/a")</f>
        <v>0</v>
      </c>
      <c r="BW6" s="4">
        <f t="shared" ref="BW6:BW25" si="23">IFERROR(IF(ISNUMBER(BV6),$C6*BV6,"n/a"),"n/a")</f>
        <v>0</v>
      </c>
      <c r="BX6" s="11">
        <f>IFERROR(AVERAGEIF('Pemetaan Variant'!$A$5:$A$32,$B6,'Pemetaan Variant'!$AN$5:$AN$32),"n/a")</f>
        <v>12500</v>
      </c>
      <c r="BY6" s="12">
        <f>IFERROR(IF(ISNUMBER(BX6),(BX6-AVERAGEIF('Pemetaan Variant'!$A$5:$A$32,$B6,'Pemetaan Variant'!$I$5:$I$32))/AVERAGEIF('Pemetaan Variant'!$A$5:$A$32,$B6,'Pemetaan Variant'!$I$5:$I$32)*100,"n/a"),"n/a")</f>
        <v>0</v>
      </c>
      <c r="BZ6" s="4">
        <f t="shared" ref="BZ6:BZ25" si="24">IFERROR(IF(ISNUMBER(BY6),$C6*BY6,"n/a"),"n/a")</f>
        <v>0</v>
      </c>
      <c r="CA6" s="11">
        <f>IFERROR(AVERAGEIF('Pemetaan Variant'!$A$5:$A$32,$B6,'Pemetaan Variant'!$AO$5:$AO$32),"n/a")</f>
        <v>12500</v>
      </c>
      <c r="CB6" s="12">
        <f>IFERROR(IF(ISNUMBER(CA6),(CA6-AVERAGEIF('Pemetaan Variant'!$A$5:$A$32,$B6,'Pemetaan Variant'!$I$5:$I$32))/AVERAGEIF('Pemetaan Variant'!$A$5:$A$32,$B6,'Pemetaan Variant'!$I$5:$I$32)*100,"n/a"),"n/a")</f>
        <v>0</v>
      </c>
      <c r="CC6" s="4">
        <f t="shared" ref="CC6:CC25" si="25">IFERROR(IF(ISNUMBER(CB6),$C6*CB6,"n/a"),"n/a")</f>
        <v>0</v>
      </c>
      <c r="CD6" s="11">
        <f>IFERROR(AVERAGEIF('Pemetaan Variant'!$A$5:$A$32,$B6,'Pemetaan Variant'!$AP$5:$AP$32),"n/a")</f>
        <v>12500</v>
      </c>
      <c r="CE6" s="12">
        <f>IFERROR(IF(ISNUMBER(CD6),(CD6-AVERAGEIF('Pemetaan Variant'!$A$5:$A$32,$B6,'Pemetaan Variant'!$I$5:$I$32))/AVERAGEIF('Pemetaan Variant'!$A$5:$A$32,$B6,'Pemetaan Variant'!$I$5:$I$32)*100,"n/a"),"n/a")</f>
        <v>0</v>
      </c>
      <c r="CF6" s="4">
        <f t="shared" ref="CF6:CF25" si="26">IFERROR(IF(ISNUMBER(CE6),$C6*CE6,"n/a"),"n/a")</f>
        <v>0</v>
      </c>
      <c r="CG6" s="11">
        <f>IFERROR(AVERAGEIF('Pemetaan Variant'!$A$5:$A$32,$B6,'Pemetaan Variant'!$AQ$5:$AQ$32),"n/a")</f>
        <v>12500</v>
      </c>
      <c r="CH6" s="12">
        <f>IFERROR(IF(ISNUMBER(CG6),(CG6-AVERAGEIF('Pemetaan Variant'!$A$5:$A$32,$B6,'Pemetaan Variant'!$I$5:$I$32))/AVERAGEIF('Pemetaan Variant'!$A$5:$A$32,$B6,'Pemetaan Variant'!$I$5:$I$32)*100,"n/a"),"n/a")</f>
        <v>0</v>
      </c>
      <c r="CI6" s="4">
        <f t="shared" ref="CI6:CI25" si="27">IFERROR(IF(ISNUMBER(CH6),$C6*CH6,"n/a"),"n/a")</f>
        <v>0</v>
      </c>
      <c r="CJ6" s="11">
        <f>IFERROR(AVERAGEIF('Pemetaan Variant'!$A$5:$A$32,$B6,'Pemetaan Variant'!$AR$5:$AR$32),"n/a")</f>
        <v>12500</v>
      </c>
      <c r="CK6" s="12">
        <f>IFERROR(IF(ISNUMBER(CJ6),(CJ6-AVERAGEIF('Pemetaan Variant'!$A$5:$A$32,$B6,'Pemetaan Variant'!$J$5:$J$32))/AVERAGEIF('Pemetaan Variant'!$A$5:$A$32,$B6,'Pemetaan Variant'!$J$5:$J$32)*100,"n/a"),"n/a")</f>
        <v>0</v>
      </c>
      <c r="CL6" s="4">
        <f t="shared" ref="CL6:CL25" si="28">IFERROR(IF(ISNUMBER(CK6),$C6*CK6,"n/a"),"n/a")</f>
        <v>0</v>
      </c>
      <c r="CM6" s="11">
        <f>IFERROR(AVERAGEIF('Pemetaan Variant'!$A$5:$A$32,$B6,'Pemetaan Variant'!$AS$5:$AS$32),"n/a")</f>
        <v>12500</v>
      </c>
      <c r="CN6" s="12">
        <f>IFERROR(IF(ISNUMBER(CM6),(CM6-AVERAGEIF('Pemetaan Variant'!$A$5:$A$32,$B6,'Pemetaan Variant'!$J$5:$J$32))/AVERAGEIF('Pemetaan Variant'!$A$5:$A$32,$B6,'Pemetaan Variant'!$J$5:$J$32)*100,"n/a"),"n/a")</f>
        <v>0</v>
      </c>
      <c r="CO6" s="4">
        <f t="shared" ref="CO6:CO25" si="29">IFERROR(IF(ISNUMBER(CN6),$C6*CN6,"n/a"),"n/a")</f>
        <v>0</v>
      </c>
      <c r="CP6" s="11">
        <f>IFERROR(AVERAGEIF('Pemetaan Variant'!$A$5:$A$32,$B6,'Pemetaan Variant'!$AT$5:$AT$32),"n/a")</f>
        <v>12500</v>
      </c>
      <c r="CQ6" s="12">
        <f>IFERROR(IF(ISNUMBER(CP6),(CP6-AVERAGEIF('Pemetaan Variant'!$A$5:$A$32,$B6,'Pemetaan Variant'!$J$5:$J$32))/AVERAGEIF('Pemetaan Variant'!$A$5:$A$32,$B6,'Pemetaan Variant'!$J$5:$J$32)*100,"n/a"),"n/a")</f>
        <v>0</v>
      </c>
      <c r="CR6" s="4">
        <f t="shared" ref="CR6:CR25" si="30">IFERROR(IF(ISNUMBER(CQ6),$C6*CQ6,"n/a"),"n/a")</f>
        <v>0</v>
      </c>
      <c r="CS6" s="11">
        <f>IFERROR(AVERAGEIF('Pemetaan Variant'!$A$5:$A$32,$B6,'Pemetaan Variant'!$AU$5:$AU$32),"n/a")</f>
        <v>13166.666666666666</v>
      </c>
      <c r="CT6" s="12">
        <f>IFERROR(IF(ISNUMBER(CS6),(CS6-AVERAGEIF('Pemetaan Variant'!$A$5:$A$32,$B6,'Pemetaan Variant'!$J$5:$J$32))/AVERAGEIF('Pemetaan Variant'!$A$5:$A$32,$B6,'Pemetaan Variant'!$J$5:$J$32)*100,"n/a"),"n/a")</f>
        <v>5.3333333333333286</v>
      </c>
      <c r="CU6" s="4">
        <f t="shared" ref="CU6:CU25" si="31">IFERROR(IF(ISNUMBER(CT6),$C6*CT6,"n/a"),"n/a")</f>
        <v>0.66714163604984478</v>
      </c>
      <c r="CV6" s="11">
        <f>IFERROR(AVERAGEIF('Pemetaan Variant'!$A$5:$A$32,$B6,'Pemetaan Variant'!$AV$5:$AV$32),"n/a")</f>
        <v>13166.666666666666</v>
      </c>
      <c r="CW6" s="12">
        <f>IFERROR(IF(ISNUMBER(CV6),(CV6-AVERAGEIF('Pemetaan Variant'!$A$5:$A$32,$B6,'Pemetaan Variant'!$J$5:$J$32))/AVERAGEIF('Pemetaan Variant'!$A$5:$A$32,$B6,'Pemetaan Variant'!$J$5:$J$32)*100,"n/a"),"n/a")</f>
        <v>5.3333333333333286</v>
      </c>
      <c r="CX6" s="4">
        <f t="shared" ref="CX6:CX25" si="32">IFERROR(IF(ISNUMBER(CW6),$C6*CW6,"n/a"),"n/a")</f>
        <v>0.66714163604984478</v>
      </c>
      <c r="CY6" s="11">
        <f>IFERROR(AVERAGEIF('Pemetaan Variant'!$A$5:$A$32,$B6,'Pemetaan Variant'!$AW$5:$AW$32),"n/a")</f>
        <v>0</v>
      </c>
      <c r="CZ6" s="12">
        <f>IFERROR(IF(ISNUMBER(CY6),(CY6-AVERAGEIF('Pemetaan Variant'!$A$5:$A$32,$B6,'Pemetaan Variant'!$K$5:$K$32))/AVERAGEIF('Pemetaan Variant'!$A$5:$A$32,$B6,'Pemetaan Variant'!$K$5:$K$32)*100,"n/a"),"n/a")</f>
        <v>-100</v>
      </c>
      <c r="DA6" s="4">
        <f t="shared" ref="DA6:DA25" si="33">IFERROR(IF(ISNUMBER(CZ6),$C6*CZ6,"n/a"),"n/a")</f>
        <v>-12.508905675934601</v>
      </c>
      <c r="DB6" s="11">
        <f>IFERROR(AVERAGEIF('Pemetaan Variant'!$A$5:$A$32,$B6,'Pemetaan Variant'!$AX$5:$AX$32),"n/a")</f>
        <v>0</v>
      </c>
      <c r="DC6" s="12">
        <f>IFERROR(IF(ISNUMBER(DB6),(DB6-AVERAGEIF('Pemetaan Variant'!$A$5:$A$32,$B6,'Pemetaan Variant'!$K$5:$K$32))/AVERAGEIF('Pemetaan Variant'!$A$5:$A$32,$B6,'Pemetaan Variant'!$K$5:$K$32)*100,"n/a"),"n/a")</f>
        <v>-100</v>
      </c>
      <c r="DD6" s="4">
        <f t="shared" ref="DD6:DD25" si="34">IFERROR(IF(ISNUMBER(DC6),$C6*DC6,"n/a"),"n/a")</f>
        <v>-12.508905675934601</v>
      </c>
      <c r="DE6" s="11">
        <f>IFERROR(AVERAGEIF('Pemetaan Variant'!$A$5:$A$32,$B6,'Pemetaan Variant'!$AY$5:$AY$32),"n/a")</f>
        <v>0</v>
      </c>
      <c r="DF6" s="12">
        <f>IFERROR(IF(ISNUMBER(DE6),(DE6-AVERAGEIF('Pemetaan Variant'!$A$5:$A$32,$B6,'Pemetaan Variant'!$K$5:$K$32))/AVERAGEIF('Pemetaan Variant'!$A$5:$A$32,$B6,'Pemetaan Variant'!$K$5:$K$32)*100,"n/a"),"n/a")</f>
        <v>-100</v>
      </c>
      <c r="DG6" s="4">
        <f t="shared" ref="DG6:DG25" si="35">IFERROR(IF(ISNUMBER(DF6),$C6*DF6,"n/a"),"n/a")</f>
        <v>-12.508905675934601</v>
      </c>
      <c r="DH6" s="11">
        <f>IFERROR(AVERAGEIF('Pemetaan Variant'!$A$5:$A$32,$B6,'Pemetaan Variant'!$AZ$5:$AZ$32),"n/a")</f>
        <v>0</v>
      </c>
      <c r="DI6" s="12">
        <f>IFERROR(IF(ISNUMBER(DH6),(DH6-AVERAGEIF('Pemetaan Variant'!$A$5:$A$32,$B6,'Pemetaan Variant'!$K$5:$K$32))/AVERAGEIF('Pemetaan Variant'!$A$5:$A$32,$B6,'Pemetaan Variant'!$K$5:$K$32)*100,"n/a"),"n/a")</f>
        <v>-100</v>
      </c>
      <c r="DJ6" s="4">
        <f t="shared" ref="DJ6:DJ25" si="36">IFERROR(IF(ISNUMBER(DI6),$C6*DI6,"n/a"),"n/a")</f>
        <v>-12.508905675934601</v>
      </c>
      <c r="DK6" s="11" t="str">
        <f>IFERROR(AVERAGEIF('Pemetaan Variant'!$A$5:$A$32,$B6,'Pemetaan Variant'!$BA$5:$BA$32),"n/a")</f>
        <v>n/a</v>
      </c>
      <c r="DL6" s="12" t="str">
        <f>IFERROR(IF(ISNUMBER(DK6),(DK6-AVERAGEIF('Pemetaan Variant'!$A$5:$A$32,$B6,'Pemetaan Variant'!$L$5:$L$32))/AVERAGEIF('Pemetaan Variant'!$A$5:$A$32,$B6,'Pemetaan Variant'!$L$5:$L$32)*100,"n/a"),"n/a")</f>
        <v>n/a</v>
      </c>
      <c r="DM6" s="4" t="str">
        <f t="shared" ref="DM6:DM25" si="37">IFERROR(IF(ISNUMBER(DL6),$C6*DL6,"n/a"),"n/a")</f>
        <v>n/a</v>
      </c>
      <c r="DN6" s="11" t="str">
        <f>IFERROR(AVERAGEIF('Pemetaan Variant'!$A$5:$A$32,$B6,'Pemetaan Variant'!$BB$5:$BB$32),"n/a")</f>
        <v>n/a</v>
      </c>
      <c r="DO6" s="12" t="str">
        <f>IFERROR(IF(ISNUMBER(DN6),(DN6-AVERAGEIF('Pemetaan Variant'!$A$5:$A$32,$B6,'Pemetaan Variant'!$L$5:$L$32))/AVERAGEIF('Pemetaan Variant'!$A$5:$A$32,$B6,'Pemetaan Variant'!$L$5:$L$32)*100,"n/a"),"n/a")</f>
        <v>n/a</v>
      </c>
      <c r="DP6" s="4" t="str">
        <f t="shared" ref="DP6:DP25" si="38">IFERROR(IF(ISNUMBER(DO6),$C6*DO6,"n/a"),"n/a")</f>
        <v>n/a</v>
      </c>
      <c r="DQ6" s="11" t="str">
        <f>IFERROR(AVERAGEIF('Pemetaan Variant'!$A$5:$A$32,$B6,'Pemetaan Variant'!$BC$5:$BC$32),"n/a")</f>
        <v>n/a</v>
      </c>
      <c r="DR6" s="12" t="str">
        <f>IFERROR(IF(ISNUMBER(DQ6),(DQ6-AVERAGEIF('Pemetaan Variant'!$A$5:$A$32,$B6,'Pemetaan Variant'!$L$5:$L$32))/AVERAGEIF('Pemetaan Variant'!$A$5:$A$32,$B6,'Pemetaan Variant'!$L$5:$L$32)*100,"n/a"),"n/a")</f>
        <v>n/a</v>
      </c>
      <c r="DS6" s="4" t="str">
        <f t="shared" ref="DS6:DS25" si="39">IFERROR(IF(ISNUMBER(DR6),$C6*DR6,"n/a"),"n/a")</f>
        <v>n/a</v>
      </c>
      <c r="DT6" s="11" t="str">
        <f>IFERROR(AVERAGEIF('Pemetaan Variant'!$A$5:$A$32,$B6,'Pemetaan Variant'!$BD$5:$BD$32),"n/a")</f>
        <v>n/a</v>
      </c>
      <c r="DU6" s="12" t="str">
        <f>IFERROR(IF(ISNUMBER(DT6),(DT6-AVERAGEIF('Pemetaan Variant'!$A$5:$A$32,$B6,'Pemetaan Variant'!$L$5:$L$32))/AVERAGEIF('Pemetaan Variant'!$A$5:$A$32,$B6,'Pemetaan Variant'!$L$5:$L$32)*100,"n/a"),"n/a")</f>
        <v>n/a</v>
      </c>
      <c r="DV6" s="4" t="str">
        <f t="shared" ref="DV6:DV25" si="40">IFERROR(IF(ISNUMBER(DU6),$C6*DU6,"n/a"),"n/a")</f>
        <v>n/a</v>
      </c>
      <c r="DW6" s="11" t="str">
        <f>IFERROR(AVERAGEIF('Pemetaan Variant'!$A$5:$A$32,$B6,'Pemetaan Variant'!$BE$5:$BE$32),"n/a")</f>
        <v>n/a</v>
      </c>
      <c r="DX6" s="12" t="str">
        <f>IFERROR(IF(ISNUMBER(DW6),(DW6-AVERAGEIF('Pemetaan Variant'!$A$5:$A$32,$B6,'Pemetaan Variant'!$M$5:$M$32))/AVERAGEIF('Pemetaan Variant'!$A$5:$A$32,$B6,'Pemetaan Variant'!$M$5:$M$32)*100,"n/a"),"n/a")</f>
        <v>n/a</v>
      </c>
      <c r="DY6" s="4" t="str">
        <f t="shared" ref="DY6:DY25" si="41">IFERROR(IF(ISNUMBER(DX6),$C6*DX6,"n/a"),"n/a")</f>
        <v>n/a</v>
      </c>
      <c r="DZ6" s="11" t="str">
        <f>IFERROR(AVERAGEIF('Pemetaan Variant'!$A$5:$A$32,$B6,'Pemetaan Variant'!$BF$5:$BF$32),"n/a")</f>
        <v>n/a</v>
      </c>
      <c r="EA6" s="12" t="str">
        <f>IFERROR(IF(ISNUMBER(DZ6),(DZ6-AVERAGEIF('Pemetaan Variant'!$A$5:$A$32,$B6,'Pemetaan Variant'!$M$5:$M$32))/AVERAGEIF('Pemetaan Variant'!$A$5:$A$32,$B6,'Pemetaan Variant'!$M$5:$M$32)*100,"n/a"),"n/a")</f>
        <v>n/a</v>
      </c>
      <c r="EB6" s="4" t="str">
        <f t="shared" ref="EB6:EB25" si="42">IFERROR(IF(ISNUMBER(EA6),$C6*EA6,"n/a"),"n/a")</f>
        <v>n/a</v>
      </c>
      <c r="EC6" s="11" t="str">
        <f>IFERROR(AVERAGEIF('Pemetaan Variant'!$A$5:$A$32,$B6,'Pemetaan Variant'!$BG$5:$BG$32),"n/a")</f>
        <v>n/a</v>
      </c>
      <c r="ED6" s="12" t="str">
        <f>IFERROR(IF(ISNUMBER(EC6),(EC6-AVERAGEIF('Pemetaan Variant'!$A$5:$A$32,$B6,'Pemetaan Variant'!$M$5:$M$32))/AVERAGEIF('Pemetaan Variant'!$A$5:$A$32,$B6,'Pemetaan Variant'!$M$5:$M$32)*100,"n/a"),"n/a")</f>
        <v>n/a</v>
      </c>
      <c r="EE6" s="4" t="str">
        <f t="shared" ref="EE6:EE25" si="43">IFERROR(IF(ISNUMBER(ED6),$C6*ED6,"n/a"),"n/a")</f>
        <v>n/a</v>
      </c>
      <c r="EF6" s="11" t="str">
        <f>IFERROR(AVERAGEIF('Pemetaan Variant'!$A$5:$A$32,$B6,'Pemetaan Variant'!$BH$5:$BH$32),"n/a")</f>
        <v>n/a</v>
      </c>
      <c r="EG6" s="12" t="str">
        <f>IFERROR(IF(ISNUMBER(EF6),(EF6-AVERAGEIF('Pemetaan Variant'!$A$5:$A$32,$B6,'Pemetaan Variant'!$M$5:$M$32))/AVERAGEIF('Pemetaan Variant'!$A$5:$A$32,$B6,'Pemetaan Variant'!$M$5:$M$32)*100,"n/a"),"n/a")</f>
        <v>n/a</v>
      </c>
      <c r="EH6" s="4" t="str">
        <f t="shared" ref="EH6:EH25" si="44">IFERROR(IF(ISNUMBER(EG6),$C6*EG6,"n/a"),"n/a")</f>
        <v>n/a</v>
      </c>
      <c r="EI6" s="11" t="str">
        <f>IFERROR(AVERAGEIF('Pemetaan Variant'!$A$5:$A$32,$B6,'Pemetaan Variant'!$BI$5:$BI$32),"n/a")</f>
        <v>n/a</v>
      </c>
      <c r="EJ6" s="12" t="str">
        <f>IFERROR(IF(ISNUMBER(EI6),(EI6-AVERAGEIF('Pemetaan Variant'!$A$5:$A$32,$B6,'Pemetaan Variant'!$M$5:$M$32))/AVERAGEIF('Pemetaan Variant'!$A$5:$A$32,$B6,'Pemetaan Variant'!$M$5:$M$32)*100,"n/a"),"n/a")</f>
        <v>n/a</v>
      </c>
      <c r="EK6" s="4" t="str">
        <f t="shared" ref="EK6:EK25" si="45">IFERROR(IF(ISNUMBER(EJ6),$C6*EJ6,"n/a"),"n/a")</f>
        <v>n/a</v>
      </c>
      <c r="EL6" s="11" t="str">
        <f>IFERROR(AVERAGEIF('Pemetaan Variant'!$A$5:$A$32,$B6,'Pemetaan Variant'!$BJ$5:$BJ$32),"n/a")</f>
        <v>n/a</v>
      </c>
      <c r="EM6" s="12" t="str">
        <f>IFERROR(IF(ISNUMBER(EL6),(EL6-AVERAGEIF('Pemetaan Variant'!$A$5:$A$32,$B6,'Pemetaan Variant'!$N$5:$N$32))/AVERAGEIF('Pemetaan Variant'!$A$5:$A$32,$B6,'Pemetaan Variant'!$N$5:$N$32)*100,"n/a"),"n/a")</f>
        <v>n/a</v>
      </c>
      <c r="EN6" s="4" t="str">
        <f t="shared" ref="EN6:EN25" si="46">IFERROR(IF(ISNUMBER(EM6),$C6*EM6,"n/a"),"n/a")</f>
        <v>n/a</v>
      </c>
      <c r="EO6" s="11" t="str">
        <f>IFERROR(AVERAGEIF('Pemetaan Variant'!$A$5:$A$32,$B6,'Pemetaan Variant'!$BK$5:$BK$32),"n/a")</f>
        <v>n/a</v>
      </c>
      <c r="EP6" s="12" t="str">
        <f>IFERROR(IF(ISNUMBER(EO6),(EO6-AVERAGEIF('Pemetaan Variant'!$A$5:$A$32,$B6,'Pemetaan Variant'!$N$5:$N$32))/AVERAGEIF('Pemetaan Variant'!$A$5:$A$32,$B6,'Pemetaan Variant'!$N$5:$N$32)*100,"n/a"),"n/a")</f>
        <v>n/a</v>
      </c>
      <c r="EQ6" s="4" t="str">
        <f t="shared" ref="EQ6:EQ25" si="47">IFERROR(IF(ISNUMBER(EP6),$C6*EP6,"n/a"),"n/a")</f>
        <v>n/a</v>
      </c>
      <c r="ER6" s="11" t="str">
        <f>IFERROR(AVERAGEIF('Pemetaan Variant'!$A$5:$A$32,$B6,'Pemetaan Variant'!$BL$5:$BL$32),"n/a")</f>
        <v>n/a</v>
      </c>
      <c r="ES6" s="12" t="str">
        <f>IFERROR(IF(ISNUMBER(ER6),(ER6-AVERAGEIF('Pemetaan Variant'!$A$5:$A$32,$B6,'Pemetaan Variant'!$N$5:$N$32))/AVERAGEIF('Pemetaan Variant'!$A$5:$A$32,$B6,'Pemetaan Variant'!$N$5:$N$32)*100,"n/a"),"n/a")</f>
        <v>n/a</v>
      </c>
      <c r="ET6" s="4" t="str">
        <f t="shared" ref="ET6:ET25" si="48">IFERROR(IF(ISNUMBER(ES6),$C6*ES6,"n/a"),"n/a")</f>
        <v>n/a</v>
      </c>
      <c r="EU6" s="11" t="str">
        <f>IFERROR(AVERAGEIF('Pemetaan Variant'!$A$5:$A$32,$B6,'Pemetaan Variant'!$BM$5:$BM$32),"n/a")</f>
        <v>n/a</v>
      </c>
      <c r="EV6" s="12" t="str">
        <f>IFERROR(IF(ISNUMBER(EU6),(EU6-AVERAGEIF('Pemetaan Variant'!$A$5:$A$32,$B6,'Pemetaan Variant'!$N$5:$N$32))/AVERAGEIF('Pemetaan Variant'!$A$5:$A$32,$B6,'Pemetaan Variant'!$N$5:$N$32)*100,"n/a"),"n/a")</f>
        <v>n/a</v>
      </c>
      <c r="EW6" s="4" t="str">
        <f t="shared" ref="EW6:EW25" si="49">IFERROR(IF(ISNUMBER(EV6),$C6*EV6,"n/a"),"n/a")</f>
        <v>n/a</v>
      </c>
      <c r="EX6" s="11" t="str">
        <f>IFERROR(AVERAGEIF('Pemetaan Variant'!$A$5:$A$32,$B6,'Pemetaan Variant'!$BN$5:$BN$32),"n/a")</f>
        <v>n/a</v>
      </c>
      <c r="EY6" s="12" t="str">
        <f>IFERROR(IF(ISNUMBER(EX6),(EX6-AVERAGEIF('Pemetaan Variant'!$A$5:$A$32,$B6,'Pemetaan Variant'!$O$5:$O$32))/AVERAGEIF('Pemetaan Variant'!$A$5:$A$32,$B6,'Pemetaan Variant'!$O$5:$O$32)*100,"n/a"),"n/a")</f>
        <v>n/a</v>
      </c>
      <c r="EZ6" s="4" t="str">
        <f t="shared" ref="EZ6:EZ25" si="50">IFERROR(IF(ISNUMBER(EY6),$C6*EY6,"n/a"),"n/a")</f>
        <v>n/a</v>
      </c>
      <c r="FA6" s="11" t="str">
        <f>IFERROR(AVERAGEIF('Pemetaan Variant'!$A$5:$A$32,$B6,'Pemetaan Variant'!$BO$5:$BO$32),"n/a")</f>
        <v>n/a</v>
      </c>
      <c r="FB6" s="12" t="str">
        <f>IFERROR(IF(ISNUMBER(FA6),(FA6-AVERAGEIF('Pemetaan Variant'!$A$5:$A$32,$B6,'Pemetaan Variant'!$O$5:$O$32))/AVERAGEIF('Pemetaan Variant'!$A$5:$A$32,$B6,'Pemetaan Variant'!$O$5:$O$32)*100,"n/a"),"n/a")</f>
        <v>n/a</v>
      </c>
      <c r="FC6" s="4" t="str">
        <f t="shared" ref="FC6:FC25" si="51">IFERROR(IF(ISNUMBER(FB6),$C6*FB6,"n/a"),"n/a")</f>
        <v>n/a</v>
      </c>
      <c r="FD6" s="11" t="str">
        <f>IFERROR(AVERAGEIF('Pemetaan Variant'!$A$5:$A$32,$B6,'Pemetaan Variant'!$BP$5:$BP$32),"n/a")</f>
        <v>n/a</v>
      </c>
      <c r="FE6" s="12" t="str">
        <f>IFERROR(IF(ISNUMBER(FD6),(FD6-AVERAGEIF('Pemetaan Variant'!$A$5:$A$32,$B6,'Pemetaan Variant'!$O$5:$O$32))/AVERAGEIF('Pemetaan Variant'!$A$5:$A$32,$B6,'Pemetaan Variant'!$O$5:$O$32)*100,"n/a"),"n/a")</f>
        <v>n/a</v>
      </c>
      <c r="FF6" s="4" t="str">
        <f t="shared" ref="FF6:FF25" si="52">IFERROR(IF(ISNUMBER(FE6),$C6*FE6,"n/a"),"n/a")</f>
        <v>n/a</v>
      </c>
      <c r="FG6" s="11" t="str">
        <f>IFERROR(AVERAGEIF('Pemetaan Variant'!$A$5:$A$32,$B6,'Pemetaan Variant'!$BQ$5:$BQ$32),"n/a")</f>
        <v>n/a</v>
      </c>
      <c r="FH6" s="12" t="str">
        <f>IFERROR(IF(ISNUMBER(FG6),(FG6-AVERAGEIF('Pemetaan Variant'!$A$5:$A$32,$B6,'Pemetaan Variant'!$O$5:$O$32))/AVERAGEIF('Pemetaan Variant'!$A$5:$A$32,$B6,'Pemetaan Variant'!$O$5:$O$32)*100,"n/a"),"n/a")</f>
        <v>n/a</v>
      </c>
      <c r="FI6" s="4" t="str">
        <f t="shared" ref="FI6:FI25" si="53">IFERROR(IF(ISNUMBER(FH6),$C6*FH6,"n/a"),"n/a")</f>
        <v>n/a</v>
      </c>
      <c r="FJ6" s="11" t="str">
        <f>IFERROR(AVERAGEIF('Pemetaan Variant'!$A$5:$A$32,$B6,'Pemetaan Variant'!$BR$5:$BR$32),"n/a")</f>
        <v>n/a</v>
      </c>
      <c r="FK6" s="12" t="str">
        <f>IFERROR(IF(ISNUMBER(FJ6),(FJ6-AVERAGEIF('Pemetaan Variant'!$A$5:$A$32,$B6,'Pemetaan Variant'!$O$5:$O$32))/AVERAGEIF('Pemetaan Variant'!$A$5:$A$32,$B6,'Pemetaan Variant'!$O$5:$O$32)*100,"n/a"),"n/a")</f>
        <v>n/a</v>
      </c>
      <c r="FL6" s="4" t="str">
        <f t="shared" ref="FL6:FL25" si="54">IFERROR(IF(ISNUMBER(FK6),$C6*FK6,"n/a"),"n/a")</f>
        <v>n/a</v>
      </c>
      <c r="FM6" s="13"/>
      <c r="FO6" s="9">
        <f t="shared" ref="FO6:FO25" si="55">IFERROR(ABS(F6),0)</f>
        <v>0</v>
      </c>
      <c r="FP6" s="9">
        <f t="shared" ref="FP6:FP25" si="56">IFERROR(ABS(I6),0)</f>
        <v>0</v>
      </c>
      <c r="FQ6" s="9">
        <f t="shared" ref="FQ6:FQ25" si="57">IFERROR(ABS(L6),0)</f>
        <v>0</v>
      </c>
      <c r="FR6" s="9">
        <f t="shared" ref="FR6:FR25" si="58">IFERROR(ABS(O6),0)</f>
        <v>0</v>
      </c>
      <c r="FS6" s="9">
        <f t="shared" ref="FS6:FS25" si="59">IFERROR(ABS(R6),0)</f>
        <v>0</v>
      </c>
      <c r="FT6" s="9">
        <f t="shared" ref="FT6:FT25" si="60">IFERROR(ABS(U6),0)</f>
        <v>0</v>
      </c>
      <c r="FU6" s="9">
        <f t="shared" ref="FU6:FU25" si="61">IFERROR(ABS(X6),0)</f>
        <v>0</v>
      </c>
      <c r="FV6" s="9">
        <f t="shared" ref="FV6:FV25" si="62">IFERROR(ABS(AA6),0)</f>
        <v>0</v>
      </c>
      <c r="FW6" s="9">
        <f t="shared" ref="FW6:FW25" si="63">IFERROR(ABS(AD6),0)</f>
        <v>0</v>
      </c>
      <c r="FX6" s="9">
        <f t="shared" ref="FX6:FX25" si="64">IFERROR(ABS(AG6),0)</f>
        <v>0</v>
      </c>
      <c r="FY6" s="9">
        <f t="shared" ref="FY6:FY25" si="65">IFERROR(ABS(AJ6),0)</f>
        <v>0</v>
      </c>
      <c r="FZ6" s="9">
        <f t="shared" ref="FZ6:FZ25" si="66">IFERROR(ABS(AM6),0)</f>
        <v>0</v>
      </c>
      <c r="GA6" s="9">
        <f t="shared" ref="GA6:GA25" si="67">IFERROR(ABS(AP6),0)</f>
        <v>0</v>
      </c>
      <c r="GB6" s="9">
        <f t="shared" ref="GB6:GB25" si="68">IFERROR(ABS(AS6),0)</f>
        <v>0</v>
      </c>
      <c r="GC6" s="9">
        <f t="shared" ref="GC6:GC25" si="69">IFERROR(ABS(AV6),0)</f>
        <v>0</v>
      </c>
      <c r="GD6" s="9">
        <f t="shared" ref="GD6:GD25" si="70">IFERROR(ABS(AY6),0)</f>
        <v>0</v>
      </c>
      <c r="GE6" s="9">
        <f t="shared" ref="GE6:GE25" si="71">IFERROR(ABS(BB6),0)</f>
        <v>0</v>
      </c>
      <c r="GF6" s="9">
        <f t="shared" ref="GF6:GF25" si="72">IFERROR(ABS(BE6),0)</f>
        <v>0</v>
      </c>
      <c r="GG6" s="9">
        <f t="shared" ref="GG6:GG25" si="73">IFERROR(ABS(BH6),0)</f>
        <v>0</v>
      </c>
      <c r="GH6" s="9">
        <f t="shared" ref="GH6:GH25" si="74">IFERROR(ABS(BK6),0)</f>
        <v>0</v>
      </c>
      <c r="GI6" s="9">
        <f t="shared" ref="GI6:GI25" si="75">IFERROR(ABS(BN6),0)</f>
        <v>0</v>
      </c>
      <c r="GJ6" s="9">
        <f t="shared" ref="GJ6:GJ25" si="76">IFERROR(ABS(BQ6),0)</f>
        <v>0</v>
      </c>
      <c r="GK6" s="9">
        <f t="shared" ref="GK6:GK25" si="77">IFERROR(ABS(BT6),0)</f>
        <v>0</v>
      </c>
      <c r="GL6" s="9">
        <f t="shared" ref="GL6:GL25" si="78">IFERROR(ABS(BW6),0)</f>
        <v>0</v>
      </c>
      <c r="GM6" s="9">
        <f t="shared" ref="GM6:GM25" si="79">IFERROR(ABS(BZ6),0)</f>
        <v>0</v>
      </c>
      <c r="GN6" s="9">
        <f t="shared" ref="GN6:GN25" si="80">IFERROR(ABS(CC6),0)</f>
        <v>0</v>
      </c>
      <c r="GO6" s="9">
        <f t="shared" ref="GO6:GO25" si="81">IFERROR(ABS(CF6),0)</f>
        <v>0</v>
      </c>
      <c r="GP6" s="9">
        <f t="shared" ref="GP6:GP25" si="82">IFERROR(ABS(CI6),0)</f>
        <v>0</v>
      </c>
      <c r="GQ6" s="9">
        <f t="shared" ref="GQ6:GQ25" si="83">IFERROR(ABS(CL6),0)</f>
        <v>0</v>
      </c>
      <c r="GR6" s="9">
        <f t="shared" ref="GR6:GR25" si="84">IFERROR(ABS(CO6),0)</f>
        <v>0</v>
      </c>
      <c r="GS6" s="9">
        <f t="shared" ref="GS6:GS25" si="85">IFERROR(ABS(CR6),0)</f>
        <v>0</v>
      </c>
      <c r="GT6" s="9">
        <f t="shared" ref="GT6:GT25" si="86">IFERROR(ABS(CU6),0)</f>
        <v>0.66714163604984478</v>
      </c>
      <c r="GU6" s="9">
        <f t="shared" ref="GU6:GU25" si="87">IFERROR(ABS(CX6),0)</f>
        <v>0.66714163604984478</v>
      </c>
      <c r="GV6" s="9">
        <f t="shared" ref="GV6:GV25" si="88">IFERROR(ABS(DA6),0)</f>
        <v>12.508905675934601</v>
      </c>
      <c r="GW6" s="9">
        <f t="shared" ref="GW6:GW25" si="89">IFERROR(ABS(DD6),0)</f>
        <v>12.508905675934601</v>
      </c>
      <c r="GX6" s="9">
        <f t="shared" ref="GX6:GX25" si="90">IFERROR(ABS(DG6),0)</f>
        <v>12.508905675934601</v>
      </c>
      <c r="GY6" s="9">
        <f t="shared" ref="GY6:GY25" si="91">IFERROR(ABS(DJ6),0)</f>
        <v>12.508905675934601</v>
      </c>
      <c r="GZ6" s="9">
        <f t="shared" ref="GZ6:GZ25" si="92">IFERROR(ABS(DM6),0)</f>
        <v>0</v>
      </c>
      <c r="HA6" s="9">
        <f t="shared" ref="HA6:HA25" si="93">IFERROR(ABS(DP6),0)</f>
        <v>0</v>
      </c>
      <c r="HB6" s="9">
        <f t="shared" ref="HB6:HB25" si="94">IFERROR(ABS(DS6),0)</f>
        <v>0</v>
      </c>
      <c r="HC6" s="9">
        <f t="shared" ref="HC6:HC25" si="95">IFERROR(ABS(DV6),0)</f>
        <v>0</v>
      </c>
      <c r="HD6" s="9">
        <f t="shared" ref="HD6:HD25" si="96">IFERROR(ABS(DY6),0)</f>
        <v>0</v>
      </c>
      <c r="HE6" s="9">
        <f t="shared" ref="HE6:HE25" si="97">IFERROR(ABS(EB6),0)</f>
        <v>0</v>
      </c>
      <c r="HF6" s="9">
        <f t="shared" ref="HF6:HF25" si="98">IFERROR(ABS(EE6),0)</f>
        <v>0</v>
      </c>
      <c r="HG6" s="9">
        <f t="shared" ref="HG6:HG25" si="99">IFERROR(ABS(EH6),0)</f>
        <v>0</v>
      </c>
      <c r="HH6" s="9">
        <f t="shared" ref="HH6:HH25" si="100">IFERROR(ABS(EK6),0)</f>
        <v>0</v>
      </c>
      <c r="HI6" s="9">
        <f t="shared" ref="HI6:HI25" si="101">IFERROR(ABS(EN6),0)</f>
        <v>0</v>
      </c>
      <c r="HJ6" s="9">
        <f t="shared" ref="HJ6:HJ25" si="102">IFERROR(ABS(EQ6),0)</f>
        <v>0</v>
      </c>
      <c r="HK6" s="9">
        <f t="shared" ref="HK6:HK25" si="103">IFERROR(ABS(ET6),0)</f>
        <v>0</v>
      </c>
      <c r="HL6" s="9">
        <f t="shared" ref="HL6:HL25" si="104">IFERROR(ABS(EW6),0)</f>
        <v>0</v>
      </c>
      <c r="HM6" s="9">
        <f t="shared" ref="HM6:HM25" si="105">IFERROR(ABS(EZ6),0)</f>
        <v>0</v>
      </c>
      <c r="HN6" s="9">
        <f t="shared" ref="HN6:HN25" si="106">IFERROR(ABS(FC6),0)</f>
        <v>0</v>
      </c>
      <c r="HO6" s="9">
        <f t="shared" ref="HO6:HO25" si="107">IFERROR(ABS(FF6),0)</f>
        <v>0</v>
      </c>
      <c r="HP6" s="9">
        <f t="shared" ref="HP6:HP25" si="108">IFERROR(ABS(FI6),0)</f>
        <v>0</v>
      </c>
      <c r="HQ6" s="9">
        <f t="shared" ref="HQ6:HQ25" si="109">IFERROR(ABS(FL6),0)</f>
        <v>0</v>
      </c>
    </row>
    <row r="7" spans="1:225" x14ac:dyDescent="0.35">
      <c r="A7" s="3">
        <v>2</v>
      </c>
      <c r="B7" s="3" t="s">
        <v>124</v>
      </c>
      <c r="C7" s="10">
        <f>'P0Q0 Dasar 2022'!F6</f>
        <v>7.9366404905036603E-3</v>
      </c>
      <c r="D7" s="11">
        <f>IFERROR(AVERAGEIF('Pemetaan Variant'!$A$5:$A$32,$B7,'Pemetaan Variant'!$P$5:$P$32),"n/a")</f>
        <v>9500</v>
      </c>
      <c r="E7" s="12">
        <f>IFERROR(IF(ISNUMBER(D7),(D7-AVERAGEIF('Pemetaan Variant'!$A$5:$A$32,$B7,'Pemetaan Variant'!$D$5:$D$32))/AVERAGEIF('Pemetaan Variant'!$A$5:$A$32,$B7,'Pemetaan Variant'!$D$5:$D$32)*100,"n/a"),"n/a")</f>
        <v>0</v>
      </c>
      <c r="F7" s="4">
        <f t="shared" si="0"/>
        <v>0</v>
      </c>
      <c r="G7" s="11">
        <f>IFERROR(AVERAGEIF('Pemetaan Variant'!$A$5:$A$32,$B7,'Pemetaan Variant'!$Q$5:$Q$32),"n/a")</f>
        <v>9400</v>
      </c>
      <c r="H7" s="12">
        <f>IFERROR(IF(ISNUMBER(G7),(G7-AVERAGEIF('Pemetaan Variant'!$A$5:$A$32,$B7,'Pemetaan Variant'!$D$5:$D$32))/AVERAGEIF('Pemetaan Variant'!$A$5:$A$32,$B7,'Pemetaan Variant'!$D$5:$D$32)*100,"n/a"),"n/a")</f>
        <v>-1.0526315789473684</v>
      </c>
      <c r="I7" s="4">
        <f t="shared" si="1"/>
        <v>-8.3543584110564832E-3</v>
      </c>
      <c r="J7" s="11">
        <f>IFERROR(AVERAGEIF('Pemetaan Variant'!$A$5:$A$32,$B7,'Pemetaan Variant'!$R$5:$R$32),"n/a")</f>
        <v>9000</v>
      </c>
      <c r="K7" s="12">
        <f>IFERROR(IF(ISNUMBER(J7),(J7-AVERAGEIF('Pemetaan Variant'!$A$5:$A$32,$B7,'Pemetaan Variant'!$D$5:$D$32))/AVERAGEIF('Pemetaan Variant'!$A$5:$A$32,$B7,'Pemetaan Variant'!$D$5:$D$32)*100,"n/a"),"n/a")</f>
        <v>-5.2631578947368416</v>
      </c>
      <c r="L7" s="4">
        <f t="shared" si="2"/>
        <v>-4.177179205528242E-2</v>
      </c>
      <c r="M7" s="11">
        <f>IFERROR(AVERAGEIF('Pemetaan Variant'!$A$5:$A$32,$B7,'Pemetaan Variant'!$S$5:$S$32),"n/a")</f>
        <v>9000</v>
      </c>
      <c r="N7" s="12">
        <f>IFERROR(IF(ISNUMBER(M7),(M7-AVERAGEIF('Pemetaan Variant'!$A$5:$A$32,$B7,'Pemetaan Variant'!$D$5:$D$32))/AVERAGEIF('Pemetaan Variant'!$A$5:$A$32,$B7,'Pemetaan Variant'!$D$5:$D$32)*100,"n/a"),"n/a")</f>
        <v>-5.2631578947368416</v>
      </c>
      <c r="O7" s="4">
        <f t="shared" si="3"/>
        <v>-4.177179205528242E-2</v>
      </c>
      <c r="P7" s="11">
        <f>IFERROR(AVERAGEIF('Pemetaan Variant'!$A$5:$A$32,$B7,'Pemetaan Variant'!$T$5:$T$32),"n/a")</f>
        <v>9000</v>
      </c>
      <c r="Q7" s="12">
        <f>IFERROR(IF(ISNUMBER(P7),(P7-AVERAGEIF('Pemetaan Variant'!$A$5:$A$32,$B7,'Pemetaan Variant'!$D$5:$D$32))/AVERAGEIF('Pemetaan Variant'!$A$5:$A$32,$B7,'Pemetaan Variant'!$D$5:$D$32)*100,"n/a"),"n/a")</f>
        <v>-5.2631578947368416</v>
      </c>
      <c r="R7" s="4">
        <f t="shared" si="4"/>
        <v>-4.177179205528242E-2</v>
      </c>
      <c r="S7" s="11">
        <f>IFERROR(AVERAGEIF('Pemetaan Variant'!$A$5:$A$32,$B7,'Pemetaan Variant'!$U$5:$U$32),"n/a")</f>
        <v>9000</v>
      </c>
      <c r="T7" s="12">
        <f>IFERROR(IF(ISNUMBER(S7),(S7-AVERAGEIF('Pemetaan Variant'!$A$5:$A$32,$B7,'Pemetaan Variant'!$E$5:$E$32))/AVERAGEIF('Pemetaan Variant'!$A$5:$A$32,$B7,'Pemetaan Variant'!$E$5:$E$32)*100,"n/a"),"n/a")</f>
        <v>-1.7241379310344795</v>
      </c>
      <c r="U7" s="4">
        <f t="shared" si="5"/>
        <v>-1.3683862914661457E-2</v>
      </c>
      <c r="V7" s="11">
        <f>IFERROR(AVERAGEIF('Pemetaan Variant'!$A$5:$A$32,$B7,'Pemetaan Variant'!$V$5:$V$32),"n/a")</f>
        <v>9000</v>
      </c>
      <c r="W7" s="12">
        <f>IFERROR(IF(ISNUMBER(V7),(V7-AVERAGEIF('Pemetaan Variant'!$A$5:$A$32,$B7,'Pemetaan Variant'!$E$5:$E$32))/AVERAGEIF('Pemetaan Variant'!$A$5:$A$32,$B7,'Pemetaan Variant'!$E$5:$E$32)*100,"n/a"),"n/a")</f>
        <v>-1.7241379310344795</v>
      </c>
      <c r="X7" s="4">
        <f t="shared" si="6"/>
        <v>-1.3683862914661457E-2</v>
      </c>
      <c r="Y7" s="11">
        <f>IFERROR(AVERAGEIF('Pemetaan Variant'!$A$5:$A$32,$B7,'Pemetaan Variant'!$W$5:$W$32),"n/a")</f>
        <v>9000</v>
      </c>
      <c r="Z7" s="12">
        <f>IFERROR(IF(ISNUMBER(Y7),(Y7-AVERAGEIF('Pemetaan Variant'!$A$5:$A$32,$B7,'Pemetaan Variant'!$E$5:$E$32))/AVERAGEIF('Pemetaan Variant'!$A$5:$A$32,$B7,'Pemetaan Variant'!$E$5:$E$32)*100,"n/a"),"n/a")</f>
        <v>-1.7241379310344795</v>
      </c>
      <c r="AA7" s="4">
        <f t="shared" si="7"/>
        <v>-1.3683862914661457E-2</v>
      </c>
      <c r="AB7" s="11">
        <f>IFERROR(AVERAGEIF('Pemetaan Variant'!$A$5:$A$32,$B7,'Pemetaan Variant'!$X$5:$X$32),"n/a")</f>
        <v>9000</v>
      </c>
      <c r="AC7" s="12">
        <f>IFERROR(IF(ISNUMBER(AB7),(AB7-AVERAGEIF('Pemetaan Variant'!$A$5:$A$32,$B7,'Pemetaan Variant'!$E$5:$E$32))/AVERAGEIF('Pemetaan Variant'!$A$5:$A$32,$B7,'Pemetaan Variant'!$E$5:$E$32)*100,"n/a"),"n/a")</f>
        <v>-1.7241379310344795</v>
      </c>
      <c r="AD7" s="4">
        <f t="shared" si="8"/>
        <v>-1.3683862914661457E-2</v>
      </c>
      <c r="AE7" s="11">
        <f>IFERROR(AVERAGEIF('Pemetaan Variant'!$A$5:$A$32,$B7,'Pemetaan Variant'!$Y$5:$Y$32),"n/a")</f>
        <v>9000</v>
      </c>
      <c r="AF7" s="12">
        <f>IFERROR(IF(ISNUMBER(AE7),(AE7-AVERAGEIF('Pemetaan Variant'!$A$5:$A$32,$B7,'Pemetaan Variant'!$F$5:$F$32))/AVERAGEIF('Pemetaan Variant'!$A$5:$A$32,$B7,'Pemetaan Variant'!$F$5:$F$32)*100,"n/a"),"n/a")</f>
        <v>0</v>
      </c>
      <c r="AG7" s="4">
        <f t="shared" si="9"/>
        <v>0</v>
      </c>
      <c r="AH7" s="11">
        <f>IFERROR(AVERAGEIF('Pemetaan Variant'!$A$5:$A$32,$B7,'Pemetaan Variant'!$Z$5:$Z$32),"n/a")</f>
        <v>9000</v>
      </c>
      <c r="AI7" s="12">
        <f>IFERROR(IF(ISNUMBER(AH7),(AH7-AVERAGEIF('Pemetaan Variant'!$A$5:$A$32,$B7,'Pemetaan Variant'!$F$5:$F$32))/AVERAGEIF('Pemetaan Variant'!$A$5:$A$32,$B7,'Pemetaan Variant'!$F$5:$F$32)*100,"n/a"),"n/a")</f>
        <v>0</v>
      </c>
      <c r="AJ7" s="4">
        <f t="shared" si="10"/>
        <v>0</v>
      </c>
      <c r="AK7" s="11">
        <f>IFERROR(AVERAGEIF('Pemetaan Variant'!$A$5:$A$32,$B7,'Pemetaan Variant'!$AA$5:$AA$32),"n/a")</f>
        <v>9000</v>
      </c>
      <c r="AL7" s="12">
        <f>IFERROR(IF(ISNUMBER(AK7),(AK7-AVERAGEIF('Pemetaan Variant'!$A$5:$A$32,$B7,'Pemetaan Variant'!$F$5:$F$32))/AVERAGEIF('Pemetaan Variant'!$A$5:$A$32,$B7,'Pemetaan Variant'!$F$5:$F$32)*100,"n/a"),"n/a")</f>
        <v>0</v>
      </c>
      <c r="AM7" s="4">
        <f t="shared" si="11"/>
        <v>0</v>
      </c>
      <c r="AN7" s="11">
        <f>IFERROR(AVERAGEIF('Pemetaan Variant'!$A$5:$A$32,$B7,'Pemetaan Variant'!$AB$5:$AB$32),"n/a")</f>
        <v>9000</v>
      </c>
      <c r="AO7" s="12">
        <f>IFERROR(IF(ISNUMBER(AN7),(AN7-AVERAGEIF('Pemetaan Variant'!$A$5:$A$32,$B7,'Pemetaan Variant'!$F$5:$F$32))/AVERAGEIF('Pemetaan Variant'!$A$5:$A$32,$B7,'Pemetaan Variant'!$F$5:$F$32)*100,"n/a"),"n/a")</f>
        <v>0</v>
      </c>
      <c r="AP7" s="4">
        <f t="shared" si="12"/>
        <v>0</v>
      </c>
      <c r="AQ7" s="11" t="str">
        <f>IFERROR(AVERAGEIF('Pemetaan Variant'!$A$5:$A$32,$B7,'Pemetaan Variant'!$AC$5:$AC$32),"n/a")</f>
        <v>n/a</v>
      </c>
      <c r="AR7" s="12" t="str">
        <f>IFERROR(IF(ISNUMBER(AQ7),(AQ7-AVERAGEIF('Pemetaan Variant'!$A$5:$A$32,$B7,'Pemetaan Variant'!$F$5:$F$32))/AVERAGEIF('Pemetaan Variant'!$A$5:$A$32,$B7,'Pemetaan Variant'!$F$5:$F$32)*100,"n/a"),"n/a")</f>
        <v>n/a</v>
      </c>
      <c r="AS7" s="4" t="str">
        <f t="shared" si="13"/>
        <v>n/a</v>
      </c>
      <c r="AT7" s="11" t="str">
        <f>IFERROR(AVERAGEIF('Pemetaan Variant'!$A$5:$A$32,$B7,'Pemetaan Variant'!$AD$5:$AD$32),"n/a")</f>
        <v>n/a</v>
      </c>
      <c r="AU7" s="12" t="str">
        <f>IFERROR(IF(ISNUMBER(AT7),(AT7-AVERAGEIF('Pemetaan Variant'!$A$5:$A$32,$B7,'Pemetaan Variant'!$G$5:$G$32))/AVERAGEIF('Pemetaan Variant'!$A$5:$A$32,$B7,'Pemetaan Variant'!$G$5:$G$32)*100,"n/a"),"n/a")</f>
        <v>n/a</v>
      </c>
      <c r="AV7" s="4" t="str">
        <f t="shared" si="14"/>
        <v>n/a</v>
      </c>
      <c r="AW7" s="11">
        <f>IFERROR(AVERAGEIF('Pemetaan Variant'!$A$5:$A$32,$B7,'Pemetaan Variant'!$AE$5:$AE$32),"n/a")</f>
        <v>9000</v>
      </c>
      <c r="AX7" s="12">
        <f>IFERROR(IF(ISNUMBER(AW7),(AW7-AVERAGEIF('Pemetaan Variant'!$A$5:$A$32,$B7,'Pemetaan Variant'!$G$5:$G$32))/AVERAGEIF('Pemetaan Variant'!$A$5:$A$32,$B7,'Pemetaan Variant'!$G$5:$G$32)*100,"n/a"),"n/a")</f>
        <v>0</v>
      </c>
      <c r="AY7" s="4">
        <f t="shared" si="15"/>
        <v>0</v>
      </c>
      <c r="AZ7" s="11">
        <f>IFERROR(AVERAGEIF('Pemetaan Variant'!$A$5:$A$32,$B7,'Pemetaan Variant'!$AF$5:$AF$32),"n/a")</f>
        <v>9000</v>
      </c>
      <c r="BA7" s="12">
        <f>IFERROR(IF(ISNUMBER(AZ7),(AZ7-AVERAGEIF('Pemetaan Variant'!$A$5:$A$32,$B7,'Pemetaan Variant'!$G$5:$G$32))/AVERAGEIF('Pemetaan Variant'!$A$5:$A$32,$B7,'Pemetaan Variant'!$G$5:$G$32)*100,"n/a"),"n/a")</f>
        <v>0</v>
      </c>
      <c r="BB7" s="4">
        <f t="shared" si="16"/>
        <v>0</v>
      </c>
      <c r="BC7" s="11">
        <f>IFERROR(AVERAGEIF('Pemetaan Variant'!$A$5:$A$32,$B7,'Pemetaan Variant'!$AG$5:$AG$32),"n/a")</f>
        <v>9000</v>
      </c>
      <c r="BD7" s="12">
        <f>IFERROR(IF(ISNUMBER(BC7),(BC7-AVERAGEIF('Pemetaan Variant'!$A$5:$A$32,$B7,'Pemetaan Variant'!$G$5:$G$32))/AVERAGEIF('Pemetaan Variant'!$A$5:$A$32,$B7,'Pemetaan Variant'!$G$5:$G$32)*100,"n/a"),"n/a")</f>
        <v>0</v>
      </c>
      <c r="BE7" s="4">
        <f t="shared" si="17"/>
        <v>0</v>
      </c>
      <c r="BF7" s="11">
        <f>IFERROR(AVERAGEIF('Pemetaan Variant'!$A$5:$A$32,$B7,'Pemetaan Variant'!$AH$5:$AH$32),"n/a")</f>
        <v>9000</v>
      </c>
      <c r="BG7" s="12">
        <f>IFERROR(IF(ISNUMBER(BF7),(BF7-AVERAGEIF('Pemetaan Variant'!$A$5:$A$32,$B7,'Pemetaan Variant'!$G$5:$G$32))/AVERAGEIF('Pemetaan Variant'!$A$5:$A$32,$B7,'Pemetaan Variant'!$G$5:$G$32)*100,"n/a"),"n/a")</f>
        <v>0</v>
      </c>
      <c r="BH7" s="4">
        <f t="shared" si="18"/>
        <v>0</v>
      </c>
      <c r="BI7" s="11">
        <f>IFERROR(AVERAGEIF('Pemetaan Variant'!$A$5:$A$32,$B7,'Pemetaan Variant'!$AI$5:$AI$32),"n/a")</f>
        <v>9000</v>
      </c>
      <c r="BJ7" s="12">
        <f>IFERROR(IF(ISNUMBER(BI7),(BI7-AVERAGEIF('Pemetaan Variant'!$A$5:$A$32,$B7,'Pemetaan Variant'!$H$5:$H$32))/AVERAGEIF('Pemetaan Variant'!$A$5:$A$32,$B7,'Pemetaan Variant'!$H$5:$H$32)*100,"n/a"),"n/a")</f>
        <v>0</v>
      </c>
      <c r="BK7" s="4">
        <f t="shared" si="19"/>
        <v>0</v>
      </c>
      <c r="BL7" s="11">
        <f>IFERROR(AVERAGEIF('Pemetaan Variant'!$A$5:$A$32,$B7,'Pemetaan Variant'!$AJ$5:$AJ$32),"n/a")</f>
        <v>9000</v>
      </c>
      <c r="BM7" s="12">
        <f>IFERROR(IF(ISNUMBER(BL7),(BL7-AVERAGEIF('Pemetaan Variant'!$A$5:$A$32,$B7,'Pemetaan Variant'!$H$5:$H$32))/AVERAGEIF('Pemetaan Variant'!$A$5:$A$32,$B7,'Pemetaan Variant'!$H$5:$H$32)*100,"n/a"),"n/a")</f>
        <v>0</v>
      </c>
      <c r="BN7" s="4">
        <f t="shared" si="20"/>
        <v>0</v>
      </c>
      <c r="BO7" s="11">
        <f>IFERROR(AVERAGEIF('Pemetaan Variant'!$A$5:$A$32,$B7,'Pemetaan Variant'!$AK$5:$AK$32),"n/a")</f>
        <v>9000</v>
      </c>
      <c r="BP7" s="12">
        <f>IFERROR(IF(ISNUMBER(BO7),(BO7-AVERAGEIF('Pemetaan Variant'!$A$5:$A$32,$B7,'Pemetaan Variant'!$H$5:$H$32))/AVERAGEIF('Pemetaan Variant'!$A$5:$A$32,$B7,'Pemetaan Variant'!$H$5:$H$32)*100,"n/a"),"n/a")</f>
        <v>0</v>
      </c>
      <c r="BQ7" s="4">
        <f t="shared" si="21"/>
        <v>0</v>
      </c>
      <c r="BR7" s="11">
        <f>IFERROR(AVERAGEIF('Pemetaan Variant'!$A$5:$A$32,$B7,'Pemetaan Variant'!$AL$5:$AL$32),"n/a")</f>
        <v>9000</v>
      </c>
      <c r="BS7" s="12">
        <f>IFERROR(IF(ISNUMBER(BR7),(BR7-AVERAGEIF('Pemetaan Variant'!$A$5:$A$32,$B7,'Pemetaan Variant'!$H$5:$H$32))/AVERAGEIF('Pemetaan Variant'!$A$5:$A$32,$B7,'Pemetaan Variant'!$H$5:$H$32)*100,"n/a"),"n/a")</f>
        <v>0</v>
      </c>
      <c r="BT7" s="4">
        <f t="shared" si="22"/>
        <v>0</v>
      </c>
      <c r="BU7" s="11">
        <f>IFERROR(AVERAGEIF('Pemetaan Variant'!$A$5:$A$32,$B7,'Pemetaan Variant'!$AM$5:$AM$32),"n/a")</f>
        <v>9000</v>
      </c>
      <c r="BV7" s="12">
        <f>IFERROR(IF(ISNUMBER(BU7),(BU7-AVERAGEIF('Pemetaan Variant'!$A$5:$A$32,$B7,'Pemetaan Variant'!$H$5:$H$32))/AVERAGEIF('Pemetaan Variant'!$A$5:$A$32,$B7,'Pemetaan Variant'!$H$5:$H$32)*100,"n/a"),"n/a")</f>
        <v>0</v>
      </c>
      <c r="BW7" s="4">
        <f t="shared" si="23"/>
        <v>0</v>
      </c>
      <c r="BX7" s="11">
        <f>IFERROR(AVERAGEIF('Pemetaan Variant'!$A$5:$A$32,$B7,'Pemetaan Variant'!$AN$5:$AN$32),"n/a")</f>
        <v>9000</v>
      </c>
      <c r="BY7" s="12">
        <f>IFERROR(IF(ISNUMBER(BX7),(BX7-AVERAGEIF('Pemetaan Variant'!$A$5:$A$32,$B7,'Pemetaan Variant'!$I$5:$I$32))/AVERAGEIF('Pemetaan Variant'!$A$5:$A$32,$B7,'Pemetaan Variant'!$I$5:$I$32)*100,"n/a"),"n/a")</f>
        <v>0</v>
      </c>
      <c r="BZ7" s="4">
        <f t="shared" si="24"/>
        <v>0</v>
      </c>
      <c r="CA7" s="11">
        <f>IFERROR(AVERAGEIF('Pemetaan Variant'!$A$5:$A$32,$B7,'Pemetaan Variant'!$AO$5:$AO$32),"n/a")</f>
        <v>9000</v>
      </c>
      <c r="CB7" s="12">
        <f>IFERROR(IF(ISNUMBER(CA7),(CA7-AVERAGEIF('Pemetaan Variant'!$A$5:$A$32,$B7,'Pemetaan Variant'!$I$5:$I$32))/AVERAGEIF('Pemetaan Variant'!$A$5:$A$32,$B7,'Pemetaan Variant'!$I$5:$I$32)*100,"n/a"),"n/a")</f>
        <v>0</v>
      </c>
      <c r="CC7" s="4">
        <f t="shared" si="25"/>
        <v>0</v>
      </c>
      <c r="CD7" s="11">
        <f>IFERROR(AVERAGEIF('Pemetaan Variant'!$A$5:$A$32,$B7,'Pemetaan Variant'!$AP$5:$AP$32),"n/a")</f>
        <v>9000</v>
      </c>
      <c r="CE7" s="12">
        <f>IFERROR(IF(ISNUMBER(CD7),(CD7-AVERAGEIF('Pemetaan Variant'!$A$5:$A$32,$B7,'Pemetaan Variant'!$I$5:$I$32))/AVERAGEIF('Pemetaan Variant'!$A$5:$A$32,$B7,'Pemetaan Variant'!$I$5:$I$32)*100,"n/a"),"n/a")</f>
        <v>0</v>
      </c>
      <c r="CF7" s="4">
        <f t="shared" si="26"/>
        <v>0</v>
      </c>
      <c r="CG7" s="11">
        <f>IFERROR(AVERAGEIF('Pemetaan Variant'!$A$5:$A$32,$B7,'Pemetaan Variant'!$AQ$5:$AQ$32),"n/a")</f>
        <v>11375</v>
      </c>
      <c r="CH7" s="12">
        <f>IFERROR(IF(ISNUMBER(CG7),(CG7-AVERAGEIF('Pemetaan Variant'!$A$5:$A$32,$B7,'Pemetaan Variant'!$I$5:$I$32))/AVERAGEIF('Pemetaan Variant'!$A$5:$A$32,$B7,'Pemetaan Variant'!$I$5:$I$32)*100,"n/a"),"n/a")</f>
        <v>26.388888888888889</v>
      </c>
      <c r="CI7" s="4">
        <f t="shared" si="27"/>
        <v>0.20943912405495771</v>
      </c>
      <c r="CJ7" s="11">
        <f>IFERROR(AVERAGEIF('Pemetaan Variant'!$A$5:$A$32,$B7,'Pemetaan Variant'!$AR$5:$AR$32),"n/a")</f>
        <v>11500</v>
      </c>
      <c r="CK7" s="12">
        <f>IFERROR(IF(ISNUMBER(CJ7),(CJ7-AVERAGEIF('Pemetaan Variant'!$A$5:$A$32,$B7,'Pemetaan Variant'!$J$5:$J$32))/AVERAGEIF('Pemetaan Variant'!$A$5:$A$32,$B7,'Pemetaan Variant'!$J$5:$J$32)*100,"n/a"),"n/a")</f>
        <v>20.307692307692317</v>
      </c>
      <c r="CL7" s="4">
        <f t="shared" si="28"/>
        <v>0.16117485303792056</v>
      </c>
      <c r="CM7" s="11">
        <f>IFERROR(AVERAGEIF('Pemetaan Variant'!$A$5:$A$32,$B7,'Pemetaan Variant'!$AS$5:$AS$32),"n/a")</f>
        <v>11500</v>
      </c>
      <c r="CN7" s="12">
        <f>IFERROR(IF(ISNUMBER(CM7),(CM7-AVERAGEIF('Pemetaan Variant'!$A$5:$A$32,$B7,'Pemetaan Variant'!$J$5:$J$32))/AVERAGEIF('Pemetaan Variant'!$A$5:$A$32,$B7,'Pemetaan Variant'!$J$5:$J$32)*100,"n/a"),"n/a")</f>
        <v>20.307692307692317</v>
      </c>
      <c r="CO7" s="4">
        <f t="shared" si="29"/>
        <v>0.16117485303792056</v>
      </c>
      <c r="CP7" s="11">
        <f>IFERROR(AVERAGEIF('Pemetaan Variant'!$A$5:$A$32,$B7,'Pemetaan Variant'!$AT$5:$AT$32),"n/a")</f>
        <v>11500</v>
      </c>
      <c r="CQ7" s="12">
        <f>IFERROR(IF(ISNUMBER(CP7),(CP7-AVERAGEIF('Pemetaan Variant'!$A$5:$A$32,$B7,'Pemetaan Variant'!$J$5:$J$32))/AVERAGEIF('Pemetaan Variant'!$A$5:$A$32,$B7,'Pemetaan Variant'!$J$5:$J$32)*100,"n/a"),"n/a")</f>
        <v>20.307692307692317</v>
      </c>
      <c r="CR7" s="4">
        <f t="shared" si="30"/>
        <v>0.16117485303792056</v>
      </c>
      <c r="CS7" s="11">
        <f>IFERROR(AVERAGEIF('Pemetaan Variant'!$A$5:$A$32,$B7,'Pemetaan Variant'!$AU$5:$AU$32),"n/a")</f>
        <v>11500</v>
      </c>
      <c r="CT7" s="12">
        <f>IFERROR(IF(ISNUMBER(CS7),(CS7-AVERAGEIF('Pemetaan Variant'!$A$5:$A$32,$B7,'Pemetaan Variant'!$J$5:$J$32))/AVERAGEIF('Pemetaan Variant'!$A$5:$A$32,$B7,'Pemetaan Variant'!$J$5:$J$32)*100,"n/a"),"n/a")</f>
        <v>20.307692307692317</v>
      </c>
      <c r="CU7" s="4">
        <f t="shared" si="31"/>
        <v>0.16117485303792056</v>
      </c>
      <c r="CV7" s="11">
        <f>IFERROR(AVERAGEIF('Pemetaan Variant'!$A$5:$A$32,$B7,'Pemetaan Variant'!$AV$5:$AV$32),"n/a")</f>
        <v>11500</v>
      </c>
      <c r="CW7" s="12">
        <f>IFERROR(IF(ISNUMBER(CV7),(CV7-AVERAGEIF('Pemetaan Variant'!$A$5:$A$32,$B7,'Pemetaan Variant'!$J$5:$J$32))/AVERAGEIF('Pemetaan Variant'!$A$5:$A$32,$B7,'Pemetaan Variant'!$J$5:$J$32)*100,"n/a"),"n/a")</f>
        <v>20.307692307692317</v>
      </c>
      <c r="CX7" s="4">
        <f t="shared" si="32"/>
        <v>0.16117485303792056</v>
      </c>
      <c r="CY7" s="11">
        <f>IFERROR(AVERAGEIF('Pemetaan Variant'!$A$5:$A$32,$B7,'Pemetaan Variant'!$AW$5:$AW$32),"n/a")</f>
        <v>0</v>
      </c>
      <c r="CZ7" s="12">
        <f>IFERROR(IF(ISNUMBER(CY7),(CY7-AVERAGEIF('Pemetaan Variant'!$A$5:$A$32,$B7,'Pemetaan Variant'!$K$5:$K$32))/AVERAGEIF('Pemetaan Variant'!$A$5:$A$32,$B7,'Pemetaan Variant'!$K$5:$K$32)*100,"n/a"),"n/a")</f>
        <v>-100</v>
      </c>
      <c r="DA7" s="4">
        <f t="shared" si="33"/>
        <v>-0.79366404905036603</v>
      </c>
      <c r="DB7" s="11">
        <f>IFERROR(AVERAGEIF('Pemetaan Variant'!$A$5:$A$32,$B7,'Pemetaan Variant'!$AX$5:$AX$32),"n/a")</f>
        <v>0</v>
      </c>
      <c r="DC7" s="12">
        <f>IFERROR(IF(ISNUMBER(DB7),(DB7-AVERAGEIF('Pemetaan Variant'!$A$5:$A$32,$B7,'Pemetaan Variant'!$K$5:$K$32))/AVERAGEIF('Pemetaan Variant'!$A$5:$A$32,$B7,'Pemetaan Variant'!$K$5:$K$32)*100,"n/a"),"n/a")</f>
        <v>-100</v>
      </c>
      <c r="DD7" s="4">
        <f t="shared" si="34"/>
        <v>-0.79366404905036603</v>
      </c>
      <c r="DE7" s="11">
        <f>IFERROR(AVERAGEIF('Pemetaan Variant'!$A$5:$A$32,$B7,'Pemetaan Variant'!$AY$5:$AY$32),"n/a")</f>
        <v>0</v>
      </c>
      <c r="DF7" s="12">
        <f>IFERROR(IF(ISNUMBER(DE7),(DE7-AVERAGEIF('Pemetaan Variant'!$A$5:$A$32,$B7,'Pemetaan Variant'!$K$5:$K$32))/AVERAGEIF('Pemetaan Variant'!$A$5:$A$32,$B7,'Pemetaan Variant'!$K$5:$K$32)*100,"n/a"),"n/a")</f>
        <v>-100</v>
      </c>
      <c r="DG7" s="4">
        <f t="shared" si="35"/>
        <v>-0.79366404905036603</v>
      </c>
      <c r="DH7" s="11">
        <f>IFERROR(AVERAGEIF('Pemetaan Variant'!$A$5:$A$32,$B7,'Pemetaan Variant'!$AZ$5:$AZ$32),"n/a")</f>
        <v>0</v>
      </c>
      <c r="DI7" s="12">
        <f>IFERROR(IF(ISNUMBER(DH7),(DH7-AVERAGEIF('Pemetaan Variant'!$A$5:$A$32,$B7,'Pemetaan Variant'!$K$5:$K$32))/AVERAGEIF('Pemetaan Variant'!$A$5:$A$32,$B7,'Pemetaan Variant'!$K$5:$K$32)*100,"n/a"),"n/a")</f>
        <v>-100</v>
      </c>
      <c r="DJ7" s="4">
        <f t="shared" si="36"/>
        <v>-0.79366404905036603</v>
      </c>
      <c r="DK7" s="11" t="str">
        <f>IFERROR(AVERAGEIF('Pemetaan Variant'!$A$5:$A$32,$B7,'Pemetaan Variant'!$BA$5:$BA$32),"n/a")</f>
        <v>n/a</v>
      </c>
      <c r="DL7" s="12" t="str">
        <f>IFERROR(IF(ISNUMBER(DK7),(DK7-AVERAGEIF('Pemetaan Variant'!$A$5:$A$32,$B7,'Pemetaan Variant'!$L$5:$L$32))/AVERAGEIF('Pemetaan Variant'!$A$5:$A$32,$B7,'Pemetaan Variant'!$L$5:$L$32)*100,"n/a"),"n/a")</f>
        <v>n/a</v>
      </c>
      <c r="DM7" s="4" t="str">
        <f t="shared" si="37"/>
        <v>n/a</v>
      </c>
      <c r="DN7" s="11" t="str">
        <f>IFERROR(AVERAGEIF('Pemetaan Variant'!$A$5:$A$32,$B7,'Pemetaan Variant'!$BB$5:$BB$32),"n/a")</f>
        <v>n/a</v>
      </c>
      <c r="DO7" s="12" t="str">
        <f>IFERROR(IF(ISNUMBER(DN7),(DN7-AVERAGEIF('Pemetaan Variant'!$A$5:$A$32,$B7,'Pemetaan Variant'!$L$5:$L$32))/AVERAGEIF('Pemetaan Variant'!$A$5:$A$32,$B7,'Pemetaan Variant'!$L$5:$L$32)*100,"n/a"),"n/a")</f>
        <v>n/a</v>
      </c>
      <c r="DP7" s="4" t="str">
        <f t="shared" si="38"/>
        <v>n/a</v>
      </c>
      <c r="DQ7" s="11" t="str">
        <f>IFERROR(AVERAGEIF('Pemetaan Variant'!$A$5:$A$32,$B7,'Pemetaan Variant'!$BC$5:$BC$32),"n/a")</f>
        <v>n/a</v>
      </c>
      <c r="DR7" s="12" t="str">
        <f>IFERROR(IF(ISNUMBER(DQ7),(DQ7-AVERAGEIF('Pemetaan Variant'!$A$5:$A$32,$B7,'Pemetaan Variant'!$L$5:$L$32))/AVERAGEIF('Pemetaan Variant'!$A$5:$A$32,$B7,'Pemetaan Variant'!$L$5:$L$32)*100,"n/a"),"n/a")</f>
        <v>n/a</v>
      </c>
      <c r="DS7" s="4" t="str">
        <f t="shared" si="39"/>
        <v>n/a</v>
      </c>
      <c r="DT7" s="11" t="str">
        <f>IFERROR(AVERAGEIF('Pemetaan Variant'!$A$5:$A$32,$B7,'Pemetaan Variant'!$BD$5:$BD$32),"n/a")</f>
        <v>n/a</v>
      </c>
      <c r="DU7" s="12" t="str">
        <f>IFERROR(IF(ISNUMBER(DT7),(DT7-AVERAGEIF('Pemetaan Variant'!$A$5:$A$32,$B7,'Pemetaan Variant'!$L$5:$L$32))/AVERAGEIF('Pemetaan Variant'!$A$5:$A$32,$B7,'Pemetaan Variant'!$L$5:$L$32)*100,"n/a"),"n/a")</f>
        <v>n/a</v>
      </c>
      <c r="DV7" s="4" t="str">
        <f t="shared" si="40"/>
        <v>n/a</v>
      </c>
      <c r="DW7" s="11" t="str">
        <f>IFERROR(AVERAGEIF('Pemetaan Variant'!$A$5:$A$32,$B7,'Pemetaan Variant'!$BE$5:$BE$32),"n/a")</f>
        <v>n/a</v>
      </c>
      <c r="DX7" s="12" t="str">
        <f>IFERROR(IF(ISNUMBER(DW7),(DW7-AVERAGEIF('Pemetaan Variant'!$A$5:$A$32,$B7,'Pemetaan Variant'!$M$5:$M$32))/AVERAGEIF('Pemetaan Variant'!$A$5:$A$32,$B7,'Pemetaan Variant'!$M$5:$M$32)*100,"n/a"),"n/a")</f>
        <v>n/a</v>
      </c>
      <c r="DY7" s="4" t="str">
        <f t="shared" si="41"/>
        <v>n/a</v>
      </c>
      <c r="DZ7" s="11" t="str">
        <f>IFERROR(AVERAGEIF('Pemetaan Variant'!$A$5:$A$32,$B7,'Pemetaan Variant'!$BF$5:$BF$32),"n/a")</f>
        <v>n/a</v>
      </c>
      <c r="EA7" s="12" t="str">
        <f>IFERROR(IF(ISNUMBER(DZ7),(DZ7-AVERAGEIF('Pemetaan Variant'!$A$5:$A$32,$B7,'Pemetaan Variant'!$M$5:$M$32))/AVERAGEIF('Pemetaan Variant'!$A$5:$A$32,$B7,'Pemetaan Variant'!$M$5:$M$32)*100,"n/a"),"n/a")</f>
        <v>n/a</v>
      </c>
      <c r="EB7" s="4" t="str">
        <f t="shared" si="42"/>
        <v>n/a</v>
      </c>
      <c r="EC7" s="11" t="str">
        <f>IFERROR(AVERAGEIF('Pemetaan Variant'!$A$5:$A$32,$B7,'Pemetaan Variant'!$BG$5:$BG$32),"n/a")</f>
        <v>n/a</v>
      </c>
      <c r="ED7" s="12" t="str">
        <f>IFERROR(IF(ISNUMBER(EC7),(EC7-AVERAGEIF('Pemetaan Variant'!$A$5:$A$32,$B7,'Pemetaan Variant'!$M$5:$M$32))/AVERAGEIF('Pemetaan Variant'!$A$5:$A$32,$B7,'Pemetaan Variant'!$M$5:$M$32)*100,"n/a"),"n/a")</f>
        <v>n/a</v>
      </c>
      <c r="EE7" s="4" t="str">
        <f t="shared" si="43"/>
        <v>n/a</v>
      </c>
      <c r="EF7" s="11" t="str">
        <f>IFERROR(AVERAGEIF('Pemetaan Variant'!$A$5:$A$32,$B7,'Pemetaan Variant'!$BH$5:$BH$32),"n/a")</f>
        <v>n/a</v>
      </c>
      <c r="EG7" s="12" t="str">
        <f>IFERROR(IF(ISNUMBER(EF7),(EF7-AVERAGEIF('Pemetaan Variant'!$A$5:$A$32,$B7,'Pemetaan Variant'!$M$5:$M$32))/AVERAGEIF('Pemetaan Variant'!$A$5:$A$32,$B7,'Pemetaan Variant'!$M$5:$M$32)*100,"n/a"),"n/a")</f>
        <v>n/a</v>
      </c>
      <c r="EH7" s="4" t="str">
        <f t="shared" si="44"/>
        <v>n/a</v>
      </c>
      <c r="EI7" s="11" t="str">
        <f>IFERROR(AVERAGEIF('Pemetaan Variant'!$A$5:$A$32,$B7,'Pemetaan Variant'!$BI$5:$BI$32),"n/a")</f>
        <v>n/a</v>
      </c>
      <c r="EJ7" s="12" t="str">
        <f>IFERROR(IF(ISNUMBER(EI7),(EI7-AVERAGEIF('Pemetaan Variant'!$A$5:$A$32,$B7,'Pemetaan Variant'!$M$5:$M$32))/AVERAGEIF('Pemetaan Variant'!$A$5:$A$32,$B7,'Pemetaan Variant'!$M$5:$M$32)*100,"n/a"),"n/a")</f>
        <v>n/a</v>
      </c>
      <c r="EK7" s="4" t="str">
        <f t="shared" si="45"/>
        <v>n/a</v>
      </c>
      <c r="EL7" s="11" t="str">
        <f>IFERROR(AVERAGEIF('Pemetaan Variant'!$A$5:$A$32,$B7,'Pemetaan Variant'!$BJ$5:$BJ$32),"n/a")</f>
        <v>n/a</v>
      </c>
      <c r="EM7" s="12" t="str">
        <f>IFERROR(IF(ISNUMBER(EL7),(EL7-AVERAGEIF('Pemetaan Variant'!$A$5:$A$32,$B7,'Pemetaan Variant'!$N$5:$N$32))/AVERAGEIF('Pemetaan Variant'!$A$5:$A$32,$B7,'Pemetaan Variant'!$N$5:$N$32)*100,"n/a"),"n/a")</f>
        <v>n/a</v>
      </c>
      <c r="EN7" s="4" t="str">
        <f t="shared" si="46"/>
        <v>n/a</v>
      </c>
      <c r="EO7" s="11" t="str">
        <f>IFERROR(AVERAGEIF('Pemetaan Variant'!$A$5:$A$32,$B7,'Pemetaan Variant'!$BK$5:$BK$32),"n/a")</f>
        <v>n/a</v>
      </c>
      <c r="EP7" s="12" t="str">
        <f>IFERROR(IF(ISNUMBER(EO7),(EO7-AVERAGEIF('Pemetaan Variant'!$A$5:$A$32,$B7,'Pemetaan Variant'!$N$5:$N$32))/AVERAGEIF('Pemetaan Variant'!$A$5:$A$32,$B7,'Pemetaan Variant'!$N$5:$N$32)*100,"n/a"),"n/a")</f>
        <v>n/a</v>
      </c>
      <c r="EQ7" s="4" t="str">
        <f t="shared" si="47"/>
        <v>n/a</v>
      </c>
      <c r="ER7" s="11" t="str">
        <f>IFERROR(AVERAGEIF('Pemetaan Variant'!$A$5:$A$32,$B7,'Pemetaan Variant'!$BL$5:$BL$32),"n/a")</f>
        <v>n/a</v>
      </c>
      <c r="ES7" s="12" t="str">
        <f>IFERROR(IF(ISNUMBER(ER7),(ER7-AVERAGEIF('Pemetaan Variant'!$A$5:$A$32,$B7,'Pemetaan Variant'!$N$5:$N$32))/AVERAGEIF('Pemetaan Variant'!$A$5:$A$32,$B7,'Pemetaan Variant'!$N$5:$N$32)*100,"n/a"),"n/a")</f>
        <v>n/a</v>
      </c>
      <c r="ET7" s="4" t="str">
        <f t="shared" si="48"/>
        <v>n/a</v>
      </c>
      <c r="EU7" s="11" t="str">
        <f>IFERROR(AVERAGEIF('Pemetaan Variant'!$A$5:$A$32,$B7,'Pemetaan Variant'!$BM$5:$BM$32),"n/a")</f>
        <v>n/a</v>
      </c>
      <c r="EV7" s="12" t="str">
        <f>IFERROR(IF(ISNUMBER(EU7),(EU7-AVERAGEIF('Pemetaan Variant'!$A$5:$A$32,$B7,'Pemetaan Variant'!$N$5:$N$32))/AVERAGEIF('Pemetaan Variant'!$A$5:$A$32,$B7,'Pemetaan Variant'!$N$5:$N$32)*100,"n/a"),"n/a")</f>
        <v>n/a</v>
      </c>
      <c r="EW7" s="4" t="str">
        <f t="shared" si="49"/>
        <v>n/a</v>
      </c>
      <c r="EX7" s="11" t="str">
        <f>IFERROR(AVERAGEIF('Pemetaan Variant'!$A$5:$A$32,$B7,'Pemetaan Variant'!$BN$5:$BN$32),"n/a")</f>
        <v>n/a</v>
      </c>
      <c r="EY7" s="12" t="str">
        <f>IFERROR(IF(ISNUMBER(EX7),(EX7-AVERAGEIF('Pemetaan Variant'!$A$5:$A$32,$B7,'Pemetaan Variant'!$O$5:$O$32))/AVERAGEIF('Pemetaan Variant'!$A$5:$A$32,$B7,'Pemetaan Variant'!$O$5:$O$32)*100,"n/a"),"n/a")</f>
        <v>n/a</v>
      </c>
      <c r="EZ7" s="4" t="str">
        <f t="shared" si="50"/>
        <v>n/a</v>
      </c>
      <c r="FA7" s="11" t="str">
        <f>IFERROR(AVERAGEIF('Pemetaan Variant'!$A$5:$A$32,$B7,'Pemetaan Variant'!$BO$5:$BO$32),"n/a")</f>
        <v>n/a</v>
      </c>
      <c r="FB7" s="12" t="str">
        <f>IFERROR(IF(ISNUMBER(FA7),(FA7-AVERAGEIF('Pemetaan Variant'!$A$5:$A$32,$B7,'Pemetaan Variant'!$O$5:$O$32))/AVERAGEIF('Pemetaan Variant'!$A$5:$A$32,$B7,'Pemetaan Variant'!$O$5:$O$32)*100,"n/a"),"n/a")</f>
        <v>n/a</v>
      </c>
      <c r="FC7" s="4" t="str">
        <f t="shared" si="51"/>
        <v>n/a</v>
      </c>
      <c r="FD7" s="11" t="str">
        <f>IFERROR(AVERAGEIF('Pemetaan Variant'!$A$5:$A$32,$B7,'Pemetaan Variant'!$BP$5:$BP$32),"n/a")</f>
        <v>n/a</v>
      </c>
      <c r="FE7" s="12" t="str">
        <f>IFERROR(IF(ISNUMBER(FD7),(FD7-AVERAGEIF('Pemetaan Variant'!$A$5:$A$32,$B7,'Pemetaan Variant'!$O$5:$O$32))/AVERAGEIF('Pemetaan Variant'!$A$5:$A$32,$B7,'Pemetaan Variant'!$O$5:$O$32)*100,"n/a"),"n/a")</f>
        <v>n/a</v>
      </c>
      <c r="FF7" s="4" t="str">
        <f t="shared" si="52"/>
        <v>n/a</v>
      </c>
      <c r="FG7" s="11" t="str">
        <f>IFERROR(AVERAGEIF('Pemetaan Variant'!$A$5:$A$32,$B7,'Pemetaan Variant'!$BQ$5:$BQ$32),"n/a")</f>
        <v>n/a</v>
      </c>
      <c r="FH7" s="12" t="str">
        <f>IFERROR(IF(ISNUMBER(FG7),(FG7-AVERAGEIF('Pemetaan Variant'!$A$5:$A$32,$B7,'Pemetaan Variant'!$O$5:$O$32))/AVERAGEIF('Pemetaan Variant'!$A$5:$A$32,$B7,'Pemetaan Variant'!$O$5:$O$32)*100,"n/a"),"n/a")</f>
        <v>n/a</v>
      </c>
      <c r="FI7" s="4" t="str">
        <f t="shared" si="53"/>
        <v>n/a</v>
      </c>
      <c r="FJ7" s="11" t="str">
        <f>IFERROR(AVERAGEIF('Pemetaan Variant'!$A$5:$A$32,$B7,'Pemetaan Variant'!$BR$5:$BR$32),"n/a")</f>
        <v>n/a</v>
      </c>
      <c r="FK7" s="12" t="str">
        <f>IFERROR(IF(ISNUMBER(FJ7),(FJ7-AVERAGEIF('Pemetaan Variant'!$A$5:$A$32,$B7,'Pemetaan Variant'!$O$5:$O$32))/AVERAGEIF('Pemetaan Variant'!$A$5:$A$32,$B7,'Pemetaan Variant'!$O$5:$O$32)*100,"n/a"),"n/a")</f>
        <v>n/a</v>
      </c>
      <c r="FL7" s="4" t="str">
        <f t="shared" si="54"/>
        <v>n/a</v>
      </c>
      <c r="FM7" s="13"/>
      <c r="FO7" s="9">
        <f t="shared" si="55"/>
        <v>0</v>
      </c>
      <c r="FP7" s="9">
        <f t="shared" si="56"/>
        <v>8.3543584110564832E-3</v>
      </c>
      <c r="FQ7" s="9">
        <f t="shared" si="57"/>
        <v>4.177179205528242E-2</v>
      </c>
      <c r="FR7" s="9">
        <f t="shared" si="58"/>
        <v>4.177179205528242E-2</v>
      </c>
      <c r="FS7" s="9">
        <f t="shared" si="59"/>
        <v>4.177179205528242E-2</v>
      </c>
      <c r="FT7" s="9">
        <f t="shared" si="60"/>
        <v>1.3683862914661457E-2</v>
      </c>
      <c r="FU7" s="9">
        <f t="shared" si="61"/>
        <v>1.3683862914661457E-2</v>
      </c>
      <c r="FV7" s="9">
        <f t="shared" si="62"/>
        <v>1.3683862914661457E-2</v>
      </c>
      <c r="FW7" s="9">
        <f t="shared" si="63"/>
        <v>1.3683862914661457E-2</v>
      </c>
      <c r="FX7" s="9">
        <f t="shared" si="64"/>
        <v>0</v>
      </c>
      <c r="FY7" s="9">
        <f t="shared" si="65"/>
        <v>0</v>
      </c>
      <c r="FZ7" s="9">
        <f t="shared" si="66"/>
        <v>0</v>
      </c>
      <c r="GA7" s="9">
        <f t="shared" si="67"/>
        <v>0</v>
      </c>
      <c r="GB7" s="9">
        <f t="shared" si="68"/>
        <v>0</v>
      </c>
      <c r="GC7" s="9">
        <f t="shared" si="69"/>
        <v>0</v>
      </c>
      <c r="GD7" s="9">
        <f t="shared" si="70"/>
        <v>0</v>
      </c>
      <c r="GE7" s="9">
        <f t="shared" si="71"/>
        <v>0</v>
      </c>
      <c r="GF7" s="9">
        <f t="shared" si="72"/>
        <v>0</v>
      </c>
      <c r="GG7" s="9">
        <f t="shared" si="73"/>
        <v>0</v>
      </c>
      <c r="GH7" s="9">
        <f t="shared" si="74"/>
        <v>0</v>
      </c>
      <c r="GI7" s="9">
        <f t="shared" si="75"/>
        <v>0</v>
      </c>
      <c r="GJ7" s="9">
        <f t="shared" si="76"/>
        <v>0</v>
      </c>
      <c r="GK7" s="9">
        <f t="shared" si="77"/>
        <v>0</v>
      </c>
      <c r="GL7" s="9">
        <f t="shared" si="78"/>
        <v>0</v>
      </c>
      <c r="GM7" s="9">
        <f t="shared" si="79"/>
        <v>0</v>
      </c>
      <c r="GN7" s="9">
        <f t="shared" si="80"/>
        <v>0</v>
      </c>
      <c r="GO7" s="9">
        <f t="shared" si="81"/>
        <v>0</v>
      </c>
      <c r="GP7" s="9">
        <f t="shared" si="82"/>
        <v>0.20943912405495771</v>
      </c>
      <c r="GQ7" s="9">
        <f t="shared" si="83"/>
        <v>0.16117485303792056</v>
      </c>
      <c r="GR7" s="9">
        <f t="shared" si="84"/>
        <v>0.16117485303792056</v>
      </c>
      <c r="GS7" s="9">
        <f t="shared" si="85"/>
        <v>0.16117485303792056</v>
      </c>
      <c r="GT7" s="9">
        <f t="shared" si="86"/>
        <v>0.16117485303792056</v>
      </c>
      <c r="GU7" s="9">
        <f t="shared" si="87"/>
        <v>0.16117485303792056</v>
      </c>
      <c r="GV7" s="9">
        <f t="shared" si="88"/>
        <v>0.79366404905036603</v>
      </c>
      <c r="GW7" s="9">
        <f t="shared" si="89"/>
        <v>0.79366404905036603</v>
      </c>
      <c r="GX7" s="9">
        <f t="shared" si="90"/>
        <v>0.79366404905036603</v>
      </c>
      <c r="GY7" s="9">
        <f t="shared" si="91"/>
        <v>0.79366404905036603</v>
      </c>
      <c r="GZ7" s="9">
        <f t="shared" si="92"/>
        <v>0</v>
      </c>
      <c r="HA7" s="9">
        <f t="shared" si="93"/>
        <v>0</v>
      </c>
      <c r="HB7" s="9">
        <f t="shared" si="94"/>
        <v>0</v>
      </c>
      <c r="HC7" s="9">
        <f t="shared" si="95"/>
        <v>0</v>
      </c>
      <c r="HD7" s="9">
        <f t="shared" si="96"/>
        <v>0</v>
      </c>
      <c r="HE7" s="9">
        <f t="shared" si="97"/>
        <v>0</v>
      </c>
      <c r="HF7" s="9">
        <f t="shared" si="98"/>
        <v>0</v>
      </c>
      <c r="HG7" s="9">
        <f t="shared" si="99"/>
        <v>0</v>
      </c>
      <c r="HH7" s="9">
        <f t="shared" si="100"/>
        <v>0</v>
      </c>
      <c r="HI7" s="9">
        <f t="shared" si="101"/>
        <v>0</v>
      </c>
      <c r="HJ7" s="9">
        <f t="shared" si="102"/>
        <v>0</v>
      </c>
      <c r="HK7" s="9">
        <f t="shared" si="103"/>
        <v>0</v>
      </c>
      <c r="HL7" s="9">
        <f t="shared" si="104"/>
        <v>0</v>
      </c>
      <c r="HM7" s="9">
        <f t="shared" si="105"/>
        <v>0</v>
      </c>
      <c r="HN7" s="9">
        <f t="shared" si="106"/>
        <v>0</v>
      </c>
      <c r="HO7" s="9">
        <f t="shared" si="107"/>
        <v>0</v>
      </c>
      <c r="HP7" s="9">
        <f t="shared" si="108"/>
        <v>0</v>
      </c>
      <c r="HQ7" s="9">
        <f t="shared" si="109"/>
        <v>0</v>
      </c>
    </row>
    <row r="8" spans="1:225" x14ac:dyDescent="0.35">
      <c r="A8" s="3">
        <v>3</v>
      </c>
      <c r="B8" s="3" t="s">
        <v>125</v>
      </c>
      <c r="C8" s="10">
        <f>'P0Q0 Dasar 2022'!F7</f>
        <v>2.13321576646518E-2</v>
      </c>
      <c r="D8" s="11">
        <f>IFERROR(AVERAGEIF('Pemetaan Variant'!$A$5:$A$32,$B8,'Pemetaan Variant'!$P$5:$P$32),"n/a")</f>
        <v>4750</v>
      </c>
      <c r="E8" s="12">
        <f>IFERROR(IF(ISNUMBER(D8),(D8-AVERAGEIF('Pemetaan Variant'!$A$5:$A$32,$B8,'Pemetaan Variant'!$D$5:$D$32))/AVERAGEIF('Pemetaan Variant'!$A$5:$A$32,$B8,'Pemetaan Variant'!$D$5:$D$32)*100,"n/a"),"n/a")</f>
        <v>0</v>
      </c>
      <c r="F8" s="4">
        <f t="shared" si="0"/>
        <v>0</v>
      </c>
      <c r="G8" s="11">
        <f>IFERROR(AVERAGEIF('Pemetaan Variant'!$A$5:$A$32,$B8,'Pemetaan Variant'!$Q$5:$Q$32),"n/a")</f>
        <v>4750</v>
      </c>
      <c r="H8" s="12">
        <f>IFERROR(IF(ISNUMBER(G8),(G8-AVERAGEIF('Pemetaan Variant'!$A$5:$A$32,$B8,'Pemetaan Variant'!$D$5:$D$32))/AVERAGEIF('Pemetaan Variant'!$A$5:$A$32,$B8,'Pemetaan Variant'!$D$5:$D$32)*100,"n/a"),"n/a")</f>
        <v>0</v>
      </c>
      <c r="I8" s="4">
        <f t="shared" si="1"/>
        <v>0</v>
      </c>
      <c r="J8" s="11">
        <f>IFERROR(AVERAGEIF('Pemetaan Variant'!$A$5:$A$32,$B8,'Pemetaan Variant'!$R$5:$R$32),"n/a")</f>
        <v>4750</v>
      </c>
      <c r="K8" s="12">
        <f>IFERROR(IF(ISNUMBER(J8),(J8-AVERAGEIF('Pemetaan Variant'!$A$5:$A$32,$B8,'Pemetaan Variant'!$D$5:$D$32))/AVERAGEIF('Pemetaan Variant'!$A$5:$A$32,$B8,'Pemetaan Variant'!$D$5:$D$32)*100,"n/a"),"n/a")</f>
        <v>0</v>
      </c>
      <c r="L8" s="4">
        <f t="shared" si="2"/>
        <v>0</v>
      </c>
      <c r="M8" s="11">
        <f>IFERROR(AVERAGEIF('Pemetaan Variant'!$A$5:$A$32,$B8,'Pemetaan Variant'!$S$5:$S$32),"n/a")</f>
        <v>4750</v>
      </c>
      <c r="N8" s="12">
        <f>IFERROR(IF(ISNUMBER(M8),(M8-AVERAGEIF('Pemetaan Variant'!$A$5:$A$32,$B8,'Pemetaan Variant'!$D$5:$D$32))/AVERAGEIF('Pemetaan Variant'!$A$5:$A$32,$B8,'Pemetaan Variant'!$D$5:$D$32)*100,"n/a"),"n/a")</f>
        <v>0</v>
      </c>
      <c r="O8" s="4">
        <f t="shared" si="3"/>
        <v>0</v>
      </c>
      <c r="P8" s="11">
        <f>IFERROR(AVERAGEIF('Pemetaan Variant'!$A$5:$A$32,$B8,'Pemetaan Variant'!$T$5:$T$32),"n/a")</f>
        <v>4750</v>
      </c>
      <c r="Q8" s="12">
        <f>IFERROR(IF(ISNUMBER(P8),(P8-AVERAGEIF('Pemetaan Variant'!$A$5:$A$32,$B8,'Pemetaan Variant'!$D$5:$D$32))/AVERAGEIF('Pemetaan Variant'!$A$5:$A$32,$B8,'Pemetaan Variant'!$D$5:$D$32)*100,"n/a"),"n/a")</f>
        <v>0</v>
      </c>
      <c r="R8" s="4">
        <f t="shared" si="4"/>
        <v>0</v>
      </c>
      <c r="S8" s="11">
        <f>IFERROR(AVERAGEIF('Pemetaan Variant'!$A$5:$A$32,$B8,'Pemetaan Variant'!$U$5:$U$32),"n/a")</f>
        <v>4750</v>
      </c>
      <c r="T8" s="12">
        <f>IFERROR(IF(ISNUMBER(S8),(S8-AVERAGEIF('Pemetaan Variant'!$A$5:$A$32,$B8,'Pemetaan Variant'!$E$5:$E$32))/AVERAGEIF('Pemetaan Variant'!$A$5:$A$32,$B8,'Pemetaan Variant'!$E$5:$E$32)*100,"n/a"),"n/a")</f>
        <v>0</v>
      </c>
      <c r="U8" s="4">
        <f t="shared" si="5"/>
        <v>0</v>
      </c>
      <c r="V8" s="11">
        <f>IFERROR(AVERAGEIF('Pemetaan Variant'!$A$5:$A$32,$B8,'Pemetaan Variant'!$V$5:$V$32),"n/a")</f>
        <v>4750</v>
      </c>
      <c r="W8" s="12">
        <f>IFERROR(IF(ISNUMBER(V8),(V8-AVERAGEIF('Pemetaan Variant'!$A$5:$A$32,$B8,'Pemetaan Variant'!$E$5:$E$32))/AVERAGEIF('Pemetaan Variant'!$A$5:$A$32,$B8,'Pemetaan Variant'!$E$5:$E$32)*100,"n/a"),"n/a")</f>
        <v>0</v>
      </c>
      <c r="X8" s="4">
        <f t="shared" si="6"/>
        <v>0</v>
      </c>
      <c r="Y8" s="11">
        <f>IFERROR(AVERAGEIF('Pemetaan Variant'!$A$5:$A$32,$B8,'Pemetaan Variant'!$W$5:$W$32),"n/a")</f>
        <v>4750</v>
      </c>
      <c r="Z8" s="12">
        <f>IFERROR(IF(ISNUMBER(Y8),(Y8-AVERAGEIF('Pemetaan Variant'!$A$5:$A$32,$B8,'Pemetaan Variant'!$E$5:$E$32))/AVERAGEIF('Pemetaan Variant'!$A$5:$A$32,$B8,'Pemetaan Variant'!$E$5:$E$32)*100,"n/a"),"n/a")</f>
        <v>0</v>
      </c>
      <c r="AA8" s="4">
        <f t="shared" si="7"/>
        <v>0</v>
      </c>
      <c r="AB8" s="11">
        <f>IFERROR(AVERAGEIF('Pemetaan Variant'!$A$5:$A$32,$B8,'Pemetaan Variant'!$X$5:$X$32),"n/a")</f>
        <v>4750</v>
      </c>
      <c r="AC8" s="12">
        <f>IFERROR(IF(ISNUMBER(AB8),(AB8-AVERAGEIF('Pemetaan Variant'!$A$5:$A$32,$B8,'Pemetaan Variant'!$E$5:$E$32))/AVERAGEIF('Pemetaan Variant'!$A$5:$A$32,$B8,'Pemetaan Variant'!$E$5:$E$32)*100,"n/a"),"n/a")</f>
        <v>0</v>
      </c>
      <c r="AD8" s="4">
        <f t="shared" si="8"/>
        <v>0</v>
      </c>
      <c r="AE8" s="11">
        <f>IFERROR(AVERAGEIF('Pemetaan Variant'!$A$5:$A$32,$B8,'Pemetaan Variant'!$Y$5:$Y$32),"n/a")</f>
        <v>4750</v>
      </c>
      <c r="AF8" s="12">
        <f>IFERROR(IF(ISNUMBER(AE8),(AE8-AVERAGEIF('Pemetaan Variant'!$A$5:$A$32,$B8,'Pemetaan Variant'!$F$5:$F$32))/AVERAGEIF('Pemetaan Variant'!$A$5:$A$32,$B8,'Pemetaan Variant'!$F$5:$F$32)*100,"n/a"),"n/a")</f>
        <v>0</v>
      </c>
      <c r="AG8" s="4">
        <f t="shared" si="9"/>
        <v>0</v>
      </c>
      <c r="AH8" s="11">
        <f>IFERROR(AVERAGEIF('Pemetaan Variant'!$A$5:$A$32,$B8,'Pemetaan Variant'!$Z$5:$Z$32),"n/a")</f>
        <v>4750</v>
      </c>
      <c r="AI8" s="12">
        <f>IFERROR(IF(ISNUMBER(AH8),(AH8-AVERAGEIF('Pemetaan Variant'!$A$5:$A$32,$B8,'Pemetaan Variant'!$F$5:$F$32))/AVERAGEIF('Pemetaan Variant'!$A$5:$A$32,$B8,'Pemetaan Variant'!$F$5:$F$32)*100,"n/a"),"n/a")</f>
        <v>0</v>
      </c>
      <c r="AJ8" s="4">
        <f t="shared" si="10"/>
        <v>0</v>
      </c>
      <c r="AK8" s="11">
        <f>IFERROR(AVERAGEIF('Pemetaan Variant'!$A$5:$A$32,$B8,'Pemetaan Variant'!$AA$5:$AA$32),"n/a")</f>
        <v>4750</v>
      </c>
      <c r="AL8" s="12">
        <f>IFERROR(IF(ISNUMBER(AK8),(AK8-AVERAGEIF('Pemetaan Variant'!$A$5:$A$32,$B8,'Pemetaan Variant'!$F$5:$F$32))/AVERAGEIF('Pemetaan Variant'!$A$5:$A$32,$B8,'Pemetaan Variant'!$F$5:$F$32)*100,"n/a"),"n/a")</f>
        <v>0</v>
      </c>
      <c r="AM8" s="4">
        <f t="shared" si="11"/>
        <v>0</v>
      </c>
      <c r="AN8" s="11">
        <f>IFERROR(AVERAGEIF('Pemetaan Variant'!$A$5:$A$32,$B8,'Pemetaan Variant'!$AB$5:$AB$32),"n/a")</f>
        <v>4750</v>
      </c>
      <c r="AO8" s="12">
        <f>IFERROR(IF(ISNUMBER(AN8),(AN8-AVERAGEIF('Pemetaan Variant'!$A$5:$A$32,$B8,'Pemetaan Variant'!$F$5:$F$32))/AVERAGEIF('Pemetaan Variant'!$A$5:$A$32,$B8,'Pemetaan Variant'!$F$5:$F$32)*100,"n/a"),"n/a")</f>
        <v>0</v>
      </c>
      <c r="AP8" s="4">
        <f t="shared" si="12"/>
        <v>0</v>
      </c>
      <c r="AQ8" s="11" t="str">
        <f>IFERROR(AVERAGEIF('Pemetaan Variant'!$A$5:$A$32,$B8,'Pemetaan Variant'!$AC$5:$AC$32),"n/a")</f>
        <v>n/a</v>
      </c>
      <c r="AR8" s="12" t="str">
        <f>IFERROR(IF(ISNUMBER(AQ8),(AQ8-AVERAGEIF('Pemetaan Variant'!$A$5:$A$32,$B8,'Pemetaan Variant'!$F$5:$F$32))/AVERAGEIF('Pemetaan Variant'!$A$5:$A$32,$B8,'Pemetaan Variant'!$F$5:$F$32)*100,"n/a"),"n/a")</f>
        <v>n/a</v>
      </c>
      <c r="AS8" s="4" t="str">
        <f t="shared" si="13"/>
        <v>n/a</v>
      </c>
      <c r="AT8" s="11" t="str">
        <f>IFERROR(AVERAGEIF('Pemetaan Variant'!$A$5:$A$32,$B8,'Pemetaan Variant'!$AD$5:$AD$32),"n/a")</f>
        <v>n/a</v>
      </c>
      <c r="AU8" s="12" t="str">
        <f>IFERROR(IF(ISNUMBER(AT8),(AT8-AVERAGEIF('Pemetaan Variant'!$A$5:$A$32,$B8,'Pemetaan Variant'!$G$5:$G$32))/AVERAGEIF('Pemetaan Variant'!$A$5:$A$32,$B8,'Pemetaan Variant'!$G$5:$G$32)*100,"n/a"),"n/a")</f>
        <v>n/a</v>
      </c>
      <c r="AV8" s="4" t="str">
        <f t="shared" si="14"/>
        <v>n/a</v>
      </c>
      <c r="AW8" s="11">
        <f>IFERROR(AVERAGEIF('Pemetaan Variant'!$A$5:$A$32,$B8,'Pemetaan Variant'!$AE$5:$AE$32),"n/a")</f>
        <v>4750</v>
      </c>
      <c r="AX8" s="12">
        <f>IFERROR(IF(ISNUMBER(AW8),(AW8-AVERAGEIF('Pemetaan Variant'!$A$5:$A$32,$B8,'Pemetaan Variant'!$G$5:$G$32))/AVERAGEIF('Pemetaan Variant'!$A$5:$A$32,$B8,'Pemetaan Variant'!$G$5:$G$32)*100,"n/a"),"n/a")</f>
        <v>0</v>
      </c>
      <c r="AY8" s="4">
        <f t="shared" si="15"/>
        <v>0</v>
      </c>
      <c r="AZ8" s="11">
        <f>IFERROR(AVERAGEIF('Pemetaan Variant'!$A$5:$A$32,$B8,'Pemetaan Variant'!$AF$5:$AF$32),"n/a")</f>
        <v>4750</v>
      </c>
      <c r="BA8" s="12">
        <f>IFERROR(IF(ISNUMBER(AZ8),(AZ8-AVERAGEIF('Pemetaan Variant'!$A$5:$A$32,$B8,'Pemetaan Variant'!$G$5:$G$32))/AVERAGEIF('Pemetaan Variant'!$A$5:$A$32,$B8,'Pemetaan Variant'!$G$5:$G$32)*100,"n/a"),"n/a")</f>
        <v>0</v>
      </c>
      <c r="BB8" s="4">
        <f t="shared" si="16"/>
        <v>0</v>
      </c>
      <c r="BC8" s="11">
        <f>IFERROR(AVERAGEIF('Pemetaan Variant'!$A$5:$A$32,$B8,'Pemetaan Variant'!$AG$5:$AG$32),"n/a")</f>
        <v>4750</v>
      </c>
      <c r="BD8" s="12">
        <f>IFERROR(IF(ISNUMBER(BC8),(BC8-AVERAGEIF('Pemetaan Variant'!$A$5:$A$32,$B8,'Pemetaan Variant'!$G$5:$G$32))/AVERAGEIF('Pemetaan Variant'!$A$5:$A$32,$B8,'Pemetaan Variant'!$G$5:$G$32)*100,"n/a"),"n/a")</f>
        <v>0</v>
      </c>
      <c r="BE8" s="4">
        <f t="shared" si="17"/>
        <v>0</v>
      </c>
      <c r="BF8" s="11">
        <f>IFERROR(AVERAGEIF('Pemetaan Variant'!$A$5:$A$32,$B8,'Pemetaan Variant'!$AH$5:$AH$32),"n/a")</f>
        <v>4750</v>
      </c>
      <c r="BG8" s="12">
        <f>IFERROR(IF(ISNUMBER(BF8),(BF8-AVERAGEIF('Pemetaan Variant'!$A$5:$A$32,$B8,'Pemetaan Variant'!$G$5:$G$32))/AVERAGEIF('Pemetaan Variant'!$A$5:$A$32,$B8,'Pemetaan Variant'!$G$5:$G$32)*100,"n/a"),"n/a")</f>
        <v>0</v>
      </c>
      <c r="BH8" s="4">
        <f t="shared" si="18"/>
        <v>0</v>
      </c>
      <c r="BI8" s="11">
        <f>IFERROR(AVERAGEIF('Pemetaan Variant'!$A$5:$A$32,$B8,'Pemetaan Variant'!$AI$5:$AI$32),"n/a")</f>
        <v>4750</v>
      </c>
      <c r="BJ8" s="12">
        <f>IFERROR(IF(ISNUMBER(BI8),(BI8-AVERAGEIF('Pemetaan Variant'!$A$5:$A$32,$B8,'Pemetaan Variant'!$H$5:$H$32))/AVERAGEIF('Pemetaan Variant'!$A$5:$A$32,$B8,'Pemetaan Variant'!$H$5:$H$32)*100,"n/a"),"n/a")</f>
        <v>0</v>
      </c>
      <c r="BK8" s="4">
        <f t="shared" si="19"/>
        <v>0</v>
      </c>
      <c r="BL8" s="11">
        <f>IFERROR(AVERAGEIF('Pemetaan Variant'!$A$5:$A$32,$B8,'Pemetaan Variant'!$AJ$5:$AJ$32),"n/a")</f>
        <v>4750</v>
      </c>
      <c r="BM8" s="12">
        <f>IFERROR(IF(ISNUMBER(BL8),(BL8-AVERAGEIF('Pemetaan Variant'!$A$5:$A$32,$B8,'Pemetaan Variant'!$H$5:$H$32))/AVERAGEIF('Pemetaan Variant'!$A$5:$A$32,$B8,'Pemetaan Variant'!$H$5:$H$32)*100,"n/a"),"n/a")</f>
        <v>0</v>
      </c>
      <c r="BN8" s="4">
        <f t="shared" si="20"/>
        <v>0</v>
      </c>
      <c r="BO8" s="11">
        <f>IFERROR(AVERAGEIF('Pemetaan Variant'!$A$5:$A$32,$B8,'Pemetaan Variant'!$AK$5:$AK$32),"n/a")</f>
        <v>4750</v>
      </c>
      <c r="BP8" s="12">
        <f>IFERROR(IF(ISNUMBER(BO8),(BO8-AVERAGEIF('Pemetaan Variant'!$A$5:$A$32,$B8,'Pemetaan Variant'!$H$5:$H$32))/AVERAGEIF('Pemetaan Variant'!$A$5:$A$32,$B8,'Pemetaan Variant'!$H$5:$H$32)*100,"n/a"),"n/a")</f>
        <v>0</v>
      </c>
      <c r="BQ8" s="4">
        <f t="shared" si="21"/>
        <v>0</v>
      </c>
      <c r="BR8" s="11">
        <f>IFERROR(AVERAGEIF('Pemetaan Variant'!$A$5:$A$32,$B8,'Pemetaan Variant'!$AL$5:$AL$32),"n/a")</f>
        <v>4750</v>
      </c>
      <c r="BS8" s="12">
        <f>IFERROR(IF(ISNUMBER(BR8),(BR8-AVERAGEIF('Pemetaan Variant'!$A$5:$A$32,$B8,'Pemetaan Variant'!$H$5:$H$32))/AVERAGEIF('Pemetaan Variant'!$A$5:$A$32,$B8,'Pemetaan Variant'!$H$5:$H$32)*100,"n/a"),"n/a")</f>
        <v>0</v>
      </c>
      <c r="BT8" s="4">
        <f t="shared" si="22"/>
        <v>0</v>
      </c>
      <c r="BU8" s="11">
        <f>IFERROR(AVERAGEIF('Pemetaan Variant'!$A$5:$A$32,$B8,'Pemetaan Variant'!$AM$5:$AM$32),"n/a")</f>
        <v>4750</v>
      </c>
      <c r="BV8" s="12">
        <f>IFERROR(IF(ISNUMBER(BU8),(BU8-AVERAGEIF('Pemetaan Variant'!$A$5:$A$32,$B8,'Pemetaan Variant'!$H$5:$H$32))/AVERAGEIF('Pemetaan Variant'!$A$5:$A$32,$B8,'Pemetaan Variant'!$H$5:$H$32)*100,"n/a"),"n/a")</f>
        <v>0</v>
      </c>
      <c r="BW8" s="4">
        <f t="shared" si="23"/>
        <v>0</v>
      </c>
      <c r="BX8" s="11">
        <f>IFERROR(AVERAGEIF('Pemetaan Variant'!$A$5:$A$32,$B8,'Pemetaan Variant'!$AN$5:$AN$32),"n/a")</f>
        <v>4750</v>
      </c>
      <c r="BY8" s="12">
        <f>IFERROR(IF(ISNUMBER(BX8),(BX8-AVERAGEIF('Pemetaan Variant'!$A$5:$A$32,$B8,'Pemetaan Variant'!$I$5:$I$32))/AVERAGEIF('Pemetaan Variant'!$A$5:$A$32,$B8,'Pemetaan Variant'!$I$5:$I$32)*100,"n/a"),"n/a")</f>
        <v>0</v>
      </c>
      <c r="BZ8" s="4">
        <f t="shared" si="24"/>
        <v>0</v>
      </c>
      <c r="CA8" s="11">
        <f>IFERROR(AVERAGEIF('Pemetaan Variant'!$A$5:$A$32,$B8,'Pemetaan Variant'!$AO$5:$AO$32),"n/a")</f>
        <v>4750</v>
      </c>
      <c r="CB8" s="12">
        <f>IFERROR(IF(ISNUMBER(CA8),(CA8-AVERAGEIF('Pemetaan Variant'!$A$5:$A$32,$B8,'Pemetaan Variant'!$I$5:$I$32))/AVERAGEIF('Pemetaan Variant'!$A$5:$A$32,$B8,'Pemetaan Variant'!$I$5:$I$32)*100,"n/a"),"n/a")</f>
        <v>0</v>
      </c>
      <c r="CC8" s="4">
        <f t="shared" si="25"/>
        <v>0</v>
      </c>
      <c r="CD8" s="11">
        <f>IFERROR(AVERAGEIF('Pemetaan Variant'!$A$5:$A$32,$B8,'Pemetaan Variant'!$AP$5:$AP$32),"n/a")</f>
        <v>4750</v>
      </c>
      <c r="CE8" s="12">
        <f>IFERROR(IF(ISNUMBER(CD8),(CD8-AVERAGEIF('Pemetaan Variant'!$A$5:$A$32,$B8,'Pemetaan Variant'!$I$5:$I$32))/AVERAGEIF('Pemetaan Variant'!$A$5:$A$32,$B8,'Pemetaan Variant'!$I$5:$I$32)*100,"n/a"),"n/a")</f>
        <v>0</v>
      </c>
      <c r="CF8" s="4">
        <f t="shared" si="26"/>
        <v>0</v>
      </c>
      <c r="CG8" s="11">
        <f>IFERROR(AVERAGEIF('Pemetaan Variant'!$A$5:$A$32,$B8,'Pemetaan Variant'!$AQ$5:$AQ$32),"n/a")</f>
        <v>4750</v>
      </c>
      <c r="CH8" s="12">
        <f>IFERROR(IF(ISNUMBER(CG8),(CG8-AVERAGEIF('Pemetaan Variant'!$A$5:$A$32,$B8,'Pemetaan Variant'!$I$5:$I$32))/AVERAGEIF('Pemetaan Variant'!$A$5:$A$32,$B8,'Pemetaan Variant'!$I$5:$I$32)*100,"n/a"),"n/a")</f>
        <v>0</v>
      </c>
      <c r="CI8" s="4">
        <f t="shared" si="27"/>
        <v>0</v>
      </c>
      <c r="CJ8" s="11">
        <f>IFERROR(AVERAGEIF('Pemetaan Variant'!$A$5:$A$32,$B8,'Pemetaan Variant'!$AR$5:$AR$32),"n/a")</f>
        <v>4750</v>
      </c>
      <c r="CK8" s="12">
        <f>IFERROR(IF(ISNUMBER(CJ8),(CJ8-AVERAGEIF('Pemetaan Variant'!$A$5:$A$32,$B8,'Pemetaan Variant'!$J$5:$J$32))/AVERAGEIF('Pemetaan Variant'!$A$5:$A$32,$B8,'Pemetaan Variant'!$J$5:$J$32)*100,"n/a"),"n/a")</f>
        <v>0</v>
      </c>
      <c r="CL8" s="4">
        <f t="shared" si="28"/>
        <v>0</v>
      </c>
      <c r="CM8" s="11">
        <f>IFERROR(AVERAGEIF('Pemetaan Variant'!$A$5:$A$32,$B8,'Pemetaan Variant'!$AS$5:$AS$32),"n/a")</f>
        <v>4750</v>
      </c>
      <c r="CN8" s="12">
        <f>IFERROR(IF(ISNUMBER(CM8),(CM8-AVERAGEIF('Pemetaan Variant'!$A$5:$A$32,$B8,'Pemetaan Variant'!$J$5:$J$32))/AVERAGEIF('Pemetaan Variant'!$A$5:$A$32,$B8,'Pemetaan Variant'!$J$5:$J$32)*100,"n/a"),"n/a")</f>
        <v>0</v>
      </c>
      <c r="CO8" s="4">
        <f t="shared" si="29"/>
        <v>0</v>
      </c>
      <c r="CP8" s="11">
        <f>IFERROR(AVERAGEIF('Pemetaan Variant'!$A$5:$A$32,$B8,'Pemetaan Variant'!$AT$5:$AT$32),"n/a")</f>
        <v>4750</v>
      </c>
      <c r="CQ8" s="12">
        <f>IFERROR(IF(ISNUMBER(CP8),(CP8-AVERAGEIF('Pemetaan Variant'!$A$5:$A$32,$B8,'Pemetaan Variant'!$J$5:$J$32))/AVERAGEIF('Pemetaan Variant'!$A$5:$A$32,$B8,'Pemetaan Variant'!$J$5:$J$32)*100,"n/a"),"n/a")</f>
        <v>0</v>
      </c>
      <c r="CR8" s="4">
        <f t="shared" si="30"/>
        <v>0</v>
      </c>
      <c r="CS8" s="11">
        <f>IFERROR(AVERAGEIF('Pemetaan Variant'!$A$5:$A$32,$B8,'Pemetaan Variant'!$AU$5:$AU$32),"n/a")</f>
        <v>4750</v>
      </c>
      <c r="CT8" s="12">
        <f>IFERROR(IF(ISNUMBER(CS8),(CS8-AVERAGEIF('Pemetaan Variant'!$A$5:$A$32,$B8,'Pemetaan Variant'!$J$5:$J$32))/AVERAGEIF('Pemetaan Variant'!$A$5:$A$32,$B8,'Pemetaan Variant'!$J$5:$J$32)*100,"n/a"),"n/a")</f>
        <v>0</v>
      </c>
      <c r="CU8" s="4">
        <f t="shared" si="31"/>
        <v>0</v>
      </c>
      <c r="CV8" s="11">
        <f>IFERROR(AVERAGEIF('Pemetaan Variant'!$A$5:$A$32,$B8,'Pemetaan Variant'!$AV$5:$AV$32),"n/a")</f>
        <v>4750</v>
      </c>
      <c r="CW8" s="12">
        <f>IFERROR(IF(ISNUMBER(CV8),(CV8-AVERAGEIF('Pemetaan Variant'!$A$5:$A$32,$B8,'Pemetaan Variant'!$J$5:$J$32))/AVERAGEIF('Pemetaan Variant'!$A$5:$A$32,$B8,'Pemetaan Variant'!$J$5:$J$32)*100,"n/a"),"n/a")</f>
        <v>0</v>
      </c>
      <c r="CX8" s="4">
        <f t="shared" si="32"/>
        <v>0</v>
      </c>
      <c r="CY8" s="11">
        <f>IFERROR(AVERAGEIF('Pemetaan Variant'!$A$5:$A$32,$B8,'Pemetaan Variant'!$AW$5:$AW$32),"n/a")</f>
        <v>0</v>
      </c>
      <c r="CZ8" s="12">
        <f>IFERROR(IF(ISNUMBER(CY8),(CY8-AVERAGEIF('Pemetaan Variant'!$A$5:$A$32,$B8,'Pemetaan Variant'!$K$5:$K$32))/AVERAGEIF('Pemetaan Variant'!$A$5:$A$32,$B8,'Pemetaan Variant'!$K$5:$K$32)*100,"n/a"),"n/a")</f>
        <v>-100</v>
      </c>
      <c r="DA8" s="4">
        <f t="shared" si="33"/>
        <v>-2.1332157664651801</v>
      </c>
      <c r="DB8" s="11">
        <f>IFERROR(AVERAGEIF('Pemetaan Variant'!$A$5:$A$32,$B8,'Pemetaan Variant'!$AX$5:$AX$32),"n/a")</f>
        <v>0</v>
      </c>
      <c r="DC8" s="12">
        <f>IFERROR(IF(ISNUMBER(DB8),(DB8-AVERAGEIF('Pemetaan Variant'!$A$5:$A$32,$B8,'Pemetaan Variant'!$K$5:$K$32))/AVERAGEIF('Pemetaan Variant'!$A$5:$A$32,$B8,'Pemetaan Variant'!$K$5:$K$32)*100,"n/a"),"n/a")</f>
        <v>-100</v>
      </c>
      <c r="DD8" s="4">
        <f t="shared" si="34"/>
        <v>-2.1332157664651801</v>
      </c>
      <c r="DE8" s="11">
        <f>IFERROR(AVERAGEIF('Pemetaan Variant'!$A$5:$A$32,$B8,'Pemetaan Variant'!$AY$5:$AY$32),"n/a")</f>
        <v>0</v>
      </c>
      <c r="DF8" s="12">
        <f>IFERROR(IF(ISNUMBER(DE8),(DE8-AVERAGEIF('Pemetaan Variant'!$A$5:$A$32,$B8,'Pemetaan Variant'!$K$5:$K$32))/AVERAGEIF('Pemetaan Variant'!$A$5:$A$32,$B8,'Pemetaan Variant'!$K$5:$K$32)*100,"n/a"),"n/a")</f>
        <v>-100</v>
      </c>
      <c r="DG8" s="4">
        <f t="shared" si="35"/>
        <v>-2.1332157664651801</v>
      </c>
      <c r="DH8" s="11">
        <f>IFERROR(AVERAGEIF('Pemetaan Variant'!$A$5:$A$32,$B8,'Pemetaan Variant'!$AZ$5:$AZ$32),"n/a")</f>
        <v>0</v>
      </c>
      <c r="DI8" s="12">
        <f>IFERROR(IF(ISNUMBER(DH8),(DH8-AVERAGEIF('Pemetaan Variant'!$A$5:$A$32,$B8,'Pemetaan Variant'!$K$5:$K$32))/AVERAGEIF('Pemetaan Variant'!$A$5:$A$32,$B8,'Pemetaan Variant'!$K$5:$K$32)*100,"n/a"),"n/a")</f>
        <v>-100</v>
      </c>
      <c r="DJ8" s="4">
        <f t="shared" si="36"/>
        <v>-2.1332157664651801</v>
      </c>
      <c r="DK8" s="11" t="str">
        <f>IFERROR(AVERAGEIF('Pemetaan Variant'!$A$5:$A$32,$B8,'Pemetaan Variant'!$BA$5:$BA$32),"n/a")</f>
        <v>n/a</v>
      </c>
      <c r="DL8" s="12" t="str">
        <f>IFERROR(IF(ISNUMBER(DK8),(DK8-AVERAGEIF('Pemetaan Variant'!$A$5:$A$32,$B8,'Pemetaan Variant'!$L$5:$L$32))/AVERAGEIF('Pemetaan Variant'!$A$5:$A$32,$B8,'Pemetaan Variant'!$L$5:$L$32)*100,"n/a"),"n/a")</f>
        <v>n/a</v>
      </c>
      <c r="DM8" s="4" t="str">
        <f t="shared" si="37"/>
        <v>n/a</v>
      </c>
      <c r="DN8" s="11" t="str">
        <f>IFERROR(AVERAGEIF('Pemetaan Variant'!$A$5:$A$32,$B8,'Pemetaan Variant'!$BB$5:$BB$32),"n/a")</f>
        <v>n/a</v>
      </c>
      <c r="DO8" s="12" t="str">
        <f>IFERROR(IF(ISNUMBER(DN8),(DN8-AVERAGEIF('Pemetaan Variant'!$A$5:$A$32,$B8,'Pemetaan Variant'!$L$5:$L$32))/AVERAGEIF('Pemetaan Variant'!$A$5:$A$32,$B8,'Pemetaan Variant'!$L$5:$L$32)*100,"n/a"),"n/a")</f>
        <v>n/a</v>
      </c>
      <c r="DP8" s="4" t="str">
        <f t="shared" si="38"/>
        <v>n/a</v>
      </c>
      <c r="DQ8" s="11" t="str">
        <f>IFERROR(AVERAGEIF('Pemetaan Variant'!$A$5:$A$32,$B8,'Pemetaan Variant'!$BC$5:$BC$32),"n/a")</f>
        <v>n/a</v>
      </c>
      <c r="DR8" s="12" t="str">
        <f>IFERROR(IF(ISNUMBER(DQ8),(DQ8-AVERAGEIF('Pemetaan Variant'!$A$5:$A$32,$B8,'Pemetaan Variant'!$L$5:$L$32))/AVERAGEIF('Pemetaan Variant'!$A$5:$A$32,$B8,'Pemetaan Variant'!$L$5:$L$32)*100,"n/a"),"n/a")</f>
        <v>n/a</v>
      </c>
      <c r="DS8" s="4" t="str">
        <f t="shared" si="39"/>
        <v>n/a</v>
      </c>
      <c r="DT8" s="11" t="str">
        <f>IFERROR(AVERAGEIF('Pemetaan Variant'!$A$5:$A$32,$B8,'Pemetaan Variant'!$BD$5:$BD$32),"n/a")</f>
        <v>n/a</v>
      </c>
      <c r="DU8" s="12" t="str">
        <f>IFERROR(IF(ISNUMBER(DT8),(DT8-AVERAGEIF('Pemetaan Variant'!$A$5:$A$32,$B8,'Pemetaan Variant'!$L$5:$L$32))/AVERAGEIF('Pemetaan Variant'!$A$5:$A$32,$B8,'Pemetaan Variant'!$L$5:$L$32)*100,"n/a"),"n/a")</f>
        <v>n/a</v>
      </c>
      <c r="DV8" s="4" t="str">
        <f t="shared" si="40"/>
        <v>n/a</v>
      </c>
      <c r="DW8" s="11" t="str">
        <f>IFERROR(AVERAGEIF('Pemetaan Variant'!$A$5:$A$32,$B8,'Pemetaan Variant'!$BE$5:$BE$32),"n/a")</f>
        <v>n/a</v>
      </c>
      <c r="DX8" s="12" t="str">
        <f>IFERROR(IF(ISNUMBER(DW8),(DW8-AVERAGEIF('Pemetaan Variant'!$A$5:$A$32,$B8,'Pemetaan Variant'!$M$5:$M$32))/AVERAGEIF('Pemetaan Variant'!$A$5:$A$32,$B8,'Pemetaan Variant'!$M$5:$M$32)*100,"n/a"),"n/a")</f>
        <v>n/a</v>
      </c>
      <c r="DY8" s="4" t="str">
        <f t="shared" si="41"/>
        <v>n/a</v>
      </c>
      <c r="DZ8" s="11" t="str">
        <f>IFERROR(AVERAGEIF('Pemetaan Variant'!$A$5:$A$32,$B8,'Pemetaan Variant'!$BF$5:$BF$32),"n/a")</f>
        <v>n/a</v>
      </c>
      <c r="EA8" s="12" t="str">
        <f>IFERROR(IF(ISNUMBER(DZ8),(DZ8-AVERAGEIF('Pemetaan Variant'!$A$5:$A$32,$B8,'Pemetaan Variant'!$M$5:$M$32))/AVERAGEIF('Pemetaan Variant'!$A$5:$A$32,$B8,'Pemetaan Variant'!$M$5:$M$32)*100,"n/a"),"n/a")</f>
        <v>n/a</v>
      </c>
      <c r="EB8" s="4" t="str">
        <f t="shared" si="42"/>
        <v>n/a</v>
      </c>
      <c r="EC8" s="11" t="str">
        <f>IFERROR(AVERAGEIF('Pemetaan Variant'!$A$5:$A$32,$B8,'Pemetaan Variant'!$BG$5:$BG$32),"n/a")</f>
        <v>n/a</v>
      </c>
      <c r="ED8" s="12" t="str">
        <f>IFERROR(IF(ISNUMBER(EC8),(EC8-AVERAGEIF('Pemetaan Variant'!$A$5:$A$32,$B8,'Pemetaan Variant'!$M$5:$M$32))/AVERAGEIF('Pemetaan Variant'!$A$5:$A$32,$B8,'Pemetaan Variant'!$M$5:$M$32)*100,"n/a"),"n/a")</f>
        <v>n/a</v>
      </c>
      <c r="EE8" s="4" t="str">
        <f t="shared" si="43"/>
        <v>n/a</v>
      </c>
      <c r="EF8" s="11" t="str">
        <f>IFERROR(AVERAGEIF('Pemetaan Variant'!$A$5:$A$32,$B8,'Pemetaan Variant'!$BH$5:$BH$32),"n/a")</f>
        <v>n/a</v>
      </c>
      <c r="EG8" s="12" t="str">
        <f>IFERROR(IF(ISNUMBER(EF8),(EF8-AVERAGEIF('Pemetaan Variant'!$A$5:$A$32,$B8,'Pemetaan Variant'!$M$5:$M$32))/AVERAGEIF('Pemetaan Variant'!$A$5:$A$32,$B8,'Pemetaan Variant'!$M$5:$M$32)*100,"n/a"),"n/a")</f>
        <v>n/a</v>
      </c>
      <c r="EH8" s="4" t="str">
        <f t="shared" si="44"/>
        <v>n/a</v>
      </c>
      <c r="EI8" s="11" t="str">
        <f>IFERROR(AVERAGEIF('Pemetaan Variant'!$A$5:$A$32,$B8,'Pemetaan Variant'!$BI$5:$BI$32),"n/a")</f>
        <v>n/a</v>
      </c>
      <c r="EJ8" s="12" t="str">
        <f>IFERROR(IF(ISNUMBER(EI8),(EI8-AVERAGEIF('Pemetaan Variant'!$A$5:$A$32,$B8,'Pemetaan Variant'!$M$5:$M$32))/AVERAGEIF('Pemetaan Variant'!$A$5:$A$32,$B8,'Pemetaan Variant'!$M$5:$M$32)*100,"n/a"),"n/a")</f>
        <v>n/a</v>
      </c>
      <c r="EK8" s="4" t="str">
        <f t="shared" si="45"/>
        <v>n/a</v>
      </c>
      <c r="EL8" s="11" t="str">
        <f>IFERROR(AVERAGEIF('Pemetaan Variant'!$A$5:$A$32,$B8,'Pemetaan Variant'!$BJ$5:$BJ$32),"n/a")</f>
        <v>n/a</v>
      </c>
      <c r="EM8" s="12" t="str">
        <f>IFERROR(IF(ISNUMBER(EL8),(EL8-AVERAGEIF('Pemetaan Variant'!$A$5:$A$32,$B8,'Pemetaan Variant'!$N$5:$N$32))/AVERAGEIF('Pemetaan Variant'!$A$5:$A$32,$B8,'Pemetaan Variant'!$N$5:$N$32)*100,"n/a"),"n/a")</f>
        <v>n/a</v>
      </c>
      <c r="EN8" s="4" t="str">
        <f t="shared" si="46"/>
        <v>n/a</v>
      </c>
      <c r="EO8" s="11" t="str">
        <f>IFERROR(AVERAGEIF('Pemetaan Variant'!$A$5:$A$32,$B8,'Pemetaan Variant'!$BK$5:$BK$32),"n/a")</f>
        <v>n/a</v>
      </c>
      <c r="EP8" s="12" t="str">
        <f>IFERROR(IF(ISNUMBER(EO8),(EO8-AVERAGEIF('Pemetaan Variant'!$A$5:$A$32,$B8,'Pemetaan Variant'!$N$5:$N$32))/AVERAGEIF('Pemetaan Variant'!$A$5:$A$32,$B8,'Pemetaan Variant'!$N$5:$N$32)*100,"n/a"),"n/a")</f>
        <v>n/a</v>
      </c>
      <c r="EQ8" s="4" t="str">
        <f t="shared" si="47"/>
        <v>n/a</v>
      </c>
      <c r="ER8" s="11" t="str">
        <f>IFERROR(AVERAGEIF('Pemetaan Variant'!$A$5:$A$32,$B8,'Pemetaan Variant'!$BL$5:$BL$32),"n/a")</f>
        <v>n/a</v>
      </c>
      <c r="ES8" s="12" t="str">
        <f>IFERROR(IF(ISNUMBER(ER8),(ER8-AVERAGEIF('Pemetaan Variant'!$A$5:$A$32,$B8,'Pemetaan Variant'!$N$5:$N$32))/AVERAGEIF('Pemetaan Variant'!$A$5:$A$32,$B8,'Pemetaan Variant'!$N$5:$N$32)*100,"n/a"),"n/a")</f>
        <v>n/a</v>
      </c>
      <c r="ET8" s="4" t="str">
        <f t="shared" si="48"/>
        <v>n/a</v>
      </c>
      <c r="EU8" s="11" t="str">
        <f>IFERROR(AVERAGEIF('Pemetaan Variant'!$A$5:$A$32,$B8,'Pemetaan Variant'!$BM$5:$BM$32),"n/a")</f>
        <v>n/a</v>
      </c>
      <c r="EV8" s="12" t="str">
        <f>IFERROR(IF(ISNUMBER(EU8),(EU8-AVERAGEIF('Pemetaan Variant'!$A$5:$A$32,$B8,'Pemetaan Variant'!$N$5:$N$32))/AVERAGEIF('Pemetaan Variant'!$A$5:$A$32,$B8,'Pemetaan Variant'!$N$5:$N$32)*100,"n/a"),"n/a")</f>
        <v>n/a</v>
      </c>
      <c r="EW8" s="4" t="str">
        <f t="shared" si="49"/>
        <v>n/a</v>
      </c>
      <c r="EX8" s="11" t="str">
        <f>IFERROR(AVERAGEIF('Pemetaan Variant'!$A$5:$A$32,$B8,'Pemetaan Variant'!$BN$5:$BN$32),"n/a")</f>
        <v>n/a</v>
      </c>
      <c r="EY8" s="12" t="str">
        <f>IFERROR(IF(ISNUMBER(EX8),(EX8-AVERAGEIF('Pemetaan Variant'!$A$5:$A$32,$B8,'Pemetaan Variant'!$O$5:$O$32))/AVERAGEIF('Pemetaan Variant'!$A$5:$A$32,$B8,'Pemetaan Variant'!$O$5:$O$32)*100,"n/a"),"n/a")</f>
        <v>n/a</v>
      </c>
      <c r="EZ8" s="4" t="str">
        <f t="shared" si="50"/>
        <v>n/a</v>
      </c>
      <c r="FA8" s="11" t="str">
        <f>IFERROR(AVERAGEIF('Pemetaan Variant'!$A$5:$A$32,$B8,'Pemetaan Variant'!$BO$5:$BO$32),"n/a")</f>
        <v>n/a</v>
      </c>
      <c r="FB8" s="12" t="str">
        <f>IFERROR(IF(ISNUMBER(FA8),(FA8-AVERAGEIF('Pemetaan Variant'!$A$5:$A$32,$B8,'Pemetaan Variant'!$O$5:$O$32))/AVERAGEIF('Pemetaan Variant'!$A$5:$A$32,$B8,'Pemetaan Variant'!$O$5:$O$32)*100,"n/a"),"n/a")</f>
        <v>n/a</v>
      </c>
      <c r="FC8" s="4" t="str">
        <f t="shared" si="51"/>
        <v>n/a</v>
      </c>
      <c r="FD8" s="11" t="str">
        <f>IFERROR(AVERAGEIF('Pemetaan Variant'!$A$5:$A$32,$B8,'Pemetaan Variant'!$BP$5:$BP$32),"n/a")</f>
        <v>n/a</v>
      </c>
      <c r="FE8" s="12" t="str">
        <f>IFERROR(IF(ISNUMBER(FD8),(FD8-AVERAGEIF('Pemetaan Variant'!$A$5:$A$32,$B8,'Pemetaan Variant'!$O$5:$O$32))/AVERAGEIF('Pemetaan Variant'!$A$5:$A$32,$B8,'Pemetaan Variant'!$O$5:$O$32)*100,"n/a"),"n/a")</f>
        <v>n/a</v>
      </c>
      <c r="FF8" s="4" t="str">
        <f t="shared" si="52"/>
        <v>n/a</v>
      </c>
      <c r="FG8" s="11" t="str">
        <f>IFERROR(AVERAGEIF('Pemetaan Variant'!$A$5:$A$32,$B8,'Pemetaan Variant'!$BQ$5:$BQ$32),"n/a")</f>
        <v>n/a</v>
      </c>
      <c r="FH8" s="12" t="str">
        <f>IFERROR(IF(ISNUMBER(FG8),(FG8-AVERAGEIF('Pemetaan Variant'!$A$5:$A$32,$B8,'Pemetaan Variant'!$O$5:$O$32))/AVERAGEIF('Pemetaan Variant'!$A$5:$A$32,$B8,'Pemetaan Variant'!$O$5:$O$32)*100,"n/a"),"n/a")</f>
        <v>n/a</v>
      </c>
      <c r="FI8" s="4" t="str">
        <f t="shared" si="53"/>
        <v>n/a</v>
      </c>
      <c r="FJ8" s="11" t="str">
        <f>IFERROR(AVERAGEIF('Pemetaan Variant'!$A$5:$A$32,$B8,'Pemetaan Variant'!$BR$5:$BR$32),"n/a")</f>
        <v>n/a</v>
      </c>
      <c r="FK8" s="12" t="str">
        <f>IFERROR(IF(ISNUMBER(FJ8),(FJ8-AVERAGEIF('Pemetaan Variant'!$A$5:$A$32,$B8,'Pemetaan Variant'!$O$5:$O$32))/AVERAGEIF('Pemetaan Variant'!$A$5:$A$32,$B8,'Pemetaan Variant'!$O$5:$O$32)*100,"n/a"),"n/a")</f>
        <v>n/a</v>
      </c>
      <c r="FL8" s="4" t="str">
        <f t="shared" si="54"/>
        <v>n/a</v>
      </c>
      <c r="FM8" s="13"/>
      <c r="FO8" s="9">
        <f t="shared" si="55"/>
        <v>0</v>
      </c>
      <c r="FP8" s="9">
        <f t="shared" si="56"/>
        <v>0</v>
      </c>
      <c r="FQ8" s="9">
        <f t="shared" si="57"/>
        <v>0</v>
      </c>
      <c r="FR8" s="9">
        <f t="shared" si="58"/>
        <v>0</v>
      </c>
      <c r="FS8" s="9">
        <f t="shared" si="59"/>
        <v>0</v>
      </c>
      <c r="FT8" s="9">
        <f t="shared" si="60"/>
        <v>0</v>
      </c>
      <c r="FU8" s="9">
        <f t="shared" si="61"/>
        <v>0</v>
      </c>
      <c r="FV8" s="9">
        <f t="shared" si="62"/>
        <v>0</v>
      </c>
      <c r="FW8" s="9">
        <f t="shared" si="63"/>
        <v>0</v>
      </c>
      <c r="FX8" s="9">
        <f t="shared" si="64"/>
        <v>0</v>
      </c>
      <c r="FY8" s="9">
        <f t="shared" si="65"/>
        <v>0</v>
      </c>
      <c r="FZ8" s="9">
        <f t="shared" si="66"/>
        <v>0</v>
      </c>
      <c r="GA8" s="9">
        <f t="shared" si="67"/>
        <v>0</v>
      </c>
      <c r="GB8" s="9">
        <f t="shared" si="68"/>
        <v>0</v>
      </c>
      <c r="GC8" s="9">
        <f t="shared" si="69"/>
        <v>0</v>
      </c>
      <c r="GD8" s="9">
        <f t="shared" si="70"/>
        <v>0</v>
      </c>
      <c r="GE8" s="9">
        <f t="shared" si="71"/>
        <v>0</v>
      </c>
      <c r="GF8" s="9">
        <f t="shared" si="72"/>
        <v>0</v>
      </c>
      <c r="GG8" s="9">
        <f t="shared" si="73"/>
        <v>0</v>
      </c>
      <c r="GH8" s="9">
        <f t="shared" si="74"/>
        <v>0</v>
      </c>
      <c r="GI8" s="9">
        <f t="shared" si="75"/>
        <v>0</v>
      </c>
      <c r="GJ8" s="9">
        <f t="shared" si="76"/>
        <v>0</v>
      </c>
      <c r="GK8" s="9">
        <f t="shared" si="77"/>
        <v>0</v>
      </c>
      <c r="GL8" s="9">
        <f t="shared" si="78"/>
        <v>0</v>
      </c>
      <c r="GM8" s="9">
        <f t="shared" si="79"/>
        <v>0</v>
      </c>
      <c r="GN8" s="9">
        <f t="shared" si="80"/>
        <v>0</v>
      </c>
      <c r="GO8" s="9">
        <f t="shared" si="81"/>
        <v>0</v>
      </c>
      <c r="GP8" s="9">
        <f t="shared" si="82"/>
        <v>0</v>
      </c>
      <c r="GQ8" s="9">
        <f t="shared" si="83"/>
        <v>0</v>
      </c>
      <c r="GR8" s="9">
        <f t="shared" si="84"/>
        <v>0</v>
      </c>
      <c r="GS8" s="9">
        <f t="shared" si="85"/>
        <v>0</v>
      </c>
      <c r="GT8" s="9">
        <f t="shared" si="86"/>
        <v>0</v>
      </c>
      <c r="GU8" s="9">
        <f t="shared" si="87"/>
        <v>0</v>
      </c>
      <c r="GV8" s="9">
        <f t="shared" si="88"/>
        <v>2.1332157664651801</v>
      </c>
      <c r="GW8" s="9">
        <f t="shared" si="89"/>
        <v>2.1332157664651801</v>
      </c>
      <c r="GX8" s="9">
        <f t="shared" si="90"/>
        <v>2.1332157664651801</v>
      </c>
      <c r="GY8" s="9">
        <f t="shared" si="91"/>
        <v>2.1332157664651801</v>
      </c>
      <c r="GZ8" s="9">
        <f t="shared" si="92"/>
        <v>0</v>
      </c>
      <c r="HA8" s="9">
        <f t="shared" si="93"/>
        <v>0</v>
      </c>
      <c r="HB8" s="9">
        <f t="shared" si="94"/>
        <v>0</v>
      </c>
      <c r="HC8" s="9">
        <f t="shared" si="95"/>
        <v>0</v>
      </c>
      <c r="HD8" s="9">
        <f t="shared" si="96"/>
        <v>0</v>
      </c>
      <c r="HE8" s="9">
        <f t="shared" si="97"/>
        <v>0</v>
      </c>
      <c r="HF8" s="9">
        <f t="shared" si="98"/>
        <v>0</v>
      </c>
      <c r="HG8" s="9">
        <f t="shared" si="99"/>
        <v>0</v>
      </c>
      <c r="HH8" s="9">
        <f t="shared" si="100"/>
        <v>0</v>
      </c>
      <c r="HI8" s="9">
        <f t="shared" si="101"/>
        <v>0</v>
      </c>
      <c r="HJ8" s="9">
        <f t="shared" si="102"/>
        <v>0</v>
      </c>
      <c r="HK8" s="9">
        <f t="shared" si="103"/>
        <v>0</v>
      </c>
      <c r="HL8" s="9">
        <f t="shared" si="104"/>
        <v>0</v>
      </c>
      <c r="HM8" s="9">
        <f t="shared" si="105"/>
        <v>0</v>
      </c>
      <c r="HN8" s="9">
        <f t="shared" si="106"/>
        <v>0</v>
      </c>
      <c r="HO8" s="9">
        <f t="shared" si="107"/>
        <v>0</v>
      </c>
      <c r="HP8" s="9">
        <f t="shared" si="108"/>
        <v>0</v>
      </c>
      <c r="HQ8" s="9">
        <f t="shared" si="109"/>
        <v>0</v>
      </c>
    </row>
    <row r="9" spans="1:225" x14ac:dyDescent="0.35">
      <c r="A9" s="3">
        <v>4</v>
      </c>
      <c r="B9" s="3" t="s">
        <v>126</v>
      </c>
      <c r="C9" s="10">
        <f>'P0Q0 Dasar 2022'!F8</f>
        <v>4.7910777785027697E-2</v>
      </c>
      <c r="D9" s="11">
        <f>IFERROR(AVERAGEIF('Pemetaan Variant'!$A$5:$A$32,$B9,'Pemetaan Variant'!$P$5:$P$32),"n/a")</f>
        <v>33000</v>
      </c>
      <c r="E9" s="12">
        <f>IFERROR(IF(ISNUMBER(D9),(D9-AVERAGEIF('Pemetaan Variant'!$A$5:$A$32,$B9,'Pemetaan Variant'!$D$5:$D$32))/AVERAGEIF('Pemetaan Variant'!$A$5:$A$32,$B9,'Pemetaan Variant'!$D$5:$D$32)*100,"n/a"),"n/a")</f>
        <v>3.3043478260869543</v>
      </c>
      <c r="F9" s="4">
        <f t="shared" si="0"/>
        <v>0.15831387442009143</v>
      </c>
      <c r="G9" s="11">
        <f>IFERROR(AVERAGEIF('Pemetaan Variant'!$A$5:$A$32,$B9,'Pemetaan Variant'!$Q$5:$Q$32),"n/a")</f>
        <v>29800</v>
      </c>
      <c r="H9" s="12">
        <f>IFERROR(IF(ISNUMBER(G9),(G9-AVERAGEIF('Pemetaan Variant'!$A$5:$A$32,$B9,'Pemetaan Variant'!$D$5:$D$32))/AVERAGEIF('Pemetaan Variant'!$A$5:$A$32,$B9,'Pemetaan Variant'!$D$5:$D$32)*100,"n/a"),"n/a")</f>
        <v>-6.7130434782608717</v>
      </c>
      <c r="I9" s="4">
        <f t="shared" si="1"/>
        <v>-0.32162713434818602</v>
      </c>
      <c r="J9" s="11">
        <f>IFERROR(AVERAGEIF('Pemetaan Variant'!$A$5:$A$32,$B9,'Pemetaan Variant'!$R$5:$R$32),"n/a")</f>
        <v>29000</v>
      </c>
      <c r="K9" s="12">
        <f>IFERROR(IF(ISNUMBER(J9),(J9-AVERAGEIF('Pemetaan Variant'!$A$5:$A$32,$B9,'Pemetaan Variant'!$D$5:$D$32))/AVERAGEIF('Pemetaan Variant'!$A$5:$A$32,$B9,'Pemetaan Variant'!$D$5:$D$32)*100,"n/a"),"n/a")</f>
        <v>-9.2173913043478279</v>
      </c>
      <c r="L9" s="4">
        <f t="shared" si="2"/>
        <v>-0.44161238654025536</v>
      </c>
      <c r="M9" s="11">
        <f>IFERROR(AVERAGEIF('Pemetaan Variant'!$A$5:$A$32,$B9,'Pemetaan Variant'!$S$5:$S$32),"n/a")</f>
        <v>29000</v>
      </c>
      <c r="N9" s="12">
        <f>IFERROR(IF(ISNUMBER(M9),(M9-AVERAGEIF('Pemetaan Variant'!$A$5:$A$32,$B9,'Pemetaan Variant'!$D$5:$D$32))/AVERAGEIF('Pemetaan Variant'!$A$5:$A$32,$B9,'Pemetaan Variant'!$D$5:$D$32)*100,"n/a"),"n/a")</f>
        <v>-9.2173913043478279</v>
      </c>
      <c r="O9" s="4">
        <f t="shared" si="3"/>
        <v>-0.44161238654025536</v>
      </c>
      <c r="P9" s="11">
        <f>IFERROR(AVERAGEIF('Pemetaan Variant'!$A$5:$A$32,$B9,'Pemetaan Variant'!$T$5:$T$32),"n/a")</f>
        <v>29000</v>
      </c>
      <c r="Q9" s="12">
        <f>IFERROR(IF(ISNUMBER(P9),(P9-AVERAGEIF('Pemetaan Variant'!$A$5:$A$32,$B9,'Pemetaan Variant'!$D$5:$D$32))/AVERAGEIF('Pemetaan Variant'!$A$5:$A$32,$B9,'Pemetaan Variant'!$D$5:$D$32)*100,"n/a"),"n/a")</f>
        <v>-9.2173913043478279</v>
      </c>
      <c r="R9" s="4">
        <f t="shared" si="4"/>
        <v>-0.44161238654025536</v>
      </c>
      <c r="S9" s="11">
        <f>IFERROR(AVERAGEIF('Pemetaan Variant'!$A$5:$A$32,$B9,'Pemetaan Variant'!$U$5:$U$32),"n/a")</f>
        <v>29000</v>
      </c>
      <c r="T9" s="12">
        <f>IFERROR(IF(ISNUMBER(S9),(S9-AVERAGEIF('Pemetaan Variant'!$A$5:$A$32,$B9,'Pemetaan Variant'!$E$5:$E$32))/AVERAGEIF('Pemetaan Variant'!$A$5:$A$32,$B9,'Pemetaan Variant'!$E$5:$E$32)*100,"n/a"),"n/a")</f>
        <v>-2.1314387211367638</v>
      </c>
      <c r="U9" s="4">
        <f t="shared" si="5"/>
        <v>-0.10211888693078711</v>
      </c>
      <c r="V9" s="11">
        <f>IFERROR(AVERAGEIF('Pemetaan Variant'!$A$5:$A$32,$B9,'Pemetaan Variant'!$V$5:$V$32),"n/a")</f>
        <v>30000</v>
      </c>
      <c r="W9" s="12">
        <f>IFERROR(IF(ISNUMBER(V9),(V9-AVERAGEIF('Pemetaan Variant'!$A$5:$A$32,$B9,'Pemetaan Variant'!$E$5:$E$32))/AVERAGEIF('Pemetaan Variant'!$A$5:$A$32,$B9,'Pemetaan Variant'!$E$5:$E$32)*100,"n/a"),"n/a")</f>
        <v>1.2433392539964516</v>
      </c>
      <c r="X9" s="4">
        <f t="shared" si="6"/>
        <v>5.9569350709626101E-2</v>
      </c>
      <c r="Y9" s="11">
        <f>IFERROR(AVERAGEIF('Pemetaan Variant'!$A$5:$A$32,$B9,'Pemetaan Variant'!$W$5:$W$32),"n/a")</f>
        <v>30800</v>
      </c>
      <c r="Z9" s="12">
        <f>IFERROR(IF(ISNUMBER(Y9),(Y9-AVERAGEIF('Pemetaan Variant'!$A$5:$A$32,$B9,'Pemetaan Variant'!$E$5:$E$32))/AVERAGEIF('Pemetaan Variant'!$A$5:$A$32,$B9,'Pemetaan Variant'!$E$5:$E$32)*100,"n/a"),"n/a")</f>
        <v>3.9431616341030233</v>
      </c>
      <c r="AA9" s="4">
        <f t="shared" si="7"/>
        <v>0.18891994082195665</v>
      </c>
      <c r="AB9" s="11">
        <f>IFERROR(AVERAGEIF('Pemetaan Variant'!$A$5:$A$32,$B9,'Pemetaan Variant'!$X$5:$X$32),"n/a")</f>
        <v>31000</v>
      </c>
      <c r="AC9" s="12">
        <f>IFERROR(IF(ISNUMBER(AB9),(AB9-AVERAGEIF('Pemetaan Variant'!$A$5:$A$32,$B9,'Pemetaan Variant'!$E$5:$E$32))/AVERAGEIF('Pemetaan Variant'!$A$5:$A$32,$B9,'Pemetaan Variant'!$E$5:$E$32)*100,"n/a"),"n/a")</f>
        <v>4.618117229129667</v>
      </c>
      <c r="AD9" s="4">
        <f t="shared" si="8"/>
        <v>0.22125758835003931</v>
      </c>
      <c r="AE9" s="11">
        <f>IFERROR(AVERAGEIF('Pemetaan Variant'!$A$5:$A$32,$B9,'Pemetaan Variant'!$Y$5:$Y$32),"n/a")</f>
        <v>30600</v>
      </c>
      <c r="AF9" s="12">
        <f>IFERROR(IF(ISNUMBER(AE9),(AE9-AVERAGEIF('Pemetaan Variant'!$A$5:$A$32,$B9,'Pemetaan Variant'!$F$5:$F$32))/AVERAGEIF('Pemetaan Variant'!$A$5:$A$32,$B9,'Pemetaan Variant'!$F$5:$F$32)*100,"n/a"),"n/a")</f>
        <v>1.4659685863874294</v>
      </c>
      <c r="AG9" s="4">
        <f t="shared" si="9"/>
        <v>7.0235695182239308E-2</v>
      </c>
      <c r="AH9" s="11">
        <f>IFERROR(AVERAGEIF('Pemetaan Variant'!$A$5:$A$32,$B9,'Pemetaan Variant'!$Z$5:$Z$32),"n/a")</f>
        <v>30000</v>
      </c>
      <c r="AI9" s="12">
        <f>IFERROR(IF(ISNUMBER(AH9),(AH9-AVERAGEIF('Pemetaan Variant'!$A$5:$A$32,$B9,'Pemetaan Variant'!$F$5:$F$32))/AVERAGEIF('Pemetaan Variant'!$A$5:$A$32,$B9,'Pemetaan Variant'!$F$5:$F$32)*100,"n/a"),"n/a")</f>
        <v>-0.52356020942408887</v>
      </c>
      <c r="AJ9" s="4">
        <f t="shared" si="10"/>
        <v>-2.5084176850800086E-2</v>
      </c>
      <c r="AK9" s="11">
        <f>IFERROR(AVERAGEIF('Pemetaan Variant'!$A$5:$A$32,$B9,'Pemetaan Variant'!$AA$5:$AA$32),"n/a")</f>
        <v>30000</v>
      </c>
      <c r="AL9" s="12">
        <f>IFERROR(IF(ISNUMBER(AK9),(AK9-AVERAGEIF('Pemetaan Variant'!$A$5:$A$32,$B9,'Pemetaan Variant'!$F$5:$F$32))/AVERAGEIF('Pemetaan Variant'!$A$5:$A$32,$B9,'Pemetaan Variant'!$F$5:$F$32)*100,"n/a"),"n/a")</f>
        <v>-0.52356020942408887</v>
      </c>
      <c r="AM9" s="4">
        <f t="shared" si="11"/>
        <v>-2.5084176850800086E-2</v>
      </c>
      <c r="AN9" s="11">
        <f>IFERROR(AVERAGEIF('Pemetaan Variant'!$A$5:$A$32,$B9,'Pemetaan Variant'!$AB$5:$AB$32),"n/a")</f>
        <v>29750</v>
      </c>
      <c r="AO9" s="12">
        <f>IFERROR(IF(ISNUMBER(AN9),(AN9-AVERAGEIF('Pemetaan Variant'!$A$5:$A$32,$B9,'Pemetaan Variant'!$F$5:$F$32))/AVERAGEIF('Pemetaan Variant'!$A$5:$A$32,$B9,'Pemetaan Variant'!$F$5:$F$32)*100,"n/a"),"n/a")</f>
        <v>-1.3525305410122213</v>
      </c>
      <c r="AP9" s="4">
        <f t="shared" si="12"/>
        <v>-6.4800790197899819E-2</v>
      </c>
      <c r="AQ9" s="11" t="str">
        <f>IFERROR(AVERAGEIF('Pemetaan Variant'!$A$5:$A$32,$B9,'Pemetaan Variant'!$AC$5:$AC$32),"n/a")</f>
        <v>n/a</v>
      </c>
      <c r="AR9" s="12" t="str">
        <f>IFERROR(IF(ISNUMBER(AQ9),(AQ9-AVERAGEIF('Pemetaan Variant'!$A$5:$A$32,$B9,'Pemetaan Variant'!$F$5:$F$32))/AVERAGEIF('Pemetaan Variant'!$A$5:$A$32,$B9,'Pemetaan Variant'!$F$5:$F$32)*100,"n/a"),"n/a")</f>
        <v>n/a</v>
      </c>
      <c r="AS9" s="4" t="str">
        <f t="shared" si="13"/>
        <v>n/a</v>
      </c>
      <c r="AT9" s="11" t="str">
        <f>IFERROR(AVERAGEIF('Pemetaan Variant'!$A$5:$A$32,$B9,'Pemetaan Variant'!$AD$5:$AD$32),"n/a")</f>
        <v>n/a</v>
      </c>
      <c r="AU9" s="12" t="str">
        <f>IFERROR(IF(ISNUMBER(AT9),(AT9-AVERAGEIF('Pemetaan Variant'!$A$5:$A$32,$B9,'Pemetaan Variant'!$G$5:$G$32))/AVERAGEIF('Pemetaan Variant'!$A$5:$A$32,$B9,'Pemetaan Variant'!$G$5:$G$32)*100,"n/a"),"n/a")</f>
        <v>n/a</v>
      </c>
      <c r="AV9" s="4" t="str">
        <f t="shared" si="14"/>
        <v>n/a</v>
      </c>
      <c r="AW9" s="11">
        <f>IFERROR(AVERAGEIF('Pemetaan Variant'!$A$5:$A$32,$B9,'Pemetaan Variant'!$AE$5:$AE$32),"n/a")</f>
        <v>29500</v>
      </c>
      <c r="AX9" s="12">
        <f>IFERROR(IF(ISNUMBER(AW9),(AW9-AVERAGEIF('Pemetaan Variant'!$A$5:$A$32,$B9,'Pemetaan Variant'!$G$5:$G$32))/AVERAGEIF('Pemetaan Variant'!$A$5:$A$32,$B9,'Pemetaan Variant'!$G$5:$G$32)*100,"n/a"),"n/a")</f>
        <v>-2.0104895104895095</v>
      </c>
      <c r="AY9" s="4">
        <f t="shared" si="15"/>
        <v>-9.6324116176192007E-2</v>
      </c>
      <c r="AZ9" s="11">
        <f>IFERROR(AVERAGEIF('Pemetaan Variant'!$A$5:$A$32,$B9,'Pemetaan Variant'!$AF$5:$AF$32),"n/a")</f>
        <v>25750</v>
      </c>
      <c r="BA9" s="12">
        <f>IFERROR(IF(ISNUMBER(AZ9),(AZ9-AVERAGEIF('Pemetaan Variant'!$A$5:$A$32,$B9,'Pemetaan Variant'!$G$5:$G$32))/AVERAGEIF('Pemetaan Variant'!$A$5:$A$32,$B9,'Pemetaan Variant'!$G$5:$G$32)*100,"n/a"),"n/a")</f>
        <v>-14.466783216783217</v>
      </c>
      <c r="BB9" s="4">
        <f t="shared" si="16"/>
        <v>-0.6931148359634689</v>
      </c>
      <c r="BC9" s="11">
        <f>IFERROR(AVERAGEIF('Pemetaan Variant'!$A$5:$A$32,$B9,'Pemetaan Variant'!$AG$5:$AG$32),"n/a")</f>
        <v>25000</v>
      </c>
      <c r="BD9" s="12">
        <f>IFERROR(IF(ISNUMBER(BC9),(BC9-AVERAGEIF('Pemetaan Variant'!$A$5:$A$32,$B9,'Pemetaan Variant'!$G$5:$G$32))/AVERAGEIF('Pemetaan Variant'!$A$5:$A$32,$B9,'Pemetaan Variant'!$G$5:$G$32)*100,"n/a"),"n/a")</f>
        <v>-16.95804195804196</v>
      </c>
      <c r="BE9" s="4">
        <f t="shared" si="17"/>
        <v>-0.81247297992092438</v>
      </c>
      <c r="BF9" s="11">
        <f>IFERROR(AVERAGEIF('Pemetaan Variant'!$A$5:$A$32,$B9,'Pemetaan Variant'!$AH$5:$AH$32),"n/a")</f>
        <v>25000</v>
      </c>
      <c r="BG9" s="12">
        <f>IFERROR(IF(ISNUMBER(BF9),(BF9-AVERAGEIF('Pemetaan Variant'!$A$5:$A$32,$B9,'Pemetaan Variant'!$G$5:$G$32))/AVERAGEIF('Pemetaan Variant'!$A$5:$A$32,$B9,'Pemetaan Variant'!$G$5:$G$32)*100,"n/a"),"n/a")</f>
        <v>-16.95804195804196</v>
      </c>
      <c r="BH9" s="4">
        <f t="shared" si="18"/>
        <v>-0.81247297992092438</v>
      </c>
      <c r="BI9" s="11">
        <f>IFERROR(AVERAGEIF('Pemetaan Variant'!$A$5:$A$32,$B9,'Pemetaan Variant'!$AI$5:$AI$32),"n/a")</f>
        <v>25000</v>
      </c>
      <c r="BJ9" s="12">
        <f>IFERROR(IF(ISNUMBER(BI9),(BI9-AVERAGEIF('Pemetaan Variant'!$A$5:$A$32,$B9,'Pemetaan Variant'!$H$5:$H$32))/AVERAGEIF('Pemetaan Variant'!$A$5:$A$32,$B9,'Pemetaan Variant'!$H$5:$H$32)*100,"n/a"),"n/a")</f>
        <v>-4.9881235154394297</v>
      </c>
      <c r="BK9" s="4">
        <f t="shared" si="19"/>
        <v>-0.23898487731248969</v>
      </c>
      <c r="BL9" s="11">
        <f>IFERROR(AVERAGEIF('Pemetaan Variant'!$A$5:$A$32,$B9,'Pemetaan Variant'!$AJ$5:$AJ$32),"n/a")</f>
        <v>25800</v>
      </c>
      <c r="BM9" s="12">
        <f>IFERROR(IF(ISNUMBER(BL9),(BL9-AVERAGEIF('Pemetaan Variant'!$A$5:$A$32,$B9,'Pemetaan Variant'!$H$5:$H$32))/AVERAGEIF('Pemetaan Variant'!$A$5:$A$32,$B9,'Pemetaan Variant'!$H$5:$H$32)*100,"n/a"),"n/a")</f>
        <v>-1.9477434679334917</v>
      </c>
      <c r="BN9" s="4">
        <f t="shared" si="20"/>
        <v>-9.3317904474400748E-2</v>
      </c>
      <c r="BO9" s="11">
        <f>IFERROR(AVERAGEIF('Pemetaan Variant'!$A$5:$A$32,$B9,'Pemetaan Variant'!$AK$5:$AK$32),"n/a")</f>
        <v>27000</v>
      </c>
      <c r="BP9" s="12">
        <f>IFERROR(IF(ISNUMBER(BO9),(BO9-AVERAGEIF('Pemetaan Variant'!$A$5:$A$32,$B9,'Pemetaan Variant'!$H$5:$H$32))/AVERAGEIF('Pemetaan Variant'!$A$5:$A$32,$B9,'Pemetaan Variant'!$H$5:$H$32)*100,"n/a"),"n/a")</f>
        <v>2.6128266033254155</v>
      </c>
      <c r="BQ9" s="4">
        <f t="shared" si="21"/>
        <v>0.12518255478273269</v>
      </c>
      <c r="BR9" s="11">
        <f>IFERROR(AVERAGEIF('Pemetaan Variant'!$A$5:$A$32,$B9,'Pemetaan Variant'!$AL$5:$AL$32),"n/a")</f>
        <v>27000</v>
      </c>
      <c r="BS9" s="12">
        <f>IFERROR(IF(ISNUMBER(BR9),(BR9-AVERAGEIF('Pemetaan Variant'!$A$5:$A$32,$B9,'Pemetaan Variant'!$H$5:$H$32))/AVERAGEIF('Pemetaan Variant'!$A$5:$A$32,$B9,'Pemetaan Variant'!$H$5:$H$32)*100,"n/a"),"n/a")</f>
        <v>2.6128266033254155</v>
      </c>
      <c r="BT9" s="4">
        <f t="shared" si="22"/>
        <v>0.12518255478273269</v>
      </c>
      <c r="BU9" s="11">
        <f>IFERROR(AVERAGEIF('Pemetaan Variant'!$A$5:$A$32,$B9,'Pemetaan Variant'!$AM$5:$AM$32),"n/a")</f>
        <v>28000</v>
      </c>
      <c r="BV9" s="12">
        <f>IFERROR(IF(ISNUMBER(BU9),(BU9-AVERAGEIF('Pemetaan Variant'!$A$5:$A$32,$B9,'Pemetaan Variant'!$H$5:$H$32))/AVERAGEIF('Pemetaan Variant'!$A$5:$A$32,$B9,'Pemetaan Variant'!$H$5:$H$32)*100,"n/a"),"n/a")</f>
        <v>6.4133016627078394</v>
      </c>
      <c r="BW9" s="4">
        <f t="shared" si="23"/>
        <v>0.30726627083034397</v>
      </c>
      <c r="BX9" s="11">
        <f>IFERROR(AVERAGEIF('Pemetaan Variant'!$A$5:$A$32,$B9,'Pemetaan Variant'!$AN$5:$AN$32),"n/a")</f>
        <v>29000</v>
      </c>
      <c r="BY9" s="12">
        <f>IFERROR(IF(ISNUMBER(BX9),(BX9-AVERAGEIF('Pemetaan Variant'!$A$5:$A$32,$B9,'Pemetaan Variant'!$I$5:$I$32))/AVERAGEIF('Pemetaan Variant'!$A$5:$A$32,$B9,'Pemetaan Variant'!$I$5:$I$32)*100,"n/a"),"n/a")</f>
        <v>8.5903083700440597</v>
      </c>
      <c r="BZ9" s="4">
        <f t="shared" si="24"/>
        <v>0.4115683554220444</v>
      </c>
      <c r="CA9" s="11">
        <f>IFERROR(AVERAGEIF('Pemetaan Variant'!$A$5:$A$32,$B9,'Pemetaan Variant'!$AO$5:$AO$32),"n/a")</f>
        <v>26875</v>
      </c>
      <c r="CB9" s="12">
        <f>IFERROR(IF(ISNUMBER(CA9),(CA9-AVERAGEIF('Pemetaan Variant'!$A$5:$A$32,$B9,'Pemetaan Variant'!$I$5:$I$32))/AVERAGEIF('Pemetaan Variant'!$A$5:$A$32,$B9,'Pemetaan Variant'!$I$5:$I$32)*100,"n/a"),"n/a")</f>
        <v>0.63325991189427966</v>
      </c>
      <c r="CC9" s="4">
        <f t="shared" si="25"/>
        <v>3.033997491893305E-2</v>
      </c>
      <c r="CD9" s="11">
        <f>IFERROR(AVERAGEIF('Pemetaan Variant'!$A$5:$A$32,$B9,'Pemetaan Variant'!$AP$5:$AP$32),"n/a")</f>
        <v>23400</v>
      </c>
      <c r="CE9" s="12">
        <f>IFERROR(IF(ISNUMBER(CD9),(CD9-AVERAGEIF('Pemetaan Variant'!$A$5:$A$32,$B9,'Pemetaan Variant'!$I$5:$I$32))/AVERAGEIF('Pemetaan Variant'!$A$5:$A$32,$B9,'Pemetaan Variant'!$I$5:$I$32)*100,"n/a"),"n/a")</f>
        <v>-12.378854625550655</v>
      </c>
      <c r="CF9" s="4">
        <f t="shared" si="26"/>
        <v>-0.59308055319791964</v>
      </c>
      <c r="CG9" s="11">
        <f>IFERROR(AVERAGEIF('Pemetaan Variant'!$A$5:$A$32,$B9,'Pemetaan Variant'!$AQ$5:$AQ$32),"n/a")</f>
        <v>23000</v>
      </c>
      <c r="CH9" s="12">
        <f>IFERROR(IF(ISNUMBER(CG9),(CG9-AVERAGEIF('Pemetaan Variant'!$A$5:$A$32,$B9,'Pemetaan Variant'!$I$5:$I$32))/AVERAGEIF('Pemetaan Variant'!$A$5:$A$32,$B9,'Pemetaan Variant'!$I$5:$I$32)*100,"n/a"),"n/a")</f>
        <v>-13.876651982378849</v>
      </c>
      <c r="CI9" s="4">
        <f t="shared" si="27"/>
        <v>-0.66484118952791715</v>
      </c>
      <c r="CJ9" s="11">
        <f>IFERROR(AVERAGEIF('Pemetaan Variant'!$A$5:$A$32,$B9,'Pemetaan Variant'!$AR$5:$AR$32),"n/a")</f>
        <v>26000</v>
      </c>
      <c r="CK9" s="12">
        <f>IFERROR(IF(ISNUMBER(CJ9),(CJ9-AVERAGEIF('Pemetaan Variant'!$A$5:$A$32,$B9,'Pemetaan Variant'!$J$5:$J$32))/AVERAGEIF('Pemetaan Variant'!$A$5:$A$32,$B9,'Pemetaan Variant'!$J$5:$J$32)*100,"n/a"),"n/a")</f>
        <v>2.1965317919075189</v>
      </c>
      <c r="CL9" s="4">
        <f t="shared" si="28"/>
        <v>0.10523754657982984</v>
      </c>
      <c r="CM9" s="11">
        <f>IFERROR(AVERAGEIF('Pemetaan Variant'!$A$5:$A$32,$B9,'Pemetaan Variant'!$AS$5:$AS$32),"n/a")</f>
        <v>30000</v>
      </c>
      <c r="CN9" s="12">
        <f>IFERROR(IF(ISNUMBER(CM9),(CM9-AVERAGEIF('Pemetaan Variant'!$A$5:$A$32,$B9,'Pemetaan Variant'!$J$5:$J$32))/AVERAGEIF('Pemetaan Variant'!$A$5:$A$32,$B9,'Pemetaan Variant'!$J$5:$J$32)*100,"n/a"),"n/a")</f>
        <v>17.919075144508675</v>
      </c>
      <c r="CO9" s="4">
        <f t="shared" si="29"/>
        <v>0.85851682736176815</v>
      </c>
      <c r="CP9" s="11">
        <f>IFERROR(AVERAGEIF('Pemetaan Variant'!$A$5:$A$32,$B9,'Pemetaan Variant'!$AT$5:$AT$32),"n/a")</f>
        <v>29200</v>
      </c>
      <c r="CQ9" s="12">
        <f>IFERROR(IF(ISNUMBER(CP9),(CP9-AVERAGEIF('Pemetaan Variant'!$A$5:$A$32,$B9,'Pemetaan Variant'!$J$5:$J$32))/AVERAGEIF('Pemetaan Variant'!$A$5:$A$32,$B9,'Pemetaan Variant'!$J$5:$J$32)*100,"n/a"),"n/a")</f>
        <v>14.774566473988443</v>
      </c>
      <c r="CR9" s="4">
        <f t="shared" si="30"/>
        <v>0.7078609712053805</v>
      </c>
      <c r="CS9" s="11">
        <f>IFERROR(AVERAGEIF('Pemetaan Variant'!$A$5:$A$32,$B9,'Pemetaan Variant'!$AU$5:$AU$32),"n/a")</f>
        <v>30000</v>
      </c>
      <c r="CT9" s="12">
        <f>IFERROR(IF(ISNUMBER(CS9),(CS9-AVERAGEIF('Pemetaan Variant'!$A$5:$A$32,$B9,'Pemetaan Variant'!$J$5:$J$32))/AVERAGEIF('Pemetaan Variant'!$A$5:$A$32,$B9,'Pemetaan Variant'!$J$5:$J$32)*100,"n/a"),"n/a")</f>
        <v>17.919075144508675</v>
      </c>
      <c r="CU9" s="4">
        <f t="shared" si="31"/>
        <v>0.85851682736176815</v>
      </c>
      <c r="CV9" s="11">
        <f>IFERROR(AVERAGEIF('Pemetaan Variant'!$A$5:$A$32,$B9,'Pemetaan Variant'!$AV$5:$AV$32),"n/a")</f>
        <v>29250</v>
      </c>
      <c r="CW9" s="12">
        <f>IFERROR(IF(ISNUMBER(CV9),(CV9-AVERAGEIF('Pemetaan Variant'!$A$5:$A$32,$B9,'Pemetaan Variant'!$J$5:$J$32))/AVERAGEIF('Pemetaan Variant'!$A$5:$A$32,$B9,'Pemetaan Variant'!$J$5:$J$32)*100,"n/a"),"n/a")</f>
        <v>14.971098265895957</v>
      </c>
      <c r="CX9" s="4">
        <f t="shared" si="32"/>
        <v>0.71727696221515469</v>
      </c>
      <c r="CY9" s="11">
        <f>IFERROR(AVERAGEIF('Pemetaan Variant'!$A$5:$A$32,$B9,'Pemetaan Variant'!$AW$5:$AW$32),"n/a")</f>
        <v>0</v>
      </c>
      <c r="CZ9" s="12">
        <f>IFERROR(IF(ISNUMBER(CY9),(CY9-AVERAGEIF('Pemetaan Variant'!$A$5:$A$32,$B9,'Pemetaan Variant'!$K$5:$K$32))/AVERAGEIF('Pemetaan Variant'!$A$5:$A$32,$B9,'Pemetaan Variant'!$K$5:$K$32)*100,"n/a"),"n/a")</f>
        <v>-100</v>
      </c>
      <c r="DA9" s="4">
        <f t="shared" si="33"/>
        <v>-4.7910777785027694</v>
      </c>
      <c r="DB9" s="11">
        <f>IFERROR(AVERAGEIF('Pemetaan Variant'!$A$5:$A$32,$B9,'Pemetaan Variant'!$AX$5:$AX$32),"n/a")</f>
        <v>0</v>
      </c>
      <c r="DC9" s="12">
        <f>IFERROR(IF(ISNUMBER(DB9),(DB9-AVERAGEIF('Pemetaan Variant'!$A$5:$A$32,$B9,'Pemetaan Variant'!$K$5:$K$32))/AVERAGEIF('Pemetaan Variant'!$A$5:$A$32,$B9,'Pemetaan Variant'!$K$5:$K$32)*100,"n/a"),"n/a")</f>
        <v>-100</v>
      </c>
      <c r="DD9" s="4">
        <f t="shared" si="34"/>
        <v>-4.7910777785027694</v>
      </c>
      <c r="DE9" s="11">
        <f>IFERROR(AVERAGEIF('Pemetaan Variant'!$A$5:$A$32,$B9,'Pemetaan Variant'!$AY$5:$AY$32),"n/a")</f>
        <v>0</v>
      </c>
      <c r="DF9" s="12">
        <f>IFERROR(IF(ISNUMBER(DE9),(DE9-AVERAGEIF('Pemetaan Variant'!$A$5:$A$32,$B9,'Pemetaan Variant'!$K$5:$K$32))/AVERAGEIF('Pemetaan Variant'!$A$5:$A$32,$B9,'Pemetaan Variant'!$K$5:$K$32)*100,"n/a"),"n/a")</f>
        <v>-100</v>
      </c>
      <c r="DG9" s="4">
        <f t="shared" si="35"/>
        <v>-4.7910777785027694</v>
      </c>
      <c r="DH9" s="11">
        <f>IFERROR(AVERAGEIF('Pemetaan Variant'!$A$5:$A$32,$B9,'Pemetaan Variant'!$AZ$5:$AZ$32),"n/a")</f>
        <v>0</v>
      </c>
      <c r="DI9" s="12">
        <f>IFERROR(IF(ISNUMBER(DH9),(DH9-AVERAGEIF('Pemetaan Variant'!$A$5:$A$32,$B9,'Pemetaan Variant'!$K$5:$K$32))/AVERAGEIF('Pemetaan Variant'!$A$5:$A$32,$B9,'Pemetaan Variant'!$K$5:$K$32)*100,"n/a"),"n/a")</f>
        <v>-100</v>
      </c>
      <c r="DJ9" s="4">
        <f t="shared" si="36"/>
        <v>-4.7910777785027694</v>
      </c>
      <c r="DK9" s="11" t="str">
        <f>IFERROR(AVERAGEIF('Pemetaan Variant'!$A$5:$A$32,$B9,'Pemetaan Variant'!$BA$5:$BA$32),"n/a")</f>
        <v>n/a</v>
      </c>
      <c r="DL9" s="12" t="str">
        <f>IFERROR(IF(ISNUMBER(DK9),(DK9-AVERAGEIF('Pemetaan Variant'!$A$5:$A$32,$B9,'Pemetaan Variant'!$L$5:$L$32))/AVERAGEIF('Pemetaan Variant'!$A$5:$A$32,$B9,'Pemetaan Variant'!$L$5:$L$32)*100,"n/a"),"n/a")</f>
        <v>n/a</v>
      </c>
      <c r="DM9" s="4" t="str">
        <f t="shared" si="37"/>
        <v>n/a</v>
      </c>
      <c r="DN9" s="11" t="str">
        <f>IFERROR(AVERAGEIF('Pemetaan Variant'!$A$5:$A$32,$B9,'Pemetaan Variant'!$BB$5:$BB$32),"n/a")</f>
        <v>n/a</v>
      </c>
      <c r="DO9" s="12" t="str">
        <f>IFERROR(IF(ISNUMBER(DN9),(DN9-AVERAGEIF('Pemetaan Variant'!$A$5:$A$32,$B9,'Pemetaan Variant'!$L$5:$L$32))/AVERAGEIF('Pemetaan Variant'!$A$5:$A$32,$B9,'Pemetaan Variant'!$L$5:$L$32)*100,"n/a"),"n/a")</f>
        <v>n/a</v>
      </c>
      <c r="DP9" s="4" t="str">
        <f t="shared" si="38"/>
        <v>n/a</v>
      </c>
      <c r="DQ9" s="11" t="str">
        <f>IFERROR(AVERAGEIF('Pemetaan Variant'!$A$5:$A$32,$B9,'Pemetaan Variant'!$BC$5:$BC$32),"n/a")</f>
        <v>n/a</v>
      </c>
      <c r="DR9" s="12" t="str">
        <f>IFERROR(IF(ISNUMBER(DQ9),(DQ9-AVERAGEIF('Pemetaan Variant'!$A$5:$A$32,$B9,'Pemetaan Variant'!$L$5:$L$32))/AVERAGEIF('Pemetaan Variant'!$A$5:$A$32,$B9,'Pemetaan Variant'!$L$5:$L$32)*100,"n/a"),"n/a")</f>
        <v>n/a</v>
      </c>
      <c r="DS9" s="4" t="str">
        <f t="shared" si="39"/>
        <v>n/a</v>
      </c>
      <c r="DT9" s="11" t="str">
        <f>IFERROR(AVERAGEIF('Pemetaan Variant'!$A$5:$A$32,$B9,'Pemetaan Variant'!$BD$5:$BD$32),"n/a")</f>
        <v>n/a</v>
      </c>
      <c r="DU9" s="12" t="str">
        <f>IFERROR(IF(ISNUMBER(DT9),(DT9-AVERAGEIF('Pemetaan Variant'!$A$5:$A$32,$B9,'Pemetaan Variant'!$L$5:$L$32))/AVERAGEIF('Pemetaan Variant'!$A$5:$A$32,$B9,'Pemetaan Variant'!$L$5:$L$32)*100,"n/a"),"n/a")</f>
        <v>n/a</v>
      </c>
      <c r="DV9" s="4" t="str">
        <f t="shared" si="40"/>
        <v>n/a</v>
      </c>
      <c r="DW9" s="11" t="str">
        <f>IFERROR(AVERAGEIF('Pemetaan Variant'!$A$5:$A$32,$B9,'Pemetaan Variant'!$BE$5:$BE$32),"n/a")</f>
        <v>n/a</v>
      </c>
      <c r="DX9" s="12" t="str">
        <f>IFERROR(IF(ISNUMBER(DW9),(DW9-AVERAGEIF('Pemetaan Variant'!$A$5:$A$32,$B9,'Pemetaan Variant'!$M$5:$M$32))/AVERAGEIF('Pemetaan Variant'!$A$5:$A$32,$B9,'Pemetaan Variant'!$M$5:$M$32)*100,"n/a"),"n/a")</f>
        <v>n/a</v>
      </c>
      <c r="DY9" s="4" t="str">
        <f t="shared" si="41"/>
        <v>n/a</v>
      </c>
      <c r="DZ9" s="11" t="str">
        <f>IFERROR(AVERAGEIF('Pemetaan Variant'!$A$5:$A$32,$B9,'Pemetaan Variant'!$BF$5:$BF$32),"n/a")</f>
        <v>n/a</v>
      </c>
      <c r="EA9" s="12" t="str">
        <f>IFERROR(IF(ISNUMBER(DZ9),(DZ9-AVERAGEIF('Pemetaan Variant'!$A$5:$A$32,$B9,'Pemetaan Variant'!$M$5:$M$32))/AVERAGEIF('Pemetaan Variant'!$A$5:$A$32,$B9,'Pemetaan Variant'!$M$5:$M$32)*100,"n/a"),"n/a")</f>
        <v>n/a</v>
      </c>
      <c r="EB9" s="4" t="str">
        <f t="shared" si="42"/>
        <v>n/a</v>
      </c>
      <c r="EC9" s="11" t="str">
        <f>IFERROR(AVERAGEIF('Pemetaan Variant'!$A$5:$A$32,$B9,'Pemetaan Variant'!$BG$5:$BG$32),"n/a")</f>
        <v>n/a</v>
      </c>
      <c r="ED9" s="12" t="str">
        <f>IFERROR(IF(ISNUMBER(EC9),(EC9-AVERAGEIF('Pemetaan Variant'!$A$5:$A$32,$B9,'Pemetaan Variant'!$M$5:$M$32))/AVERAGEIF('Pemetaan Variant'!$A$5:$A$32,$B9,'Pemetaan Variant'!$M$5:$M$32)*100,"n/a"),"n/a")</f>
        <v>n/a</v>
      </c>
      <c r="EE9" s="4" t="str">
        <f t="shared" si="43"/>
        <v>n/a</v>
      </c>
      <c r="EF9" s="11" t="str">
        <f>IFERROR(AVERAGEIF('Pemetaan Variant'!$A$5:$A$32,$B9,'Pemetaan Variant'!$BH$5:$BH$32),"n/a")</f>
        <v>n/a</v>
      </c>
      <c r="EG9" s="12" t="str">
        <f>IFERROR(IF(ISNUMBER(EF9),(EF9-AVERAGEIF('Pemetaan Variant'!$A$5:$A$32,$B9,'Pemetaan Variant'!$M$5:$M$32))/AVERAGEIF('Pemetaan Variant'!$A$5:$A$32,$B9,'Pemetaan Variant'!$M$5:$M$32)*100,"n/a"),"n/a")</f>
        <v>n/a</v>
      </c>
      <c r="EH9" s="4" t="str">
        <f t="shared" si="44"/>
        <v>n/a</v>
      </c>
      <c r="EI9" s="11" t="str">
        <f>IFERROR(AVERAGEIF('Pemetaan Variant'!$A$5:$A$32,$B9,'Pemetaan Variant'!$BI$5:$BI$32),"n/a")</f>
        <v>n/a</v>
      </c>
      <c r="EJ9" s="12" t="str">
        <f>IFERROR(IF(ISNUMBER(EI9),(EI9-AVERAGEIF('Pemetaan Variant'!$A$5:$A$32,$B9,'Pemetaan Variant'!$M$5:$M$32))/AVERAGEIF('Pemetaan Variant'!$A$5:$A$32,$B9,'Pemetaan Variant'!$M$5:$M$32)*100,"n/a"),"n/a")</f>
        <v>n/a</v>
      </c>
      <c r="EK9" s="4" t="str">
        <f t="shared" si="45"/>
        <v>n/a</v>
      </c>
      <c r="EL9" s="11" t="str">
        <f>IFERROR(AVERAGEIF('Pemetaan Variant'!$A$5:$A$32,$B9,'Pemetaan Variant'!$BJ$5:$BJ$32),"n/a")</f>
        <v>n/a</v>
      </c>
      <c r="EM9" s="12" t="str">
        <f>IFERROR(IF(ISNUMBER(EL9),(EL9-AVERAGEIF('Pemetaan Variant'!$A$5:$A$32,$B9,'Pemetaan Variant'!$N$5:$N$32))/AVERAGEIF('Pemetaan Variant'!$A$5:$A$32,$B9,'Pemetaan Variant'!$N$5:$N$32)*100,"n/a"),"n/a")</f>
        <v>n/a</v>
      </c>
      <c r="EN9" s="4" t="str">
        <f t="shared" si="46"/>
        <v>n/a</v>
      </c>
      <c r="EO9" s="11" t="str">
        <f>IFERROR(AVERAGEIF('Pemetaan Variant'!$A$5:$A$32,$B9,'Pemetaan Variant'!$BK$5:$BK$32),"n/a")</f>
        <v>n/a</v>
      </c>
      <c r="EP9" s="12" t="str">
        <f>IFERROR(IF(ISNUMBER(EO9),(EO9-AVERAGEIF('Pemetaan Variant'!$A$5:$A$32,$B9,'Pemetaan Variant'!$N$5:$N$32))/AVERAGEIF('Pemetaan Variant'!$A$5:$A$32,$B9,'Pemetaan Variant'!$N$5:$N$32)*100,"n/a"),"n/a")</f>
        <v>n/a</v>
      </c>
      <c r="EQ9" s="4" t="str">
        <f t="shared" si="47"/>
        <v>n/a</v>
      </c>
      <c r="ER9" s="11" t="str">
        <f>IFERROR(AVERAGEIF('Pemetaan Variant'!$A$5:$A$32,$B9,'Pemetaan Variant'!$BL$5:$BL$32),"n/a")</f>
        <v>n/a</v>
      </c>
      <c r="ES9" s="12" t="str">
        <f>IFERROR(IF(ISNUMBER(ER9),(ER9-AVERAGEIF('Pemetaan Variant'!$A$5:$A$32,$B9,'Pemetaan Variant'!$N$5:$N$32))/AVERAGEIF('Pemetaan Variant'!$A$5:$A$32,$B9,'Pemetaan Variant'!$N$5:$N$32)*100,"n/a"),"n/a")</f>
        <v>n/a</v>
      </c>
      <c r="ET9" s="4" t="str">
        <f t="shared" si="48"/>
        <v>n/a</v>
      </c>
      <c r="EU9" s="11" t="str">
        <f>IFERROR(AVERAGEIF('Pemetaan Variant'!$A$5:$A$32,$B9,'Pemetaan Variant'!$BM$5:$BM$32),"n/a")</f>
        <v>n/a</v>
      </c>
      <c r="EV9" s="12" t="str">
        <f>IFERROR(IF(ISNUMBER(EU9),(EU9-AVERAGEIF('Pemetaan Variant'!$A$5:$A$32,$B9,'Pemetaan Variant'!$N$5:$N$32))/AVERAGEIF('Pemetaan Variant'!$A$5:$A$32,$B9,'Pemetaan Variant'!$N$5:$N$32)*100,"n/a"),"n/a")</f>
        <v>n/a</v>
      </c>
      <c r="EW9" s="4" t="str">
        <f t="shared" si="49"/>
        <v>n/a</v>
      </c>
      <c r="EX9" s="11" t="str">
        <f>IFERROR(AVERAGEIF('Pemetaan Variant'!$A$5:$A$32,$B9,'Pemetaan Variant'!$BN$5:$BN$32),"n/a")</f>
        <v>n/a</v>
      </c>
      <c r="EY9" s="12" t="str">
        <f>IFERROR(IF(ISNUMBER(EX9),(EX9-AVERAGEIF('Pemetaan Variant'!$A$5:$A$32,$B9,'Pemetaan Variant'!$O$5:$O$32))/AVERAGEIF('Pemetaan Variant'!$A$5:$A$32,$B9,'Pemetaan Variant'!$O$5:$O$32)*100,"n/a"),"n/a")</f>
        <v>n/a</v>
      </c>
      <c r="EZ9" s="4" t="str">
        <f t="shared" si="50"/>
        <v>n/a</v>
      </c>
      <c r="FA9" s="11" t="str">
        <f>IFERROR(AVERAGEIF('Pemetaan Variant'!$A$5:$A$32,$B9,'Pemetaan Variant'!$BO$5:$BO$32),"n/a")</f>
        <v>n/a</v>
      </c>
      <c r="FB9" s="12" t="str">
        <f>IFERROR(IF(ISNUMBER(FA9),(FA9-AVERAGEIF('Pemetaan Variant'!$A$5:$A$32,$B9,'Pemetaan Variant'!$O$5:$O$32))/AVERAGEIF('Pemetaan Variant'!$A$5:$A$32,$B9,'Pemetaan Variant'!$O$5:$O$32)*100,"n/a"),"n/a")</f>
        <v>n/a</v>
      </c>
      <c r="FC9" s="4" t="str">
        <f t="shared" si="51"/>
        <v>n/a</v>
      </c>
      <c r="FD9" s="11" t="str">
        <f>IFERROR(AVERAGEIF('Pemetaan Variant'!$A$5:$A$32,$B9,'Pemetaan Variant'!$BP$5:$BP$32),"n/a")</f>
        <v>n/a</v>
      </c>
      <c r="FE9" s="12" t="str">
        <f>IFERROR(IF(ISNUMBER(FD9),(FD9-AVERAGEIF('Pemetaan Variant'!$A$5:$A$32,$B9,'Pemetaan Variant'!$O$5:$O$32))/AVERAGEIF('Pemetaan Variant'!$A$5:$A$32,$B9,'Pemetaan Variant'!$O$5:$O$32)*100,"n/a"),"n/a")</f>
        <v>n/a</v>
      </c>
      <c r="FF9" s="4" t="str">
        <f t="shared" si="52"/>
        <v>n/a</v>
      </c>
      <c r="FG9" s="11" t="str">
        <f>IFERROR(AVERAGEIF('Pemetaan Variant'!$A$5:$A$32,$B9,'Pemetaan Variant'!$BQ$5:$BQ$32),"n/a")</f>
        <v>n/a</v>
      </c>
      <c r="FH9" s="12" t="str">
        <f>IFERROR(IF(ISNUMBER(FG9),(FG9-AVERAGEIF('Pemetaan Variant'!$A$5:$A$32,$B9,'Pemetaan Variant'!$O$5:$O$32))/AVERAGEIF('Pemetaan Variant'!$A$5:$A$32,$B9,'Pemetaan Variant'!$O$5:$O$32)*100,"n/a"),"n/a")</f>
        <v>n/a</v>
      </c>
      <c r="FI9" s="4" t="str">
        <f t="shared" si="53"/>
        <v>n/a</v>
      </c>
      <c r="FJ9" s="11" t="str">
        <f>IFERROR(AVERAGEIF('Pemetaan Variant'!$A$5:$A$32,$B9,'Pemetaan Variant'!$BR$5:$BR$32),"n/a")</f>
        <v>n/a</v>
      </c>
      <c r="FK9" s="12" t="str">
        <f>IFERROR(IF(ISNUMBER(FJ9),(FJ9-AVERAGEIF('Pemetaan Variant'!$A$5:$A$32,$B9,'Pemetaan Variant'!$O$5:$O$32))/AVERAGEIF('Pemetaan Variant'!$A$5:$A$32,$B9,'Pemetaan Variant'!$O$5:$O$32)*100,"n/a"),"n/a")</f>
        <v>n/a</v>
      </c>
      <c r="FL9" s="4" t="str">
        <f t="shared" si="54"/>
        <v>n/a</v>
      </c>
      <c r="FM9" s="13"/>
      <c r="FO9" s="9">
        <f t="shared" si="55"/>
        <v>0.15831387442009143</v>
      </c>
      <c r="FP9" s="9">
        <f t="shared" si="56"/>
        <v>0.32162713434818602</v>
      </c>
      <c r="FQ9" s="9">
        <f t="shared" si="57"/>
        <v>0.44161238654025536</v>
      </c>
      <c r="FR9" s="9">
        <f t="shared" si="58"/>
        <v>0.44161238654025536</v>
      </c>
      <c r="FS9" s="9">
        <f t="shared" si="59"/>
        <v>0.44161238654025536</v>
      </c>
      <c r="FT9" s="9">
        <f t="shared" si="60"/>
        <v>0.10211888693078711</v>
      </c>
      <c r="FU9" s="9">
        <f t="shared" si="61"/>
        <v>5.9569350709626101E-2</v>
      </c>
      <c r="FV9" s="9">
        <f t="shared" si="62"/>
        <v>0.18891994082195665</v>
      </c>
      <c r="FW9" s="9">
        <f t="shared" si="63"/>
        <v>0.22125758835003931</v>
      </c>
      <c r="FX9" s="9">
        <f t="shared" si="64"/>
        <v>7.0235695182239308E-2</v>
      </c>
      <c r="FY9" s="9">
        <f t="shared" si="65"/>
        <v>2.5084176850800086E-2</v>
      </c>
      <c r="FZ9" s="9">
        <f t="shared" si="66"/>
        <v>2.5084176850800086E-2</v>
      </c>
      <c r="GA9" s="9">
        <f t="shared" si="67"/>
        <v>6.4800790197899819E-2</v>
      </c>
      <c r="GB9" s="9">
        <f t="shared" si="68"/>
        <v>0</v>
      </c>
      <c r="GC9" s="9">
        <f t="shared" si="69"/>
        <v>0</v>
      </c>
      <c r="GD9" s="9">
        <f t="shared" si="70"/>
        <v>9.6324116176192007E-2</v>
      </c>
      <c r="GE9" s="9">
        <f t="shared" si="71"/>
        <v>0.6931148359634689</v>
      </c>
      <c r="GF9" s="9">
        <f t="shared" si="72"/>
        <v>0.81247297992092438</v>
      </c>
      <c r="GG9" s="9">
        <f t="shared" si="73"/>
        <v>0.81247297992092438</v>
      </c>
      <c r="GH9" s="9">
        <f t="shared" si="74"/>
        <v>0.23898487731248969</v>
      </c>
      <c r="GI9" s="9">
        <f t="shared" si="75"/>
        <v>9.3317904474400748E-2</v>
      </c>
      <c r="GJ9" s="9">
        <f t="shared" si="76"/>
        <v>0.12518255478273269</v>
      </c>
      <c r="GK9" s="9">
        <f t="shared" si="77"/>
        <v>0.12518255478273269</v>
      </c>
      <c r="GL9" s="9">
        <f t="shared" si="78"/>
        <v>0.30726627083034397</v>
      </c>
      <c r="GM9" s="9">
        <f t="shared" si="79"/>
        <v>0.4115683554220444</v>
      </c>
      <c r="GN9" s="9">
        <f t="shared" si="80"/>
        <v>3.033997491893305E-2</v>
      </c>
      <c r="GO9" s="9">
        <f t="shared" si="81"/>
        <v>0.59308055319791964</v>
      </c>
      <c r="GP9" s="9">
        <f t="shared" si="82"/>
        <v>0.66484118952791715</v>
      </c>
      <c r="GQ9" s="9">
        <f t="shared" si="83"/>
        <v>0.10523754657982984</v>
      </c>
      <c r="GR9" s="9">
        <f t="shared" si="84"/>
        <v>0.85851682736176815</v>
      </c>
      <c r="GS9" s="9">
        <f t="shared" si="85"/>
        <v>0.7078609712053805</v>
      </c>
      <c r="GT9" s="9">
        <f t="shared" si="86"/>
        <v>0.85851682736176815</v>
      </c>
      <c r="GU9" s="9">
        <f t="shared" si="87"/>
        <v>0.71727696221515469</v>
      </c>
      <c r="GV9" s="9">
        <f t="shared" si="88"/>
        <v>4.7910777785027694</v>
      </c>
      <c r="GW9" s="9">
        <f t="shared" si="89"/>
        <v>4.7910777785027694</v>
      </c>
      <c r="GX9" s="9">
        <f t="shared" si="90"/>
        <v>4.7910777785027694</v>
      </c>
      <c r="GY9" s="9">
        <f t="shared" si="91"/>
        <v>4.7910777785027694</v>
      </c>
      <c r="GZ9" s="9">
        <f t="shared" si="92"/>
        <v>0</v>
      </c>
      <c r="HA9" s="9">
        <f t="shared" si="93"/>
        <v>0</v>
      </c>
      <c r="HB9" s="9">
        <f t="shared" si="94"/>
        <v>0</v>
      </c>
      <c r="HC9" s="9">
        <f t="shared" si="95"/>
        <v>0</v>
      </c>
      <c r="HD9" s="9">
        <f t="shared" si="96"/>
        <v>0</v>
      </c>
      <c r="HE9" s="9">
        <f t="shared" si="97"/>
        <v>0</v>
      </c>
      <c r="HF9" s="9">
        <f t="shared" si="98"/>
        <v>0</v>
      </c>
      <c r="HG9" s="9">
        <f t="shared" si="99"/>
        <v>0</v>
      </c>
      <c r="HH9" s="9">
        <f t="shared" si="100"/>
        <v>0</v>
      </c>
      <c r="HI9" s="9">
        <f t="shared" si="101"/>
        <v>0</v>
      </c>
      <c r="HJ9" s="9">
        <f t="shared" si="102"/>
        <v>0</v>
      </c>
      <c r="HK9" s="9">
        <f t="shared" si="103"/>
        <v>0</v>
      </c>
      <c r="HL9" s="9">
        <f t="shared" si="104"/>
        <v>0</v>
      </c>
      <c r="HM9" s="9">
        <f t="shared" si="105"/>
        <v>0</v>
      </c>
      <c r="HN9" s="9">
        <f t="shared" si="106"/>
        <v>0</v>
      </c>
      <c r="HO9" s="9">
        <f t="shared" si="107"/>
        <v>0</v>
      </c>
      <c r="HP9" s="9">
        <f t="shared" si="108"/>
        <v>0</v>
      </c>
      <c r="HQ9" s="9">
        <f t="shared" si="109"/>
        <v>0</v>
      </c>
    </row>
    <row r="10" spans="1:225" x14ac:dyDescent="0.35">
      <c r="A10" s="3">
        <v>5</v>
      </c>
      <c r="B10" s="3" t="s">
        <v>127</v>
      </c>
      <c r="C10" s="10">
        <f>'P0Q0 Dasar 2022'!F9</f>
        <v>4.5176622985638501E-2</v>
      </c>
      <c r="D10" s="11">
        <f>IFERROR(AVERAGEIF('Pemetaan Variant'!$A$5:$A$32,$B10,'Pemetaan Variant'!$P$5:$P$32),"n/a")</f>
        <v>16250</v>
      </c>
      <c r="E10" s="12">
        <f>IFERROR(IF(ISNUMBER(D10),(D10-AVERAGEIF('Pemetaan Variant'!$A$5:$A$32,$B10,'Pemetaan Variant'!$D$5:$D$32))/AVERAGEIF('Pemetaan Variant'!$A$5:$A$32,$B10,'Pemetaan Variant'!$D$5:$D$32)*100,"n/a"),"n/a")</f>
        <v>-0.34071550255536132</v>
      </c>
      <c r="F10" s="4">
        <f t="shared" si="0"/>
        <v>-1.539237580430591E-2</v>
      </c>
      <c r="G10" s="11">
        <f>IFERROR(AVERAGEIF('Pemetaan Variant'!$A$5:$A$32,$B10,'Pemetaan Variant'!$Q$5:$Q$32),"n/a")</f>
        <v>16250</v>
      </c>
      <c r="H10" s="12">
        <f>IFERROR(IF(ISNUMBER(G10),(G10-AVERAGEIF('Pemetaan Variant'!$A$5:$A$32,$B10,'Pemetaan Variant'!$D$5:$D$32))/AVERAGEIF('Pemetaan Variant'!$A$5:$A$32,$B10,'Pemetaan Variant'!$D$5:$D$32)*100,"n/a"),"n/a")</f>
        <v>-0.34071550255536132</v>
      </c>
      <c r="I10" s="4">
        <f t="shared" si="1"/>
        <v>-1.539237580430591E-2</v>
      </c>
      <c r="J10" s="11">
        <f>IFERROR(AVERAGEIF('Pemetaan Variant'!$A$5:$A$32,$B10,'Pemetaan Variant'!$R$5:$R$32),"n/a")</f>
        <v>16250</v>
      </c>
      <c r="K10" s="12">
        <f>IFERROR(IF(ISNUMBER(J10),(J10-AVERAGEIF('Pemetaan Variant'!$A$5:$A$32,$B10,'Pemetaan Variant'!$D$5:$D$32))/AVERAGEIF('Pemetaan Variant'!$A$5:$A$32,$B10,'Pemetaan Variant'!$D$5:$D$32)*100,"n/a"),"n/a")</f>
        <v>-0.34071550255536132</v>
      </c>
      <c r="L10" s="4">
        <f t="shared" si="2"/>
        <v>-1.539237580430591E-2</v>
      </c>
      <c r="M10" s="11">
        <f>IFERROR(AVERAGEIF('Pemetaan Variant'!$A$5:$A$32,$B10,'Pemetaan Variant'!$S$5:$S$32),"n/a")</f>
        <v>16250</v>
      </c>
      <c r="N10" s="12">
        <f>IFERROR(IF(ISNUMBER(M10),(M10-AVERAGEIF('Pemetaan Variant'!$A$5:$A$32,$B10,'Pemetaan Variant'!$D$5:$D$32))/AVERAGEIF('Pemetaan Variant'!$A$5:$A$32,$B10,'Pemetaan Variant'!$D$5:$D$32)*100,"n/a"),"n/a")</f>
        <v>-0.34071550255536132</v>
      </c>
      <c r="O10" s="4">
        <f t="shared" si="3"/>
        <v>-1.539237580430591E-2</v>
      </c>
      <c r="P10" s="11">
        <f>IFERROR(AVERAGEIF('Pemetaan Variant'!$A$5:$A$32,$B10,'Pemetaan Variant'!$T$5:$T$32),"n/a")</f>
        <v>16250</v>
      </c>
      <c r="Q10" s="12">
        <f>IFERROR(IF(ISNUMBER(P10),(P10-AVERAGEIF('Pemetaan Variant'!$A$5:$A$32,$B10,'Pemetaan Variant'!$D$5:$D$32))/AVERAGEIF('Pemetaan Variant'!$A$5:$A$32,$B10,'Pemetaan Variant'!$D$5:$D$32)*100,"n/a"),"n/a")</f>
        <v>-0.34071550255536132</v>
      </c>
      <c r="R10" s="4">
        <f t="shared" si="4"/>
        <v>-1.539237580430591E-2</v>
      </c>
      <c r="S10" s="11">
        <f>IFERROR(AVERAGEIF('Pemetaan Variant'!$A$5:$A$32,$B10,'Pemetaan Variant'!$U$5:$U$32),"n/a")</f>
        <v>16250</v>
      </c>
      <c r="T10" s="12">
        <f>IFERROR(IF(ISNUMBER(S10),(S10-AVERAGEIF('Pemetaan Variant'!$A$5:$A$32,$B10,'Pemetaan Variant'!$E$5:$E$32))/AVERAGEIF('Pemetaan Variant'!$A$5:$A$32,$B10,'Pemetaan Variant'!$E$5:$E$32)*100,"n/a"),"n/a")</f>
        <v>0</v>
      </c>
      <c r="U10" s="4">
        <f t="shared" si="5"/>
        <v>0</v>
      </c>
      <c r="V10" s="11">
        <f>IFERROR(AVERAGEIF('Pemetaan Variant'!$A$5:$A$32,$B10,'Pemetaan Variant'!$V$5:$V$32),"n/a")</f>
        <v>16416.666666666668</v>
      </c>
      <c r="W10" s="12">
        <f>IFERROR(IF(ISNUMBER(V10),(V10-AVERAGEIF('Pemetaan Variant'!$A$5:$A$32,$B10,'Pemetaan Variant'!$E$5:$E$32))/AVERAGEIF('Pemetaan Variant'!$A$5:$A$32,$B10,'Pemetaan Variant'!$E$5:$E$32)*100,"n/a"),"n/a")</f>
        <v>1.0256410256410331</v>
      </c>
      <c r="X10" s="4">
        <f t="shared" si="6"/>
        <v>4.6334997933988542E-2</v>
      </c>
      <c r="Y10" s="11">
        <f>IFERROR(AVERAGEIF('Pemetaan Variant'!$A$5:$A$32,$B10,'Pemetaan Variant'!$W$5:$W$32),"n/a")</f>
        <v>16416.666666666668</v>
      </c>
      <c r="Z10" s="12">
        <f>IFERROR(IF(ISNUMBER(Y10),(Y10-AVERAGEIF('Pemetaan Variant'!$A$5:$A$32,$B10,'Pemetaan Variant'!$E$5:$E$32))/AVERAGEIF('Pemetaan Variant'!$A$5:$A$32,$B10,'Pemetaan Variant'!$E$5:$E$32)*100,"n/a"),"n/a")</f>
        <v>1.0256410256410331</v>
      </c>
      <c r="AA10" s="4">
        <f t="shared" si="7"/>
        <v>4.6334997933988542E-2</v>
      </c>
      <c r="AB10" s="11">
        <f>IFERROR(AVERAGEIF('Pemetaan Variant'!$A$5:$A$32,$B10,'Pemetaan Variant'!$X$5:$X$32),"n/a")</f>
        <v>16416.666666666668</v>
      </c>
      <c r="AC10" s="12">
        <f>IFERROR(IF(ISNUMBER(AB10),(AB10-AVERAGEIF('Pemetaan Variant'!$A$5:$A$32,$B10,'Pemetaan Variant'!$E$5:$E$32))/AVERAGEIF('Pemetaan Variant'!$A$5:$A$32,$B10,'Pemetaan Variant'!$E$5:$E$32)*100,"n/a"),"n/a")</f>
        <v>1.0256410256410331</v>
      </c>
      <c r="AD10" s="4">
        <f t="shared" si="8"/>
        <v>4.6334997933988542E-2</v>
      </c>
      <c r="AE10" s="11">
        <f>IFERROR(AVERAGEIF('Pemetaan Variant'!$A$5:$A$32,$B10,'Pemetaan Variant'!$Y$5:$Y$32),"n/a")</f>
        <v>16416.666666666668</v>
      </c>
      <c r="AF10" s="12">
        <f>IFERROR(IF(ISNUMBER(AE10),(AE10-AVERAGEIF('Pemetaan Variant'!$A$5:$A$32,$B10,'Pemetaan Variant'!$F$5:$F$32))/AVERAGEIF('Pemetaan Variant'!$A$5:$A$32,$B10,'Pemetaan Variant'!$F$5:$F$32)*100,"n/a"),"n/a")</f>
        <v>0.26788106080900215</v>
      </c>
      <c r="AG10" s="4">
        <f t="shared" si="9"/>
        <v>1.2101961689161191E-2</v>
      </c>
      <c r="AH10" s="11">
        <f>IFERROR(AVERAGEIF('Pemetaan Variant'!$A$5:$A$32,$B10,'Pemetaan Variant'!$Z$5:$Z$32),"n/a")</f>
        <v>16416.666666666668</v>
      </c>
      <c r="AI10" s="12">
        <f>IFERROR(IF(ISNUMBER(AH10),(AH10-AVERAGEIF('Pemetaan Variant'!$A$5:$A$32,$B10,'Pemetaan Variant'!$F$5:$F$32))/AVERAGEIF('Pemetaan Variant'!$A$5:$A$32,$B10,'Pemetaan Variant'!$F$5:$F$32)*100,"n/a"),"n/a")</f>
        <v>0.26788106080900215</v>
      </c>
      <c r="AJ10" s="4">
        <f t="shared" si="10"/>
        <v>1.2101961689161191E-2</v>
      </c>
      <c r="AK10" s="11">
        <f>IFERROR(AVERAGEIF('Pemetaan Variant'!$A$5:$A$32,$B10,'Pemetaan Variant'!$AA$5:$AA$32),"n/a")</f>
        <v>16416.666666666668</v>
      </c>
      <c r="AL10" s="12">
        <f>IFERROR(IF(ISNUMBER(AK10),(AK10-AVERAGEIF('Pemetaan Variant'!$A$5:$A$32,$B10,'Pemetaan Variant'!$F$5:$F$32))/AVERAGEIF('Pemetaan Variant'!$A$5:$A$32,$B10,'Pemetaan Variant'!$F$5:$F$32)*100,"n/a"),"n/a")</f>
        <v>0.26788106080900215</v>
      </c>
      <c r="AM10" s="4">
        <f t="shared" si="11"/>
        <v>1.2101961689161191E-2</v>
      </c>
      <c r="AN10" s="11">
        <f>IFERROR(AVERAGEIF('Pemetaan Variant'!$A$5:$A$32,$B10,'Pemetaan Variant'!$AB$5:$AB$32),"n/a")</f>
        <v>16416.666666666668</v>
      </c>
      <c r="AO10" s="12">
        <f>IFERROR(IF(ISNUMBER(AN10),(AN10-AVERAGEIF('Pemetaan Variant'!$A$5:$A$32,$B10,'Pemetaan Variant'!$F$5:$F$32))/AVERAGEIF('Pemetaan Variant'!$A$5:$A$32,$B10,'Pemetaan Variant'!$F$5:$F$32)*100,"n/a"),"n/a")</f>
        <v>0.26788106080900215</v>
      </c>
      <c r="AP10" s="4">
        <f t="shared" si="12"/>
        <v>1.2101961689161191E-2</v>
      </c>
      <c r="AQ10" s="11" t="str">
        <f>IFERROR(AVERAGEIF('Pemetaan Variant'!$A$5:$A$32,$B10,'Pemetaan Variant'!$AC$5:$AC$32),"n/a")</f>
        <v>n/a</v>
      </c>
      <c r="AR10" s="12" t="str">
        <f>IFERROR(IF(ISNUMBER(AQ10),(AQ10-AVERAGEIF('Pemetaan Variant'!$A$5:$A$32,$B10,'Pemetaan Variant'!$F$5:$F$32))/AVERAGEIF('Pemetaan Variant'!$A$5:$A$32,$B10,'Pemetaan Variant'!$F$5:$F$32)*100,"n/a"),"n/a")</f>
        <v>n/a</v>
      </c>
      <c r="AS10" s="4" t="str">
        <f t="shared" si="13"/>
        <v>n/a</v>
      </c>
      <c r="AT10" s="11" t="str">
        <f>IFERROR(AVERAGEIF('Pemetaan Variant'!$A$5:$A$32,$B10,'Pemetaan Variant'!$AD$5:$AD$32),"n/a")</f>
        <v>n/a</v>
      </c>
      <c r="AU10" s="12" t="str">
        <f>IFERROR(IF(ISNUMBER(AT10),(AT10-AVERAGEIF('Pemetaan Variant'!$A$5:$A$32,$B10,'Pemetaan Variant'!$G$5:$G$32))/AVERAGEIF('Pemetaan Variant'!$A$5:$A$32,$B10,'Pemetaan Variant'!$G$5:$G$32)*100,"n/a"),"n/a")</f>
        <v>n/a</v>
      </c>
      <c r="AV10" s="4" t="str">
        <f t="shared" si="14"/>
        <v>n/a</v>
      </c>
      <c r="AW10" s="11">
        <f>IFERROR(AVERAGEIF('Pemetaan Variant'!$A$5:$A$32,$B10,'Pemetaan Variant'!$AE$5:$AE$32),"n/a")</f>
        <v>16416.666666666668</v>
      </c>
      <c r="AX10" s="12">
        <f>IFERROR(IF(ISNUMBER(AW10),(AW10-AVERAGEIF('Pemetaan Variant'!$A$5:$A$32,$B10,'Pemetaan Variant'!$G$5:$G$32))/AVERAGEIF('Pemetaan Variant'!$A$5:$A$32,$B10,'Pemetaan Variant'!$G$5:$G$32)*100,"n/a"),"n/a")</f>
        <v>0</v>
      </c>
      <c r="AY10" s="4">
        <f t="shared" si="15"/>
        <v>0</v>
      </c>
      <c r="AZ10" s="11">
        <f>IFERROR(AVERAGEIF('Pemetaan Variant'!$A$5:$A$32,$B10,'Pemetaan Variant'!$AF$5:$AF$32),"n/a")</f>
        <v>16416.666666666668</v>
      </c>
      <c r="BA10" s="12">
        <f>IFERROR(IF(ISNUMBER(AZ10),(AZ10-AVERAGEIF('Pemetaan Variant'!$A$5:$A$32,$B10,'Pemetaan Variant'!$G$5:$G$32))/AVERAGEIF('Pemetaan Variant'!$A$5:$A$32,$B10,'Pemetaan Variant'!$G$5:$G$32)*100,"n/a"),"n/a")</f>
        <v>0</v>
      </c>
      <c r="BB10" s="4">
        <f t="shared" si="16"/>
        <v>0</v>
      </c>
      <c r="BC10" s="11">
        <f>IFERROR(AVERAGEIF('Pemetaan Variant'!$A$5:$A$32,$B10,'Pemetaan Variant'!$AG$5:$AG$32),"n/a")</f>
        <v>16416.666666666668</v>
      </c>
      <c r="BD10" s="12">
        <f>IFERROR(IF(ISNUMBER(BC10),(BC10-AVERAGEIF('Pemetaan Variant'!$A$5:$A$32,$B10,'Pemetaan Variant'!$G$5:$G$32))/AVERAGEIF('Pemetaan Variant'!$A$5:$A$32,$B10,'Pemetaan Variant'!$G$5:$G$32)*100,"n/a"),"n/a")</f>
        <v>0</v>
      </c>
      <c r="BE10" s="4">
        <f t="shared" si="17"/>
        <v>0</v>
      </c>
      <c r="BF10" s="11">
        <f>IFERROR(AVERAGEIF('Pemetaan Variant'!$A$5:$A$32,$B10,'Pemetaan Variant'!$AH$5:$AH$32),"n/a")</f>
        <v>16166.666666666666</v>
      </c>
      <c r="BG10" s="12">
        <f>IFERROR(IF(ISNUMBER(BF10),(BF10-AVERAGEIF('Pemetaan Variant'!$A$5:$A$32,$B10,'Pemetaan Variant'!$G$5:$G$32))/AVERAGEIF('Pemetaan Variant'!$A$5:$A$32,$B10,'Pemetaan Variant'!$G$5:$G$32)*100,"n/a"),"n/a")</f>
        <v>-1.5228426395939196</v>
      </c>
      <c r="BH10" s="4">
        <f t="shared" si="18"/>
        <v>-6.8796887795389075E-2</v>
      </c>
      <c r="BI10" s="11">
        <f>IFERROR(AVERAGEIF('Pemetaan Variant'!$A$5:$A$32,$B10,'Pemetaan Variant'!$AI$5:$AI$32),"n/a")</f>
        <v>16166.666666666666</v>
      </c>
      <c r="BJ10" s="12">
        <f>IFERROR(IF(ISNUMBER(BI10),(BI10-AVERAGEIF('Pemetaan Variant'!$A$5:$A$32,$B10,'Pemetaan Variant'!$H$5:$H$32))/AVERAGEIF('Pemetaan Variant'!$A$5:$A$32,$B10,'Pemetaan Variant'!$H$5:$H$32)*100,"n/a"),"n/a")</f>
        <v>-1.2408526885141584</v>
      </c>
      <c r="BK10" s="4">
        <f t="shared" si="19"/>
        <v>-5.6057534089720064E-2</v>
      </c>
      <c r="BL10" s="11">
        <f>IFERROR(AVERAGEIF('Pemetaan Variant'!$A$5:$A$32,$B10,'Pemetaan Variant'!$AJ$5:$AJ$32),"n/a")</f>
        <v>16166.666666666666</v>
      </c>
      <c r="BM10" s="12">
        <f>IFERROR(IF(ISNUMBER(BL10),(BL10-AVERAGEIF('Pemetaan Variant'!$A$5:$A$32,$B10,'Pemetaan Variant'!$H$5:$H$32))/AVERAGEIF('Pemetaan Variant'!$A$5:$A$32,$B10,'Pemetaan Variant'!$H$5:$H$32)*100,"n/a"),"n/a")</f>
        <v>-1.2408526885141584</v>
      </c>
      <c r="BN10" s="4">
        <f t="shared" si="20"/>
        <v>-5.6057534089720064E-2</v>
      </c>
      <c r="BO10" s="11">
        <f>IFERROR(AVERAGEIF('Pemetaan Variant'!$A$5:$A$32,$B10,'Pemetaan Variant'!$AK$5:$AK$32),"n/a")</f>
        <v>16166.666666666666</v>
      </c>
      <c r="BP10" s="12">
        <f>IFERROR(IF(ISNUMBER(BO10),(BO10-AVERAGEIF('Pemetaan Variant'!$A$5:$A$32,$B10,'Pemetaan Variant'!$H$5:$H$32))/AVERAGEIF('Pemetaan Variant'!$A$5:$A$32,$B10,'Pemetaan Variant'!$H$5:$H$32)*100,"n/a"),"n/a")</f>
        <v>-1.2408526885141584</v>
      </c>
      <c r="BQ10" s="4">
        <f t="shared" si="21"/>
        <v>-5.6057534089720064E-2</v>
      </c>
      <c r="BR10" s="11">
        <f>IFERROR(AVERAGEIF('Pemetaan Variant'!$A$5:$A$32,$B10,'Pemetaan Variant'!$AL$5:$AL$32),"n/a")</f>
        <v>16166.666666666666</v>
      </c>
      <c r="BS10" s="12">
        <f>IFERROR(IF(ISNUMBER(BR10),(BR10-AVERAGEIF('Pemetaan Variant'!$A$5:$A$32,$B10,'Pemetaan Variant'!$H$5:$H$32))/AVERAGEIF('Pemetaan Variant'!$A$5:$A$32,$B10,'Pemetaan Variant'!$H$5:$H$32)*100,"n/a"),"n/a")</f>
        <v>-1.2408526885141584</v>
      </c>
      <c r="BT10" s="4">
        <f t="shared" si="22"/>
        <v>-5.6057534089720064E-2</v>
      </c>
      <c r="BU10" s="11">
        <f>IFERROR(AVERAGEIF('Pemetaan Variant'!$A$5:$A$32,$B10,'Pemetaan Variant'!$AM$5:$AM$32),"n/a")</f>
        <v>16277.777777777779</v>
      </c>
      <c r="BV10" s="12">
        <f>IFERROR(IF(ISNUMBER(BU10),(BU10-AVERAGEIF('Pemetaan Variant'!$A$5:$A$32,$B10,'Pemetaan Variant'!$H$5:$H$32))/AVERAGEIF('Pemetaan Variant'!$A$5:$A$32,$B10,'Pemetaan Variant'!$H$5:$H$32)*100,"n/a"),"n/a")</f>
        <v>-0.56209566231836716</v>
      </c>
      <c r="BW10" s="4">
        <f t="shared" si="23"/>
        <v>-2.5393583818419642E-2</v>
      </c>
      <c r="BX10" s="11">
        <f>IFERROR(AVERAGEIF('Pemetaan Variant'!$A$5:$A$32,$B10,'Pemetaan Variant'!$AN$5:$AN$32),"n/a")</f>
        <v>16333.333333333334</v>
      </c>
      <c r="BY10" s="12">
        <f>IFERROR(IF(ISNUMBER(BX10),(BX10-AVERAGEIF('Pemetaan Variant'!$A$5:$A$32,$B10,'Pemetaan Variant'!$I$5:$I$32))/AVERAGEIF('Pemetaan Variant'!$A$5:$A$32,$B10,'Pemetaan Variant'!$I$5:$I$32)*100,"n/a"),"n/a")</f>
        <v>0.90854027861902409</v>
      </c>
      <c r="BZ10" s="4">
        <f t="shared" si="24"/>
        <v>4.1044781634438608E-2</v>
      </c>
      <c r="CA10" s="11">
        <f>IFERROR(AVERAGEIF('Pemetaan Variant'!$A$5:$A$32,$B10,'Pemetaan Variant'!$AO$5:$AO$32),"n/a")</f>
        <v>16333.333333333334</v>
      </c>
      <c r="CB10" s="12">
        <f>IFERROR(IF(ISNUMBER(CA10),(CA10-AVERAGEIF('Pemetaan Variant'!$A$5:$A$32,$B10,'Pemetaan Variant'!$I$5:$I$32))/AVERAGEIF('Pemetaan Variant'!$A$5:$A$32,$B10,'Pemetaan Variant'!$I$5:$I$32)*100,"n/a"),"n/a")</f>
        <v>0.90854027861902409</v>
      </c>
      <c r="CC10" s="4">
        <f t="shared" si="25"/>
        <v>4.1044781634438608E-2</v>
      </c>
      <c r="CD10" s="11">
        <f>IFERROR(AVERAGEIF('Pemetaan Variant'!$A$5:$A$32,$B10,'Pemetaan Variant'!$AP$5:$AP$32),"n/a")</f>
        <v>16313.333333333334</v>
      </c>
      <c r="CE10" s="12">
        <f>IFERROR(IF(ISNUMBER(CD10),(CD10-AVERAGEIF('Pemetaan Variant'!$A$5:$A$32,$B10,'Pemetaan Variant'!$I$5:$I$32))/AVERAGEIF('Pemetaan Variant'!$A$5:$A$32,$B10,'Pemetaan Variant'!$I$5:$I$32)*100,"n/a"),"n/a")</f>
        <v>0.78497880072683746</v>
      </c>
      <c r="CF10" s="4">
        <f t="shared" si="26"/>
        <v>3.5462691332154989E-2</v>
      </c>
      <c r="CG10" s="11">
        <f>IFERROR(AVERAGEIF('Pemetaan Variant'!$A$5:$A$32,$B10,'Pemetaan Variant'!$AQ$5:$AQ$32),"n/a")</f>
        <v>16233.333333333334</v>
      </c>
      <c r="CH10" s="12">
        <f>IFERROR(IF(ISNUMBER(CG10),(CG10-AVERAGEIF('Pemetaan Variant'!$A$5:$A$32,$B10,'Pemetaan Variant'!$I$5:$I$32))/AVERAGEIF('Pemetaan Variant'!$A$5:$A$32,$B10,'Pemetaan Variant'!$I$5:$I$32)*100,"n/a"),"n/a")</f>
        <v>0.29073288915809131</v>
      </c>
      <c r="CI10" s="4">
        <f t="shared" si="27"/>
        <v>1.3134330123020519E-2</v>
      </c>
      <c r="CJ10" s="11">
        <f>IFERROR(AVERAGEIF('Pemetaan Variant'!$A$5:$A$32,$B10,'Pemetaan Variant'!$AR$5:$AR$32),"n/a")</f>
        <v>16233.333333333334</v>
      </c>
      <c r="CK10" s="12">
        <f>IFERROR(IF(ISNUMBER(CJ10),(CJ10-AVERAGEIF('Pemetaan Variant'!$A$5:$A$32,$B10,'Pemetaan Variant'!$J$5:$J$32))/AVERAGEIF('Pemetaan Variant'!$A$5:$A$32,$B10,'Pemetaan Variant'!$J$5:$J$32)*100,"n/a"),"n/a")</f>
        <v>-0.43295249549006382</v>
      </c>
      <c r="CL10" s="4">
        <f t="shared" si="28"/>
        <v>-1.9559331659445966E-2</v>
      </c>
      <c r="CM10" s="11">
        <f>IFERROR(AVERAGEIF('Pemetaan Variant'!$A$5:$A$32,$B10,'Pemetaan Variant'!$AS$5:$AS$32),"n/a")</f>
        <v>16233.333333333334</v>
      </c>
      <c r="CN10" s="12">
        <f>IFERROR(IF(ISNUMBER(CM10),(CM10-AVERAGEIF('Pemetaan Variant'!$A$5:$A$32,$B10,'Pemetaan Variant'!$J$5:$J$32))/AVERAGEIF('Pemetaan Variant'!$A$5:$A$32,$B10,'Pemetaan Variant'!$J$5:$J$32)*100,"n/a"),"n/a")</f>
        <v>-0.43295249549006382</v>
      </c>
      <c r="CO10" s="4">
        <f t="shared" si="29"/>
        <v>-1.9559331659445966E-2</v>
      </c>
      <c r="CP10" s="11">
        <f>IFERROR(AVERAGEIF('Pemetaan Variant'!$A$5:$A$32,$B10,'Pemetaan Variant'!$AT$5:$AT$32),"n/a")</f>
        <v>16233.333333333334</v>
      </c>
      <c r="CQ10" s="12">
        <f>IFERROR(IF(ISNUMBER(CP10),(CP10-AVERAGEIF('Pemetaan Variant'!$A$5:$A$32,$B10,'Pemetaan Variant'!$J$5:$J$32))/AVERAGEIF('Pemetaan Variant'!$A$5:$A$32,$B10,'Pemetaan Variant'!$J$5:$J$32)*100,"n/a"),"n/a")</f>
        <v>-0.43295249549006382</v>
      </c>
      <c r="CR10" s="4">
        <f t="shared" si="30"/>
        <v>-1.9559331659445966E-2</v>
      </c>
      <c r="CS10" s="11">
        <f>IFERROR(AVERAGEIF('Pemetaan Variant'!$A$5:$A$32,$B10,'Pemetaan Variant'!$AU$5:$AU$32),"n/a")</f>
        <v>16233.333333333334</v>
      </c>
      <c r="CT10" s="12">
        <f>IFERROR(IF(ISNUMBER(CS10),(CS10-AVERAGEIF('Pemetaan Variant'!$A$5:$A$32,$B10,'Pemetaan Variant'!$J$5:$J$32))/AVERAGEIF('Pemetaan Variant'!$A$5:$A$32,$B10,'Pemetaan Variant'!$J$5:$J$32)*100,"n/a"),"n/a")</f>
        <v>-0.43295249549006382</v>
      </c>
      <c r="CU10" s="4">
        <f t="shared" si="31"/>
        <v>-1.9559331659445966E-2</v>
      </c>
      <c r="CV10" s="11">
        <f>IFERROR(AVERAGEIF('Pemetaan Variant'!$A$5:$A$32,$B10,'Pemetaan Variant'!$AV$5:$AV$32),"n/a")</f>
        <v>16233.333333333334</v>
      </c>
      <c r="CW10" s="12">
        <f>IFERROR(IF(ISNUMBER(CV10),(CV10-AVERAGEIF('Pemetaan Variant'!$A$5:$A$32,$B10,'Pemetaan Variant'!$J$5:$J$32))/AVERAGEIF('Pemetaan Variant'!$A$5:$A$32,$B10,'Pemetaan Variant'!$J$5:$J$32)*100,"n/a"),"n/a")</f>
        <v>-0.43295249549006382</v>
      </c>
      <c r="CX10" s="4">
        <f t="shared" si="32"/>
        <v>-1.9559331659445966E-2</v>
      </c>
      <c r="CY10" s="11">
        <f>IFERROR(AVERAGEIF('Pemetaan Variant'!$A$5:$A$32,$B10,'Pemetaan Variant'!$AW$5:$AW$32),"n/a")</f>
        <v>0</v>
      </c>
      <c r="CZ10" s="12">
        <f>IFERROR(IF(ISNUMBER(CY10),(CY10-AVERAGEIF('Pemetaan Variant'!$A$5:$A$32,$B10,'Pemetaan Variant'!$K$5:$K$32))/AVERAGEIF('Pemetaan Variant'!$A$5:$A$32,$B10,'Pemetaan Variant'!$K$5:$K$32)*100,"n/a"),"n/a")</f>
        <v>-100</v>
      </c>
      <c r="DA10" s="4">
        <f t="shared" si="33"/>
        <v>-4.5176622985638497</v>
      </c>
      <c r="DB10" s="11">
        <f>IFERROR(AVERAGEIF('Pemetaan Variant'!$A$5:$A$32,$B10,'Pemetaan Variant'!$AX$5:$AX$32),"n/a")</f>
        <v>0</v>
      </c>
      <c r="DC10" s="12">
        <f>IFERROR(IF(ISNUMBER(DB10),(DB10-AVERAGEIF('Pemetaan Variant'!$A$5:$A$32,$B10,'Pemetaan Variant'!$K$5:$K$32))/AVERAGEIF('Pemetaan Variant'!$A$5:$A$32,$B10,'Pemetaan Variant'!$K$5:$K$32)*100,"n/a"),"n/a")</f>
        <v>-100</v>
      </c>
      <c r="DD10" s="4">
        <f t="shared" si="34"/>
        <v>-4.5176622985638497</v>
      </c>
      <c r="DE10" s="11">
        <f>IFERROR(AVERAGEIF('Pemetaan Variant'!$A$5:$A$32,$B10,'Pemetaan Variant'!$AY$5:$AY$32),"n/a")</f>
        <v>0</v>
      </c>
      <c r="DF10" s="12">
        <f>IFERROR(IF(ISNUMBER(DE10),(DE10-AVERAGEIF('Pemetaan Variant'!$A$5:$A$32,$B10,'Pemetaan Variant'!$K$5:$K$32))/AVERAGEIF('Pemetaan Variant'!$A$5:$A$32,$B10,'Pemetaan Variant'!$K$5:$K$32)*100,"n/a"),"n/a")</f>
        <v>-100</v>
      </c>
      <c r="DG10" s="4">
        <f t="shared" si="35"/>
        <v>-4.5176622985638497</v>
      </c>
      <c r="DH10" s="11">
        <f>IFERROR(AVERAGEIF('Pemetaan Variant'!$A$5:$A$32,$B10,'Pemetaan Variant'!$AZ$5:$AZ$32),"n/a")</f>
        <v>0</v>
      </c>
      <c r="DI10" s="12">
        <f>IFERROR(IF(ISNUMBER(DH10),(DH10-AVERAGEIF('Pemetaan Variant'!$A$5:$A$32,$B10,'Pemetaan Variant'!$K$5:$K$32))/AVERAGEIF('Pemetaan Variant'!$A$5:$A$32,$B10,'Pemetaan Variant'!$K$5:$K$32)*100,"n/a"),"n/a")</f>
        <v>-100</v>
      </c>
      <c r="DJ10" s="4">
        <f t="shared" si="36"/>
        <v>-4.5176622985638497</v>
      </c>
      <c r="DK10" s="11" t="str">
        <f>IFERROR(AVERAGEIF('Pemetaan Variant'!$A$5:$A$32,$B10,'Pemetaan Variant'!$BA$5:$BA$32),"n/a")</f>
        <v>n/a</v>
      </c>
      <c r="DL10" s="12" t="str">
        <f>IFERROR(IF(ISNUMBER(DK10),(DK10-AVERAGEIF('Pemetaan Variant'!$A$5:$A$32,$B10,'Pemetaan Variant'!$L$5:$L$32))/AVERAGEIF('Pemetaan Variant'!$A$5:$A$32,$B10,'Pemetaan Variant'!$L$5:$L$32)*100,"n/a"),"n/a")</f>
        <v>n/a</v>
      </c>
      <c r="DM10" s="4" t="str">
        <f t="shared" si="37"/>
        <v>n/a</v>
      </c>
      <c r="DN10" s="11" t="str">
        <f>IFERROR(AVERAGEIF('Pemetaan Variant'!$A$5:$A$32,$B10,'Pemetaan Variant'!$BB$5:$BB$32),"n/a")</f>
        <v>n/a</v>
      </c>
      <c r="DO10" s="12" t="str">
        <f>IFERROR(IF(ISNUMBER(DN10),(DN10-AVERAGEIF('Pemetaan Variant'!$A$5:$A$32,$B10,'Pemetaan Variant'!$L$5:$L$32))/AVERAGEIF('Pemetaan Variant'!$A$5:$A$32,$B10,'Pemetaan Variant'!$L$5:$L$32)*100,"n/a"),"n/a")</f>
        <v>n/a</v>
      </c>
      <c r="DP10" s="4" t="str">
        <f t="shared" si="38"/>
        <v>n/a</v>
      </c>
      <c r="DQ10" s="11" t="str">
        <f>IFERROR(AVERAGEIF('Pemetaan Variant'!$A$5:$A$32,$B10,'Pemetaan Variant'!$BC$5:$BC$32),"n/a")</f>
        <v>n/a</v>
      </c>
      <c r="DR10" s="12" t="str">
        <f>IFERROR(IF(ISNUMBER(DQ10),(DQ10-AVERAGEIF('Pemetaan Variant'!$A$5:$A$32,$B10,'Pemetaan Variant'!$L$5:$L$32))/AVERAGEIF('Pemetaan Variant'!$A$5:$A$32,$B10,'Pemetaan Variant'!$L$5:$L$32)*100,"n/a"),"n/a")</f>
        <v>n/a</v>
      </c>
      <c r="DS10" s="4" t="str">
        <f t="shared" si="39"/>
        <v>n/a</v>
      </c>
      <c r="DT10" s="11" t="str">
        <f>IFERROR(AVERAGEIF('Pemetaan Variant'!$A$5:$A$32,$B10,'Pemetaan Variant'!$BD$5:$BD$32),"n/a")</f>
        <v>n/a</v>
      </c>
      <c r="DU10" s="12" t="str">
        <f>IFERROR(IF(ISNUMBER(DT10),(DT10-AVERAGEIF('Pemetaan Variant'!$A$5:$A$32,$B10,'Pemetaan Variant'!$L$5:$L$32))/AVERAGEIF('Pemetaan Variant'!$A$5:$A$32,$B10,'Pemetaan Variant'!$L$5:$L$32)*100,"n/a"),"n/a")</f>
        <v>n/a</v>
      </c>
      <c r="DV10" s="4" t="str">
        <f t="shared" si="40"/>
        <v>n/a</v>
      </c>
      <c r="DW10" s="11" t="str">
        <f>IFERROR(AVERAGEIF('Pemetaan Variant'!$A$5:$A$32,$B10,'Pemetaan Variant'!$BE$5:$BE$32),"n/a")</f>
        <v>n/a</v>
      </c>
      <c r="DX10" s="12" t="str">
        <f>IFERROR(IF(ISNUMBER(DW10),(DW10-AVERAGEIF('Pemetaan Variant'!$A$5:$A$32,$B10,'Pemetaan Variant'!$M$5:$M$32))/AVERAGEIF('Pemetaan Variant'!$A$5:$A$32,$B10,'Pemetaan Variant'!$M$5:$M$32)*100,"n/a"),"n/a")</f>
        <v>n/a</v>
      </c>
      <c r="DY10" s="4" t="str">
        <f t="shared" si="41"/>
        <v>n/a</v>
      </c>
      <c r="DZ10" s="11" t="str">
        <f>IFERROR(AVERAGEIF('Pemetaan Variant'!$A$5:$A$32,$B10,'Pemetaan Variant'!$BF$5:$BF$32),"n/a")</f>
        <v>n/a</v>
      </c>
      <c r="EA10" s="12" t="str">
        <f>IFERROR(IF(ISNUMBER(DZ10),(DZ10-AVERAGEIF('Pemetaan Variant'!$A$5:$A$32,$B10,'Pemetaan Variant'!$M$5:$M$32))/AVERAGEIF('Pemetaan Variant'!$A$5:$A$32,$B10,'Pemetaan Variant'!$M$5:$M$32)*100,"n/a"),"n/a")</f>
        <v>n/a</v>
      </c>
      <c r="EB10" s="4" t="str">
        <f t="shared" si="42"/>
        <v>n/a</v>
      </c>
      <c r="EC10" s="11" t="str">
        <f>IFERROR(AVERAGEIF('Pemetaan Variant'!$A$5:$A$32,$B10,'Pemetaan Variant'!$BG$5:$BG$32),"n/a")</f>
        <v>n/a</v>
      </c>
      <c r="ED10" s="12" t="str">
        <f>IFERROR(IF(ISNUMBER(EC10),(EC10-AVERAGEIF('Pemetaan Variant'!$A$5:$A$32,$B10,'Pemetaan Variant'!$M$5:$M$32))/AVERAGEIF('Pemetaan Variant'!$A$5:$A$32,$B10,'Pemetaan Variant'!$M$5:$M$32)*100,"n/a"),"n/a")</f>
        <v>n/a</v>
      </c>
      <c r="EE10" s="4" t="str">
        <f t="shared" si="43"/>
        <v>n/a</v>
      </c>
      <c r="EF10" s="11" t="str">
        <f>IFERROR(AVERAGEIF('Pemetaan Variant'!$A$5:$A$32,$B10,'Pemetaan Variant'!$BH$5:$BH$32),"n/a")</f>
        <v>n/a</v>
      </c>
      <c r="EG10" s="12" t="str">
        <f>IFERROR(IF(ISNUMBER(EF10),(EF10-AVERAGEIF('Pemetaan Variant'!$A$5:$A$32,$B10,'Pemetaan Variant'!$M$5:$M$32))/AVERAGEIF('Pemetaan Variant'!$A$5:$A$32,$B10,'Pemetaan Variant'!$M$5:$M$32)*100,"n/a"),"n/a")</f>
        <v>n/a</v>
      </c>
      <c r="EH10" s="4" t="str">
        <f t="shared" si="44"/>
        <v>n/a</v>
      </c>
      <c r="EI10" s="11" t="str">
        <f>IFERROR(AVERAGEIF('Pemetaan Variant'!$A$5:$A$32,$B10,'Pemetaan Variant'!$BI$5:$BI$32),"n/a")</f>
        <v>n/a</v>
      </c>
      <c r="EJ10" s="12" t="str">
        <f>IFERROR(IF(ISNUMBER(EI10),(EI10-AVERAGEIF('Pemetaan Variant'!$A$5:$A$32,$B10,'Pemetaan Variant'!$M$5:$M$32))/AVERAGEIF('Pemetaan Variant'!$A$5:$A$32,$B10,'Pemetaan Variant'!$M$5:$M$32)*100,"n/a"),"n/a")</f>
        <v>n/a</v>
      </c>
      <c r="EK10" s="4" t="str">
        <f t="shared" si="45"/>
        <v>n/a</v>
      </c>
      <c r="EL10" s="11" t="str">
        <f>IFERROR(AVERAGEIF('Pemetaan Variant'!$A$5:$A$32,$B10,'Pemetaan Variant'!$BJ$5:$BJ$32),"n/a")</f>
        <v>n/a</v>
      </c>
      <c r="EM10" s="12" t="str">
        <f>IFERROR(IF(ISNUMBER(EL10),(EL10-AVERAGEIF('Pemetaan Variant'!$A$5:$A$32,$B10,'Pemetaan Variant'!$N$5:$N$32))/AVERAGEIF('Pemetaan Variant'!$A$5:$A$32,$B10,'Pemetaan Variant'!$N$5:$N$32)*100,"n/a"),"n/a")</f>
        <v>n/a</v>
      </c>
      <c r="EN10" s="4" t="str">
        <f t="shared" si="46"/>
        <v>n/a</v>
      </c>
      <c r="EO10" s="11" t="str">
        <f>IFERROR(AVERAGEIF('Pemetaan Variant'!$A$5:$A$32,$B10,'Pemetaan Variant'!$BK$5:$BK$32),"n/a")</f>
        <v>n/a</v>
      </c>
      <c r="EP10" s="12" t="str">
        <f>IFERROR(IF(ISNUMBER(EO10),(EO10-AVERAGEIF('Pemetaan Variant'!$A$5:$A$32,$B10,'Pemetaan Variant'!$N$5:$N$32))/AVERAGEIF('Pemetaan Variant'!$A$5:$A$32,$B10,'Pemetaan Variant'!$N$5:$N$32)*100,"n/a"),"n/a")</f>
        <v>n/a</v>
      </c>
      <c r="EQ10" s="4" t="str">
        <f t="shared" si="47"/>
        <v>n/a</v>
      </c>
      <c r="ER10" s="11" t="str">
        <f>IFERROR(AVERAGEIF('Pemetaan Variant'!$A$5:$A$32,$B10,'Pemetaan Variant'!$BL$5:$BL$32),"n/a")</f>
        <v>n/a</v>
      </c>
      <c r="ES10" s="12" t="str">
        <f>IFERROR(IF(ISNUMBER(ER10),(ER10-AVERAGEIF('Pemetaan Variant'!$A$5:$A$32,$B10,'Pemetaan Variant'!$N$5:$N$32))/AVERAGEIF('Pemetaan Variant'!$A$5:$A$32,$B10,'Pemetaan Variant'!$N$5:$N$32)*100,"n/a"),"n/a")</f>
        <v>n/a</v>
      </c>
      <c r="ET10" s="4" t="str">
        <f t="shared" si="48"/>
        <v>n/a</v>
      </c>
      <c r="EU10" s="11" t="str">
        <f>IFERROR(AVERAGEIF('Pemetaan Variant'!$A$5:$A$32,$B10,'Pemetaan Variant'!$BM$5:$BM$32),"n/a")</f>
        <v>n/a</v>
      </c>
      <c r="EV10" s="12" t="str">
        <f>IFERROR(IF(ISNUMBER(EU10),(EU10-AVERAGEIF('Pemetaan Variant'!$A$5:$A$32,$B10,'Pemetaan Variant'!$N$5:$N$32))/AVERAGEIF('Pemetaan Variant'!$A$5:$A$32,$B10,'Pemetaan Variant'!$N$5:$N$32)*100,"n/a"),"n/a")</f>
        <v>n/a</v>
      </c>
      <c r="EW10" s="4" t="str">
        <f t="shared" si="49"/>
        <v>n/a</v>
      </c>
      <c r="EX10" s="11" t="str">
        <f>IFERROR(AVERAGEIF('Pemetaan Variant'!$A$5:$A$32,$B10,'Pemetaan Variant'!$BN$5:$BN$32),"n/a")</f>
        <v>n/a</v>
      </c>
      <c r="EY10" s="12" t="str">
        <f>IFERROR(IF(ISNUMBER(EX10),(EX10-AVERAGEIF('Pemetaan Variant'!$A$5:$A$32,$B10,'Pemetaan Variant'!$O$5:$O$32))/AVERAGEIF('Pemetaan Variant'!$A$5:$A$32,$B10,'Pemetaan Variant'!$O$5:$O$32)*100,"n/a"),"n/a")</f>
        <v>n/a</v>
      </c>
      <c r="EZ10" s="4" t="str">
        <f t="shared" si="50"/>
        <v>n/a</v>
      </c>
      <c r="FA10" s="11" t="str">
        <f>IFERROR(AVERAGEIF('Pemetaan Variant'!$A$5:$A$32,$B10,'Pemetaan Variant'!$BO$5:$BO$32),"n/a")</f>
        <v>n/a</v>
      </c>
      <c r="FB10" s="12" t="str">
        <f>IFERROR(IF(ISNUMBER(FA10),(FA10-AVERAGEIF('Pemetaan Variant'!$A$5:$A$32,$B10,'Pemetaan Variant'!$O$5:$O$32))/AVERAGEIF('Pemetaan Variant'!$A$5:$A$32,$B10,'Pemetaan Variant'!$O$5:$O$32)*100,"n/a"),"n/a")</f>
        <v>n/a</v>
      </c>
      <c r="FC10" s="4" t="str">
        <f t="shared" si="51"/>
        <v>n/a</v>
      </c>
      <c r="FD10" s="11" t="str">
        <f>IFERROR(AVERAGEIF('Pemetaan Variant'!$A$5:$A$32,$B10,'Pemetaan Variant'!$BP$5:$BP$32),"n/a")</f>
        <v>n/a</v>
      </c>
      <c r="FE10" s="12" t="str">
        <f>IFERROR(IF(ISNUMBER(FD10),(FD10-AVERAGEIF('Pemetaan Variant'!$A$5:$A$32,$B10,'Pemetaan Variant'!$O$5:$O$32))/AVERAGEIF('Pemetaan Variant'!$A$5:$A$32,$B10,'Pemetaan Variant'!$O$5:$O$32)*100,"n/a"),"n/a")</f>
        <v>n/a</v>
      </c>
      <c r="FF10" s="4" t="str">
        <f t="shared" si="52"/>
        <v>n/a</v>
      </c>
      <c r="FG10" s="11" t="str">
        <f>IFERROR(AVERAGEIF('Pemetaan Variant'!$A$5:$A$32,$B10,'Pemetaan Variant'!$BQ$5:$BQ$32),"n/a")</f>
        <v>n/a</v>
      </c>
      <c r="FH10" s="12" t="str">
        <f>IFERROR(IF(ISNUMBER(FG10),(FG10-AVERAGEIF('Pemetaan Variant'!$A$5:$A$32,$B10,'Pemetaan Variant'!$O$5:$O$32))/AVERAGEIF('Pemetaan Variant'!$A$5:$A$32,$B10,'Pemetaan Variant'!$O$5:$O$32)*100,"n/a"),"n/a")</f>
        <v>n/a</v>
      </c>
      <c r="FI10" s="4" t="str">
        <f t="shared" si="53"/>
        <v>n/a</v>
      </c>
      <c r="FJ10" s="11" t="str">
        <f>IFERROR(AVERAGEIF('Pemetaan Variant'!$A$5:$A$32,$B10,'Pemetaan Variant'!$BR$5:$BR$32),"n/a")</f>
        <v>n/a</v>
      </c>
      <c r="FK10" s="12" t="str">
        <f>IFERROR(IF(ISNUMBER(FJ10),(FJ10-AVERAGEIF('Pemetaan Variant'!$A$5:$A$32,$B10,'Pemetaan Variant'!$O$5:$O$32))/AVERAGEIF('Pemetaan Variant'!$A$5:$A$32,$B10,'Pemetaan Variant'!$O$5:$O$32)*100,"n/a"),"n/a")</f>
        <v>n/a</v>
      </c>
      <c r="FL10" s="4" t="str">
        <f t="shared" si="54"/>
        <v>n/a</v>
      </c>
      <c r="FM10" s="13"/>
      <c r="FO10" s="9">
        <f t="shared" si="55"/>
        <v>1.539237580430591E-2</v>
      </c>
      <c r="FP10" s="9">
        <f t="shared" si="56"/>
        <v>1.539237580430591E-2</v>
      </c>
      <c r="FQ10" s="9">
        <f t="shared" si="57"/>
        <v>1.539237580430591E-2</v>
      </c>
      <c r="FR10" s="9">
        <f t="shared" si="58"/>
        <v>1.539237580430591E-2</v>
      </c>
      <c r="FS10" s="9">
        <f t="shared" si="59"/>
        <v>1.539237580430591E-2</v>
      </c>
      <c r="FT10" s="9">
        <f t="shared" si="60"/>
        <v>0</v>
      </c>
      <c r="FU10" s="9">
        <f t="shared" si="61"/>
        <v>4.6334997933988542E-2</v>
      </c>
      <c r="FV10" s="9">
        <f t="shared" si="62"/>
        <v>4.6334997933988542E-2</v>
      </c>
      <c r="FW10" s="9">
        <f t="shared" si="63"/>
        <v>4.6334997933988542E-2</v>
      </c>
      <c r="FX10" s="9">
        <f t="shared" si="64"/>
        <v>1.2101961689161191E-2</v>
      </c>
      <c r="FY10" s="9">
        <f t="shared" si="65"/>
        <v>1.2101961689161191E-2</v>
      </c>
      <c r="FZ10" s="9">
        <f t="shared" si="66"/>
        <v>1.2101961689161191E-2</v>
      </c>
      <c r="GA10" s="9">
        <f t="shared" si="67"/>
        <v>1.2101961689161191E-2</v>
      </c>
      <c r="GB10" s="9">
        <f t="shared" si="68"/>
        <v>0</v>
      </c>
      <c r="GC10" s="9">
        <f t="shared" si="69"/>
        <v>0</v>
      </c>
      <c r="GD10" s="9">
        <f t="shared" si="70"/>
        <v>0</v>
      </c>
      <c r="GE10" s="9">
        <f t="shared" si="71"/>
        <v>0</v>
      </c>
      <c r="GF10" s="9">
        <f t="shared" si="72"/>
        <v>0</v>
      </c>
      <c r="GG10" s="9">
        <f t="shared" si="73"/>
        <v>6.8796887795389075E-2</v>
      </c>
      <c r="GH10" s="9">
        <f t="shared" si="74"/>
        <v>5.6057534089720064E-2</v>
      </c>
      <c r="GI10" s="9">
        <f t="shared" si="75"/>
        <v>5.6057534089720064E-2</v>
      </c>
      <c r="GJ10" s="9">
        <f t="shared" si="76"/>
        <v>5.6057534089720064E-2</v>
      </c>
      <c r="GK10" s="9">
        <f t="shared" si="77"/>
        <v>5.6057534089720064E-2</v>
      </c>
      <c r="GL10" s="9">
        <f t="shared" si="78"/>
        <v>2.5393583818419642E-2</v>
      </c>
      <c r="GM10" s="9">
        <f t="shared" si="79"/>
        <v>4.1044781634438608E-2</v>
      </c>
      <c r="GN10" s="9">
        <f t="shared" si="80"/>
        <v>4.1044781634438608E-2</v>
      </c>
      <c r="GO10" s="9">
        <f t="shared" si="81"/>
        <v>3.5462691332154989E-2</v>
      </c>
      <c r="GP10" s="9">
        <f t="shared" si="82"/>
        <v>1.3134330123020519E-2</v>
      </c>
      <c r="GQ10" s="9">
        <f t="shared" si="83"/>
        <v>1.9559331659445966E-2</v>
      </c>
      <c r="GR10" s="9">
        <f t="shared" si="84"/>
        <v>1.9559331659445966E-2</v>
      </c>
      <c r="GS10" s="9">
        <f t="shared" si="85"/>
        <v>1.9559331659445966E-2</v>
      </c>
      <c r="GT10" s="9">
        <f t="shared" si="86"/>
        <v>1.9559331659445966E-2</v>
      </c>
      <c r="GU10" s="9">
        <f t="shared" si="87"/>
        <v>1.9559331659445966E-2</v>
      </c>
      <c r="GV10" s="9">
        <f t="shared" si="88"/>
        <v>4.5176622985638497</v>
      </c>
      <c r="GW10" s="9">
        <f t="shared" si="89"/>
        <v>4.5176622985638497</v>
      </c>
      <c r="GX10" s="9">
        <f t="shared" si="90"/>
        <v>4.5176622985638497</v>
      </c>
      <c r="GY10" s="9">
        <f t="shared" si="91"/>
        <v>4.5176622985638497</v>
      </c>
      <c r="GZ10" s="9">
        <f t="shared" si="92"/>
        <v>0</v>
      </c>
      <c r="HA10" s="9">
        <f t="shared" si="93"/>
        <v>0</v>
      </c>
      <c r="HB10" s="9">
        <f t="shared" si="94"/>
        <v>0</v>
      </c>
      <c r="HC10" s="9">
        <f t="shared" si="95"/>
        <v>0</v>
      </c>
      <c r="HD10" s="9">
        <f t="shared" si="96"/>
        <v>0</v>
      </c>
      <c r="HE10" s="9">
        <f t="shared" si="97"/>
        <v>0</v>
      </c>
      <c r="HF10" s="9">
        <f t="shared" si="98"/>
        <v>0</v>
      </c>
      <c r="HG10" s="9">
        <f t="shared" si="99"/>
        <v>0</v>
      </c>
      <c r="HH10" s="9">
        <f t="shared" si="100"/>
        <v>0</v>
      </c>
      <c r="HI10" s="9">
        <f t="shared" si="101"/>
        <v>0</v>
      </c>
      <c r="HJ10" s="9">
        <f t="shared" si="102"/>
        <v>0</v>
      </c>
      <c r="HK10" s="9">
        <f t="shared" si="103"/>
        <v>0</v>
      </c>
      <c r="HL10" s="9">
        <f t="shared" si="104"/>
        <v>0</v>
      </c>
      <c r="HM10" s="9">
        <f t="shared" si="105"/>
        <v>0</v>
      </c>
      <c r="HN10" s="9">
        <f t="shared" si="106"/>
        <v>0</v>
      </c>
      <c r="HO10" s="9">
        <f t="shared" si="107"/>
        <v>0</v>
      </c>
      <c r="HP10" s="9">
        <f t="shared" si="108"/>
        <v>0</v>
      </c>
      <c r="HQ10" s="9">
        <f t="shared" si="109"/>
        <v>0</v>
      </c>
    </row>
    <row r="11" spans="1:225" x14ac:dyDescent="0.35">
      <c r="A11" s="3">
        <v>6</v>
      </c>
      <c r="B11" s="3" t="s">
        <v>128</v>
      </c>
      <c r="C11" s="10">
        <f>'P0Q0 Dasar 2022'!F10</f>
        <v>3.7010754321023603E-2</v>
      </c>
      <c r="D11" s="11">
        <f>IFERROR(AVERAGEIF('Pemetaan Variant'!$A$5:$A$32,$B11,'Pemetaan Variant'!$P$5:$P$32),"n/a")</f>
        <v>68000</v>
      </c>
      <c r="E11" s="12">
        <f>IFERROR(IF(ISNUMBER(D11),(D11-AVERAGEIF('Pemetaan Variant'!$A$5:$A$32,$B11,'Pemetaan Variant'!$D$5:$D$32))/AVERAGEIF('Pemetaan Variant'!$A$5:$A$32,$B11,'Pemetaan Variant'!$D$5:$D$32)*100,"n/a"),"n/a")</f>
        <v>0</v>
      </c>
      <c r="F11" s="4">
        <f t="shared" si="0"/>
        <v>0</v>
      </c>
      <c r="G11" s="11">
        <f>IFERROR(AVERAGEIF('Pemetaan Variant'!$A$5:$A$32,$B11,'Pemetaan Variant'!$Q$5:$Q$32),"n/a")</f>
        <v>68000</v>
      </c>
      <c r="H11" s="12">
        <f>IFERROR(IF(ISNUMBER(G11),(G11-AVERAGEIF('Pemetaan Variant'!$A$5:$A$32,$B11,'Pemetaan Variant'!$D$5:$D$32))/AVERAGEIF('Pemetaan Variant'!$A$5:$A$32,$B11,'Pemetaan Variant'!$D$5:$D$32)*100,"n/a"),"n/a")</f>
        <v>0</v>
      </c>
      <c r="I11" s="4">
        <f t="shared" si="1"/>
        <v>0</v>
      </c>
      <c r="J11" s="11">
        <f>IFERROR(AVERAGEIF('Pemetaan Variant'!$A$5:$A$32,$B11,'Pemetaan Variant'!$R$5:$R$32),"n/a")</f>
        <v>68000</v>
      </c>
      <c r="K11" s="12">
        <f>IFERROR(IF(ISNUMBER(J11),(J11-AVERAGEIF('Pemetaan Variant'!$A$5:$A$32,$B11,'Pemetaan Variant'!$D$5:$D$32))/AVERAGEIF('Pemetaan Variant'!$A$5:$A$32,$B11,'Pemetaan Variant'!$D$5:$D$32)*100,"n/a"),"n/a")</f>
        <v>0</v>
      </c>
      <c r="L11" s="4">
        <f t="shared" si="2"/>
        <v>0</v>
      </c>
      <c r="M11" s="11">
        <f>IFERROR(AVERAGEIF('Pemetaan Variant'!$A$5:$A$32,$B11,'Pemetaan Variant'!$S$5:$S$32),"n/a")</f>
        <v>68000</v>
      </c>
      <c r="N11" s="12">
        <f>IFERROR(IF(ISNUMBER(M11),(M11-AVERAGEIF('Pemetaan Variant'!$A$5:$A$32,$B11,'Pemetaan Variant'!$D$5:$D$32))/AVERAGEIF('Pemetaan Variant'!$A$5:$A$32,$B11,'Pemetaan Variant'!$D$5:$D$32)*100,"n/a"),"n/a")</f>
        <v>0</v>
      </c>
      <c r="O11" s="4">
        <f t="shared" si="3"/>
        <v>0</v>
      </c>
      <c r="P11" s="11">
        <f>IFERROR(AVERAGEIF('Pemetaan Variant'!$A$5:$A$32,$B11,'Pemetaan Variant'!$T$5:$T$32),"n/a")</f>
        <v>68000</v>
      </c>
      <c r="Q11" s="12">
        <f>IFERROR(IF(ISNUMBER(P11),(P11-AVERAGEIF('Pemetaan Variant'!$A$5:$A$32,$B11,'Pemetaan Variant'!$D$5:$D$32))/AVERAGEIF('Pemetaan Variant'!$A$5:$A$32,$B11,'Pemetaan Variant'!$D$5:$D$32)*100,"n/a"),"n/a")</f>
        <v>0</v>
      </c>
      <c r="R11" s="4">
        <f t="shared" si="4"/>
        <v>0</v>
      </c>
      <c r="S11" s="11">
        <f>IFERROR(AVERAGEIF('Pemetaan Variant'!$A$5:$A$32,$B11,'Pemetaan Variant'!$U$5:$U$32),"n/a")</f>
        <v>68000</v>
      </c>
      <c r="T11" s="12">
        <f>IFERROR(IF(ISNUMBER(S11),(S11-AVERAGEIF('Pemetaan Variant'!$A$5:$A$32,$B11,'Pemetaan Variant'!$E$5:$E$32))/AVERAGEIF('Pemetaan Variant'!$A$5:$A$32,$B11,'Pemetaan Variant'!$E$5:$E$32)*100,"n/a"),"n/a")</f>
        <v>0</v>
      </c>
      <c r="U11" s="4">
        <f t="shared" si="5"/>
        <v>0</v>
      </c>
      <c r="V11" s="11">
        <f>IFERROR(AVERAGEIF('Pemetaan Variant'!$A$5:$A$32,$B11,'Pemetaan Variant'!$V$5:$V$32),"n/a")</f>
        <v>68000</v>
      </c>
      <c r="W11" s="12">
        <f>IFERROR(IF(ISNUMBER(V11),(V11-AVERAGEIF('Pemetaan Variant'!$A$5:$A$32,$B11,'Pemetaan Variant'!$E$5:$E$32))/AVERAGEIF('Pemetaan Variant'!$A$5:$A$32,$B11,'Pemetaan Variant'!$E$5:$E$32)*100,"n/a"),"n/a")</f>
        <v>0</v>
      </c>
      <c r="X11" s="4">
        <f t="shared" si="6"/>
        <v>0</v>
      </c>
      <c r="Y11" s="11">
        <f>IFERROR(AVERAGEIF('Pemetaan Variant'!$A$5:$A$32,$B11,'Pemetaan Variant'!$W$5:$W$32),"n/a")</f>
        <v>68000</v>
      </c>
      <c r="Z11" s="12">
        <f>IFERROR(IF(ISNUMBER(Y11),(Y11-AVERAGEIF('Pemetaan Variant'!$A$5:$A$32,$B11,'Pemetaan Variant'!$E$5:$E$32))/AVERAGEIF('Pemetaan Variant'!$A$5:$A$32,$B11,'Pemetaan Variant'!$E$5:$E$32)*100,"n/a"),"n/a")</f>
        <v>0</v>
      </c>
      <c r="AA11" s="4">
        <f t="shared" si="7"/>
        <v>0</v>
      </c>
      <c r="AB11" s="11">
        <f>IFERROR(AVERAGEIF('Pemetaan Variant'!$A$5:$A$32,$B11,'Pemetaan Variant'!$X$5:$X$32),"n/a")</f>
        <v>68000</v>
      </c>
      <c r="AC11" s="12">
        <f>IFERROR(IF(ISNUMBER(AB11),(AB11-AVERAGEIF('Pemetaan Variant'!$A$5:$A$32,$B11,'Pemetaan Variant'!$E$5:$E$32))/AVERAGEIF('Pemetaan Variant'!$A$5:$A$32,$B11,'Pemetaan Variant'!$E$5:$E$32)*100,"n/a"),"n/a")</f>
        <v>0</v>
      </c>
      <c r="AD11" s="4">
        <f t="shared" si="8"/>
        <v>0</v>
      </c>
      <c r="AE11" s="11">
        <f>IFERROR(AVERAGEIF('Pemetaan Variant'!$A$5:$A$32,$B11,'Pemetaan Variant'!$Y$5:$Y$32),"n/a")</f>
        <v>66200</v>
      </c>
      <c r="AF11" s="12">
        <f>IFERROR(IF(ISNUMBER(AE11),(AE11-AVERAGEIF('Pemetaan Variant'!$A$5:$A$32,$B11,'Pemetaan Variant'!$F$5:$F$32))/AVERAGEIF('Pemetaan Variant'!$A$5:$A$32,$B11,'Pemetaan Variant'!$F$5:$F$32)*100,"n/a"),"n/a")</f>
        <v>-2.6470588235294117</v>
      </c>
      <c r="AG11" s="4">
        <f t="shared" si="9"/>
        <v>-9.7969643790944833E-2</v>
      </c>
      <c r="AH11" s="11">
        <f>IFERROR(AVERAGEIF('Pemetaan Variant'!$A$5:$A$32,$B11,'Pemetaan Variant'!$Z$5:$Z$32),"n/a")</f>
        <v>65000</v>
      </c>
      <c r="AI11" s="12">
        <f>IFERROR(IF(ISNUMBER(AH11),(AH11-AVERAGEIF('Pemetaan Variant'!$A$5:$A$32,$B11,'Pemetaan Variant'!$F$5:$F$32))/AVERAGEIF('Pemetaan Variant'!$A$5:$A$32,$B11,'Pemetaan Variant'!$F$5:$F$32)*100,"n/a"),"n/a")</f>
        <v>-4.4117647058823533</v>
      </c>
      <c r="AJ11" s="4">
        <f t="shared" si="10"/>
        <v>-0.16328273965157472</v>
      </c>
      <c r="AK11" s="11">
        <f>IFERROR(AVERAGEIF('Pemetaan Variant'!$A$5:$A$32,$B11,'Pemetaan Variant'!$AA$5:$AA$32),"n/a")</f>
        <v>65000</v>
      </c>
      <c r="AL11" s="12">
        <f>IFERROR(IF(ISNUMBER(AK11),(AK11-AVERAGEIF('Pemetaan Variant'!$A$5:$A$32,$B11,'Pemetaan Variant'!$F$5:$F$32))/AVERAGEIF('Pemetaan Variant'!$A$5:$A$32,$B11,'Pemetaan Variant'!$F$5:$F$32)*100,"n/a"),"n/a")</f>
        <v>-4.4117647058823533</v>
      </c>
      <c r="AM11" s="4">
        <f t="shared" si="11"/>
        <v>-0.16328273965157472</v>
      </c>
      <c r="AN11" s="11">
        <f>IFERROR(AVERAGEIF('Pemetaan Variant'!$A$5:$A$32,$B11,'Pemetaan Variant'!$AB$5:$AB$32),"n/a")</f>
        <v>65000</v>
      </c>
      <c r="AO11" s="12">
        <f>IFERROR(IF(ISNUMBER(AN11),(AN11-AVERAGEIF('Pemetaan Variant'!$A$5:$A$32,$B11,'Pemetaan Variant'!$F$5:$F$32))/AVERAGEIF('Pemetaan Variant'!$A$5:$A$32,$B11,'Pemetaan Variant'!$F$5:$F$32)*100,"n/a"),"n/a")</f>
        <v>-4.4117647058823533</v>
      </c>
      <c r="AP11" s="4">
        <f t="shared" si="12"/>
        <v>-0.16328273965157472</v>
      </c>
      <c r="AQ11" s="11" t="str">
        <f>IFERROR(AVERAGEIF('Pemetaan Variant'!$A$5:$A$32,$B11,'Pemetaan Variant'!$AC$5:$AC$32),"n/a")</f>
        <v>n/a</v>
      </c>
      <c r="AR11" s="12" t="str">
        <f>IFERROR(IF(ISNUMBER(AQ11),(AQ11-AVERAGEIF('Pemetaan Variant'!$A$5:$A$32,$B11,'Pemetaan Variant'!$F$5:$F$32))/AVERAGEIF('Pemetaan Variant'!$A$5:$A$32,$B11,'Pemetaan Variant'!$F$5:$F$32)*100,"n/a"),"n/a")</f>
        <v>n/a</v>
      </c>
      <c r="AS11" s="4" t="str">
        <f t="shared" si="13"/>
        <v>n/a</v>
      </c>
      <c r="AT11" s="11" t="str">
        <f>IFERROR(AVERAGEIF('Pemetaan Variant'!$A$5:$A$32,$B11,'Pemetaan Variant'!$AD$5:$AD$32),"n/a")</f>
        <v>n/a</v>
      </c>
      <c r="AU11" s="12" t="str">
        <f>IFERROR(IF(ISNUMBER(AT11),(AT11-AVERAGEIF('Pemetaan Variant'!$A$5:$A$32,$B11,'Pemetaan Variant'!$G$5:$G$32))/AVERAGEIF('Pemetaan Variant'!$A$5:$A$32,$B11,'Pemetaan Variant'!$G$5:$G$32)*100,"n/a"),"n/a")</f>
        <v>n/a</v>
      </c>
      <c r="AV11" s="4" t="str">
        <f t="shared" si="14"/>
        <v>n/a</v>
      </c>
      <c r="AW11" s="11">
        <f>IFERROR(AVERAGEIF('Pemetaan Variant'!$A$5:$A$32,$B11,'Pemetaan Variant'!$AE$5:$AE$32),"n/a")</f>
        <v>65000</v>
      </c>
      <c r="AX11" s="12">
        <f>IFERROR(IF(ISNUMBER(AW11),(AW11-AVERAGEIF('Pemetaan Variant'!$A$5:$A$32,$B11,'Pemetaan Variant'!$G$5:$G$32))/AVERAGEIF('Pemetaan Variant'!$A$5:$A$32,$B11,'Pemetaan Variant'!$G$5:$G$32)*100,"n/a"),"n/a")</f>
        <v>-0.48348106365834476</v>
      </c>
      <c r="AY11" s="4">
        <f t="shared" si="15"/>
        <v>-1.7893998865926172E-2</v>
      </c>
      <c r="AZ11" s="11">
        <f>IFERROR(AVERAGEIF('Pemetaan Variant'!$A$5:$A$32,$B11,'Pemetaan Variant'!$AF$5:$AF$32),"n/a")</f>
        <v>60000</v>
      </c>
      <c r="BA11" s="12">
        <f>IFERROR(IF(ISNUMBER(AZ11),(AZ11-AVERAGEIF('Pemetaan Variant'!$A$5:$A$32,$B11,'Pemetaan Variant'!$G$5:$G$32))/AVERAGEIF('Pemetaan Variant'!$A$5:$A$32,$B11,'Pemetaan Variant'!$G$5:$G$32)*100,"n/a"),"n/a")</f>
        <v>-8.1385979049153949</v>
      </c>
      <c r="BB11" s="4">
        <f t="shared" si="16"/>
        <v>-0.30121564757642111</v>
      </c>
      <c r="BC11" s="11">
        <f>IFERROR(AVERAGEIF('Pemetaan Variant'!$A$5:$A$32,$B11,'Pemetaan Variant'!$AG$5:$AG$32),"n/a")</f>
        <v>60000</v>
      </c>
      <c r="BD11" s="12">
        <f>IFERROR(IF(ISNUMBER(BC11),(BC11-AVERAGEIF('Pemetaan Variant'!$A$5:$A$32,$B11,'Pemetaan Variant'!$G$5:$G$32))/AVERAGEIF('Pemetaan Variant'!$A$5:$A$32,$B11,'Pemetaan Variant'!$G$5:$G$32)*100,"n/a"),"n/a")</f>
        <v>-8.1385979049153949</v>
      </c>
      <c r="BE11" s="4">
        <f t="shared" si="17"/>
        <v>-0.30121564757642111</v>
      </c>
      <c r="BF11" s="11">
        <f>IFERROR(AVERAGEIF('Pemetaan Variant'!$A$5:$A$32,$B11,'Pemetaan Variant'!$AH$5:$AH$32),"n/a")</f>
        <v>60000</v>
      </c>
      <c r="BG11" s="12">
        <f>IFERROR(IF(ISNUMBER(BF11),(BF11-AVERAGEIF('Pemetaan Variant'!$A$5:$A$32,$B11,'Pemetaan Variant'!$G$5:$G$32))/AVERAGEIF('Pemetaan Variant'!$A$5:$A$32,$B11,'Pemetaan Variant'!$G$5:$G$32)*100,"n/a"),"n/a")</f>
        <v>-8.1385979049153949</v>
      </c>
      <c r="BH11" s="4">
        <f t="shared" si="18"/>
        <v>-0.30121564757642111</v>
      </c>
      <c r="BI11" s="11">
        <f>IFERROR(AVERAGEIF('Pemetaan Variant'!$A$5:$A$32,$B11,'Pemetaan Variant'!$AI$5:$AI$32),"n/a")</f>
        <v>60000</v>
      </c>
      <c r="BJ11" s="12">
        <f>IFERROR(IF(ISNUMBER(BI11),(BI11-AVERAGEIF('Pemetaan Variant'!$A$5:$A$32,$B11,'Pemetaan Variant'!$H$5:$H$32))/AVERAGEIF('Pemetaan Variant'!$A$5:$A$32,$B11,'Pemetaan Variant'!$H$5:$H$32)*100,"n/a"),"n/a")</f>
        <v>-2.0408163265306123</v>
      </c>
      <c r="BK11" s="4">
        <f t="shared" si="19"/>
        <v>-7.5532151675558379E-2</v>
      </c>
      <c r="BL11" s="11">
        <f>IFERROR(AVERAGEIF('Pemetaan Variant'!$A$5:$A$32,$B11,'Pemetaan Variant'!$AJ$5:$AJ$32),"n/a")</f>
        <v>60000</v>
      </c>
      <c r="BM11" s="12">
        <f>IFERROR(IF(ISNUMBER(BL11),(BL11-AVERAGEIF('Pemetaan Variant'!$A$5:$A$32,$B11,'Pemetaan Variant'!$H$5:$H$32))/AVERAGEIF('Pemetaan Variant'!$A$5:$A$32,$B11,'Pemetaan Variant'!$H$5:$H$32)*100,"n/a"),"n/a")</f>
        <v>-2.0408163265306123</v>
      </c>
      <c r="BN11" s="4">
        <f t="shared" si="20"/>
        <v>-7.5532151675558379E-2</v>
      </c>
      <c r="BO11" s="11">
        <f>IFERROR(AVERAGEIF('Pemetaan Variant'!$A$5:$A$32,$B11,'Pemetaan Variant'!$AK$5:$AK$32),"n/a")</f>
        <v>60000</v>
      </c>
      <c r="BP11" s="12">
        <f>IFERROR(IF(ISNUMBER(BO11),(BO11-AVERAGEIF('Pemetaan Variant'!$A$5:$A$32,$B11,'Pemetaan Variant'!$H$5:$H$32))/AVERAGEIF('Pemetaan Variant'!$A$5:$A$32,$B11,'Pemetaan Variant'!$H$5:$H$32)*100,"n/a"),"n/a")</f>
        <v>-2.0408163265306123</v>
      </c>
      <c r="BQ11" s="4">
        <f t="shared" si="21"/>
        <v>-7.5532151675558379E-2</v>
      </c>
      <c r="BR11" s="11">
        <f>IFERROR(AVERAGEIF('Pemetaan Variant'!$A$5:$A$32,$B11,'Pemetaan Variant'!$AL$5:$AL$32),"n/a")</f>
        <v>60000</v>
      </c>
      <c r="BS11" s="12">
        <f>IFERROR(IF(ISNUMBER(BR11),(BR11-AVERAGEIF('Pemetaan Variant'!$A$5:$A$32,$B11,'Pemetaan Variant'!$H$5:$H$32))/AVERAGEIF('Pemetaan Variant'!$A$5:$A$32,$B11,'Pemetaan Variant'!$H$5:$H$32)*100,"n/a"),"n/a")</f>
        <v>-2.0408163265306123</v>
      </c>
      <c r="BT11" s="4">
        <f t="shared" si="22"/>
        <v>-7.5532151675558379E-2</v>
      </c>
      <c r="BU11" s="11">
        <f>IFERROR(AVERAGEIF('Pemetaan Variant'!$A$5:$A$32,$B11,'Pemetaan Variant'!$AM$5:$AM$32),"n/a")</f>
        <v>60000</v>
      </c>
      <c r="BV11" s="12">
        <f>IFERROR(IF(ISNUMBER(BU11),(BU11-AVERAGEIF('Pemetaan Variant'!$A$5:$A$32,$B11,'Pemetaan Variant'!$H$5:$H$32))/AVERAGEIF('Pemetaan Variant'!$A$5:$A$32,$B11,'Pemetaan Variant'!$H$5:$H$32)*100,"n/a"),"n/a")</f>
        <v>-2.0408163265306123</v>
      </c>
      <c r="BW11" s="4">
        <f t="shared" si="23"/>
        <v>-7.5532151675558379E-2</v>
      </c>
      <c r="BX11" s="11">
        <f>IFERROR(AVERAGEIF('Pemetaan Variant'!$A$5:$A$32,$B11,'Pemetaan Variant'!$AN$5:$AN$32),"n/a")</f>
        <v>60000</v>
      </c>
      <c r="BY11" s="12">
        <f>IFERROR(IF(ISNUMBER(BX11),(BX11-AVERAGEIF('Pemetaan Variant'!$A$5:$A$32,$B11,'Pemetaan Variant'!$I$5:$I$32))/AVERAGEIF('Pemetaan Variant'!$A$5:$A$32,$B11,'Pemetaan Variant'!$I$5:$I$32)*100,"n/a"),"n/a")</f>
        <v>0</v>
      </c>
      <c r="BZ11" s="4">
        <f t="shared" si="24"/>
        <v>0</v>
      </c>
      <c r="CA11" s="11">
        <f>IFERROR(AVERAGEIF('Pemetaan Variant'!$A$5:$A$32,$B11,'Pemetaan Variant'!$AO$5:$AO$32),"n/a")</f>
        <v>58500</v>
      </c>
      <c r="CB11" s="12">
        <f>IFERROR(IF(ISNUMBER(CA11),(CA11-AVERAGEIF('Pemetaan Variant'!$A$5:$A$32,$B11,'Pemetaan Variant'!$I$5:$I$32))/AVERAGEIF('Pemetaan Variant'!$A$5:$A$32,$B11,'Pemetaan Variant'!$I$5:$I$32)*100,"n/a"),"n/a")</f>
        <v>-2.5</v>
      </c>
      <c r="CC11" s="4">
        <f t="shared" si="25"/>
        <v>-9.2526885802559009E-2</v>
      </c>
      <c r="CD11" s="11">
        <f>IFERROR(AVERAGEIF('Pemetaan Variant'!$A$5:$A$32,$B11,'Pemetaan Variant'!$AP$5:$AP$32),"n/a")</f>
        <v>58000</v>
      </c>
      <c r="CE11" s="12">
        <f>IFERROR(IF(ISNUMBER(CD11),(CD11-AVERAGEIF('Pemetaan Variant'!$A$5:$A$32,$B11,'Pemetaan Variant'!$I$5:$I$32))/AVERAGEIF('Pemetaan Variant'!$A$5:$A$32,$B11,'Pemetaan Variant'!$I$5:$I$32)*100,"n/a"),"n/a")</f>
        <v>-3.3333333333333335</v>
      </c>
      <c r="CF11" s="4">
        <f t="shared" si="26"/>
        <v>-0.12336918107007869</v>
      </c>
      <c r="CG11" s="11">
        <f>IFERROR(AVERAGEIF('Pemetaan Variant'!$A$5:$A$32,$B11,'Pemetaan Variant'!$AQ$5:$AQ$32),"n/a")</f>
        <v>58000</v>
      </c>
      <c r="CH11" s="12">
        <f>IFERROR(IF(ISNUMBER(CG11),(CG11-AVERAGEIF('Pemetaan Variant'!$A$5:$A$32,$B11,'Pemetaan Variant'!$I$5:$I$32))/AVERAGEIF('Pemetaan Variant'!$A$5:$A$32,$B11,'Pemetaan Variant'!$I$5:$I$32)*100,"n/a"),"n/a")</f>
        <v>-3.3333333333333335</v>
      </c>
      <c r="CI11" s="4">
        <f t="shared" si="27"/>
        <v>-0.12336918107007869</v>
      </c>
      <c r="CJ11" s="11">
        <f>IFERROR(AVERAGEIF('Pemetaan Variant'!$A$5:$A$32,$B11,'Pemetaan Variant'!$AR$5:$AR$32),"n/a")</f>
        <v>58000</v>
      </c>
      <c r="CK11" s="12">
        <f>IFERROR(IF(ISNUMBER(CJ11),(CJ11-AVERAGEIF('Pemetaan Variant'!$A$5:$A$32,$B11,'Pemetaan Variant'!$J$5:$J$32))/AVERAGEIF('Pemetaan Variant'!$A$5:$A$32,$B11,'Pemetaan Variant'!$J$5:$J$32)*100,"n/a"),"n/a")</f>
        <v>-1.0040160642570339</v>
      </c>
      <c r="CL11" s="4">
        <f t="shared" si="28"/>
        <v>-3.7159391888578128E-2</v>
      </c>
      <c r="CM11" s="11">
        <f>IFERROR(AVERAGEIF('Pemetaan Variant'!$A$5:$A$32,$B11,'Pemetaan Variant'!$AS$5:$AS$32),"n/a")</f>
        <v>58000</v>
      </c>
      <c r="CN11" s="12">
        <f>IFERROR(IF(ISNUMBER(CM11),(CM11-AVERAGEIF('Pemetaan Variant'!$A$5:$A$32,$B11,'Pemetaan Variant'!$J$5:$J$32))/AVERAGEIF('Pemetaan Variant'!$A$5:$A$32,$B11,'Pemetaan Variant'!$J$5:$J$32)*100,"n/a"),"n/a")</f>
        <v>-1.0040160642570339</v>
      </c>
      <c r="CO11" s="4">
        <f t="shared" si="29"/>
        <v>-3.7159391888578128E-2</v>
      </c>
      <c r="CP11" s="11">
        <f>IFERROR(AVERAGEIF('Pemetaan Variant'!$A$5:$A$32,$B11,'Pemetaan Variant'!$AT$5:$AT$32),"n/a")</f>
        <v>58000</v>
      </c>
      <c r="CQ11" s="12">
        <f>IFERROR(IF(ISNUMBER(CP11),(CP11-AVERAGEIF('Pemetaan Variant'!$A$5:$A$32,$B11,'Pemetaan Variant'!$J$5:$J$32))/AVERAGEIF('Pemetaan Variant'!$A$5:$A$32,$B11,'Pemetaan Variant'!$J$5:$J$32)*100,"n/a"),"n/a")</f>
        <v>-1.0040160642570339</v>
      </c>
      <c r="CR11" s="4">
        <f t="shared" si="30"/>
        <v>-3.7159391888578128E-2</v>
      </c>
      <c r="CS11" s="11">
        <f>IFERROR(AVERAGEIF('Pemetaan Variant'!$A$5:$A$32,$B11,'Pemetaan Variant'!$AU$5:$AU$32),"n/a")</f>
        <v>58000</v>
      </c>
      <c r="CT11" s="12">
        <f>IFERROR(IF(ISNUMBER(CS11),(CS11-AVERAGEIF('Pemetaan Variant'!$A$5:$A$32,$B11,'Pemetaan Variant'!$J$5:$J$32))/AVERAGEIF('Pemetaan Variant'!$A$5:$A$32,$B11,'Pemetaan Variant'!$J$5:$J$32)*100,"n/a"),"n/a")</f>
        <v>-1.0040160642570339</v>
      </c>
      <c r="CU11" s="4">
        <f t="shared" si="31"/>
        <v>-3.7159391888578128E-2</v>
      </c>
      <c r="CV11" s="11">
        <f>IFERROR(AVERAGEIF('Pemetaan Variant'!$A$5:$A$32,$B11,'Pemetaan Variant'!$AV$5:$AV$32),"n/a")</f>
        <v>58000</v>
      </c>
      <c r="CW11" s="12">
        <f>IFERROR(IF(ISNUMBER(CV11),(CV11-AVERAGEIF('Pemetaan Variant'!$A$5:$A$32,$B11,'Pemetaan Variant'!$J$5:$J$32))/AVERAGEIF('Pemetaan Variant'!$A$5:$A$32,$B11,'Pemetaan Variant'!$J$5:$J$32)*100,"n/a"),"n/a")</f>
        <v>-1.0040160642570339</v>
      </c>
      <c r="CX11" s="4">
        <f t="shared" si="32"/>
        <v>-3.7159391888578128E-2</v>
      </c>
      <c r="CY11" s="11">
        <f>IFERROR(AVERAGEIF('Pemetaan Variant'!$A$5:$A$32,$B11,'Pemetaan Variant'!$AW$5:$AW$32),"n/a")</f>
        <v>0</v>
      </c>
      <c r="CZ11" s="12">
        <f>IFERROR(IF(ISNUMBER(CY11),(CY11-AVERAGEIF('Pemetaan Variant'!$A$5:$A$32,$B11,'Pemetaan Variant'!$K$5:$K$32))/AVERAGEIF('Pemetaan Variant'!$A$5:$A$32,$B11,'Pemetaan Variant'!$K$5:$K$32)*100,"n/a"),"n/a")</f>
        <v>-100</v>
      </c>
      <c r="DA11" s="4">
        <f t="shared" si="33"/>
        <v>-3.7010754321023605</v>
      </c>
      <c r="DB11" s="11">
        <f>IFERROR(AVERAGEIF('Pemetaan Variant'!$A$5:$A$32,$B11,'Pemetaan Variant'!$AX$5:$AX$32),"n/a")</f>
        <v>0</v>
      </c>
      <c r="DC11" s="12">
        <f>IFERROR(IF(ISNUMBER(DB11),(DB11-AVERAGEIF('Pemetaan Variant'!$A$5:$A$32,$B11,'Pemetaan Variant'!$K$5:$K$32))/AVERAGEIF('Pemetaan Variant'!$A$5:$A$32,$B11,'Pemetaan Variant'!$K$5:$K$32)*100,"n/a"),"n/a")</f>
        <v>-100</v>
      </c>
      <c r="DD11" s="4">
        <f t="shared" si="34"/>
        <v>-3.7010754321023605</v>
      </c>
      <c r="DE11" s="11">
        <f>IFERROR(AVERAGEIF('Pemetaan Variant'!$A$5:$A$32,$B11,'Pemetaan Variant'!$AY$5:$AY$32),"n/a")</f>
        <v>0</v>
      </c>
      <c r="DF11" s="12">
        <f>IFERROR(IF(ISNUMBER(DE11),(DE11-AVERAGEIF('Pemetaan Variant'!$A$5:$A$32,$B11,'Pemetaan Variant'!$K$5:$K$32))/AVERAGEIF('Pemetaan Variant'!$A$5:$A$32,$B11,'Pemetaan Variant'!$K$5:$K$32)*100,"n/a"),"n/a")</f>
        <v>-100</v>
      </c>
      <c r="DG11" s="4">
        <f t="shared" si="35"/>
        <v>-3.7010754321023605</v>
      </c>
      <c r="DH11" s="11">
        <f>IFERROR(AVERAGEIF('Pemetaan Variant'!$A$5:$A$32,$B11,'Pemetaan Variant'!$AZ$5:$AZ$32),"n/a")</f>
        <v>0</v>
      </c>
      <c r="DI11" s="12">
        <f>IFERROR(IF(ISNUMBER(DH11),(DH11-AVERAGEIF('Pemetaan Variant'!$A$5:$A$32,$B11,'Pemetaan Variant'!$K$5:$K$32))/AVERAGEIF('Pemetaan Variant'!$A$5:$A$32,$B11,'Pemetaan Variant'!$K$5:$K$32)*100,"n/a"),"n/a")</f>
        <v>-100</v>
      </c>
      <c r="DJ11" s="4">
        <f t="shared" si="36"/>
        <v>-3.7010754321023605</v>
      </c>
      <c r="DK11" s="11" t="str">
        <f>IFERROR(AVERAGEIF('Pemetaan Variant'!$A$5:$A$32,$B11,'Pemetaan Variant'!$BA$5:$BA$32),"n/a")</f>
        <v>n/a</v>
      </c>
      <c r="DL11" s="12" t="str">
        <f>IFERROR(IF(ISNUMBER(DK11),(DK11-AVERAGEIF('Pemetaan Variant'!$A$5:$A$32,$B11,'Pemetaan Variant'!$L$5:$L$32))/AVERAGEIF('Pemetaan Variant'!$A$5:$A$32,$B11,'Pemetaan Variant'!$L$5:$L$32)*100,"n/a"),"n/a")</f>
        <v>n/a</v>
      </c>
      <c r="DM11" s="4" t="str">
        <f t="shared" si="37"/>
        <v>n/a</v>
      </c>
      <c r="DN11" s="11" t="str">
        <f>IFERROR(AVERAGEIF('Pemetaan Variant'!$A$5:$A$32,$B11,'Pemetaan Variant'!$BB$5:$BB$32),"n/a")</f>
        <v>n/a</v>
      </c>
      <c r="DO11" s="12" t="str">
        <f>IFERROR(IF(ISNUMBER(DN11),(DN11-AVERAGEIF('Pemetaan Variant'!$A$5:$A$32,$B11,'Pemetaan Variant'!$L$5:$L$32))/AVERAGEIF('Pemetaan Variant'!$A$5:$A$32,$B11,'Pemetaan Variant'!$L$5:$L$32)*100,"n/a"),"n/a")</f>
        <v>n/a</v>
      </c>
      <c r="DP11" s="4" t="str">
        <f t="shared" si="38"/>
        <v>n/a</v>
      </c>
      <c r="DQ11" s="11" t="str">
        <f>IFERROR(AVERAGEIF('Pemetaan Variant'!$A$5:$A$32,$B11,'Pemetaan Variant'!$BC$5:$BC$32),"n/a")</f>
        <v>n/a</v>
      </c>
      <c r="DR11" s="12" t="str">
        <f>IFERROR(IF(ISNUMBER(DQ11),(DQ11-AVERAGEIF('Pemetaan Variant'!$A$5:$A$32,$B11,'Pemetaan Variant'!$L$5:$L$32))/AVERAGEIF('Pemetaan Variant'!$A$5:$A$32,$B11,'Pemetaan Variant'!$L$5:$L$32)*100,"n/a"),"n/a")</f>
        <v>n/a</v>
      </c>
      <c r="DS11" s="4" t="str">
        <f t="shared" si="39"/>
        <v>n/a</v>
      </c>
      <c r="DT11" s="11" t="str">
        <f>IFERROR(AVERAGEIF('Pemetaan Variant'!$A$5:$A$32,$B11,'Pemetaan Variant'!$BD$5:$BD$32),"n/a")</f>
        <v>n/a</v>
      </c>
      <c r="DU11" s="12" t="str">
        <f>IFERROR(IF(ISNUMBER(DT11),(DT11-AVERAGEIF('Pemetaan Variant'!$A$5:$A$32,$B11,'Pemetaan Variant'!$L$5:$L$32))/AVERAGEIF('Pemetaan Variant'!$A$5:$A$32,$B11,'Pemetaan Variant'!$L$5:$L$32)*100,"n/a"),"n/a")</f>
        <v>n/a</v>
      </c>
      <c r="DV11" s="4" t="str">
        <f t="shared" si="40"/>
        <v>n/a</v>
      </c>
      <c r="DW11" s="11" t="str">
        <f>IFERROR(AVERAGEIF('Pemetaan Variant'!$A$5:$A$32,$B11,'Pemetaan Variant'!$BE$5:$BE$32),"n/a")</f>
        <v>n/a</v>
      </c>
      <c r="DX11" s="12" t="str">
        <f>IFERROR(IF(ISNUMBER(DW11),(DW11-AVERAGEIF('Pemetaan Variant'!$A$5:$A$32,$B11,'Pemetaan Variant'!$M$5:$M$32))/AVERAGEIF('Pemetaan Variant'!$A$5:$A$32,$B11,'Pemetaan Variant'!$M$5:$M$32)*100,"n/a"),"n/a")</f>
        <v>n/a</v>
      </c>
      <c r="DY11" s="4" t="str">
        <f t="shared" si="41"/>
        <v>n/a</v>
      </c>
      <c r="DZ11" s="11" t="str">
        <f>IFERROR(AVERAGEIF('Pemetaan Variant'!$A$5:$A$32,$B11,'Pemetaan Variant'!$BF$5:$BF$32),"n/a")</f>
        <v>n/a</v>
      </c>
      <c r="EA11" s="12" t="str">
        <f>IFERROR(IF(ISNUMBER(DZ11),(DZ11-AVERAGEIF('Pemetaan Variant'!$A$5:$A$32,$B11,'Pemetaan Variant'!$M$5:$M$32))/AVERAGEIF('Pemetaan Variant'!$A$5:$A$32,$B11,'Pemetaan Variant'!$M$5:$M$32)*100,"n/a"),"n/a")</f>
        <v>n/a</v>
      </c>
      <c r="EB11" s="4" t="str">
        <f t="shared" si="42"/>
        <v>n/a</v>
      </c>
      <c r="EC11" s="11" t="str">
        <f>IFERROR(AVERAGEIF('Pemetaan Variant'!$A$5:$A$32,$B11,'Pemetaan Variant'!$BG$5:$BG$32),"n/a")</f>
        <v>n/a</v>
      </c>
      <c r="ED11" s="12" t="str">
        <f>IFERROR(IF(ISNUMBER(EC11),(EC11-AVERAGEIF('Pemetaan Variant'!$A$5:$A$32,$B11,'Pemetaan Variant'!$M$5:$M$32))/AVERAGEIF('Pemetaan Variant'!$A$5:$A$32,$B11,'Pemetaan Variant'!$M$5:$M$32)*100,"n/a"),"n/a")</f>
        <v>n/a</v>
      </c>
      <c r="EE11" s="4" t="str">
        <f t="shared" si="43"/>
        <v>n/a</v>
      </c>
      <c r="EF11" s="11" t="str">
        <f>IFERROR(AVERAGEIF('Pemetaan Variant'!$A$5:$A$32,$B11,'Pemetaan Variant'!$BH$5:$BH$32),"n/a")</f>
        <v>n/a</v>
      </c>
      <c r="EG11" s="12" t="str">
        <f>IFERROR(IF(ISNUMBER(EF11),(EF11-AVERAGEIF('Pemetaan Variant'!$A$5:$A$32,$B11,'Pemetaan Variant'!$M$5:$M$32))/AVERAGEIF('Pemetaan Variant'!$A$5:$A$32,$B11,'Pemetaan Variant'!$M$5:$M$32)*100,"n/a"),"n/a")</f>
        <v>n/a</v>
      </c>
      <c r="EH11" s="4" t="str">
        <f t="shared" si="44"/>
        <v>n/a</v>
      </c>
      <c r="EI11" s="11" t="str">
        <f>IFERROR(AVERAGEIF('Pemetaan Variant'!$A$5:$A$32,$B11,'Pemetaan Variant'!$BI$5:$BI$32),"n/a")</f>
        <v>n/a</v>
      </c>
      <c r="EJ11" s="12" t="str">
        <f>IFERROR(IF(ISNUMBER(EI11),(EI11-AVERAGEIF('Pemetaan Variant'!$A$5:$A$32,$B11,'Pemetaan Variant'!$M$5:$M$32))/AVERAGEIF('Pemetaan Variant'!$A$5:$A$32,$B11,'Pemetaan Variant'!$M$5:$M$32)*100,"n/a"),"n/a")</f>
        <v>n/a</v>
      </c>
      <c r="EK11" s="4" t="str">
        <f t="shared" si="45"/>
        <v>n/a</v>
      </c>
      <c r="EL11" s="11" t="str">
        <f>IFERROR(AVERAGEIF('Pemetaan Variant'!$A$5:$A$32,$B11,'Pemetaan Variant'!$BJ$5:$BJ$32),"n/a")</f>
        <v>n/a</v>
      </c>
      <c r="EM11" s="12" t="str">
        <f>IFERROR(IF(ISNUMBER(EL11),(EL11-AVERAGEIF('Pemetaan Variant'!$A$5:$A$32,$B11,'Pemetaan Variant'!$N$5:$N$32))/AVERAGEIF('Pemetaan Variant'!$A$5:$A$32,$B11,'Pemetaan Variant'!$N$5:$N$32)*100,"n/a"),"n/a")</f>
        <v>n/a</v>
      </c>
      <c r="EN11" s="4" t="str">
        <f t="shared" si="46"/>
        <v>n/a</v>
      </c>
      <c r="EO11" s="11" t="str">
        <f>IFERROR(AVERAGEIF('Pemetaan Variant'!$A$5:$A$32,$B11,'Pemetaan Variant'!$BK$5:$BK$32),"n/a")</f>
        <v>n/a</v>
      </c>
      <c r="EP11" s="12" t="str">
        <f>IFERROR(IF(ISNUMBER(EO11),(EO11-AVERAGEIF('Pemetaan Variant'!$A$5:$A$32,$B11,'Pemetaan Variant'!$N$5:$N$32))/AVERAGEIF('Pemetaan Variant'!$A$5:$A$32,$B11,'Pemetaan Variant'!$N$5:$N$32)*100,"n/a"),"n/a")</f>
        <v>n/a</v>
      </c>
      <c r="EQ11" s="4" t="str">
        <f t="shared" si="47"/>
        <v>n/a</v>
      </c>
      <c r="ER11" s="11" t="str">
        <f>IFERROR(AVERAGEIF('Pemetaan Variant'!$A$5:$A$32,$B11,'Pemetaan Variant'!$BL$5:$BL$32),"n/a")</f>
        <v>n/a</v>
      </c>
      <c r="ES11" s="12" t="str">
        <f>IFERROR(IF(ISNUMBER(ER11),(ER11-AVERAGEIF('Pemetaan Variant'!$A$5:$A$32,$B11,'Pemetaan Variant'!$N$5:$N$32))/AVERAGEIF('Pemetaan Variant'!$A$5:$A$32,$B11,'Pemetaan Variant'!$N$5:$N$32)*100,"n/a"),"n/a")</f>
        <v>n/a</v>
      </c>
      <c r="ET11" s="4" t="str">
        <f t="shared" si="48"/>
        <v>n/a</v>
      </c>
      <c r="EU11" s="11" t="str">
        <f>IFERROR(AVERAGEIF('Pemetaan Variant'!$A$5:$A$32,$B11,'Pemetaan Variant'!$BM$5:$BM$32),"n/a")</f>
        <v>n/a</v>
      </c>
      <c r="EV11" s="12" t="str">
        <f>IFERROR(IF(ISNUMBER(EU11),(EU11-AVERAGEIF('Pemetaan Variant'!$A$5:$A$32,$B11,'Pemetaan Variant'!$N$5:$N$32))/AVERAGEIF('Pemetaan Variant'!$A$5:$A$32,$B11,'Pemetaan Variant'!$N$5:$N$32)*100,"n/a"),"n/a")</f>
        <v>n/a</v>
      </c>
      <c r="EW11" s="4" t="str">
        <f t="shared" si="49"/>
        <v>n/a</v>
      </c>
      <c r="EX11" s="11" t="str">
        <f>IFERROR(AVERAGEIF('Pemetaan Variant'!$A$5:$A$32,$B11,'Pemetaan Variant'!$BN$5:$BN$32),"n/a")</f>
        <v>n/a</v>
      </c>
      <c r="EY11" s="12" t="str">
        <f>IFERROR(IF(ISNUMBER(EX11),(EX11-AVERAGEIF('Pemetaan Variant'!$A$5:$A$32,$B11,'Pemetaan Variant'!$O$5:$O$32))/AVERAGEIF('Pemetaan Variant'!$A$5:$A$32,$B11,'Pemetaan Variant'!$O$5:$O$32)*100,"n/a"),"n/a")</f>
        <v>n/a</v>
      </c>
      <c r="EZ11" s="4" t="str">
        <f t="shared" si="50"/>
        <v>n/a</v>
      </c>
      <c r="FA11" s="11" t="str">
        <f>IFERROR(AVERAGEIF('Pemetaan Variant'!$A$5:$A$32,$B11,'Pemetaan Variant'!$BO$5:$BO$32),"n/a")</f>
        <v>n/a</v>
      </c>
      <c r="FB11" s="12" t="str">
        <f>IFERROR(IF(ISNUMBER(FA11),(FA11-AVERAGEIF('Pemetaan Variant'!$A$5:$A$32,$B11,'Pemetaan Variant'!$O$5:$O$32))/AVERAGEIF('Pemetaan Variant'!$A$5:$A$32,$B11,'Pemetaan Variant'!$O$5:$O$32)*100,"n/a"),"n/a")</f>
        <v>n/a</v>
      </c>
      <c r="FC11" s="4" t="str">
        <f t="shared" si="51"/>
        <v>n/a</v>
      </c>
      <c r="FD11" s="11" t="str">
        <f>IFERROR(AVERAGEIF('Pemetaan Variant'!$A$5:$A$32,$B11,'Pemetaan Variant'!$BP$5:$BP$32),"n/a")</f>
        <v>n/a</v>
      </c>
      <c r="FE11" s="12" t="str">
        <f>IFERROR(IF(ISNUMBER(FD11),(FD11-AVERAGEIF('Pemetaan Variant'!$A$5:$A$32,$B11,'Pemetaan Variant'!$O$5:$O$32))/AVERAGEIF('Pemetaan Variant'!$A$5:$A$32,$B11,'Pemetaan Variant'!$O$5:$O$32)*100,"n/a"),"n/a")</f>
        <v>n/a</v>
      </c>
      <c r="FF11" s="4" t="str">
        <f t="shared" si="52"/>
        <v>n/a</v>
      </c>
      <c r="FG11" s="11" t="str">
        <f>IFERROR(AVERAGEIF('Pemetaan Variant'!$A$5:$A$32,$B11,'Pemetaan Variant'!$BQ$5:$BQ$32),"n/a")</f>
        <v>n/a</v>
      </c>
      <c r="FH11" s="12" t="str">
        <f>IFERROR(IF(ISNUMBER(FG11),(FG11-AVERAGEIF('Pemetaan Variant'!$A$5:$A$32,$B11,'Pemetaan Variant'!$O$5:$O$32))/AVERAGEIF('Pemetaan Variant'!$A$5:$A$32,$B11,'Pemetaan Variant'!$O$5:$O$32)*100,"n/a"),"n/a")</f>
        <v>n/a</v>
      </c>
      <c r="FI11" s="4" t="str">
        <f t="shared" si="53"/>
        <v>n/a</v>
      </c>
      <c r="FJ11" s="11" t="str">
        <f>IFERROR(AVERAGEIF('Pemetaan Variant'!$A$5:$A$32,$B11,'Pemetaan Variant'!$BR$5:$BR$32),"n/a")</f>
        <v>n/a</v>
      </c>
      <c r="FK11" s="12" t="str">
        <f>IFERROR(IF(ISNUMBER(FJ11),(FJ11-AVERAGEIF('Pemetaan Variant'!$A$5:$A$32,$B11,'Pemetaan Variant'!$O$5:$O$32))/AVERAGEIF('Pemetaan Variant'!$A$5:$A$32,$B11,'Pemetaan Variant'!$O$5:$O$32)*100,"n/a"),"n/a")</f>
        <v>n/a</v>
      </c>
      <c r="FL11" s="4" t="str">
        <f t="shared" si="54"/>
        <v>n/a</v>
      </c>
      <c r="FM11" s="13" t="s">
        <v>129</v>
      </c>
      <c r="FO11" s="9">
        <f t="shared" si="55"/>
        <v>0</v>
      </c>
      <c r="FP11" s="9">
        <f t="shared" si="56"/>
        <v>0</v>
      </c>
      <c r="FQ11" s="9">
        <f t="shared" si="57"/>
        <v>0</v>
      </c>
      <c r="FR11" s="9">
        <f t="shared" si="58"/>
        <v>0</v>
      </c>
      <c r="FS11" s="9">
        <f t="shared" si="59"/>
        <v>0</v>
      </c>
      <c r="FT11" s="9">
        <f t="shared" si="60"/>
        <v>0</v>
      </c>
      <c r="FU11" s="9">
        <f t="shared" si="61"/>
        <v>0</v>
      </c>
      <c r="FV11" s="9">
        <f t="shared" si="62"/>
        <v>0</v>
      </c>
      <c r="FW11" s="9">
        <f t="shared" si="63"/>
        <v>0</v>
      </c>
      <c r="FX11" s="9">
        <f t="shared" si="64"/>
        <v>9.7969643790944833E-2</v>
      </c>
      <c r="FY11" s="9">
        <f t="shared" si="65"/>
        <v>0.16328273965157472</v>
      </c>
      <c r="FZ11" s="9">
        <f t="shared" si="66"/>
        <v>0.16328273965157472</v>
      </c>
      <c r="GA11" s="9">
        <f t="shared" si="67"/>
        <v>0.16328273965157472</v>
      </c>
      <c r="GB11" s="9">
        <f t="shared" si="68"/>
        <v>0</v>
      </c>
      <c r="GC11" s="9">
        <f t="shared" si="69"/>
        <v>0</v>
      </c>
      <c r="GD11" s="9">
        <f t="shared" si="70"/>
        <v>1.7893998865926172E-2</v>
      </c>
      <c r="GE11" s="9">
        <f t="shared" si="71"/>
        <v>0.30121564757642111</v>
      </c>
      <c r="GF11" s="9">
        <f t="shared" si="72"/>
        <v>0.30121564757642111</v>
      </c>
      <c r="GG11" s="9">
        <f t="shared" si="73"/>
        <v>0.30121564757642111</v>
      </c>
      <c r="GH11" s="9">
        <f t="shared" si="74"/>
        <v>7.5532151675558379E-2</v>
      </c>
      <c r="GI11" s="9">
        <f t="shared" si="75"/>
        <v>7.5532151675558379E-2</v>
      </c>
      <c r="GJ11" s="9">
        <f t="shared" si="76"/>
        <v>7.5532151675558379E-2</v>
      </c>
      <c r="GK11" s="9">
        <f t="shared" si="77"/>
        <v>7.5532151675558379E-2</v>
      </c>
      <c r="GL11" s="9">
        <f t="shared" si="78"/>
        <v>7.5532151675558379E-2</v>
      </c>
      <c r="GM11" s="9">
        <f t="shared" si="79"/>
        <v>0</v>
      </c>
      <c r="GN11" s="9">
        <f t="shared" si="80"/>
        <v>9.2526885802559009E-2</v>
      </c>
      <c r="GO11" s="9">
        <f t="shared" si="81"/>
        <v>0.12336918107007869</v>
      </c>
      <c r="GP11" s="9">
        <f t="shared" si="82"/>
        <v>0.12336918107007869</v>
      </c>
      <c r="GQ11" s="9">
        <f t="shared" si="83"/>
        <v>3.7159391888578128E-2</v>
      </c>
      <c r="GR11" s="9">
        <f t="shared" si="84"/>
        <v>3.7159391888578128E-2</v>
      </c>
      <c r="GS11" s="9">
        <f t="shared" si="85"/>
        <v>3.7159391888578128E-2</v>
      </c>
      <c r="GT11" s="9">
        <f t="shared" si="86"/>
        <v>3.7159391888578128E-2</v>
      </c>
      <c r="GU11" s="9">
        <f t="shared" si="87"/>
        <v>3.7159391888578128E-2</v>
      </c>
      <c r="GV11" s="9">
        <f t="shared" si="88"/>
        <v>3.7010754321023605</v>
      </c>
      <c r="GW11" s="9">
        <f t="shared" si="89"/>
        <v>3.7010754321023605</v>
      </c>
      <c r="GX11" s="9">
        <f t="shared" si="90"/>
        <v>3.7010754321023605</v>
      </c>
      <c r="GY11" s="9">
        <f t="shared" si="91"/>
        <v>3.7010754321023605</v>
      </c>
      <c r="GZ11" s="9">
        <f t="shared" si="92"/>
        <v>0</v>
      </c>
      <c r="HA11" s="9">
        <f t="shared" si="93"/>
        <v>0</v>
      </c>
      <c r="HB11" s="9">
        <f t="shared" si="94"/>
        <v>0</v>
      </c>
      <c r="HC11" s="9">
        <f t="shared" si="95"/>
        <v>0</v>
      </c>
      <c r="HD11" s="9">
        <f t="shared" si="96"/>
        <v>0</v>
      </c>
      <c r="HE11" s="9">
        <f t="shared" si="97"/>
        <v>0</v>
      </c>
      <c r="HF11" s="9">
        <f t="shared" si="98"/>
        <v>0</v>
      </c>
      <c r="HG11" s="9">
        <f t="shared" si="99"/>
        <v>0</v>
      </c>
      <c r="HH11" s="9">
        <f t="shared" si="100"/>
        <v>0</v>
      </c>
      <c r="HI11" s="9">
        <f t="shared" si="101"/>
        <v>0</v>
      </c>
      <c r="HJ11" s="9">
        <f t="shared" si="102"/>
        <v>0</v>
      </c>
      <c r="HK11" s="9">
        <f t="shared" si="103"/>
        <v>0</v>
      </c>
      <c r="HL11" s="9">
        <f t="shared" si="104"/>
        <v>0</v>
      </c>
      <c r="HM11" s="9">
        <f t="shared" si="105"/>
        <v>0</v>
      </c>
      <c r="HN11" s="9">
        <f t="shared" si="106"/>
        <v>0</v>
      </c>
      <c r="HO11" s="9">
        <f t="shared" si="107"/>
        <v>0</v>
      </c>
      <c r="HP11" s="9">
        <f t="shared" si="108"/>
        <v>0</v>
      </c>
      <c r="HQ11" s="9">
        <f t="shared" si="109"/>
        <v>0</v>
      </c>
    </row>
    <row r="12" spans="1:225" x14ac:dyDescent="0.35">
      <c r="A12" s="3">
        <v>7</v>
      </c>
      <c r="B12" s="3" t="s">
        <v>130</v>
      </c>
      <c r="C12" s="10">
        <f>'P0Q0 Dasar 2022'!F11</f>
        <v>4.0636572858027402E-2</v>
      </c>
      <c r="D12" s="11">
        <f>IFERROR(AVERAGEIF('Pemetaan Variant'!$A$5:$A$32,$B12,'Pemetaan Variant'!$P$5:$P$32),"n/a")</f>
        <v>13000</v>
      </c>
      <c r="E12" s="12">
        <f>IFERROR(IF(ISNUMBER(D12),(D12-AVERAGEIF('Pemetaan Variant'!$A$5:$A$32,$B12,'Pemetaan Variant'!$D$5:$D$32))/AVERAGEIF('Pemetaan Variant'!$A$5:$A$32,$B12,'Pemetaan Variant'!$D$5:$D$32)*100,"n/a"),"n/a")</f>
        <v>0</v>
      </c>
      <c r="F12" s="4">
        <f t="shared" si="0"/>
        <v>0</v>
      </c>
      <c r="G12" s="11">
        <f>IFERROR(AVERAGEIF('Pemetaan Variant'!$A$5:$A$32,$B12,'Pemetaan Variant'!$Q$5:$Q$32),"n/a")</f>
        <v>13000</v>
      </c>
      <c r="H12" s="12">
        <f>IFERROR(IF(ISNUMBER(G12),(G12-AVERAGEIF('Pemetaan Variant'!$A$5:$A$32,$B12,'Pemetaan Variant'!$D$5:$D$32))/AVERAGEIF('Pemetaan Variant'!$A$5:$A$32,$B12,'Pemetaan Variant'!$D$5:$D$32)*100,"n/a"),"n/a")</f>
        <v>0</v>
      </c>
      <c r="I12" s="4">
        <f t="shared" si="1"/>
        <v>0</v>
      </c>
      <c r="J12" s="11">
        <f>IFERROR(AVERAGEIF('Pemetaan Variant'!$A$5:$A$32,$B12,'Pemetaan Variant'!$R$5:$R$32),"n/a")</f>
        <v>13000</v>
      </c>
      <c r="K12" s="12">
        <f>IFERROR(IF(ISNUMBER(J12),(J12-AVERAGEIF('Pemetaan Variant'!$A$5:$A$32,$B12,'Pemetaan Variant'!$D$5:$D$32))/AVERAGEIF('Pemetaan Variant'!$A$5:$A$32,$B12,'Pemetaan Variant'!$D$5:$D$32)*100,"n/a"),"n/a")</f>
        <v>0</v>
      </c>
      <c r="L12" s="4">
        <f t="shared" si="2"/>
        <v>0</v>
      </c>
      <c r="M12" s="11">
        <f>IFERROR(AVERAGEIF('Pemetaan Variant'!$A$5:$A$32,$B12,'Pemetaan Variant'!$S$5:$S$32),"n/a")</f>
        <v>13000</v>
      </c>
      <c r="N12" s="12">
        <f>IFERROR(IF(ISNUMBER(M12),(M12-AVERAGEIF('Pemetaan Variant'!$A$5:$A$32,$B12,'Pemetaan Variant'!$D$5:$D$32))/AVERAGEIF('Pemetaan Variant'!$A$5:$A$32,$B12,'Pemetaan Variant'!$D$5:$D$32)*100,"n/a"),"n/a")</f>
        <v>0</v>
      </c>
      <c r="O12" s="4">
        <f t="shared" si="3"/>
        <v>0</v>
      </c>
      <c r="P12" s="11">
        <f>IFERROR(AVERAGEIF('Pemetaan Variant'!$A$5:$A$32,$B12,'Pemetaan Variant'!$T$5:$T$32),"n/a")</f>
        <v>13000</v>
      </c>
      <c r="Q12" s="12">
        <f>IFERROR(IF(ISNUMBER(P12),(P12-AVERAGEIF('Pemetaan Variant'!$A$5:$A$32,$B12,'Pemetaan Variant'!$D$5:$D$32))/AVERAGEIF('Pemetaan Variant'!$A$5:$A$32,$B12,'Pemetaan Variant'!$D$5:$D$32)*100,"n/a"),"n/a")</f>
        <v>0</v>
      </c>
      <c r="R12" s="4">
        <f t="shared" si="4"/>
        <v>0</v>
      </c>
      <c r="S12" s="11">
        <f>IFERROR(AVERAGEIF('Pemetaan Variant'!$A$5:$A$32,$B12,'Pemetaan Variant'!$U$5:$U$32),"n/a")</f>
        <v>13000</v>
      </c>
      <c r="T12" s="12">
        <f>IFERROR(IF(ISNUMBER(S12),(S12-AVERAGEIF('Pemetaan Variant'!$A$5:$A$32,$B12,'Pemetaan Variant'!$E$5:$E$32))/AVERAGEIF('Pemetaan Variant'!$A$5:$A$32,$B12,'Pemetaan Variant'!$E$5:$E$32)*100,"n/a"),"n/a")</f>
        <v>0</v>
      </c>
      <c r="U12" s="4">
        <f t="shared" si="5"/>
        <v>0</v>
      </c>
      <c r="V12" s="11">
        <f>IFERROR(AVERAGEIF('Pemetaan Variant'!$A$5:$A$32,$B12,'Pemetaan Variant'!$V$5:$V$32),"n/a")</f>
        <v>13000</v>
      </c>
      <c r="W12" s="12">
        <f>IFERROR(IF(ISNUMBER(V12),(V12-AVERAGEIF('Pemetaan Variant'!$A$5:$A$32,$B12,'Pemetaan Variant'!$E$5:$E$32))/AVERAGEIF('Pemetaan Variant'!$A$5:$A$32,$B12,'Pemetaan Variant'!$E$5:$E$32)*100,"n/a"),"n/a")</f>
        <v>0</v>
      </c>
      <c r="X12" s="4">
        <f t="shared" si="6"/>
        <v>0</v>
      </c>
      <c r="Y12" s="11">
        <f>IFERROR(AVERAGEIF('Pemetaan Variant'!$A$5:$A$32,$B12,'Pemetaan Variant'!$W$5:$W$32),"n/a")</f>
        <v>13000</v>
      </c>
      <c r="Z12" s="12">
        <f>IFERROR(IF(ISNUMBER(Y12),(Y12-AVERAGEIF('Pemetaan Variant'!$A$5:$A$32,$B12,'Pemetaan Variant'!$E$5:$E$32))/AVERAGEIF('Pemetaan Variant'!$A$5:$A$32,$B12,'Pemetaan Variant'!$E$5:$E$32)*100,"n/a"),"n/a")</f>
        <v>0</v>
      </c>
      <c r="AA12" s="4">
        <f t="shared" si="7"/>
        <v>0</v>
      </c>
      <c r="AB12" s="11">
        <f>IFERROR(AVERAGEIF('Pemetaan Variant'!$A$5:$A$32,$B12,'Pemetaan Variant'!$X$5:$X$32),"n/a")</f>
        <v>13000</v>
      </c>
      <c r="AC12" s="12">
        <f>IFERROR(IF(ISNUMBER(AB12),(AB12-AVERAGEIF('Pemetaan Variant'!$A$5:$A$32,$B12,'Pemetaan Variant'!$E$5:$E$32))/AVERAGEIF('Pemetaan Variant'!$A$5:$A$32,$B12,'Pemetaan Variant'!$E$5:$E$32)*100,"n/a"),"n/a")</f>
        <v>0</v>
      </c>
      <c r="AD12" s="4">
        <f t="shared" si="8"/>
        <v>0</v>
      </c>
      <c r="AE12" s="11">
        <f>IFERROR(AVERAGEIF('Pemetaan Variant'!$A$5:$A$32,$B12,'Pemetaan Variant'!$Y$5:$Y$32),"n/a")</f>
        <v>13000</v>
      </c>
      <c r="AF12" s="12">
        <f>IFERROR(IF(ISNUMBER(AE12),(AE12-AVERAGEIF('Pemetaan Variant'!$A$5:$A$32,$B12,'Pemetaan Variant'!$F$5:$F$32))/AVERAGEIF('Pemetaan Variant'!$A$5:$A$32,$B12,'Pemetaan Variant'!$F$5:$F$32)*100,"n/a"),"n/a")</f>
        <v>0</v>
      </c>
      <c r="AG12" s="4">
        <f t="shared" si="9"/>
        <v>0</v>
      </c>
      <c r="AH12" s="11">
        <f>IFERROR(AVERAGEIF('Pemetaan Variant'!$A$5:$A$32,$B12,'Pemetaan Variant'!$Z$5:$Z$32),"n/a")</f>
        <v>13000</v>
      </c>
      <c r="AI12" s="12">
        <f>IFERROR(IF(ISNUMBER(AH12),(AH12-AVERAGEIF('Pemetaan Variant'!$A$5:$A$32,$B12,'Pemetaan Variant'!$F$5:$F$32))/AVERAGEIF('Pemetaan Variant'!$A$5:$A$32,$B12,'Pemetaan Variant'!$F$5:$F$32)*100,"n/a"),"n/a")</f>
        <v>0</v>
      </c>
      <c r="AJ12" s="4">
        <f t="shared" si="10"/>
        <v>0</v>
      </c>
      <c r="AK12" s="11">
        <f>IFERROR(AVERAGEIF('Pemetaan Variant'!$A$5:$A$32,$B12,'Pemetaan Variant'!$AA$5:$AA$32),"n/a")</f>
        <v>13000</v>
      </c>
      <c r="AL12" s="12">
        <f>IFERROR(IF(ISNUMBER(AK12),(AK12-AVERAGEIF('Pemetaan Variant'!$A$5:$A$32,$B12,'Pemetaan Variant'!$F$5:$F$32))/AVERAGEIF('Pemetaan Variant'!$A$5:$A$32,$B12,'Pemetaan Variant'!$F$5:$F$32)*100,"n/a"),"n/a")</f>
        <v>0</v>
      </c>
      <c r="AM12" s="4">
        <f t="shared" si="11"/>
        <v>0</v>
      </c>
      <c r="AN12" s="11">
        <f>IFERROR(AVERAGEIF('Pemetaan Variant'!$A$5:$A$32,$B12,'Pemetaan Variant'!$AB$5:$AB$32),"n/a")</f>
        <v>13000</v>
      </c>
      <c r="AO12" s="12">
        <f>IFERROR(IF(ISNUMBER(AN12),(AN12-AVERAGEIF('Pemetaan Variant'!$A$5:$A$32,$B12,'Pemetaan Variant'!$F$5:$F$32))/AVERAGEIF('Pemetaan Variant'!$A$5:$A$32,$B12,'Pemetaan Variant'!$F$5:$F$32)*100,"n/a"),"n/a")</f>
        <v>0</v>
      </c>
      <c r="AP12" s="4">
        <f t="shared" si="12"/>
        <v>0</v>
      </c>
      <c r="AQ12" s="11" t="str">
        <f>IFERROR(AVERAGEIF('Pemetaan Variant'!$A$5:$A$32,$B12,'Pemetaan Variant'!$AC$5:$AC$32),"n/a")</f>
        <v>n/a</v>
      </c>
      <c r="AR12" s="12" t="str">
        <f>IFERROR(IF(ISNUMBER(AQ12),(AQ12-AVERAGEIF('Pemetaan Variant'!$A$5:$A$32,$B12,'Pemetaan Variant'!$F$5:$F$32))/AVERAGEIF('Pemetaan Variant'!$A$5:$A$32,$B12,'Pemetaan Variant'!$F$5:$F$32)*100,"n/a"),"n/a")</f>
        <v>n/a</v>
      </c>
      <c r="AS12" s="4" t="str">
        <f t="shared" si="13"/>
        <v>n/a</v>
      </c>
      <c r="AT12" s="11" t="str">
        <f>IFERROR(AVERAGEIF('Pemetaan Variant'!$A$5:$A$32,$B12,'Pemetaan Variant'!$AD$5:$AD$32),"n/a")</f>
        <v>n/a</v>
      </c>
      <c r="AU12" s="12" t="str">
        <f>IFERROR(IF(ISNUMBER(AT12),(AT12-AVERAGEIF('Pemetaan Variant'!$A$5:$A$32,$B12,'Pemetaan Variant'!$G$5:$G$32))/AVERAGEIF('Pemetaan Variant'!$A$5:$A$32,$B12,'Pemetaan Variant'!$G$5:$G$32)*100,"n/a"),"n/a")</f>
        <v>n/a</v>
      </c>
      <c r="AV12" s="4" t="str">
        <f t="shared" si="14"/>
        <v>n/a</v>
      </c>
      <c r="AW12" s="11">
        <f>IFERROR(AVERAGEIF('Pemetaan Variant'!$A$5:$A$32,$B12,'Pemetaan Variant'!$AE$5:$AE$32),"n/a")</f>
        <v>13000</v>
      </c>
      <c r="AX12" s="12">
        <f>IFERROR(IF(ISNUMBER(AW12),(AW12-AVERAGEIF('Pemetaan Variant'!$A$5:$A$32,$B12,'Pemetaan Variant'!$G$5:$G$32))/AVERAGEIF('Pemetaan Variant'!$A$5:$A$32,$B12,'Pemetaan Variant'!$G$5:$G$32)*100,"n/a"),"n/a")</f>
        <v>0</v>
      </c>
      <c r="AY12" s="4">
        <f t="shared" si="15"/>
        <v>0</v>
      </c>
      <c r="AZ12" s="11">
        <f>IFERROR(AVERAGEIF('Pemetaan Variant'!$A$5:$A$32,$B12,'Pemetaan Variant'!$AF$5:$AF$32),"n/a")</f>
        <v>13000</v>
      </c>
      <c r="BA12" s="12">
        <f>IFERROR(IF(ISNUMBER(AZ12),(AZ12-AVERAGEIF('Pemetaan Variant'!$A$5:$A$32,$B12,'Pemetaan Variant'!$G$5:$G$32))/AVERAGEIF('Pemetaan Variant'!$A$5:$A$32,$B12,'Pemetaan Variant'!$G$5:$G$32)*100,"n/a"),"n/a")</f>
        <v>0</v>
      </c>
      <c r="BB12" s="4">
        <f t="shared" si="16"/>
        <v>0</v>
      </c>
      <c r="BC12" s="11">
        <f>IFERROR(AVERAGEIF('Pemetaan Variant'!$A$5:$A$32,$B12,'Pemetaan Variant'!$AG$5:$AG$32),"n/a")</f>
        <v>12600</v>
      </c>
      <c r="BD12" s="12">
        <f>IFERROR(IF(ISNUMBER(BC12),(BC12-AVERAGEIF('Pemetaan Variant'!$A$5:$A$32,$B12,'Pemetaan Variant'!$G$5:$G$32))/AVERAGEIF('Pemetaan Variant'!$A$5:$A$32,$B12,'Pemetaan Variant'!$G$5:$G$32)*100,"n/a"),"n/a")</f>
        <v>-3.0769230769230771</v>
      </c>
      <c r="BE12" s="4">
        <f t="shared" si="17"/>
        <v>-0.12503560879393047</v>
      </c>
      <c r="BF12" s="11">
        <f>IFERROR(AVERAGEIF('Pemetaan Variant'!$A$5:$A$32,$B12,'Pemetaan Variant'!$AH$5:$AH$32),"n/a")</f>
        <v>12000</v>
      </c>
      <c r="BG12" s="12">
        <f>IFERROR(IF(ISNUMBER(BF12),(BF12-AVERAGEIF('Pemetaan Variant'!$A$5:$A$32,$B12,'Pemetaan Variant'!$G$5:$G$32))/AVERAGEIF('Pemetaan Variant'!$A$5:$A$32,$B12,'Pemetaan Variant'!$G$5:$G$32)*100,"n/a"),"n/a")</f>
        <v>-7.6923076923076925</v>
      </c>
      <c r="BH12" s="4">
        <f t="shared" si="18"/>
        <v>-0.31258902198482619</v>
      </c>
      <c r="BI12" s="11">
        <f>IFERROR(AVERAGEIF('Pemetaan Variant'!$A$5:$A$32,$B12,'Pemetaan Variant'!$AI$5:$AI$32),"n/a")</f>
        <v>12000</v>
      </c>
      <c r="BJ12" s="12">
        <f>IFERROR(IF(ISNUMBER(BI12),(BI12-AVERAGEIF('Pemetaan Variant'!$A$5:$A$32,$B12,'Pemetaan Variant'!$H$5:$H$32))/AVERAGEIF('Pemetaan Variant'!$A$5:$A$32,$B12,'Pemetaan Variant'!$H$5:$H$32)*100,"n/a"),"n/a")</f>
        <v>-5.4187192118226601</v>
      </c>
      <c r="BK12" s="4">
        <f t="shared" si="19"/>
        <v>-0.22019817804842434</v>
      </c>
      <c r="BL12" s="11">
        <f>IFERROR(AVERAGEIF('Pemetaan Variant'!$A$5:$A$32,$B12,'Pemetaan Variant'!$AJ$5:$AJ$32),"n/a")</f>
        <v>12000</v>
      </c>
      <c r="BM12" s="12">
        <f>IFERROR(IF(ISNUMBER(BL12),(BL12-AVERAGEIF('Pemetaan Variant'!$A$5:$A$32,$B12,'Pemetaan Variant'!$H$5:$H$32))/AVERAGEIF('Pemetaan Variant'!$A$5:$A$32,$B12,'Pemetaan Variant'!$H$5:$H$32)*100,"n/a"),"n/a")</f>
        <v>-5.4187192118226601</v>
      </c>
      <c r="BN12" s="4">
        <f t="shared" si="20"/>
        <v>-0.22019817804842434</v>
      </c>
      <c r="BO12" s="11">
        <f>IFERROR(AVERAGEIF('Pemetaan Variant'!$A$5:$A$32,$B12,'Pemetaan Variant'!$AK$5:$AK$32),"n/a")</f>
        <v>12000</v>
      </c>
      <c r="BP12" s="12">
        <f>IFERROR(IF(ISNUMBER(BO12),(BO12-AVERAGEIF('Pemetaan Variant'!$A$5:$A$32,$B12,'Pemetaan Variant'!$H$5:$H$32))/AVERAGEIF('Pemetaan Variant'!$A$5:$A$32,$B12,'Pemetaan Variant'!$H$5:$H$32)*100,"n/a"),"n/a")</f>
        <v>-5.4187192118226601</v>
      </c>
      <c r="BQ12" s="4">
        <f t="shared" si="21"/>
        <v>-0.22019817804842434</v>
      </c>
      <c r="BR12" s="11">
        <f>IFERROR(AVERAGEIF('Pemetaan Variant'!$A$5:$A$32,$B12,'Pemetaan Variant'!$AL$5:$AL$32),"n/a")</f>
        <v>12000</v>
      </c>
      <c r="BS12" s="12">
        <f>IFERROR(IF(ISNUMBER(BR12),(BR12-AVERAGEIF('Pemetaan Variant'!$A$5:$A$32,$B12,'Pemetaan Variant'!$H$5:$H$32))/AVERAGEIF('Pemetaan Variant'!$A$5:$A$32,$B12,'Pemetaan Variant'!$H$5:$H$32)*100,"n/a"),"n/a")</f>
        <v>-5.4187192118226601</v>
      </c>
      <c r="BT12" s="4">
        <f t="shared" si="22"/>
        <v>-0.22019817804842434</v>
      </c>
      <c r="BU12" s="11">
        <f>IFERROR(AVERAGEIF('Pemetaan Variant'!$A$5:$A$32,$B12,'Pemetaan Variant'!$AM$5:$AM$32),"n/a")</f>
        <v>12000</v>
      </c>
      <c r="BV12" s="12">
        <f>IFERROR(IF(ISNUMBER(BU12),(BU12-AVERAGEIF('Pemetaan Variant'!$A$5:$A$32,$B12,'Pemetaan Variant'!$H$5:$H$32))/AVERAGEIF('Pemetaan Variant'!$A$5:$A$32,$B12,'Pemetaan Variant'!$H$5:$H$32)*100,"n/a"),"n/a")</f>
        <v>-5.4187192118226601</v>
      </c>
      <c r="BW12" s="4">
        <f t="shared" si="23"/>
        <v>-0.22019817804842434</v>
      </c>
      <c r="BX12" s="11">
        <f>IFERROR(AVERAGEIF('Pemetaan Variant'!$A$5:$A$32,$B12,'Pemetaan Variant'!$AN$5:$AN$32),"n/a")</f>
        <v>12000</v>
      </c>
      <c r="BY12" s="12">
        <f>IFERROR(IF(ISNUMBER(BX12),(BX12-AVERAGEIF('Pemetaan Variant'!$A$5:$A$32,$B12,'Pemetaan Variant'!$I$5:$I$32))/AVERAGEIF('Pemetaan Variant'!$A$5:$A$32,$B12,'Pemetaan Variant'!$I$5:$I$32)*100,"n/a"),"n/a")</f>
        <v>0</v>
      </c>
      <c r="BZ12" s="4">
        <f t="shared" si="24"/>
        <v>0</v>
      </c>
      <c r="CA12" s="11">
        <f>IFERROR(AVERAGEIF('Pemetaan Variant'!$A$5:$A$32,$B12,'Pemetaan Variant'!$AO$5:$AO$32),"n/a")</f>
        <v>12000</v>
      </c>
      <c r="CB12" s="12">
        <f>IFERROR(IF(ISNUMBER(CA12),(CA12-AVERAGEIF('Pemetaan Variant'!$A$5:$A$32,$B12,'Pemetaan Variant'!$I$5:$I$32))/AVERAGEIF('Pemetaan Variant'!$A$5:$A$32,$B12,'Pemetaan Variant'!$I$5:$I$32)*100,"n/a"),"n/a")</f>
        <v>0</v>
      </c>
      <c r="CC12" s="4">
        <f t="shared" si="25"/>
        <v>0</v>
      </c>
      <c r="CD12" s="11">
        <f>IFERROR(AVERAGEIF('Pemetaan Variant'!$A$5:$A$32,$B12,'Pemetaan Variant'!$AP$5:$AP$32),"n/a")</f>
        <v>12000</v>
      </c>
      <c r="CE12" s="12">
        <f>IFERROR(IF(ISNUMBER(CD12),(CD12-AVERAGEIF('Pemetaan Variant'!$A$5:$A$32,$B12,'Pemetaan Variant'!$I$5:$I$32))/AVERAGEIF('Pemetaan Variant'!$A$5:$A$32,$B12,'Pemetaan Variant'!$I$5:$I$32)*100,"n/a"),"n/a")</f>
        <v>0</v>
      </c>
      <c r="CF12" s="4">
        <f t="shared" si="26"/>
        <v>0</v>
      </c>
      <c r="CG12" s="11">
        <f>IFERROR(AVERAGEIF('Pemetaan Variant'!$A$5:$A$32,$B12,'Pemetaan Variant'!$AQ$5:$AQ$32),"n/a")</f>
        <v>12000</v>
      </c>
      <c r="CH12" s="12">
        <f>IFERROR(IF(ISNUMBER(CG12),(CG12-AVERAGEIF('Pemetaan Variant'!$A$5:$A$32,$B12,'Pemetaan Variant'!$I$5:$I$32))/AVERAGEIF('Pemetaan Variant'!$A$5:$A$32,$B12,'Pemetaan Variant'!$I$5:$I$32)*100,"n/a"),"n/a")</f>
        <v>0</v>
      </c>
      <c r="CI12" s="4">
        <f t="shared" si="27"/>
        <v>0</v>
      </c>
      <c r="CJ12" s="11">
        <f>IFERROR(AVERAGEIF('Pemetaan Variant'!$A$5:$A$32,$B12,'Pemetaan Variant'!$AR$5:$AR$32),"n/a")</f>
        <v>12000</v>
      </c>
      <c r="CK12" s="12">
        <f>IFERROR(IF(ISNUMBER(CJ12),(CJ12-AVERAGEIF('Pemetaan Variant'!$A$5:$A$32,$B12,'Pemetaan Variant'!$J$5:$J$32))/AVERAGEIF('Pemetaan Variant'!$A$5:$A$32,$B12,'Pemetaan Variant'!$J$5:$J$32)*100,"n/a"),"n/a")</f>
        <v>0</v>
      </c>
      <c r="CL12" s="4">
        <f t="shared" si="28"/>
        <v>0</v>
      </c>
      <c r="CM12" s="11">
        <f>IFERROR(AVERAGEIF('Pemetaan Variant'!$A$5:$A$32,$B12,'Pemetaan Variant'!$AS$5:$AS$32),"n/a")</f>
        <v>12000</v>
      </c>
      <c r="CN12" s="12">
        <f>IFERROR(IF(ISNUMBER(CM12),(CM12-AVERAGEIF('Pemetaan Variant'!$A$5:$A$32,$B12,'Pemetaan Variant'!$J$5:$J$32))/AVERAGEIF('Pemetaan Variant'!$A$5:$A$32,$B12,'Pemetaan Variant'!$J$5:$J$32)*100,"n/a"),"n/a")</f>
        <v>0</v>
      </c>
      <c r="CO12" s="4">
        <f t="shared" si="29"/>
        <v>0</v>
      </c>
      <c r="CP12" s="11">
        <f>IFERROR(AVERAGEIF('Pemetaan Variant'!$A$5:$A$32,$B12,'Pemetaan Variant'!$AT$5:$AT$32),"n/a")</f>
        <v>12000</v>
      </c>
      <c r="CQ12" s="12">
        <f>IFERROR(IF(ISNUMBER(CP12),(CP12-AVERAGEIF('Pemetaan Variant'!$A$5:$A$32,$B12,'Pemetaan Variant'!$J$5:$J$32))/AVERAGEIF('Pemetaan Variant'!$A$5:$A$32,$B12,'Pemetaan Variant'!$J$5:$J$32)*100,"n/a"),"n/a")</f>
        <v>0</v>
      </c>
      <c r="CR12" s="4">
        <f t="shared" si="30"/>
        <v>0</v>
      </c>
      <c r="CS12" s="11">
        <f>IFERROR(AVERAGEIF('Pemetaan Variant'!$A$5:$A$32,$B12,'Pemetaan Variant'!$AU$5:$AU$32),"n/a")</f>
        <v>12000</v>
      </c>
      <c r="CT12" s="12">
        <f>IFERROR(IF(ISNUMBER(CS12),(CS12-AVERAGEIF('Pemetaan Variant'!$A$5:$A$32,$B12,'Pemetaan Variant'!$J$5:$J$32))/AVERAGEIF('Pemetaan Variant'!$A$5:$A$32,$B12,'Pemetaan Variant'!$J$5:$J$32)*100,"n/a"),"n/a")</f>
        <v>0</v>
      </c>
      <c r="CU12" s="4">
        <f t="shared" si="31"/>
        <v>0</v>
      </c>
      <c r="CV12" s="11">
        <f>IFERROR(AVERAGEIF('Pemetaan Variant'!$A$5:$A$32,$B12,'Pemetaan Variant'!$AV$5:$AV$32),"n/a")</f>
        <v>12000</v>
      </c>
      <c r="CW12" s="12">
        <f>IFERROR(IF(ISNUMBER(CV12),(CV12-AVERAGEIF('Pemetaan Variant'!$A$5:$A$32,$B12,'Pemetaan Variant'!$J$5:$J$32))/AVERAGEIF('Pemetaan Variant'!$A$5:$A$32,$B12,'Pemetaan Variant'!$J$5:$J$32)*100,"n/a"),"n/a")</f>
        <v>0</v>
      </c>
      <c r="CX12" s="4">
        <f t="shared" si="32"/>
        <v>0</v>
      </c>
      <c r="CY12" s="11">
        <f>IFERROR(AVERAGEIF('Pemetaan Variant'!$A$5:$A$32,$B12,'Pemetaan Variant'!$AW$5:$AW$32),"n/a")</f>
        <v>0</v>
      </c>
      <c r="CZ12" s="12">
        <f>IFERROR(IF(ISNUMBER(CY12),(CY12-AVERAGEIF('Pemetaan Variant'!$A$5:$A$32,$B12,'Pemetaan Variant'!$K$5:$K$32))/AVERAGEIF('Pemetaan Variant'!$A$5:$A$32,$B12,'Pemetaan Variant'!$K$5:$K$32)*100,"n/a"),"n/a")</f>
        <v>-100</v>
      </c>
      <c r="DA12" s="4">
        <f t="shared" si="33"/>
        <v>-4.0636572858027398</v>
      </c>
      <c r="DB12" s="11">
        <f>IFERROR(AVERAGEIF('Pemetaan Variant'!$A$5:$A$32,$B12,'Pemetaan Variant'!$AX$5:$AX$32),"n/a")</f>
        <v>0</v>
      </c>
      <c r="DC12" s="12">
        <f>IFERROR(IF(ISNUMBER(DB12),(DB12-AVERAGEIF('Pemetaan Variant'!$A$5:$A$32,$B12,'Pemetaan Variant'!$K$5:$K$32))/AVERAGEIF('Pemetaan Variant'!$A$5:$A$32,$B12,'Pemetaan Variant'!$K$5:$K$32)*100,"n/a"),"n/a")</f>
        <v>-100</v>
      </c>
      <c r="DD12" s="4">
        <f t="shared" si="34"/>
        <v>-4.0636572858027398</v>
      </c>
      <c r="DE12" s="11">
        <f>IFERROR(AVERAGEIF('Pemetaan Variant'!$A$5:$A$32,$B12,'Pemetaan Variant'!$AY$5:$AY$32),"n/a")</f>
        <v>0</v>
      </c>
      <c r="DF12" s="12">
        <f>IFERROR(IF(ISNUMBER(DE12),(DE12-AVERAGEIF('Pemetaan Variant'!$A$5:$A$32,$B12,'Pemetaan Variant'!$K$5:$K$32))/AVERAGEIF('Pemetaan Variant'!$A$5:$A$32,$B12,'Pemetaan Variant'!$K$5:$K$32)*100,"n/a"),"n/a")</f>
        <v>-100</v>
      </c>
      <c r="DG12" s="4">
        <f t="shared" si="35"/>
        <v>-4.0636572858027398</v>
      </c>
      <c r="DH12" s="11">
        <f>IFERROR(AVERAGEIF('Pemetaan Variant'!$A$5:$A$32,$B12,'Pemetaan Variant'!$AZ$5:$AZ$32),"n/a")</f>
        <v>0</v>
      </c>
      <c r="DI12" s="12">
        <f>IFERROR(IF(ISNUMBER(DH12),(DH12-AVERAGEIF('Pemetaan Variant'!$A$5:$A$32,$B12,'Pemetaan Variant'!$K$5:$K$32))/AVERAGEIF('Pemetaan Variant'!$A$5:$A$32,$B12,'Pemetaan Variant'!$K$5:$K$32)*100,"n/a"),"n/a")</f>
        <v>-100</v>
      </c>
      <c r="DJ12" s="4">
        <f t="shared" si="36"/>
        <v>-4.0636572858027398</v>
      </c>
      <c r="DK12" s="11" t="str">
        <f>IFERROR(AVERAGEIF('Pemetaan Variant'!$A$5:$A$32,$B12,'Pemetaan Variant'!$BA$5:$BA$32),"n/a")</f>
        <v>n/a</v>
      </c>
      <c r="DL12" s="12" t="str">
        <f>IFERROR(IF(ISNUMBER(DK12),(DK12-AVERAGEIF('Pemetaan Variant'!$A$5:$A$32,$B12,'Pemetaan Variant'!$L$5:$L$32))/AVERAGEIF('Pemetaan Variant'!$A$5:$A$32,$B12,'Pemetaan Variant'!$L$5:$L$32)*100,"n/a"),"n/a")</f>
        <v>n/a</v>
      </c>
      <c r="DM12" s="4" t="str">
        <f t="shared" si="37"/>
        <v>n/a</v>
      </c>
      <c r="DN12" s="11" t="str">
        <f>IFERROR(AVERAGEIF('Pemetaan Variant'!$A$5:$A$32,$B12,'Pemetaan Variant'!$BB$5:$BB$32),"n/a")</f>
        <v>n/a</v>
      </c>
      <c r="DO12" s="12" t="str">
        <f>IFERROR(IF(ISNUMBER(DN12),(DN12-AVERAGEIF('Pemetaan Variant'!$A$5:$A$32,$B12,'Pemetaan Variant'!$L$5:$L$32))/AVERAGEIF('Pemetaan Variant'!$A$5:$A$32,$B12,'Pemetaan Variant'!$L$5:$L$32)*100,"n/a"),"n/a")</f>
        <v>n/a</v>
      </c>
      <c r="DP12" s="4" t="str">
        <f t="shared" si="38"/>
        <v>n/a</v>
      </c>
      <c r="DQ12" s="11" t="str">
        <f>IFERROR(AVERAGEIF('Pemetaan Variant'!$A$5:$A$32,$B12,'Pemetaan Variant'!$BC$5:$BC$32),"n/a")</f>
        <v>n/a</v>
      </c>
      <c r="DR12" s="12" t="str">
        <f>IFERROR(IF(ISNUMBER(DQ12),(DQ12-AVERAGEIF('Pemetaan Variant'!$A$5:$A$32,$B12,'Pemetaan Variant'!$L$5:$L$32))/AVERAGEIF('Pemetaan Variant'!$A$5:$A$32,$B12,'Pemetaan Variant'!$L$5:$L$32)*100,"n/a"),"n/a")</f>
        <v>n/a</v>
      </c>
      <c r="DS12" s="4" t="str">
        <f t="shared" si="39"/>
        <v>n/a</v>
      </c>
      <c r="DT12" s="11" t="str">
        <f>IFERROR(AVERAGEIF('Pemetaan Variant'!$A$5:$A$32,$B12,'Pemetaan Variant'!$BD$5:$BD$32),"n/a")</f>
        <v>n/a</v>
      </c>
      <c r="DU12" s="12" t="str">
        <f>IFERROR(IF(ISNUMBER(DT12),(DT12-AVERAGEIF('Pemetaan Variant'!$A$5:$A$32,$B12,'Pemetaan Variant'!$L$5:$L$32))/AVERAGEIF('Pemetaan Variant'!$A$5:$A$32,$B12,'Pemetaan Variant'!$L$5:$L$32)*100,"n/a"),"n/a")</f>
        <v>n/a</v>
      </c>
      <c r="DV12" s="4" t="str">
        <f t="shared" si="40"/>
        <v>n/a</v>
      </c>
      <c r="DW12" s="11" t="str">
        <f>IFERROR(AVERAGEIF('Pemetaan Variant'!$A$5:$A$32,$B12,'Pemetaan Variant'!$BE$5:$BE$32),"n/a")</f>
        <v>n/a</v>
      </c>
      <c r="DX12" s="12" t="str">
        <f>IFERROR(IF(ISNUMBER(DW12),(DW12-AVERAGEIF('Pemetaan Variant'!$A$5:$A$32,$B12,'Pemetaan Variant'!$M$5:$M$32))/AVERAGEIF('Pemetaan Variant'!$A$5:$A$32,$B12,'Pemetaan Variant'!$M$5:$M$32)*100,"n/a"),"n/a")</f>
        <v>n/a</v>
      </c>
      <c r="DY12" s="4" t="str">
        <f t="shared" si="41"/>
        <v>n/a</v>
      </c>
      <c r="DZ12" s="11" t="str">
        <f>IFERROR(AVERAGEIF('Pemetaan Variant'!$A$5:$A$32,$B12,'Pemetaan Variant'!$BF$5:$BF$32),"n/a")</f>
        <v>n/a</v>
      </c>
      <c r="EA12" s="12" t="str">
        <f>IFERROR(IF(ISNUMBER(DZ12),(DZ12-AVERAGEIF('Pemetaan Variant'!$A$5:$A$32,$B12,'Pemetaan Variant'!$M$5:$M$32))/AVERAGEIF('Pemetaan Variant'!$A$5:$A$32,$B12,'Pemetaan Variant'!$M$5:$M$32)*100,"n/a"),"n/a")</f>
        <v>n/a</v>
      </c>
      <c r="EB12" s="4" t="str">
        <f t="shared" si="42"/>
        <v>n/a</v>
      </c>
      <c r="EC12" s="11" t="str">
        <f>IFERROR(AVERAGEIF('Pemetaan Variant'!$A$5:$A$32,$B12,'Pemetaan Variant'!$BG$5:$BG$32),"n/a")</f>
        <v>n/a</v>
      </c>
      <c r="ED12" s="12" t="str">
        <f>IFERROR(IF(ISNUMBER(EC12),(EC12-AVERAGEIF('Pemetaan Variant'!$A$5:$A$32,$B12,'Pemetaan Variant'!$M$5:$M$32))/AVERAGEIF('Pemetaan Variant'!$A$5:$A$32,$B12,'Pemetaan Variant'!$M$5:$M$32)*100,"n/a"),"n/a")</f>
        <v>n/a</v>
      </c>
      <c r="EE12" s="4" t="str">
        <f t="shared" si="43"/>
        <v>n/a</v>
      </c>
      <c r="EF12" s="11" t="str">
        <f>IFERROR(AVERAGEIF('Pemetaan Variant'!$A$5:$A$32,$B12,'Pemetaan Variant'!$BH$5:$BH$32),"n/a")</f>
        <v>n/a</v>
      </c>
      <c r="EG12" s="12" t="str">
        <f>IFERROR(IF(ISNUMBER(EF12),(EF12-AVERAGEIF('Pemetaan Variant'!$A$5:$A$32,$B12,'Pemetaan Variant'!$M$5:$M$32))/AVERAGEIF('Pemetaan Variant'!$A$5:$A$32,$B12,'Pemetaan Variant'!$M$5:$M$32)*100,"n/a"),"n/a")</f>
        <v>n/a</v>
      </c>
      <c r="EH12" s="4" t="str">
        <f t="shared" si="44"/>
        <v>n/a</v>
      </c>
      <c r="EI12" s="11" t="str">
        <f>IFERROR(AVERAGEIF('Pemetaan Variant'!$A$5:$A$32,$B12,'Pemetaan Variant'!$BI$5:$BI$32),"n/a")</f>
        <v>n/a</v>
      </c>
      <c r="EJ12" s="12" t="str">
        <f>IFERROR(IF(ISNUMBER(EI12),(EI12-AVERAGEIF('Pemetaan Variant'!$A$5:$A$32,$B12,'Pemetaan Variant'!$M$5:$M$32))/AVERAGEIF('Pemetaan Variant'!$A$5:$A$32,$B12,'Pemetaan Variant'!$M$5:$M$32)*100,"n/a"),"n/a")</f>
        <v>n/a</v>
      </c>
      <c r="EK12" s="4" t="str">
        <f t="shared" si="45"/>
        <v>n/a</v>
      </c>
      <c r="EL12" s="11" t="str">
        <f>IFERROR(AVERAGEIF('Pemetaan Variant'!$A$5:$A$32,$B12,'Pemetaan Variant'!$BJ$5:$BJ$32),"n/a")</f>
        <v>n/a</v>
      </c>
      <c r="EM12" s="12" t="str">
        <f>IFERROR(IF(ISNUMBER(EL12),(EL12-AVERAGEIF('Pemetaan Variant'!$A$5:$A$32,$B12,'Pemetaan Variant'!$N$5:$N$32))/AVERAGEIF('Pemetaan Variant'!$A$5:$A$32,$B12,'Pemetaan Variant'!$N$5:$N$32)*100,"n/a"),"n/a")</f>
        <v>n/a</v>
      </c>
      <c r="EN12" s="4" t="str">
        <f t="shared" si="46"/>
        <v>n/a</v>
      </c>
      <c r="EO12" s="11" t="str">
        <f>IFERROR(AVERAGEIF('Pemetaan Variant'!$A$5:$A$32,$B12,'Pemetaan Variant'!$BK$5:$BK$32),"n/a")</f>
        <v>n/a</v>
      </c>
      <c r="EP12" s="12" t="str">
        <f>IFERROR(IF(ISNUMBER(EO12),(EO12-AVERAGEIF('Pemetaan Variant'!$A$5:$A$32,$B12,'Pemetaan Variant'!$N$5:$N$32))/AVERAGEIF('Pemetaan Variant'!$A$5:$A$32,$B12,'Pemetaan Variant'!$N$5:$N$32)*100,"n/a"),"n/a")</f>
        <v>n/a</v>
      </c>
      <c r="EQ12" s="4" t="str">
        <f t="shared" si="47"/>
        <v>n/a</v>
      </c>
      <c r="ER12" s="11" t="str">
        <f>IFERROR(AVERAGEIF('Pemetaan Variant'!$A$5:$A$32,$B12,'Pemetaan Variant'!$BL$5:$BL$32),"n/a")</f>
        <v>n/a</v>
      </c>
      <c r="ES12" s="12" t="str">
        <f>IFERROR(IF(ISNUMBER(ER12),(ER12-AVERAGEIF('Pemetaan Variant'!$A$5:$A$32,$B12,'Pemetaan Variant'!$N$5:$N$32))/AVERAGEIF('Pemetaan Variant'!$A$5:$A$32,$B12,'Pemetaan Variant'!$N$5:$N$32)*100,"n/a"),"n/a")</f>
        <v>n/a</v>
      </c>
      <c r="ET12" s="4" t="str">
        <f t="shared" si="48"/>
        <v>n/a</v>
      </c>
      <c r="EU12" s="11" t="str">
        <f>IFERROR(AVERAGEIF('Pemetaan Variant'!$A$5:$A$32,$B12,'Pemetaan Variant'!$BM$5:$BM$32),"n/a")</f>
        <v>n/a</v>
      </c>
      <c r="EV12" s="12" t="str">
        <f>IFERROR(IF(ISNUMBER(EU12),(EU12-AVERAGEIF('Pemetaan Variant'!$A$5:$A$32,$B12,'Pemetaan Variant'!$N$5:$N$32))/AVERAGEIF('Pemetaan Variant'!$A$5:$A$32,$B12,'Pemetaan Variant'!$N$5:$N$32)*100,"n/a"),"n/a")</f>
        <v>n/a</v>
      </c>
      <c r="EW12" s="4" t="str">
        <f t="shared" si="49"/>
        <v>n/a</v>
      </c>
      <c r="EX12" s="11" t="str">
        <f>IFERROR(AVERAGEIF('Pemetaan Variant'!$A$5:$A$32,$B12,'Pemetaan Variant'!$BN$5:$BN$32),"n/a")</f>
        <v>n/a</v>
      </c>
      <c r="EY12" s="12" t="str">
        <f>IFERROR(IF(ISNUMBER(EX12),(EX12-AVERAGEIF('Pemetaan Variant'!$A$5:$A$32,$B12,'Pemetaan Variant'!$O$5:$O$32))/AVERAGEIF('Pemetaan Variant'!$A$5:$A$32,$B12,'Pemetaan Variant'!$O$5:$O$32)*100,"n/a"),"n/a")</f>
        <v>n/a</v>
      </c>
      <c r="EZ12" s="4" t="str">
        <f t="shared" si="50"/>
        <v>n/a</v>
      </c>
      <c r="FA12" s="11" t="str">
        <f>IFERROR(AVERAGEIF('Pemetaan Variant'!$A$5:$A$32,$B12,'Pemetaan Variant'!$BO$5:$BO$32),"n/a")</f>
        <v>n/a</v>
      </c>
      <c r="FB12" s="12" t="str">
        <f>IFERROR(IF(ISNUMBER(FA12),(FA12-AVERAGEIF('Pemetaan Variant'!$A$5:$A$32,$B12,'Pemetaan Variant'!$O$5:$O$32))/AVERAGEIF('Pemetaan Variant'!$A$5:$A$32,$B12,'Pemetaan Variant'!$O$5:$O$32)*100,"n/a"),"n/a")</f>
        <v>n/a</v>
      </c>
      <c r="FC12" s="4" t="str">
        <f t="shared" si="51"/>
        <v>n/a</v>
      </c>
      <c r="FD12" s="11" t="str">
        <f>IFERROR(AVERAGEIF('Pemetaan Variant'!$A$5:$A$32,$B12,'Pemetaan Variant'!$BP$5:$BP$32),"n/a")</f>
        <v>n/a</v>
      </c>
      <c r="FE12" s="12" t="str">
        <f>IFERROR(IF(ISNUMBER(FD12),(FD12-AVERAGEIF('Pemetaan Variant'!$A$5:$A$32,$B12,'Pemetaan Variant'!$O$5:$O$32))/AVERAGEIF('Pemetaan Variant'!$A$5:$A$32,$B12,'Pemetaan Variant'!$O$5:$O$32)*100,"n/a"),"n/a")</f>
        <v>n/a</v>
      </c>
      <c r="FF12" s="4" t="str">
        <f t="shared" si="52"/>
        <v>n/a</v>
      </c>
      <c r="FG12" s="11" t="str">
        <f>IFERROR(AVERAGEIF('Pemetaan Variant'!$A$5:$A$32,$B12,'Pemetaan Variant'!$BQ$5:$BQ$32),"n/a")</f>
        <v>n/a</v>
      </c>
      <c r="FH12" s="12" t="str">
        <f>IFERROR(IF(ISNUMBER(FG12),(FG12-AVERAGEIF('Pemetaan Variant'!$A$5:$A$32,$B12,'Pemetaan Variant'!$O$5:$O$32))/AVERAGEIF('Pemetaan Variant'!$A$5:$A$32,$B12,'Pemetaan Variant'!$O$5:$O$32)*100,"n/a"),"n/a")</f>
        <v>n/a</v>
      </c>
      <c r="FI12" s="4" t="str">
        <f t="shared" si="53"/>
        <v>n/a</v>
      </c>
      <c r="FJ12" s="11" t="str">
        <f>IFERROR(AVERAGEIF('Pemetaan Variant'!$A$5:$A$32,$B12,'Pemetaan Variant'!$BR$5:$BR$32),"n/a")</f>
        <v>n/a</v>
      </c>
      <c r="FK12" s="12" t="str">
        <f>IFERROR(IF(ISNUMBER(FJ12),(FJ12-AVERAGEIF('Pemetaan Variant'!$A$5:$A$32,$B12,'Pemetaan Variant'!$O$5:$O$32))/AVERAGEIF('Pemetaan Variant'!$A$5:$A$32,$B12,'Pemetaan Variant'!$O$5:$O$32)*100,"n/a"),"n/a")</f>
        <v>n/a</v>
      </c>
      <c r="FL12" s="4" t="str">
        <f t="shared" si="54"/>
        <v>n/a</v>
      </c>
      <c r="FM12" s="13" t="s">
        <v>131</v>
      </c>
      <c r="FO12" s="9">
        <f t="shared" si="55"/>
        <v>0</v>
      </c>
      <c r="FP12" s="9">
        <f t="shared" si="56"/>
        <v>0</v>
      </c>
      <c r="FQ12" s="9">
        <f t="shared" si="57"/>
        <v>0</v>
      </c>
      <c r="FR12" s="9">
        <f t="shared" si="58"/>
        <v>0</v>
      </c>
      <c r="FS12" s="9">
        <f t="shared" si="59"/>
        <v>0</v>
      </c>
      <c r="FT12" s="9">
        <f t="shared" si="60"/>
        <v>0</v>
      </c>
      <c r="FU12" s="9">
        <f t="shared" si="61"/>
        <v>0</v>
      </c>
      <c r="FV12" s="9">
        <f t="shared" si="62"/>
        <v>0</v>
      </c>
      <c r="FW12" s="9">
        <f t="shared" si="63"/>
        <v>0</v>
      </c>
      <c r="FX12" s="9">
        <f t="shared" si="64"/>
        <v>0</v>
      </c>
      <c r="FY12" s="9">
        <f t="shared" si="65"/>
        <v>0</v>
      </c>
      <c r="FZ12" s="9">
        <f t="shared" si="66"/>
        <v>0</v>
      </c>
      <c r="GA12" s="9">
        <f t="shared" si="67"/>
        <v>0</v>
      </c>
      <c r="GB12" s="9">
        <f t="shared" si="68"/>
        <v>0</v>
      </c>
      <c r="GC12" s="9">
        <f t="shared" si="69"/>
        <v>0</v>
      </c>
      <c r="GD12" s="9">
        <f t="shared" si="70"/>
        <v>0</v>
      </c>
      <c r="GE12" s="9">
        <f t="shared" si="71"/>
        <v>0</v>
      </c>
      <c r="GF12" s="9">
        <f t="shared" si="72"/>
        <v>0.12503560879393047</v>
      </c>
      <c r="GG12" s="9">
        <f t="shared" si="73"/>
        <v>0.31258902198482619</v>
      </c>
      <c r="GH12" s="9">
        <f t="shared" si="74"/>
        <v>0.22019817804842434</v>
      </c>
      <c r="GI12" s="9">
        <f t="shared" si="75"/>
        <v>0.22019817804842434</v>
      </c>
      <c r="GJ12" s="9">
        <f t="shared" si="76"/>
        <v>0.22019817804842434</v>
      </c>
      <c r="GK12" s="9">
        <f t="shared" si="77"/>
        <v>0.22019817804842434</v>
      </c>
      <c r="GL12" s="9">
        <f t="shared" si="78"/>
        <v>0.22019817804842434</v>
      </c>
      <c r="GM12" s="9">
        <f t="shared" si="79"/>
        <v>0</v>
      </c>
      <c r="GN12" s="9">
        <f t="shared" si="80"/>
        <v>0</v>
      </c>
      <c r="GO12" s="9">
        <f t="shared" si="81"/>
        <v>0</v>
      </c>
      <c r="GP12" s="9">
        <f t="shared" si="82"/>
        <v>0</v>
      </c>
      <c r="GQ12" s="9">
        <f t="shared" si="83"/>
        <v>0</v>
      </c>
      <c r="GR12" s="9">
        <f t="shared" si="84"/>
        <v>0</v>
      </c>
      <c r="GS12" s="9">
        <f t="shared" si="85"/>
        <v>0</v>
      </c>
      <c r="GT12" s="9">
        <f t="shared" si="86"/>
        <v>0</v>
      </c>
      <c r="GU12" s="9">
        <f t="shared" si="87"/>
        <v>0</v>
      </c>
      <c r="GV12" s="9">
        <f t="shared" si="88"/>
        <v>4.0636572858027398</v>
      </c>
      <c r="GW12" s="9">
        <f t="shared" si="89"/>
        <v>4.0636572858027398</v>
      </c>
      <c r="GX12" s="9">
        <f t="shared" si="90"/>
        <v>4.0636572858027398</v>
      </c>
      <c r="GY12" s="9">
        <f t="shared" si="91"/>
        <v>4.0636572858027398</v>
      </c>
      <c r="GZ12" s="9">
        <f t="shared" si="92"/>
        <v>0</v>
      </c>
      <c r="HA12" s="9">
        <f t="shared" si="93"/>
        <v>0</v>
      </c>
      <c r="HB12" s="9">
        <f t="shared" si="94"/>
        <v>0</v>
      </c>
      <c r="HC12" s="9">
        <f t="shared" si="95"/>
        <v>0</v>
      </c>
      <c r="HD12" s="9">
        <f t="shared" si="96"/>
        <v>0</v>
      </c>
      <c r="HE12" s="9">
        <f t="shared" si="97"/>
        <v>0</v>
      </c>
      <c r="HF12" s="9">
        <f t="shared" si="98"/>
        <v>0</v>
      </c>
      <c r="HG12" s="9">
        <f t="shared" si="99"/>
        <v>0</v>
      </c>
      <c r="HH12" s="9">
        <f t="shared" si="100"/>
        <v>0</v>
      </c>
      <c r="HI12" s="9">
        <f t="shared" si="101"/>
        <v>0</v>
      </c>
      <c r="HJ12" s="9">
        <f t="shared" si="102"/>
        <v>0</v>
      </c>
      <c r="HK12" s="9">
        <f t="shared" si="103"/>
        <v>0</v>
      </c>
      <c r="HL12" s="9">
        <f t="shared" si="104"/>
        <v>0</v>
      </c>
      <c r="HM12" s="9">
        <f t="shared" si="105"/>
        <v>0</v>
      </c>
      <c r="HN12" s="9">
        <f t="shared" si="106"/>
        <v>0</v>
      </c>
      <c r="HO12" s="9">
        <f t="shared" si="107"/>
        <v>0</v>
      </c>
      <c r="HP12" s="9">
        <f t="shared" si="108"/>
        <v>0</v>
      </c>
      <c r="HQ12" s="9">
        <f t="shared" si="109"/>
        <v>0</v>
      </c>
    </row>
    <row r="13" spans="1:225" x14ac:dyDescent="0.35">
      <c r="A13" s="3">
        <v>8</v>
      </c>
      <c r="B13" s="3" t="s">
        <v>132</v>
      </c>
      <c r="C13" s="10">
        <f>'P0Q0 Dasar 2022'!F12</f>
        <v>1.7701732362870599E-2</v>
      </c>
      <c r="D13" s="11">
        <f>IFERROR(AVERAGEIF('Pemetaan Variant'!$A$5:$A$32,$B13,'Pemetaan Variant'!$P$5:$P$32),"n/a")</f>
        <v>45000</v>
      </c>
      <c r="E13" s="12">
        <f>IFERROR(IF(ISNUMBER(D13),(D13-AVERAGEIF('Pemetaan Variant'!$A$5:$A$32,$B13,'Pemetaan Variant'!$D$5:$D$32))/AVERAGEIF('Pemetaan Variant'!$A$5:$A$32,$B13,'Pemetaan Variant'!$D$5:$D$32)*100,"n/a"),"n/a")</f>
        <v>44.385026737967905</v>
      </c>
      <c r="F13" s="4">
        <f t="shared" si="0"/>
        <v>0.78569186423436332</v>
      </c>
      <c r="G13" s="11">
        <f>IFERROR(AVERAGEIF('Pemetaan Variant'!$A$5:$A$32,$B13,'Pemetaan Variant'!$Q$5:$Q$32),"n/a")</f>
        <v>47000</v>
      </c>
      <c r="H13" s="12">
        <f>IFERROR(IF(ISNUMBER(G13),(G13-AVERAGEIF('Pemetaan Variant'!$A$5:$A$32,$B13,'Pemetaan Variant'!$D$5:$D$32))/AVERAGEIF('Pemetaan Variant'!$A$5:$A$32,$B13,'Pemetaan Variant'!$D$5:$D$32)*100,"n/a"),"n/a")</f>
        <v>50.80213903743315</v>
      </c>
      <c r="I13" s="4">
        <f t="shared" si="1"/>
        <v>0.89928586870198224</v>
      </c>
      <c r="J13" s="11">
        <f>IFERROR(AVERAGEIF('Pemetaan Variant'!$A$5:$A$32,$B13,'Pemetaan Variant'!$R$5:$R$32),"n/a")</f>
        <v>46600</v>
      </c>
      <c r="K13" s="12">
        <f>IFERROR(IF(ISNUMBER(J13),(J13-AVERAGEIF('Pemetaan Variant'!$A$5:$A$32,$B13,'Pemetaan Variant'!$D$5:$D$32))/AVERAGEIF('Pemetaan Variant'!$A$5:$A$32,$B13,'Pemetaan Variant'!$D$5:$D$32)*100,"n/a"),"n/a")</f>
        <v>49.518716577540104</v>
      </c>
      <c r="L13" s="4">
        <f t="shared" si="2"/>
        <v>0.8765670678084585</v>
      </c>
      <c r="M13" s="11">
        <f>IFERROR(AVERAGEIF('Pemetaan Variant'!$A$5:$A$32,$B13,'Pemetaan Variant'!$S$5:$S$32),"n/a")</f>
        <v>45100</v>
      </c>
      <c r="N13" s="12">
        <f>IFERROR(IF(ISNUMBER(M13),(M13-AVERAGEIF('Pemetaan Variant'!$A$5:$A$32,$B13,'Pemetaan Variant'!$D$5:$D$32))/AVERAGEIF('Pemetaan Variant'!$A$5:$A$32,$B13,'Pemetaan Variant'!$D$5:$D$32)*100,"n/a"),"n/a")</f>
        <v>44.705882352941174</v>
      </c>
      <c r="O13" s="4">
        <f t="shared" si="3"/>
        <v>0.79137156445774437</v>
      </c>
      <c r="P13" s="11">
        <f>IFERROR(AVERAGEIF('Pemetaan Variant'!$A$5:$A$32,$B13,'Pemetaan Variant'!$T$5:$T$32),"n/a")</f>
        <v>47000</v>
      </c>
      <c r="Q13" s="12">
        <f>IFERROR(IF(ISNUMBER(P13),(P13-AVERAGEIF('Pemetaan Variant'!$A$5:$A$32,$B13,'Pemetaan Variant'!$D$5:$D$32))/AVERAGEIF('Pemetaan Variant'!$A$5:$A$32,$B13,'Pemetaan Variant'!$D$5:$D$32)*100,"n/a"),"n/a")</f>
        <v>50.80213903743315</v>
      </c>
      <c r="R13" s="4">
        <f t="shared" si="4"/>
        <v>0.89928586870198224</v>
      </c>
      <c r="S13" s="11">
        <f>IFERROR(AVERAGEIF('Pemetaan Variant'!$A$5:$A$32,$B13,'Pemetaan Variant'!$U$5:$U$32),"n/a")</f>
        <v>47000</v>
      </c>
      <c r="T13" s="12">
        <f>IFERROR(IF(ISNUMBER(S13),(S13-AVERAGEIF('Pemetaan Variant'!$A$5:$A$32,$B13,'Pemetaan Variant'!$E$5:$E$32))/AVERAGEIF('Pemetaan Variant'!$A$5:$A$32,$B13,'Pemetaan Variant'!$E$5:$E$32)*100,"n/a"),"n/a")</f>
        <v>1.7663817663817731</v>
      </c>
      <c r="U13" s="4">
        <f t="shared" si="5"/>
        <v>3.1268017279144765E-2</v>
      </c>
      <c r="V13" s="11">
        <f>IFERROR(AVERAGEIF('Pemetaan Variant'!$A$5:$A$32,$B13,'Pemetaan Variant'!$V$5:$V$32),"n/a")</f>
        <v>47000</v>
      </c>
      <c r="W13" s="12">
        <f>IFERROR(IF(ISNUMBER(V13),(V13-AVERAGEIF('Pemetaan Variant'!$A$5:$A$32,$B13,'Pemetaan Variant'!$E$5:$E$32))/AVERAGEIF('Pemetaan Variant'!$A$5:$A$32,$B13,'Pemetaan Variant'!$E$5:$E$32)*100,"n/a"),"n/a")</f>
        <v>1.7663817663817731</v>
      </c>
      <c r="X13" s="4">
        <f t="shared" si="6"/>
        <v>3.1268017279144765E-2</v>
      </c>
      <c r="Y13" s="11">
        <f>IFERROR(AVERAGEIF('Pemetaan Variant'!$A$5:$A$32,$B13,'Pemetaan Variant'!$W$5:$W$32),"n/a")</f>
        <v>49600</v>
      </c>
      <c r="Z13" s="12">
        <f>IFERROR(IF(ISNUMBER(Y13),(Y13-AVERAGEIF('Pemetaan Variant'!$A$5:$A$32,$B13,'Pemetaan Variant'!$E$5:$E$32))/AVERAGEIF('Pemetaan Variant'!$A$5:$A$32,$B13,'Pemetaan Variant'!$E$5:$E$32)*100,"n/a"),"n/a")</f>
        <v>7.3960113960114038</v>
      </c>
      <c r="AA13" s="4">
        <f t="shared" si="7"/>
        <v>0.13092221428493483</v>
      </c>
      <c r="AB13" s="11">
        <f>IFERROR(AVERAGEIF('Pemetaan Variant'!$A$5:$A$32,$B13,'Pemetaan Variant'!$X$5:$X$32),"n/a")</f>
        <v>50000</v>
      </c>
      <c r="AC13" s="12">
        <f>IFERROR(IF(ISNUMBER(AB13),(AB13-AVERAGEIF('Pemetaan Variant'!$A$5:$A$32,$B13,'Pemetaan Variant'!$E$5:$E$32))/AVERAGEIF('Pemetaan Variant'!$A$5:$A$32,$B13,'Pemetaan Variant'!$E$5:$E$32)*100,"n/a"),"n/a")</f>
        <v>8.2621082621082707</v>
      </c>
      <c r="AD13" s="4">
        <f t="shared" si="8"/>
        <v>0.14625362920890253</v>
      </c>
      <c r="AE13" s="11">
        <f>IFERROR(AVERAGEIF('Pemetaan Variant'!$A$5:$A$32,$B13,'Pemetaan Variant'!$Y$5:$Y$32),"n/a")</f>
        <v>46000</v>
      </c>
      <c r="AF13" s="12">
        <f>IFERROR(IF(ISNUMBER(AE13),(AE13-AVERAGEIF('Pemetaan Variant'!$A$5:$A$32,$B13,'Pemetaan Variant'!$F$5:$F$32))/AVERAGEIF('Pemetaan Variant'!$A$5:$A$32,$B13,'Pemetaan Variant'!$F$5:$F$32)*100,"n/a"),"n/a")</f>
        <v>-4.7930283224400929</v>
      </c>
      <c r="AG13" s="4">
        <f t="shared" si="9"/>
        <v>-8.4844904571493171E-2</v>
      </c>
      <c r="AH13" s="11">
        <f>IFERROR(AVERAGEIF('Pemetaan Variant'!$A$5:$A$32,$B13,'Pemetaan Variant'!$Z$5:$Z$32),"n/a")</f>
        <v>45000</v>
      </c>
      <c r="AI13" s="12">
        <f>IFERROR(IF(ISNUMBER(AH13),(AH13-AVERAGEIF('Pemetaan Variant'!$A$5:$A$32,$B13,'Pemetaan Variant'!$F$5:$F$32))/AVERAGEIF('Pemetaan Variant'!$A$5:$A$32,$B13,'Pemetaan Variant'!$F$5:$F$32)*100,"n/a"),"n/a")</f>
        <v>-6.8627450980392215</v>
      </c>
      <c r="AJ13" s="4">
        <f t="shared" si="10"/>
        <v>-0.12148247700009245</v>
      </c>
      <c r="AK13" s="11">
        <f>IFERROR(AVERAGEIF('Pemetaan Variant'!$A$5:$A$32,$B13,'Pemetaan Variant'!$AA$5:$AA$32),"n/a")</f>
        <v>46200</v>
      </c>
      <c r="AL13" s="12">
        <f>IFERROR(IF(ISNUMBER(AK13),(AK13-AVERAGEIF('Pemetaan Variant'!$A$5:$A$32,$B13,'Pemetaan Variant'!$F$5:$F$32))/AVERAGEIF('Pemetaan Variant'!$A$5:$A$32,$B13,'Pemetaan Variant'!$F$5:$F$32)*100,"n/a"),"n/a")</f>
        <v>-4.3790849673202672</v>
      </c>
      <c r="AM13" s="4">
        <f t="shared" si="11"/>
        <v>-7.7517390085773311E-2</v>
      </c>
      <c r="AN13" s="11">
        <f>IFERROR(AVERAGEIF('Pemetaan Variant'!$A$5:$A$32,$B13,'Pemetaan Variant'!$AB$5:$AB$32),"n/a")</f>
        <v>47750</v>
      </c>
      <c r="AO13" s="12">
        <f>IFERROR(IF(ISNUMBER(AN13),(AN13-AVERAGEIF('Pemetaan Variant'!$A$5:$A$32,$B13,'Pemetaan Variant'!$F$5:$F$32))/AVERAGEIF('Pemetaan Variant'!$A$5:$A$32,$B13,'Pemetaan Variant'!$F$5:$F$32)*100,"n/a"),"n/a")</f>
        <v>-1.1710239651416183</v>
      </c>
      <c r="AP13" s="4">
        <f t="shared" si="12"/>
        <v>-2.0729152821444437E-2</v>
      </c>
      <c r="AQ13" s="11" t="str">
        <f>IFERROR(AVERAGEIF('Pemetaan Variant'!$A$5:$A$32,$B13,'Pemetaan Variant'!$AC$5:$AC$32),"n/a")</f>
        <v>n/a</v>
      </c>
      <c r="AR13" s="12" t="str">
        <f>IFERROR(IF(ISNUMBER(AQ13),(AQ13-AVERAGEIF('Pemetaan Variant'!$A$5:$A$32,$B13,'Pemetaan Variant'!$F$5:$F$32))/AVERAGEIF('Pemetaan Variant'!$A$5:$A$32,$B13,'Pemetaan Variant'!$F$5:$F$32)*100,"n/a"),"n/a")</f>
        <v>n/a</v>
      </c>
      <c r="AS13" s="4" t="str">
        <f t="shared" si="13"/>
        <v>n/a</v>
      </c>
      <c r="AT13" s="11" t="str">
        <f>IFERROR(AVERAGEIF('Pemetaan Variant'!$A$5:$A$32,$B13,'Pemetaan Variant'!$AD$5:$AD$32),"n/a")</f>
        <v>n/a</v>
      </c>
      <c r="AU13" s="12" t="str">
        <f>IFERROR(IF(ISNUMBER(AT13),(AT13-AVERAGEIF('Pemetaan Variant'!$A$5:$A$32,$B13,'Pemetaan Variant'!$G$5:$G$32))/AVERAGEIF('Pemetaan Variant'!$A$5:$A$32,$B13,'Pemetaan Variant'!$G$5:$G$32)*100,"n/a"),"n/a")</f>
        <v>n/a</v>
      </c>
      <c r="AV13" s="4" t="str">
        <f t="shared" si="14"/>
        <v>n/a</v>
      </c>
      <c r="AW13" s="11">
        <f>IFERROR(AVERAGEIF('Pemetaan Variant'!$A$5:$A$32,$B13,'Pemetaan Variant'!$AE$5:$AE$32),"n/a")</f>
        <v>60000</v>
      </c>
      <c r="AX13" s="12">
        <f>IFERROR(IF(ISNUMBER(AW13),(AW13-AVERAGEIF('Pemetaan Variant'!$A$5:$A$32,$B13,'Pemetaan Variant'!$G$5:$G$32))/AVERAGEIF('Pemetaan Variant'!$A$5:$A$32,$B13,'Pemetaan Variant'!$G$5:$G$32)*100,"n/a"),"n/a")</f>
        <v>29.988597491448115</v>
      </c>
      <c r="AY13" s="4">
        <f t="shared" si="15"/>
        <v>0.53085012673146714</v>
      </c>
      <c r="AZ13" s="11">
        <f>IFERROR(AVERAGEIF('Pemetaan Variant'!$A$5:$A$32,$B13,'Pemetaan Variant'!$AF$5:$AF$32),"n/a")</f>
        <v>59375</v>
      </c>
      <c r="BA13" s="12">
        <f>IFERROR(IF(ISNUMBER(AZ13),(AZ13-AVERAGEIF('Pemetaan Variant'!$A$5:$A$32,$B13,'Pemetaan Variant'!$G$5:$G$32))/AVERAGEIF('Pemetaan Variant'!$A$5:$A$32,$B13,'Pemetaan Variant'!$G$5:$G$32)*100,"n/a"),"n/a")</f>
        <v>28.634549600912194</v>
      </c>
      <c r="BB13" s="4">
        <f t="shared" si="16"/>
        <v>0.50688113336669083</v>
      </c>
      <c r="BC13" s="11">
        <f>IFERROR(AVERAGEIF('Pemetaan Variant'!$A$5:$A$32,$B13,'Pemetaan Variant'!$AG$5:$AG$32),"n/a")</f>
        <v>48900</v>
      </c>
      <c r="BD13" s="12">
        <f>IFERROR(IF(ISNUMBER(BC13),(BC13-AVERAGEIF('Pemetaan Variant'!$A$5:$A$32,$B13,'Pemetaan Variant'!$G$5:$G$32))/AVERAGEIF('Pemetaan Variant'!$A$5:$A$32,$B13,'Pemetaan Variant'!$G$5:$G$32)*100,"n/a"),"n/a")</f>
        <v>5.9407069555302128</v>
      </c>
      <c r="BE13" s="4">
        <f t="shared" si="17"/>
        <v>0.10516080457303964</v>
      </c>
      <c r="BF13" s="11">
        <f>IFERROR(AVERAGEIF('Pemetaan Variant'!$A$5:$A$32,$B13,'Pemetaan Variant'!$AH$5:$AH$32),"n/a")</f>
        <v>28666.666666666668</v>
      </c>
      <c r="BG13" s="12">
        <f>IFERROR(IF(ISNUMBER(BF13),(BF13-AVERAGEIF('Pemetaan Variant'!$A$5:$A$32,$B13,'Pemetaan Variant'!$G$5:$G$32))/AVERAGEIF('Pemetaan Variant'!$A$5:$A$32,$B13,'Pemetaan Variant'!$G$5:$G$32)*100,"n/a"),"n/a")</f>
        <v>-37.894336754085899</v>
      </c>
      <c r="BH13" s="4">
        <f t="shared" si="18"/>
        <v>-0.67079540728931919</v>
      </c>
      <c r="BI13" s="11">
        <f>IFERROR(AVERAGEIF('Pemetaan Variant'!$A$5:$A$32,$B13,'Pemetaan Variant'!$AI$5:$AI$32),"n/a")</f>
        <v>28000</v>
      </c>
      <c r="BJ13" s="12">
        <f>IFERROR(IF(ISNUMBER(BI13),(BI13-AVERAGEIF('Pemetaan Variant'!$A$5:$A$32,$B13,'Pemetaan Variant'!$H$5:$H$32))/AVERAGEIF('Pemetaan Variant'!$A$5:$A$32,$B13,'Pemetaan Variant'!$H$5:$H$32)*100,"n/a"),"n/a")</f>
        <v>-44.554455445544555</v>
      </c>
      <c r="BK13" s="4">
        <f t="shared" si="19"/>
        <v>-0.78869104587047223</v>
      </c>
      <c r="BL13" s="11">
        <f>IFERROR(AVERAGEIF('Pemetaan Variant'!$A$5:$A$32,$B13,'Pemetaan Variant'!$AJ$5:$AJ$32),"n/a")</f>
        <v>26800</v>
      </c>
      <c r="BM13" s="12">
        <f>IFERROR(IF(ISNUMBER(BL13),(BL13-AVERAGEIF('Pemetaan Variant'!$A$5:$A$32,$B13,'Pemetaan Variant'!$H$5:$H$32))/AVERAGEIF('Pemetaan Variant'!$A$5:$A$32,$B13,'Pemetaan Variant'!$H$5:$H$32)*100,"n/a"),"n/a")</f>
        <v>-46.930693069306926</v>
      </c>
      <c r="BN13" s="4">
        <f t="shared" si="20"/>
        <v>-0.83075456831689731</v>
      </c>
      <c r="BO13" s="11">
        <f>IFERROR(AVERAGEIF('Pemetaan Variant'!$A$5:$A$32,$B13,'Pemetaan Variant'!$AK$5:$AK$32),"n/a")</f>
        <v>20000</v>
      </c>
      <c r="BP13" s="12">
        <f>IFERROR(IF(ISNUMBER(BO13),(BO13-AVERAGEIF('Pemetaan Variant'!$A$5:$A$32,$B13,'Pemetaan Variant'!$H$5:$H$32))/AVERAGEIF('Pemetaan Variant'!$A$5:$A$32,$B13,'Pemetaan Variant'!$H$5:$H$32)*100,"n/a"),"n/a")</f>
        <v>-60.396039603960396</v>
      </c>
      <c r="BQ13" s="4">
        <f t="shared" si="21"/>
        <v>-1.0691145288466402</v>
      </c>
      <c r="BR13" s="11">
        <f>IFERROR(AVERAGEIF('Pemetaan Variant'!$A$5:$A$32,$B13,'Pemetaan Variant'!$AL$5:$AL$32),"n/a")</f>
        <v>20000</v>
      </c>
      <c r="BS13" s="12">
        <f>IFERROR(IF(ISNUMBER(BR13),(BR13-AVERAGEIF('Pemetaan Variant'!$A$5:$A$32,$B13,'Pemetaan Variant'!$H$5:$H$32))/AVERAGEIF('Pemetaan Variant'!$A$5:$A$32,$B13,'Pemetaan Variant'!$H$5:$H$32)*100,"n/a"),"n/a")</f>
        <v>-60.396039603960396</v>
      </c>
      <c r="BT13" s="4">
        <f t="shared" si="22"/>
        <v>-1.0691145288466402</v>
      </c>
      <c r="BU13" s="11">
        <f>IFERROR(AVERAGEIF('Pemetaan Variant'!$A$5:$A$32,$B13,'Pemetaan Variant'!$AM$5:$AM$32),"n/a")</f>
        <v>21333.333333333332</v>
      </c>
      <c r="BV13" s="12">
        <f>IFERROR(IF(ISNUMBER(BU13),(BU13-AVERAGEIF('Pemetaan Variant'!$A$5:$A$32,$B13,'Pemetaan Variant'!$H$5:$H$32))/AVERAGEIF('Pemetaan Variant'!$A$5:$A$32,$B13,'Pemetaan Variant'!$H$5:$H$32)*100,"n/a"),"n/a")</f>
        <v>-57.755775577557756</v>
      </c>
      <c r="BW13" s="4">
        <f t="shared" si="23"/>
        <v>-1.0223772816839456</v>
      </c>
      <c r="BX13" s="11">
        <f>IFERROR(AVERAGEIF('Pemetaan Variant'!$A$5:$A$32,$B13,'Pemetaan Variant'!$AN$5:$AN$32),"n/a")</f>
        <v>32500</v>
      </c>
      <c r="BY13" s="12">
        <f>IFERROR(IF(ISNUMBER(BX13),(BX13-AVERAGEIF('Pemetaan Variant'!$A$5:$A$32,$B13,'Pemetaan Variant'!$I$5:$I$32))/AVERAGEIF('Pemetaan Variant'!$A$5:$A$32,$B13,'Pemetaan Variant'!$I$5:$I$32)*100,"n/a"),"n/a")</f>
        <v>43.134715025906743</v>
      </c>
      <c r="BZ13" s="4">
        <f t="shared" si="24"/>
        <v>0.76355918093729414</v>
      </c>
      <c r="CA13" s="11">
        <f>IFERROR(AVERAGEIF('Pemetaan Variant'!$A$5:$A$32,$B13,'Pemetaan Variant'!$AO$5:$AO$32),"n/a")</f>
        <v>27000</v>
      </c>
      <c r="CB13" s="12">
        <f>IFERROR(IF(ISNUMBER(CA13),(CA13-AVERAGEIF('Pemetaan Variant'!$A$5:$A$32,$B13,'Pemetaan Variant'!$I$5:$I$32))/AVERAGEIF('Pemetaan Variant'!$A$5:$A$32,$B13,'Pemetaan Variant'!$I$5:$I$32)*100,"n/a"),"n/a")</f>
        <v>18.911917098445606</v>
      </c>
      <c r="CC13" s="4">
        <f t="shared" si="25"/>
        <v>0.33477369494548043</v>
      </c>
      <c r="CD13" s="11">
        <f>IFERROR(AVERAGEIF('Pemetaan Variant'!$A$5:$A$32,$B13,'Pemetaan Variant'!$AP$5:$AP$32),"n/a")</f>
        <v>20400</v>
      </c>
      <c r="CE13" s="12">
        <f>IFERROR(IF(ISNUMBER(CD13),(CD13-AVERAGEIF('Pemetaan Variant'!$A$5:$A$32,$B13,'Pemetaan Variant'!$I$5:$I$32))/AVERAGEIF('Pemetaan Variant'!$A$5:$A$32,$B13,'Pemetaan Variant'!$I$5:$I$32)*100,"n/a"),"n/a")</f>
        <v>-10.155440414507765</v>
      </c>
      <c r="CF13" s="4">
        <f t="shared" si="26"/>
        <v>-0.17976888824469614</v>
      </c>
      <c r="CG13" s="11">
        <f>IFERROR(AVERAGEIF('Pemetaan Variant'!$A$5:$A$32,$B13,'Pemetaan Variant'!$AQ$5:$AQ$32),"n/a")</f>
        <v>22000</v>
      </c>
      <c r="CH13" s="12">
        <f>IFERROR(IF(ISNUMBER(CG13),(CG13-AVERAGEIF('Pemetaan Variant'!$A$5:$A$32,$B13,'Pemetaan Variant'!$I$5:$I$32))/AVERAGEIF('Pemetaan Variant'!$A$5:$A$32,$B13,'Pemetaan Variant'!$I$5:$I$32)*100,"n/a"),"n/a")</f>
        <v>-3.1088082901554333</v>
      </c>
      <c r="CI13" s="4">
        <f t="shared" si="27"/>
        <v>-5.5031292319804845E-2</v>
      </c>
      <c r="CJ13" s="11">
        <f>IFERROR(AVERAGEIF('Pemetaan Variant'!$A$5:$A$32,$B13,'Pemetaan Variant'!$AR$5:$AR$32),"n/a")</f>
        <v>25500</v>
      </c>
      <c r="CK13" s="12">
        <f>IFERROR(IF(ISNUMBER(CJ13),(CJ13-AVERAGEIF('Pemetaan Variant'!$A$5:$A$32,$B13,'Pemetaan Variant'!$J$5:$J$32))/AVERAGEIF('Pemetaan Variant'!$A$5:$A$32,$B13,'Pemetaan Variant'!$J$5:$J$32)*100,"n/a"),"n/a")</f>
        <v>1.2850467289719643</v>
      </c>
      <c r="CL13" s="4">
        <f t="shared" si="28"/>
        <v>2.2747553270044022E-2</v>
      </c>
      <c r="CM13" s="11">
        <f>IFERROR(AVERAGEIF('Pemetaan Variant'!$A$5:$A$32,$B13,'Pemetaan Variant'!$AS$5:$AS$32),"n/a")</f>
        <v>30600</v>
      </c>
      <c r="CN13" s="12">
        <f>IFERROR(IF(ISNUMBER(CM13),(CM13-AVERAGEIF('Pemetaan Variant'!$A$5:$A$32,$B13,'Pemetaan Variant'!$J$5:$J$32))/AVERAGEIF('Pemetaan Variant'!$A$5:$A$32,$B13,'Pemetaan Variant'!$J$5:$J$32)*100,"n/a"),"n/a")</f>
        <v>21.542056074766357</v>
      </c>
      <c r="CO13" s="4">
        <f t="shared" si="29"/>
        <v>0.38133171118146481</v>
      </c>
      <c r="CP13" s="11">
        <f>IFERROR(AVERAGEIF('Pemetaan Variant'!$A$5:$A$32,$B13,'Pemetaan Variant'!$AT$5:$AT$32),"n/a")</f>
        <v>30200</v>
      </c>
      <c r="CQ13" s="12">
        <f>IFERROR(IF(ISNUMBER(CP13),(CP13-AVERAGEIF('Pemetaan Variant'!$A$5:$A$32,$B13,'Pemetaan Variant'!$J$5:$J$32))/AVERAGEIF('Pemetaan Variant'!$A$5:$A$32,$B13,'Pemetaan Variant'!$J$5:$J$32)*100,"n/a"),"n/a")</f>
        <v>19.953271028037385</v>
      </c>
      <c r="CR13" s="4">
        <f t="shared" si="30"/>
        <v>0.35320746350213766</v>
      </c>
      <c r="CS13" s="11">
        <f>IFERROR(AVERAGEIF('Pemetaan Variant'!$A$5:$A$32,$B13,'Pemetaan Variant'!$AU$5:$AU$32),"n/a")</f>
        <v>30000</v>
      </c>
      <c r="CT13" s="12">
        <f>IFERROR(IF(ISNUMBER(CS13),(CS13-AVERAGEIF('Pemetaan Variant'!$A$5:$A$32,$B13,'Pemetaan Variant'!$J$5:$J$32))/AVERAGEIF('Pemetaan Variant'!$A$5:$A$32,$B13,'Pemetaan Variant'!$J$5:$J$32)*100,"n/a"),"n/a")</f>
        <v>19.158878504672899</v>
      </c>
      <c r="CU13" s="4">
        <f t="shared" si="31"/>
        <v>0.33914533966247412</v>
      </c>
      <c r="CV13" s="11">
        <f>IFERROR(AVERAGEIF('Pemetaan Variant'!$A$5:$A$32,$B13,'Pemetaan Variant'!$AV$5:$AV$32),"n/a")</f>
        <v>28500</v>
      </c>
      <c r="CW13" s="12">
        <f>IFERROR(IF(ISNUMBER(CV13),(CV13-AVERAGEIF('Pemetaan Variant'!$A$5:$A$32,$B13,'Pemetaan Variant'!$J$5:$J$32))/AVERAGEIF('Pemetaan Variant'!$A$5:$A$32,$B13,'Pemetaan Variant'!$J$5:$J$32)*100,"n/a"),"n/a")</f>
        <v>13.200934579439256</v>
      </c>
      <c r="CX13" s="4">
        <f t="shared" si="32"/>
        <v>0.23367941086499747</v>
      </c>
      <c r="CY13" s="11">
        <f>IFERROR(AVERAGEIF('Pemetaan Variant'!$A$5:$A$32,$B13,'Pemetaan Variant'!$AW$5:$AW$32),"n/a")</f>
        <v>0</v>
      </c>
      <c r="CZ13" s="12">
        <f>IFERROR(IF(ISNUMBER(CY13),(CY13-AVERAGEIF('Pemetaan Variant'!$A$5:$A$32,$B13,'Pemetaan Variant'!$K$5:$K$32))/AVERAGEIF('Pemetaan Variant'!$A$5:$A$32,$B13,'Pemetaan Variant'!$K$5:$K$32)*100,"n/a"),"n/a")</f>
        <v>-100</v>
      </c>
      <c r="DA13" s="4">
        <f t="shared" si="33"/>
        <v>-1.7701732362870599</v>
      </c>
      <c r="DB13" s="11">
        <f>IFERROR(AVERAGEIF('Pemetaan Variant'!$A$5:$A$32,$B13,'Pemetaan Variant'!$AX$5:$AX$32),"n/a")</f>
        <v>0</v>
      </c>
      <c r="DC13" s="12">
        <f>IFERROR(IF(ISNUMBER(DB13),(DB13-AVERAGEIF('Pemetaan Variant'!$A$5:$A$32,$B13,'Pemetaan Variant'!$K$5:$K$32))/AVERAGEIF('Pemetaan Variant'!$A$5:$A$32,$B13,'Pemetaan Variant'!$K$5:$K$32)*100,"n/a"),"n/a")</f>
        <v>-100</v>
      </c>
      <c r="DD13" s="4">
        <f t="shared" si="34"/>
        <v>-1.7701732362870599</v>
      </c>
      <c r="DE13" s="11">
        <f>IFERROR(AVERAGEIF('Pemetaan Variant'!$A$5:$A$32,$B13,'Pemetaan Variant'!$AY$5:$AY$32),"n/a")</f>
        <v>0</v>
      </c>
      <c r="DF13" s="12">
        <f>IFERROR(IF(ISNUMBER(DE13),(DE13-AVERAGEIF('Pemetaan Variant'!$A$5:$A$32,$B13,'Pemetaan Variant'!$K$5:$K$32))/AVERAGEIF('Pemetaan Variant'!$A$5:$A$32,$B13,'Pemetaan Variant'!$K$5:$K$32)*100,"n/a"),"n/a")</f>
        <v>-100</v>
      </c>
      <c r="DG13" s="4">
        <f t="shared" si="35"/>
        <v>-1.7701732362870599</v>
      </c>
      <c r="DH13" s="11">
        <f>IFERROR(AVERAGEIF('Pemetaan Variant'!$A$5:$A$32,$B13,'Pemetaan Variant'!$AZ$5:$AZ$32),"n/a")</f>
        <v>0</v>
      </c>
      <c r="DI13" s="12">
        <f>IFERROR(IF(ISNUMBER(DH13),(DH13-AVERAGEIF('Pemetaan Variant'!$A$5:$A$32,$B13,'Pemetaan Variant'!$K$5:$K$32))/AVERAGEIF('Pemetaan Variant'!$A$5:$A$32,$B13,'Pemetaan Variant'!$K$5:$K$32)*100,"n/a"),"n/a")</f>
        <v>-100</v>
      </c>
      <c r="DJ13" s="4">
        <f t="shared" si="36"/>
        <v>-1.7701732362870599</v>
      </c>
      <c r="DK13" s="11" t="str">
        <f>IFERROR(AVERAGEIF('Pemetaan Variant'!$A$5:$A$32,$B13,'Pemetaan Variant'!$BA$5:$BA$32),"n/a")</f>
        <v>n/a</v>
      </c>
      <c r="DL13" s="12" t="str">
        <f>IFERROR(IF(ISNUMBER(DK13),(DK13-AVERAGEIF('Pemetaan Variant'!$A$5:$A$32,$B13,'Pemetaan Variant'!$L$5:$L$32))/AVERAGEIF('Pemetaan Variant'!$A$5:$A$32,$B13,'Pemetaan Variant'!$L$5:$L$32)*100,"n/a"),"n/a")</f>
        <v>n/a</v>
      </c>
      <c r="DM13" s="4" t="str">
        <f t="shared" si="37"/>
        <v>n/a</v>
      </c>
      <c r="DN13" s="11" t="str">
        <f>IFERROR(AVERAGEIF('Pemetaan Variant'!$A$5:$A$32,$B13,'Pemetaan Variant'!$BB$5:$BB$32),"n/a")</f>
        <v>n/a</v>
      </c>
      <c r="DO13" s="12" t="str">
        <f>IFERROR(IF(ISNUMBER(DN13),(DN13-AVERAGEIF('Pemetaan Variant'!$A$5:$A$32,$B13,'Pemetaan Variant'!$L$5:$L$32))/AVERAGEIF('Pemetaan Variant'!$A$5:$A$32,$B13,'Pemetaan Variant'!$L$5:$L$32)*100,"n/a"),"n/a")</f>
        <v>n/a</v>
      </c>
      <c r="DP13" s="4" t="str">
        <f t="shared" si="38"/>
        <v>n/a</v>
      </c>
      <c r="DQ13" s="11" t="str">
        <f>IFERROR(AVERAGEIF('Pemetaan Variant'!$A$5:$A$32,$B13,'Pemetaan Variant'!$BC$5:$BC$32),"n/a")</f>
        <v>n/a</v>
      </c>
      <c r="DR13" s="12" t="str">
        <f>IFERROR(IF(ISNUMBER(DQ13),(DQ13-AVERAGEIF('Pemetaan Variant'!$A$5:$A$32,$B13,'Pemetaan Variant'!$L$5:$L$32))/AVERAGEIF('Pemetaan Variant'!$A$5:$A$32,$B13,'Pemetaan Variant'!$L$5:$L$32)*100,"n/a"),"n/a")</f>
        <v>n/a</v>
      </c>
      <c r="DS13" s="4" t="str">
        <f t="shared" si="39"/>
        <v>n/a</v>
      </c>
      <c r="DT13" s="11" t="str">
        <f>IFERROR(AVERAGEIF('Pemetaan Variant'!$A$5:$A$32,$B13,'Pemetaan Variant'!$BD$5:$BD$32),"n/a")</f>
        <v>n/a</v>
      </c>
      <c r="DU13" s="12" t="str">
        <f>IFERROR(IF(ISNUMBER(DT13),(DT13-AVERAGEIF('Pemetaan Variant'!$A$5:$A$32,$B13,'Pemetaan Variant'!$L$5:$L$32))/AVERAGEIF('Pemetaan Variant'!$A$5:$A$32,$B13,'Pemetaan Variant'!$L$5:$L$32)*100,"n/a"),"n/a")</f>
        <v>n/a</v>
      </c>
      <c r="DV13" s="4" t="str">
        <f t="shared" si="40"/>
        <v>n/a</v>
      </c>
      <c r="DW13" s="11" t="str">
        <f>IFERROR(AVERAGEIF('Pemetaan Variant'!$A$5:$A$32,$B13,'Pemetaan Variant'!$BE$5:$BE$32),"n/a")</f>
        <v>n/a</v>
      </c>
      <c r="DX13" s="12" t="str">
        <f>IFERROR(IF(ISNUMBER(DW13),(DW13-AVERAGEIF('Pemetaan Variant'!$A$5:$A$32,$B13,'Pemetaan Variant'!$M$5:$M$32))/AVERAGEIF('Pemetaan Variant'!$A$5:$A$32,$B13,'Pemetaan Variant'!$M$5:$M$32)*100,"n/a"),"n/a")</f>
        <v>n/a</v>
      </c>
      <c r="DY13" s="4" t="str">
        <f t="shared" si="41"/>
        <v>n/a</v>
      </c>
      <c r="DZ13" s="11" t="str">
        <f>IFERROR(AVERAGEIF('Pemetaan Variant'!$A$5:$A$32,$B13,'Pemetaan Variant'!$BF$5:$BF$32),"n/a")</f>
        <v>n/a</v>
      </c>
      <c r="EA13" s="12" t="str">
        <f>IFERROR(IF(ISNUMBER(DZ13),(DZ13-AVERAGEIF('Pemetaan Variant'!$A$5:$A$32,$B13,'Pemetaan Variant'!$M$5:$M$32))/AVERAGEIF('Pemetaan Variant'!$A$5:$A$32,$B13,'Pemetaan Variant'!$M$5:$M$32)*100,"n/a"),"n/a")</f>
        <v>n/a</v>
      </c>
      <c r="EB13" s="4" t="str">
        <f t="shared" si="42"/>
        <v>n/a</v>
      </c>
      <c r="EC13" s="11" t="str">
        <f>IFERROR(AVERAGEIF('Pemetaan Variant'!$A$5:$A$32,$B13,'Pemetaan Variant'!$BG$5:$BG$32),"n/a")</f>
        <v>n/a</v>
      </c>
      <c r="ED13" s="12" t="str">
        <f>IFERROR(IF(ISNUMBER(EC13),(EC13-AVERAGEIF('Pemetaan Variant'!$A$5:$A$32,$B13,'Pemetaan Variant'!$M$5:$M$32))/AVERAGEIF('Pemetaan Variant'!$A$5:$A$32,$B13,'Pemetaan Variant'!$M$5:$M$32)*100,"n/a"),"n/a")</f>
        <v>n/a</v>
      </c>
      <c r="EE13" s="4" t="str">
        <f t="shared" si="43"/>
        <v>n/a</v>
      </c>
      <c r="EF13" s="11" t="str">
        <f>IFERROR(AVERAGEIF('Pemetaan Variant'!$A$5:$A$32,$B13,'Pemetaan Variant'!$BH$5:$BH$32),"n/a")</f>
        <v>n/a</v>
      </c>
      <c r="EG13" s="12" t="str">
        <f>IFERROR(IF(ISNUMBER(EF13),(EF13-AVERAGEIF('Pemetaan Variant'!$A$5:$A$32,$B13,'Pemetaan Variant'!$M$5:$M$32))/AVERAGEIF('Pemetaan Variant'!$A$5:$A$32,$B13,'Pemetaan Variant'!$M$5:$M$32)*100,"n/a"),"n/a")</f>
        <v>n/a</v>
      </c>
      <c r="EH13" s="4" t="str">
        <f t="shared" si="44"/>
        <v>n/a</v>
      </c>
      <c r="EI13" s="11" t="str">
        <f>IFERROR(AVERAGEIF('Pemetaan Variant'!$A$5:$A$32,$B13,'Pemetaan Variant'!$BI$5:$BI$32),"n/a")</f>
        <v>n/a</v>
      </c>
      <c r="EJ13" s="12" t="str">
        <f>IFERROR(IF(ISNUMBER(EI13),(EI13-AVERAGEIF('Pemetaan Variant'!$A$5:$A$32,$B13,'Pemetaan Variant'!$M$5:$M$32))/AVERAGEIF('Pemetaan Variant'!$A$5:$A$32,$B13,'Pemetaan Variant'!$M$5:$M$32)*100,"n/a"),"n/a")</f>
        <v>n/a</v>
      </c>
      <c r="EK13" s="4" t="str">
        <f t="shared" si="45"/>
        <v>n/a</v>
      </c>
      <c r="EL13" s="11" t="str">
        <f>IFERROR(AVERAGEIF('Pemetaan Variant'!$A$5:$A$32,$B13,'Pemetaan Variant'!$BJ$5:$BJ$32),"n/a")</f>
        <v>n/a</v>
      </c>
      <c r="EM13" s="12" t="str">
        <f>IFERROR(IF(ISNUMBER(EL13),(EL13-AVERAGEIF('Pemetaan Variant'!$A$5:$A$32,$B13,'Pemetaan Variant'!$N$5:$N$32))/AVERAGEIF('Pemetaan Variant'!$A$5:$A$32,$B13,'Pemetaan Variant'!$N$5:$N$32)*100,"n/a"),"n/a")</f>
        <v>n/a</v>
      </c>
      <c r="EN13" s="4" t="str">
        <f t="shared" si="46"/>
        <v>n/a</v>
      </c>
      <c r="EO13" s="11" t="str">
        <f>IFERROR(AVERAGEIF('Pemetaan Variant'!$A$5:$A$32,$B13,'Pemetaan Variant'!$BK$5:$BK$32),"n/a")</f>
        <v>n/a</v>
      </c>
      <c r="EP13" s="12" t="str">
        <f>IFERROR(IF(ISNUMBER(EO13),(EO13-AVERAGEIF('Pemetaan Variant'!$A$5:$A$32,$B13,'Pemetaan Variant'!$N$5:$N$32))/AVERAGEIF('Pemetaan Variant'!$A$5:$A$32,$B13,'Pemetaan Variant'!$N$5:$N$32)*100,"n/a"),"n/a")</f>
        <v>n/a</v>
      </c>
      <c r="EQ13" s="4" t="str">
        <f t="shared" si="47"/>
        <v>n/a</v>
      </c>
      <c r="ER13" s="11" t="str">
        <f>IFERROR(AVERAGEIF('Pemetaan Variant'!$A$5:$A$32,$B13,'Pemetaan Variant'!$BL$5:$BL$32),"n/a")</f>
        <v>n/a</v>
      </c>
      <c r="ES13" s="12" t="str">
        <f>IFERROR(IF(ISNUMBER(ER13),(ER13-AVERAGEIF('Pemetaan Variant'!$A$5:$A$32,$B13,'Pemetaan Variant'!$N$5:$N$32))/AVERAGEIF('Pemetaan Variant'!$A$5:$A$32,$B13,'Pemetaan Variant'!$N$5:$N$32)*100,"n/a"),"n/a")</f>
        <v>n/a</v>
      </c>
      <c r="ET13" s="4" t="str">
        <f t="shared" si="48"/>
        <v>n/a</v>
      </c>
      <c r="EU13" s="11" t="str">
        <f>IFERROR(AVERAGEIF('Pemetaan Variant'!$A$5:$A$32,$B13,'Pemetaan Variant'!$BM$5:$BM$32),"n/a")</f>
        <v>n/a</v>
      </c>
      <c r="EV13" s="12" t="str">
        <f>IFERROR(IF(ISNUMBER(EU13),(EU13-AVERAGEIF('Pemetaan Variant'!$A$5:$A$32,$B13,'Pemetaan Variant'!$N$5:$N$32))/AVERAGEIF('Pemetaan Variant'!$A$5:$A$32,$B13,'Pemetaan Variant'!$N$5:$N$32)*100,"n/a"),"n/a")</f>
        <v>n/a</v>
      </c>
      <c r="EW13" s="4" t="str">
        <f t="shared" si="49"/>
        <v>n/a</v>
      </c>
      <c r="EX13" s="11" t="str">
        <f>IFERROR(AVERAGEIF('Pemetaan Variant'!$A$5:$A$32,$B13,'Pemetaan Variant'!$BN$5:$BN$32),"n/a")</f>
        <v>n/a</v>
      </c>
      <c r="EY13" s="12" t="str">
        <f>IFERROR(IF(ISNUMBER(EX13),(EX13-AVERAGEIF('Pemetaan Variant'!$A$5:$A$32,$B13,'Pemetaan Variant'!$O$5:$O$32))/AVERAGEIF('Pemetaan Variant'!$A$5:$A$32,$B13,'Pemetaan Variant'!$O$5:$O$32)*100,"n/a"),"n/a")</f>
        <v>n/a</v>
      </c>
      <c r="EZ13" s="4" t="str">
        <f t="shared" si="50"/>
        <v>n/a</v>
      </c>
      <c r="FA13" s="11" t="str">
        <f>IFERROR(AVERAGEIF('Pemetaan Variant'!$A$5:$A$32,$B13,'Pemetaan Variant'!$BO$5:$BO$32),"n/a")</f>
        <v>n/a</v>
      </c>
      <c r="FB13" s="12" t="str">
        <f>IFERROR(IF(ISNUMBER(FA13),(FA13-AVERAGEIF('Pemetaan Variant'!$A$5:$A$32,$B13,'Pemetaan Variant'!$O$5:$O$32))/AVERAGEIF('Pemetaan Variant'!$A$5:$A$32,$B13,'Pemetaan Variant'!$O$5:$O$32)*100,"n/a"),"n/a")</f>
        <v>n/a</v>
      </c>
      <c r="FC13" s="4" t="str">
        <f t="shared" si="51"/>
        <v>n/a</v>
      </c>
      <c r="FD13" s="11" t="str">
        <f>IFERROR(AVERAGEIF('Pemetaan Variant'!$A$5:$A$32,$B13,'Pemetaan Variant'!$BP$5:$BP$32),"n/a")</f>
        <v>n/a</v>
      </c>
      <c r="FE13" s="12" t="str">
        <f>IFERROR(IF(ISNUMBER(FD13),(FD13-AVERAGEIF('Pemetaan Variant'!$A$5:$A$32,$B13,'Pemetaan Variant'!$O$5:$O$32))/AVERAGEIF('Pemetaan Variant'!$A$5:$A$32,$B13,'Pemetaan Variant'!$O$5:$O$32)*100,"n/a"),"n/a")</f>
        <v>n/a</v>
      </c>
      <c r="FF13" s="4" t="str">
        <f t="shared" si="52"/>
        <v>n/a</v>
      </c>
      <c r="FG13" s="11" t="str">
        <f>IFERROR(AVERAGEIF('Pemetaan Variant'!$A$5:$A$32,$B13,'Pemetaan Variant'!$BQ$5:$BQ$32),"n/a")</f>
        <v>n/a</v>
      </c>
      <c r="FH13" s="12" t="str">
        <f>IFERROR(IF(ISNUMBER(FG13),(FG13-AVERAGEIF('Pemetaan Variant'!$A$5:$A$32,$B13,'Pemetaan Variant'!$O$5:$O$32))/AVERAGEIF('Pemetaan Variant'!$A$5:$A$32,$B13,'Pemetaan Variant'!$O$5:$O$32)*100,"n/a"),"n/a")</f>
        <v>n/a</v>
      </c>
      <c r="FI13" s="4" t="str">
        <f t="shared" si="53"/>
        <v>n/a</v>
      </c>
      <c r="FJ13" s="11" t="str">
        <f>IFERROR(AVERAGEIF('Pemetaan Variant'!$A$5:$A$32,$B13,'Pemetaan Variant'!$BR$5:$BR$32),"n/a")</f>
        <v>n/a</v>
      </c>
      <c r="FK13" s="12" t="str">
        <f>IFERROR(IF(ISNUMBER(FJ13),(FJ13-AVERAGEIF('Pemetaan Variant'!$A$5:$A$32,$B13,'Pemetaan Variant'!$O$5:$O$32))/AVERAGEIF('Pemetaan Variant'!$A$5:$A$32,$B13,'Pemetaan Variant'!$O$5:$O$32)*100,"n/a"),"n/a")</f>
        <v>n/a</v>
      </c>
      <c r="FL13" s="4" t="str">
        <f t="shared" si="54"/>
        <v>n/a</v>
      </c>
      <c r="FM13" s="13"/>
      <c r="FO13" s="9">
        <f t="shared" si="55"/>
        <v>0.78569186423436332</v>
      </c>
      <c r="FP13" s="9">
        <f t="shared" si="56"/>
        <v>0.89928586870198224</v>
      </c>
      <c r="FQ13" s="9">
        <f t="shared" si="57"/>
        <v>0.8765670678084585</v>
      </c>
      <c r="FR13" s="9">
        <f t="shared" si="58"/>
        <v>0.79137156445774437</v>
      </c>
      <c r="FS13" s="9">
        <f t="shared" si="59"/>
        <v>0.89928586870198224</v>
      </c>
      <c r="FT13" s="9">
        <f t="shared" si="60"/>
        <v>3.1268017279144765E-2</v>
      </c>
      <c r="FU13" s="9">
        <f t="shared" si="61"/>
        <v>3.1268017279144765E-2</v>
      </c>
      <c r="FV13" s="9">
        <f t="shared" si="62"/>
        <v>0.13092221428493483</v>
      </c>
      <c r="FW13" s="9">
        <f t="shared" si="63"/>
        <v>0.14625362920890253</v>
      </c>
      <c r="FX13" s="9">
        <f t="shared" si="64"/>
        <v>8.4844904571493171E-2</v>
      </c>
      <c r="FY13" s="9">
        <f t="shared" si="65"/>
        <v>0.12148247700009245</v>
      </c>
      <c r="FZ13" s="9">
        <f t="shared" si="66"/>
        <v>7.7517390085773311E-2</v>
      </c>
      <c r="GA13" s="9">
        <f t="shared" si="67"/>
        <v>2.0729152821444437E-2</v>
      </c>
      <c r="GB13" s="9">
        <f t="shared" si="68"/>
        <v>0</v>
      </c>
      <c r="GC13" s="9">
        <f t="shared" si="69"/>
        <v>0</v>
      </c>
      <c r="GD13" s="9">
        <f t="shared" si="70"/>
        <v>0.53085012673146714</v>
      </c>
      <c r="GE13" s="9">
        <f t="shared" si="71"/>
        <v>0.50688113336669083</v>
      </c>
      <c r="GF13" s="9">
        <f t="shared" si="72"/>
        <v>0.10516080457303964</v>
      </c>
      <c r="GG13" s="9">
        <f t="shared" si="73"/>
        <v>0.67079540728931919</v>
      </c>
      <c r="GH13" s="9">
        <f t="shared" si="74"/>
        <v>0.78869104587047223</v>
      </c>
      <c r="GI13" s="9">
        <f t="shared" si="75"/>
        <v>0.83075456831689731</v>
      </c>
      <c r="GJ13" s="9">
        <f t="shared" si="76"/>
        <v>1.0691145288466402</v>
      </c>
      <c r="GK13" s="9">
        <f t="shared" si="77"/>
        <v>1.0691145288466402</v>
      </c>
      <c r="GL13" s="9">
        <f t="shared" si="78"/>
        <v>1.0223772816839456</v>
      </c>
      <c r="GM13" s="9">
        <f t="shared" si="79"/>
        <v>0.76355918093729414</v>
      </c>
      <c r="GN13" s="9">
        <f t="shared" si="80"/>
        <v>0.33477369494548043</v>
      </c>
      <c r="GO13" s="9">
        <f t="shared" si="81"/>
        <v>0.17976888824469614</v>
      </c>
      <c r="GP13" s="9">
        <f t="shared" si="82"/>
        <v>5.5031292319804845E-2</v>
      </c>
      <c r="GQ13" s="9">
        <f t="shared" si="83"/>
        <v>2.2747553270044022E-2</v>
      </c>
      <c r="GR13" s="9">
        <f t="shared" si="84"/>
        <v>0.38133171118146481</v>
      </c>
      <c r="GS13" s="9">
        <f t="shared" si="85"/>
        <v>0.35320746350213766</v>
      </c>
      <c r="GT13" s="9">
        <f t="shared" si="86"/>
        <v>0.33914533966247412</v>
      </c>
      <c r="GU13" s="9">
        <f t="shared" si="87"/>
        <v>0.23367941086499747</v>
      </c>
      <c r="GV13" s="9">
        <f t="shared" si="88"/>
        <v>1.7701732362870599</v>
      </c>
      <c r="GW13" s="9">
        <f t="shared" si="89"/>
        <v>1.7701732362870599</v>
      </c>
      <c r="GX13" s="9">
        <f t="shared" si="90"/>
        <v>1.7701732362870599</v>
      </c>
      <c r="GY13" s="9">
        <f t="shared" si="91"/>
        <v>1.7701732362870599</v>
      </c>
      <c r="GZ13" s="9">
        <f t="shared" si="92"/>
        <v>0</v>
      </c>
      <c r="HA13" s="9">
        <f t="shared" si="93"/>
        <v>0</v>
      </c>
      <c r="HB13" s="9">
        <f t="shared" si="94"/>
        <v>0</v>
      </c>
      <c r="HC13" s="9">
        <f t="shared" si="95"/>
        <v>0</v>
      </c>
      <c r="HD13" s="9">
        <f t="shared" si="96"/>
        <v>0</v>
      </c>
      <c r="HE13" s="9">
        <f t="shared" si="97"/>
        <v>0</v>
      </c>
      <c r="HF13" s="9">
        <f t="shared" si="98"/>
        <v>0</v>
      </c>
      <c r="HG13" s="9">
        <f t="shared" si="99"/>
        <v>0</v>
      </c>
      <c r="HH13" s="9">
        <f t="shared" si="100"/>
        <v>0</v>
      </c>
      <c r="HI13" s="9">
        <f t="shared" si="101"/>
        <v>0</v>
      </c>
      <c r="HJ13" s="9">
        <f t="shared" si="102"/>
        <v>0</v>
      </c>
      <c r="HK13" s="9">
        <f t="shared" si="103"/>
        <v>0</v>
      </c>
      <c r="HL13" s="9">
        <f t="shared" si="104"/>
        <v>0</v>
      </c>
      <c r="HM13" s="9">
        <f t="shared" si="105"/>
        <v>0</v>
      </c>
      <c r="HN13" s="9">
        <f t="shared" si="106"/>
        <v>0</v>
      </c>
      <c r="HO13" s="9">
        <f t="shared" si="107"/>
        <v>0</v>
      </c>
      <c r="HP13" s="9">
        <f t="shared" si="108"/>
        <v>0</v>
      </c>
      <c r="HQ13" s="9">
        <f t="shared" si="109"/>
        <v>0</v>
      </c>
    </row>
    <row r="14" spans="1:225" x14ac:dyDescent="0.35">
      <c r="A14" s="3">
        <v>9</v>
      </c>
      <c r="B14" s="3" t="s">
        <v>133</v>
      </c>
      <c r="C14" s="10">
        <f>'P0Q0 Dasar 2022'!F13</f>
        <v>2.9877791079459301E-2</v>
      </c>
      <c r="D14" s="11">
        <f>IFERROR(AVERAGEIF('Pemetaan Variant'!$A$5:$A$32,$B14,'Pemetaan Variant'!$P$5:$P$32),"n/a")</f>
        <v>27000</v>
      </c>
      <c r="E14" s="12">
        <f>IFERROR(IF(ISNUMBER(D14),(D14-AVERAGEIF('Pemetaan Variant'!$A$5:$A$32,$B14,'Pemetaan Variant'!$D$5:$D$32))/AVERAGEIF('Pemetaan Variant'!$A$5:$A$32,$B14,'Pemetaan Variant'!$D$5:$D$32)*100,"n/a"),"n/a")</f>
        <v>0.93457943925233633</v>
      </c>
      <c r="F14" s="4">
        <f t="shared" si="0"/>
        <v>2.792316923313953E-2</v>
      </c>
      <c r="G14" s="11">
        <f>IFERROR(AVERAGEIF('Pemetaan Variant'!$A$5:$A$32,$B14,'Pemetaan Variant'!$Q$5:$Q$32),"n/a")</f>
        <v>26900</v>
      </c>
      <c r="H14" s="12">
        <f>IFERROR(IF(ISNUMBER(G14),(G14-AVERAGEIF('Pemetaan Variant'!$A$5:$A$32,$B14,'Pemetaan Variant'!$D$5:$D$32))/AVERAGEIF('Pemetaan Variant'!$A$5:$A$32,$B14,'Pemetaan Variant'!$D$5:$D$32)*100,"n/a"),"n/a")</f>
        <v>0.56074766355140182</v>
      </c>
      <c r="I14" s="4">
        <f t="shared" si="1"/>
        <v>1.6753901539883719E-2</v>
      </c>
      <c r="J14" s="11">
        <f>IFERROR(AVERAGEIF('Pemetaan Variant'!$A$5:$A$32,$B14,'Pemetaan Variant'!$R$5:$R$32),"n/a")</f>
        <v>23600</v>
      </c>
      <c r="K14" s="12">
        <f>IFERROR(IF(ISNUMBER(J14),(J14-AVERAGEIF('Pemetaan Variant'!$A$5:$A$32,$B14,'Pemetaan Variant'!$D$5:$D$32))/AVERAGEIF('Pemetaan Variant'!$A$5:$A$32,$B14,'Pemetaan Variant'!$D$5:$D$32)*100,"n/a"),"n/a")</f>
        <v>-11.775700934579438</v>
      </c>
      <c r="L14" s="4">
        <f t="shared" si="2"/>
        <v>-0.35183193233755811</v>
      </c>
      <c r="M14" s="11">
        <f>IFERROR(AVERAGEIF('Pemetaan Variant'!$A$5:$A$32,$B14,'Pemetaan Variant'!$S$5:$S$32),"n/a")</f>
        <v>24500</v>
      </c>
      <c r="N14" s="12">
        <f>IFERROR(IF(ISNUMBER(M14),(M14-AVERAGEIF('Pemetaan Variant'!$A$5:$A$32,$B14,'Pemetaan Variant'!$D$5:$D$32))/AVERAGEIF('Pemetaan Variant'!$A$5:$A$32,$B14,'Pemetaan Variant'!$D$5:$D$32)*100,"n/a"),"n/a")</f>
        <v>-8.4112149532710276</v>
      </c>
      <c r="O14" s="4">
        <f t="shared" si="3"/>
        <v>-0.2513085230982558</v>
      </c>
      <c r="P14" s="11">
        <f>IFERROR(AVERAGEIF('Pemetaan Variant'!$A$5:$A$32,$B14,'Pemetaan Variant'!$T$5:$T$32),"n/a")</f>
        <v>24500</v>
      </c>
      <c r="Q14" s="12">
        <f>IFERROR(IF(ISNUMBER(P14),(P14-AVERAGEIF('Pemetaan Variant'!$A$5:$A$32,$B14,'Pemetaan Variant'!$D$5:$D$32))/AVERAGEIF('Pemetaan Variant'!$A$5:$A$32,$B14,'Pemetaan Variant'!$D$5:$D$32)*100,"n/a"),"n/a")</f>
        <v>-8.4112149532710276</v>
      </c>
      <c r="R14" s="4">
        <f t="shared" si="4"/>
        <v>-0.2513085230982558</v>
      </c>
      <c r="S14" s="11">
        <f>IFERROR(AVERAGEIF('Pemetaan Variant'!$A$5:$A$32,$B14,'Pemetaan Variant'!$U$5:$U$32),"n/a")</f>
        <v>24900</v>
      </c>
      <c r="T14" s="12">
        <f>IFERROR(IF(ISNUMBER(S14),(S14-AVERAGEIF('Pemetaan Variant'!$A$5:$A$32,$B14,'Pemetaan Variant'!$E$5:$E$32))/AVERAGEIF('Pemetaan Variant'!$A$5:$A$32,$B14,'Pemetaan Variant'!$E$5:$E$32)*100,"n/a"),"n/a")</f>
        <v>-1.0251046025104662</v>
      </c>
      <c r="U14" s="4">
        <f t="shared" si="5"/>
        <v>-3.0627861148399878E-2</v>
      </c>
      <c r="V14" s="11">
        <f>IFERROR(AVERAGEIF('Pemetaan Variant'!$A$5:$A$32,$B14,'Pemetaan Variant'!$V$5:$V$32),"n/a")</f>
        <v>25500</v>
      </c>
      <c r="W14" s="12">
        <f>IFERROR(IF(ISNUMBER(V14),(V14-AVERAGEIF('Pemetaan Variant'!$A$5:$A$32,$B14,'Pemetaan Variant'!$E$5:$E$32))/AVERAGEIF('Pemetaan Variant'!$A$5:$A$32,$B14,'Pemetaan Variant'!$E$5:$E$32)*100,"n/a"),"n/a")</f>
        <v>1.3598326359832575</v>
      </c>
      <c r="X14" s="4">
        <f t="shared" si="6"/>
        <v>4.0628795400938202E-2</v>
      </c>
      <c r="Y14" s="11">
        <f>IFERROR(AVERAGEIF('Pemetaan Variant'!$A$5:$A$32,$B14,'Pemetaan Variant'!$W$5:$W$32),"n/a")</f>
        <v>26100</v>
      </c>
      <c r="Z14" s="12">
        <f>IFERROR(IF(ISNUMBER(Y14),(Y14-AVERAGEIF('Pemetaan Variant'!$A$5:$A$32,$B14,'Pemetaan Variant'!$E$5:$E$32))/AVERAGEIF('Pemetaan Variant'!$A$5:$A$32,$B14,'Pemetaan Variant'!$E$5:$E$32)*100,"n/a"),"n/a")</f>
        <v>3.7447698744769808</v>
      </c>
      <c r="AA14" s="4">
        <f t="shared" si="7"/>
        <v>0.11188545195027627</v>
      </c>
      <c r="AB14" s="11">
        <f>IFERROR(AVERAGEIF('Pemetaan Variant'!$A$5:$A$32,$B14,'Pemetaan Variant'!$X$5:$X$32),"n/a")</f>
        <v>26500</v>
      </c>
      <c r="AC14" s="12">
        <f>IFERROR(IF(ISNUMBER(AB14),(AB14-AVERAGEIF('Pemetaan Variant'!$A$5:$A$32,$B14,'Pemetaan Variant'!$E$5:$E$32))/AVERAGEIF('Pemetaan Variant'!$A$5:$A$32,$B14,'Pemetaan Variant'!$E$5:$E$32)*100,"n/a"),"n/a")</f>
        <v>5.3347280334727971</v>
      </c>
      <c r="AD14" s="4">
        <f t="shared" si="8"/>
        <v>0.159389889649835</v>
      </c>
      <c r="AE14" s="11">
        <f>IFERROR(AVERAGEIF('Pemetaan Variant'!$A$5:$A$32,$B14,'Pemetaan Variant'!$Y$5:$Y$32),"n/a")</f>
        <v>26100</v>
      </c>
      <c r="AF14" s="12">
        <f>IFERROR(IF(ISNUMBER(AE14),(AE14-AVERAGEIF('Pemetaan Variant'!$A$5:$A$32,$B14,'Pemetaan Variant'!$F$5:$F$32))/AVERAGEIF('Pemetaan Variant'!$A$5:$A$32,$B14,'Pemetaan Variant'!$F$5:$F$32)*100,"n/a"),"n/a")</f>
        <v>1.5148413510747201</v>
      </c>
      <c r="AG14" s="4">
        <f t="shared" si="9"/>
        <v>4.5260113405936345E-2</v>
      </c>
      <c r="AH14" s="11">
        <f>IFERROR(AVERAGEIF('Pemetaan Variant'!$A$5:$A$32,$B14,'Pemetaan Variant'!$Z$5:$Z$32),"n/a")</f>
        <v>25600</v>
      </c>
      <c r="AI14" s="12">
        <f>IFERROR(IF(ISNUMBER(AH14),(AH14-AVERAGEIF('Pemetaan Variant'!$A$5:$A$32,$B14,'Pemetaan Variant'!$F$5:$F$32))/AVERAGEIF('Pemetaan Variant'!$A$5:$A$32,$B14,'Pemetaan Variant'!$F$5:$F$32)*100,"n/a"),"n/a")</f>
        <v>-0.42988741044012135</v>
      </c>
      <c r="AJ14" s="4">
        <f t="shared" si="10"/>
        <v>-1.2844086236819718E-2</v>
      </c>
      <c r="AK14" s="11">
        <f>IFERROR(AVERAGEIF('Pemetaan Variant'!$A$5:$A$32,$B14,'Pemetaan Variant'!$AA$5:$AA$32),"n/a")</f>
        <v>25000</v>
      </c>
      <c r="AL14" s="12">
        <f>IFERROR(IF(ISNUMBER(AK14),(AK14-AVERAGEIF('Pemetaan Variant'!$A$5:$A$32,$B14,'Pemetaan Variant'!$F$5:$F$32))/AVERAGEIF('Pemetaan Variant'!$A$5:$A$32,$B14,'Pemetaan Variant'!$F$5:$F$32)*100,"n/a"),"n/a")</f>
        <v>-2.7635619242579312</v>
      </c>
      <c r="AM14" s="4">
        <f t="shared" si="11"/>
        <v>-8.2569125808127003E-2</v>
      </c>
      <c r="AN14" s="11">
        <f>IFERROR(AVERAGEIF('Pemetaan Variant'!$A$5:$A$32,$B14,'Pemetaan Variant'!$AB$5:$AB$32),"n/a")</f>
        <v>24875</v>
      </c>
      <c r="AO14" s="12">
        <f>IFERROR(IF(ISNUMBER(AN14),(AN14-AVERAGEIF('Pemetaan Variant'!$A$5:$A$32,$B14,'Pemetaan Variant'!$F$5:$F$32))/AVERAGEIF('Pemetaan Variant'!$A$5:$A$32,$B14,'Pemetaan Variant'!$F$5:$F$32)*100,"n/a"),"n/a")</f>
        <v>-3.2497441146366413</v>
      </c>
      <c r="AP14" s="4">
        <f t="shared" si="12"/>
        <v>-9.7095175718815999E-2</v>
      </c>
      <c r="AQ14" s="11" t="str">
        <f>IFERROR(AVERAGEIF('Pemetaan Variant'!$A$5:$A$32,$B14,'Pemetaan Variant'!$AC$5:$AC$32),"n/a")</f>
        <v>n/a</v>
      </c>
      <c r="AR14" s="12" t="str">
        <f>IFERROR(IF(ISNUMBER(AQ14),(AQ14-AVERAGEIF('Pemetaan Variant'!$A$5:$A$32,$B14,'Pemetaan Variant'!$F$5:$F$32))/AVERAGEIF('Pemetaan Variant'!$A$5:$A$32,$B14,'Pemetaan Variant'!$F$5:$F$32)*100,"n/a"),"n/a")</f>
        <v>n/a</v>
      </c>
      <c r="AS14" s="4" t="str">
        <f t="shared" si="13"/>
        <v>n/a</v>
      </c>
      <c r="AT14" s="11" t="str">
        <f>IFERROR(AVERAGEIF('Pemetaan Variant'!$A$5:$A$32,$B14,'Pemetaan Variant'!$AD$5:$AD$32),"n/a")</f>
        <v>n/a</v>
      </c>
      <c r="AU14" s="12" t="str">
        <f>IFERROR(IF(ISNUMBER(AT14),(AT14-AVERAGEIF('Pemetaan Variant'!$A$5:$A$32,$B14,'Pemetaan Variant'!$G$5:$G$32))/AVERAGEIF('Pemetaan Variant'!$A$5:$A$32,$B14,'Pemetaan Variant'!$G$5:$G$32)*100,"n/a"),"n/a")</f>
        <v>n/a</v>
      </c>
      <c r="AV14" s="4" t="str">
        <f t="shared" si="14"/>
        <v>n/a</v>
      </c>
      <c r="AW14" s="11">
        <f>IFERROR(AVERAGEIF('Pemetaan Variant'!$A$5:$A$32,$B14,'Pemetaan Variant'!$AE$5:$AE$32),"n/a")</f>
        <v>24250</v>
      </c>
      <c r="AX14" s="12">
        <f>IFERROR(IF(ISNUMBER(AW14),(AW14-AVERAGEIF('Pemetaan Variant'!$A$5:$A$32,$B14,'Pemetaan Variant'!$G$5:$G$32))/AVERAGEIF('Pemetaan Variant'!$A$5:$A$32,$B14,'Pemetaan Variant'!$G$5:$G$32)*100,"n/a"),"n/a")</f>
        <v>-4.606625258799169</v>
      </c>
      <c r="AY14" s="4">
        <f t="shared" si="15"/>
        <v>-0.1376357870637617</v>
      </c>
      <c r="AZ14" s="11">
        <f>IFERROR(AVERAGEIF('Pemetaan Variant'!$A$5:$A$32,$B14,'Pemetaan Variant'!$AF$5:$AF$32),"n/a")</f>
        <v>23375</v>
      </c>
      <c r="BA14" s="12">
        <f>IFERROR(IF(ISNUMBER(AZ14),(AZ14-AVERAGEIF('Pemetaan Variant'!$A$5:$A$32,$B14,'Pemetaan Variant'!$G$5:$G$32))/AVERAGEIF('Pemetaan Variant'!$A$5:$A$32,$B14,'Pemetaan Variant'!$G$5:$G$32)*100,"n/a"),"n/a")</f>
        <v>-8.0486542443064142</v>
      </c>
      <c r="BB14" s="4">
        <f t="shared" si="16"/>
        <v>-0.24047600998219043</v>
      </c>
      <c r="BC14" s="11">
        <f>IFERROR(AVERAGEIF('Pemetaan Variant'!$A$5:$A$32,$B14,'Pemetaan Variant'!$AG$5:$AG$32),"n/a")</f>
        <v>23000</v>
      </c>
      <c r="BD14" s="12">
        <f>IFERROR(IF(ISNUMBER(BC14),(BC14-AVERAGEIF('Pemetaan Variant'!$A$5:$A$32,$B14,'Pemetaan Variant'!$G$5:$G$32))/AVERAGEIF('Pemetaan Variant'!$A$5:$A$32,$B14,'Pemetaan Variant'!$G$5:$G$32)*100,"n/a"),"n/a")</f>
        <v>-9.5238095238095202</v>
      </c>
      <c r="BE14" s="4">
        <f t="shared" si="17"/>
        <v>-0.28455039123294562</v>
      </c>
      <c r="BF14" s="11">
        <f>IFERROR(AVERAGEIF('Pemetaan Variant'!$A$5:$A$32,$B14,'Pemetaan Variant'!$AH$5:$AH$32),"n/a")</f>
        <v>23000</v>
      </c>
      <c r="BG14" s="12">
        <f>IFERROR(IF(ISNUMBER(BF14),(BF14-AVERAGEIF('Pemetaan Variant'!$A$5:$A$32,$B14,'Pemetaan Variant'!$G$5:$G$32))/AVERAGEIF('Pemetaan Variant'!$A$5:$A$32,$B14,'Pemetaan Variant'!$G$5:$G$32)*100,"n/a"),"n/a")</f>
        <v>-9.5238095238095202</v>
      </c>
      <c r="BH14" s="4">
        <f t="shared" si="18"/>
        <v>-0.28455039123294562</v>
      </c>
      <c r="BI14" s="11">
        <f>IFERROR(AVERAGEIF('Pemetaan Variant'!$A$5:$A$32,$B14,'Pemetaan Variant'!$AI$5:$AI$32),"n/a")</f>
        <v>23000</v>
      </c>
      <c r="BJ14" s="12">
        <f>IFERROR(IF(ISNUMBER(BI14),(BI14-AVERAGEIF('Pemetaan Variant'!$A$5:$A$32,$B14,'Pemetaan Variant'!$H$5:$H$32))/AVERAGEIF('Pemetaan Variant'!$A$5:$A$32,$B14,'Pemetaan Variant'!$H$5:$H$32)*100,"n/a"),"n/a")</f>
        <v>-1.7356475300400533</v>
      </c>
      <c r="BK14" s="4">
        <f t="shared" si="19"/>
        <v>-5.1857314290116273E-2</v>
      </c>
      <c r="BL14" s="11">
        <f>IFERROR(AVERAGEIF('Pemetaan Variant'!$A$5:$A$32,$B14,'Pemetaan Variant'!$AJ$5:$AJ$32),"n/a")</f>
        <v>23000</v>
      </c>
      <c r="BM14" s="12">
        <f>IFERROR(IF(ISNUMBER(BL14),(BL14-AVERAGEIF('Pemetaan Variant'!$A$5:$A$32,$B14,'Pemetaan Variant'!$H$5:$H$32))/AVERAGEIF('Pemetaan Variant'!$A$5:$A$32,$B14,'Pemetaan Variant'!$H$5:$H$32)*100,"n/a"),"n/a")</f>
        <v>-1.7356475300400533</v>
      </c>
      <c r="BN14" s="4">
        <f t="shared" si="20"/>
        <v>-5.1857314290116273E-2</v>
      </c>
      <c r="BO14" s="11">
        <f>IFERROR(AVERAGEIF('Pemetaan Variant'!$A$5:$A$32,$B14,'Pemetaan Variant'!$AK$5:$AK$32),"n/a")</f>
        <v>23000</v>
      </c>
      <c r="BP14" s="12">
        <f>IFERROR(IF(ISNUMBER(BO14),(BO14-AVERAGEIF('Pemetaan Variant'!$A$5:$A$32,$B14,'Pemetaan Variant'!$H$5:$H$32))/AVERAGEIF('Pemetaan Variant'!$A$5:$A$32,$B14,'Pemetaan Variant'!$H$5:$H$32)*100,"n/a"),"n/a")</f>
        <v>-1.7356475300400533</v>
      </c>
      <c r="BQ14" s="4">
        <f t="shared" si="21"/>
        <v>-5.1857314290116273E-2</v>
      </c>
      <c r="BR14" s="11">
        <f>IFERROR(AVERAGEIF('Pemetaan Variant'!$A$5:$A$32,$B14,'Pemetaan Variant'!$AL$5:$AL$32),"n/a")</f>
        <v>23000</v>
      </c>
      <c r="BS14" s="12">
        <f>IFERROR(IF(ISNUMBER(BR14),(BR14-AVERAGEIF('Pemetaan Variant'!$A$5:$A$32,$B14,'Pemetaan Variant'!$H$5:$H$32))/AVERAGEIF('Pemetaan Variant'!$A$5:$A$32,$B14,'Pemetaan Variant'!$H$5:$H$32)*100,"n/a"),"n/a")</f>
        <v>-1.7356475300400533</v>
      </c>
      <c r="BT14" s="4">
        <f t="shared" si="22"/>
        <v>-5.1857314290116273E-2</v>
      </c>
      <c r="BU14" s="11">
        <f>IFERROR(AVERAGEIF('Pemetaan Variant'!$A$5:$A$32,$B14,'Pemetaan Variant'!$AM$5:$AM$32),"n/a")</f>
        <v>23833.333333333332</v>
      </c>
      <c r="BV14" s="12">
        <f>IFERROR(IF(ISNUMBER(BU14),(BU14-AVERAGEIF('Pemetaan Variant'!$A$5:$A$32,$B14,'Pemetaan Variant'!$H$5:$H$32))/AVERAGEIF('Pemetaan Variant'!$A$5:$A$32,$B14,'Pemetaan Variant'!$H$5:$H$32)*100,"n/a"),"n/a")</f>
        <v>1.8246550956831278</v>
      </c>
      <c r="BW14" s="4">
        <f t="shared" si="23"/>
        <v>5.4516663740891314E-2</v>
      </c>
      <c r="BX14" s="11">
        <f>IFERROR(AVERAGEIF('Pemetaan Variant'!$A$5:$A$32,$B14,'Pemetaan Variant'!$AN$5:$AN$32),"n/a")</f>
        <v>25000</v>
      </c>
      <c r="BY14" s="12">
        <f>IFERROR(IF(ISNUMBER(BX14),(BX14-AVERAGEIF('Pemetaan Variant'!$A$5:$A$32,$B14,'Pemetaan Variant'!$I$5:$I$32))/AVERAGEIF('Pemetaan Variant'!$A$5:$A$32,$B14,'Pemetaan Variant'!$I$5:$I$32)*100,"n/a"),"n/a")</f>
        <v>8.0050825921219779</v>
      </c>
      <c r="BZ14" s="4">
        <f t="shared" si="24"/>
        <v>0.23917418526123696</v>
      </c>
      <c r="CA14" s="11">
        <f>IFERROR(AVERAGEIF('Pemetaan Variant'!$A$5:$A$32,$B14,'Pemetaan Variant'!$AO$5:$AO$32),"n/a")</f>
        <v>24000</v>
      </c>
      <c r="CB14" s="12">
        <f>IFERROR(IF(ISNUMBER(CA14),(CA14-AVERAGEIF('Pemetaan Variant'!$A$5:$A$32,$B14,'Pemetaan Variant'!$I$5:$I$32))/AVERAGEIF('Pemetaan Variant'!$A$5:$A$32,$B14,'Pemetaan Variant'!$I$5:$I$32)*100,"n/a"),"n/a")</f>
        <v>3.6848792884370991</v>
      </c>
      <c r="CC14" s="4">
        <f t="shared" si="25"/>
        <v>0.11009605353295029</v>
      </c>
      <c r="CD14" s="11">
        <f>IFERROR(AVERAGEIF('Pemetaan Variant'!$A$5:$A$32,$B14,'Pemetaan Variant'!$AP$5:$AP$32),"n/a")</f>
        <v>22200</v>
      </c>
      <c r="CE14" s="12">
        <f>IFERROR(IF(ISNUMBER(CD14),(CD14-AVERAGEIF('Pemetaan Variant'!$A$5:$A$32,$B14,'Pemetaan Variant'!$I$5:$I$32))/AVERAGEIF('Pemetaan Variant'!$A$5:$A$32,$B14,'Pemetaan Variant'!$I$5:$I$32)*100,"n/a"),"n/a")</f>
        <v>-4.0914866581956835</v>
      </c>
      <c r="CF14" s="4">
        <f t="shared" si="26"/>
        <v>-0.12224458357796573</v>
      </c>
      <c r="CG14" s="11">
        <f>IFERROR(AVERAGEIF('Pemetaan Variant'!$A$5:$A$32,$B14,'Pemetaan Variant'!$AQ$5:$AQ$32),"n/a")</f>
        <v>23000</v>
      </c>
      <c r="CH14" s="12">
        <f>IFERROR(IF(ISNUMBER(CG14),(CG14-AVERAGEIF('Pemetaan Variant'!$A$5:$A$32,$B14,'Pemetaan Variant'!$I$5:$I$32))/AVERAGEIF('Pemetaan Variant'!$A$5:$A$32,$B14,'Pemetaan Variant'!$I$5:$I$32)*100,"n/a"),"n/a")</f>
        <v>-0.63532401524778004</v>
      </c>
      <c r="CI14" s="4">
        <f t="shared" si="27"/>
        <v>-1.8982078195336389E-2</v>
      </c>
      <c r="CJ14" s="11">
        <f>IFERROR(AVERAGEIF('Pemetaan Variant'!$A$5:$A$32,$B14,'Pemetaan Variant'!$AR$5:$AR$32),"n/a")</f>
        <v>23250</v>
      </c>
      <c r="CK14" s="12">
        <f>IFERROR(IF(ISNUMBER(CJ14),(CJ14-AVERAGEIF('Pemetaan Variant'!$A$5:$A$32,$B14,'Pemetaan Variant'!$J$5:$J$32))/AVERAGEIF('Pemetaan Variant'!$A$5:$A$32,$B14,'Pemetaan Variant'!$J$5:$J$32)*100,"n/a"),"n/a")</f>
        <v>-0.93984962406015593</v>
      </c>
      <c r="CL14" s="4">
        <f t="shared" si="28"/>
        <v>-2.8080630713777706E-2</v>
      </c>
      <c r="CM14" s="11">
        <f>IFERROR(AVERAGEIF('Pemetaan Variant'!$A$5:$A$32,$B14,'Pemetaan Variant'!$AS$5:$AS$32),"n/a")</f>
        <v>24400</v>
      </c>
      <c r="CN14" s="12">
        <f>IFERROR(IF(ISNUMBER(CM14),(CM14-AVERAGEIF('Pemetaan Variant'!$A$5:$A$32,$B14,'Pemetaan Variant'!$J$5:$J$32))/AVERAGEIF('Pemetaan Variant'!$A$5:$A$32,$B14,'Pemetaan Variant'!$J$5:$J$32)*100,"n/a"),"n/a")</f>
        <v>3.9598997493734278</v>
      </c>
      <c r="CO14" s="4">
        <f t="shared" si="29"/>
        <v>0.11831305740738253</v>
      </c>
      <c r="CP14" s="11">
        <f>IFERROR(AVERAGEIF('Pemetaan Variant'!$A$5:$A$32,$B14,'Pemetaan Variant'!$AT$5:$AT$32),"n/a")</f>
        <v>24200</v>
      </c>
      <c r="CQ14" s="12">
        <f>IFERROR(IF(ISNUMBER(CP14),(CP14-AVERAGEIF('Pemetaan Variant'!$A$5:$A$32,$B14,'Pemetaan Variant'!$J$5:$J$32))/AVERAGEIF('Pemetaan Variant'!$A$5:$A$32,$B14,'Pemetaan Variant'!$J$5:$J$32)*100,"n/a"),"n/a")</f>
        <v>3.1077694235588917</v>
      </c>
      <c r="CR14" s="4">
        <f t="shared" si="30"/>
        <v>9.2853285560224236E-2</v>
      </c>
      <c r="CS14" s="11">
        <f>IFERROR(AVERAGEIF('Pemetaan Variant'!$A$5:$A$32,$B14,'Pemetaan Variant'!$AU$5:$AU$32),"n/a")</f>
        <v>25000</v>
      </c>
      <c r="CT14" s="12">
        <f>IFERROR(IF(ISNUMBER(CS14),(CS14-AVERAGEIF('Pemetaan Variant'!$A$5:$A$32,$B14,'Pemetaan Variant'!$J$5:$J$32))/AVERAGEIF('Pemetaan Variant'!$A$5:$A$32,$B14,'Pemetaan Variant'!$J$5:$J$32)*100,"n/a"),"n/a")</f>
        <v>6.5162907268170365</v>
      </c>
      <c r="CU14" s="4">
        <f t="shared" si="31"/>
        <v>0.19469237294885741</v>
      </c>
      <c r="CV14" s="11">
        <f>IFERROR(AVERAGEIF('Pemetaan Variant'!$A$5:$A$32,$B14,'Pemetaan Variant'!$AV$5:$AV$32),"n/a")</f>
        <v>23875</v>
      </c>
      <c r="CW14" s="12">
        <f>IFERROR(IF(ISNUMBER(CV14),(CV14-AVERAGEIF('Pemetaan Variant'!$A$5:$A$32,$B14,'Pemetaan Variant'!$J$5:$J$32))/AVERAGEIF('Pemetaan Variant'!$A$5:$A$32,$B14,'Pemetaan Variant'!$J$5:$J$32)*100,"n/a"),"n/a")</f>
        <v>1.7230576441102701</v>
      </c>
      <c r="CX14" s="4">
        <f t="shared" si="32"/>
        <v>5.1481156308591985E-2</v>
      </c>
      <c r="CY14" s="11">
        <f>IFERROR(AVERAGEIF('Pemetaan Variant'!$A$5:$A$32,$B14,'Pemetaan Variant'!$AW$5:$AW$32),"n/a")</f>
        <v>0</v>
      </c>
      <c r="CZ14" s="12">
        <f>IFERROR(IF(ISNUMBER(CY14),(CY14-AVERAGEIF('Pemetaan Variant'!$A$5:$A$32,$B14,'Pemetaan Variant'!$K$5:$K$32))/AVERAGEIF('Pemetaan Variant'!$A$5:$A$32,$B14,'Pemetaan Variant'!$K$5:$K$32)*100,"n/a"),"n/a")</f>
        <v>-100</v>
      </c>
      <c r="DA14" s="4">
        <f t="shared" si="33"/>
        <v>-2.9877791079459302</v>
      </c>
      <c r="DB14" s="11">
        <f>IFERROR(AVERAGEIF('Pemetaan Variant'!$A$5:$A$32,$B14,'Pemetaan Variant'!$AX$5:$AX$32),"n/a")</f>
        <v>0</v>
      </c>
      <c r="DC14" s="12">
        <f>IFERROR(IF(ISNUMBER(DB14),(DB14-AVERAGEIF('Pemetaan Variant'!$A$5:$A$32,$B14,'Pemetaan Variant'!$K$5:$K$32))/AVERAGEIF('Pemetaan Variant'!$A$5:$A$32,$B14,'Pemetaan Variant'!$K$5:$K$32)*100,"n/a"),"n/a")</f>
        <v>-100</v>
      </c>
      <c r="DD14" s="4">
        <f t="shared" si="34"/>
        <v>-2.9877791079459302</v>
      </c>
      <c r="DE14" s="11">
        <f>IFERROR(AVERAGEIF('Pemetaan Variant'!$A$5:$A$32,$B14,'Pemetaan Variant'!$AY$5:$AY$32),"n/a")</f>
        <v>0</v>
      </c>
      <c r="DF14" s="12">
        <f>IFERROR(IF(ISNUMBER(DE14),(DE14-AVERAGEIF('Pemetaan Variant'!$A$5:$A$32,$B14,'Pemetaan Variant'!$K$5:$K$32))/AVERAGEIF('Pemetaan Variant'!$A$5:$A$32,$B14,'Pemetaan Variant'!$K$5:$K$32)*100,"n/a"),"n/a")</f>
        <v>-100</v>
      </c>
      <c r="DG14" s="4">
        <f t="shared" si="35"/>
        <v>-2.9877791079459302</v>
      </c>
      <c r="DH14" s="11">
        <f>IFERROR(AVERAGEIF('Pemetaan Variant'!$A$5:$A$32,$B14,'Pemetaan Variant'!$AZ$5:$AZ$32),"n/a")</f>
        <v>0</v>
      </c>
      <c r="DI14" s="12">
        <f>IFERROR(IF(ISNUMBER(DH14),(DH14-AVERAGEIF('Pemetaan Variant'!$A$5:$A$32,$B14,'Pemetaan Variant'!$K$5:$K$32))/AVERAGEIF('Pemetaan Variant'!$A$5:$A$32,$B14,'Pemetaan Variant'!$K$5:$K$32)*100,"n/a"),"n/a")</f>
        <v>-100</v>
      </c>
      <c r="DJ14" s="4">
        <f t="shared" si="36"/>
        <v>-2.9877791079459302</v>
      </c>
      <c r="DK14" s="11" t="str">
        <f>IFERROR(AVERAGEIF('Pemetaan Variant'!$A$5:$A$32,$B14,'Pemetaan Variant'!$BA$5:$BA$32),"n/a")</f>
        <v>n/a</v>
      </c>
      <c r="DL14" s="12" t="str">
        <f>IFERROR(IF(ISNUMBER(DK14),(DK14-AVERAGEIF('Pemetaan Variant'!$A$5:$A$32,$B14,'Pemetaan Variant'!$L$5:$L$32))/AVERAGEIF('Pemetaan Variant'!$A$5:$A$32,$B14,'Pemetaan Variant'!$L$5:$L$32)*100,"n/a"),"n/a")</f>
        <v>n/a</v>
      </c>
      <c r="DM14" s="4" t="str">
        <f t="shared" si="37"/>
        <v>n/a</v>
      </c>
      <c r="DN14" s="11" t="str">
        <f>IFERROR(AVERAGEIF('Pemetaan Variant'!$A$5:$A$32,$B14,'Pemetaan Variant'!$BB$5:$BB$32),"n/a")</f>
        <v>n/a</v>
      </c>
      <c r="DO14" s="12" t="str">
        <f>IFERROR(IF(ISNUMBER(DN14),(DN14-AVERAGEIF('Pemetaan Variant'!$A$5:$A$32,$B14,'Pemetaan Variant'!$L$5:$L$32))/AVERAGEIF('Pemetaan Variant'!$A$5:$A$32,$B14,'Pemetaan Variant'!$L$5:$L$32)*100,"n/a"),"n/a")</f>
        <v>n/a</v>
      </c>
      <c r="DP14" s="4" t="str">
        <f t="shared" si="38"/>
        <v>n/a</v>
      </c>
      <c r="DQ14" s="11" t="str">
        <f>IFERROR(AVERAGEIF('Pemetaan Variant'!$A$5:$A$32,$B14,'Pemetaan Variant'!$BC$5:$BC$32),"n/a")</f>
        <v>n/a</v>
      </c>
      <c r="DR14" s="12" t="str">
        <f>IFERROR(IF(ISNUMBER(DQ14),(DQ14-AVERAGEIF('Pemetaan Variant'!$A$5:$A$32,$B14,'Pemetaan Variant'!$L$5:$L$32))/AVERAGEIF('Pemetaan Variant'!$A$5:$A$32,$B14,'Pemetaan Variant'!$L$5:$L$32)*100,"n/a"),"n/a")</f>
        <v>n/a</v>
      </c>
      <c r="DS14" s="4" t="str">
        <f t="shared" si="39"/>
        <v>n/a</v>
      </c>
      <c r="DT14" s="11" t="str">
        <f>IFERROR(AVERAGEIF('Pemetaan Variant'!$A$5:$A$32,$B14,'Pemetaan Variant'!$BD$5:$BD$32),"n/a")</f>
        <v>n/a</v>
      </c>
      <c r="DU14" s="12" t="str">
        <f>IFERROR(IF(ISNUMBER(DT14),(DT14-AVERAGEIF('Pemetaan Variant'!$A$5:$A$32,$B14,'Pemetaan Variant'!$L$5:$L$32))/AVERAGEIF('Pemetaan Variant'!$A$5:$A$32,$B14,'Pemetaan Variant'!$L$5:$L$32)*100,"n/a"),"n/a")</f>
        <v>n/a</v>
      </c>
      <c r="DV14" s="4" t="str">
        <f t="shared" si="40"/>
        <v>n/a</v>
      </c>
      <c r="DW14" s="11" t="str">
        <f>IFERROR(AVERAGEIF('Pemetaan Variant'!$A$5:$A$32,$B14,'Pemetaan Variant'!$BE$5:$BE$32),"n/a")</f>
        <v>n/a</v>
      </c>
      <c r="DX14" s="12" t="str">
        <f>IFERROR(IF(ISNUMBER(DW14),(DW14-AVERAGEIF('Pemetaan Variant'!$A$5:$A$32,$B14,'Pemetaan Variant'!$M$5:$M$32))/AVERAGEIF('Pemetaan Variant'!$A$5:$A$32,$B14,'Pemetaan Variant'!$M$5:$M$32)*100,"n/a"),"n/a")</f>
        <v>n/a</v>
      </c>
      <c r="DY14" s="4" t="str">
        <f t="shared" si="41"/>
        <v>n/a</v>
      </c>
      <c r="DZ14" s="11" t="str">
        <f>IFERROR(AVERAGEIF('Pemetaan Variant'!$A$5:$A$32,$B14,'Pemetaan Variant'!$BF$5:$BF$32),"n/a")</f>
        <v>n/a</v>
      </c>
      <c r="EA14" s="12" t="str">
        <f>IFERROR(IF(ISNUMBER(DZ14),(DZ14-AVERAGEIF('Pemetaan Variant'!$A$5:$A$32,$B14,'Pemetaan Variant'!$M$5:$M$32))/AVERAGEIF('Pemetaan Variant'!$A$5:$A$32,$B14,'Pemetaan Variant'!$M$5:$M$32)*100,"n/a"),"n/a")</f>
        <v>n/a</v>
      </c>
      <c r="EB14" s="4" t="str">
        <f t="shared" si="42"/>
        <v>n/a</v>
      </c>
      <c r="EC14" s="11" t="str">
        <f>IFERROR(AVERAGEIF('Pemetaan Variant'!$A$5:$A$32,$B14,'Pemetaan Variant'!$BG$5:$BG$32),"n/a")</f>
        <v>n/a</v>
      </c>
      <c r="ED14" s="12" t="str">
        <f>IFERROR(IF(ISNUMBER(EC14),(EC14-AVERAGEIF('Pemetaan Variant'!$A$5:$A$32,$B14,'Pemetaan Variant'!$M$5:$M$32))/AVERAGEIF('Pemetaan Variant'!$A$5:$A$32,$B14,'Pemetaan Variant'!$M$5:$M$32)*100,"n/a"),"n/a")</f>
        <v>n/a</v>
      </c>
      <c r="EE14" s="4" t="str">
        <f t="shared" si="43"/>
        <v>n/a</v>
      </c>
      <c r="EF14" s="11" t="str">
        <f>IFERROR(AVERAGEIF('Pemetaan Variant'!$A$5:$A$32,$B14,'Pemetaan Variant'!$BH$5:$BH$32),"n/a")</f>
        <v>n/a</v>
      </c>
      <c r="EG14" s="12" t="str">
        <f>IFERROR(IF(ISNUMBER(EF14),(EF14-AVERAGEIF('Pemetaan Variant'!$A$5:$A$32,$B14,'Pemetaan Variant'!$M$5:$M$32))/AVERAGEIF('Pemetaan Variant'!$A$5:$A$32,$B14,'Pemetaan Variant'!$M$5:$M$32)*100,"n/a"),"n/a")</f>
        <v>n/a</v>
      </c>
      <c r="EH14" s="4" t="str">
        <f t="shared" si="44"/>
        <v>n/a</v>
      </c>
      <c r="EI14" s="11" t="str">
        <f>IFERROR(AVERAGEIF('Pemetaan Variant'!$A$5:$A$32,$B14,'Pemetaan Variant'!$BI$5:$BI$32),"n/a")</f>
        <v>n/a</v>
      </c>
      <c r="EJ14" s="12" t="str">
        <f>IFERROR(IF(ISNUMBER(EI14),(EI14-AVERAGEIF('Pemetaan Variant'!$A$5:$A$32,$B14,'Pemetaan Variant'!$M$5:$M$32))/AVERAGEIF('Pemetaan Variant'!$A$5:$A$32,$B14,'Pemetaan Variant'!$M$5:$M$32)*100,"n/a"),"n/a")</f>
        <v>n/a</v>
      </c>
      <c r="EK14" s="4" t="str">
        <f t="shared" si="45"/>
        <v>n/a</v>
      </c>
      <c r="EL14" s="11" t="str">
        <f>IFERROR(AVERAGEIF('Pemetaan Variant'!$A$5:$A$32,$B14,'Pemetaan Variant'!$BJ$5:$BJ$32),"n/a")</f>
        <v>n/a</v>
      </c>
      <c r="EM14" s="12" t="str">
        <f>IFERROR(IF(ISNUMBER(EL14),(EL14-AVERAGEIF('Pemetaan Variant'!$A$5:$A$32,$B14,'Pemetaan Variant'!$N$5:$N$32))/AVERAGEIF('Pemetaan Variant'!$A$5:$A$32,$B14,'Pemetaan Variant'!$N$5:$N$32)*100,"n/a"),"n/a")</f>
        <v>n/a</v>
      </c>
      <c r="EN14" s="4" t="str">
        <f t="shared" si="46"/>
        <v>n/a</v>
      </c>
      <c r="EO14" s="11" t="str">
        <f>IFERROR(AVERAGEIF('Pemetaan Variant'!$A$5:$A$32,$B14,'Pemetaan Variant'!$BK$5:$BK$32),"n/a")</f>
        <v>n/a</v>
      </c>
      <c r="EP14" s="12" t="str">
        <f>IFERROR(IF(ISNUMBER(EO14),(EO14-AVERAGEIF('Pemetaan Variant'!$A$5:$A$32,$B14,'Pemetaan Variant'!$N$5:$N$32))/AVERAGEIF('Pemetaan Variant'!$A$5:$A$32,$B14,'Pemetaan Variant'!$N$5:$N$32)*100,"n/a"),"n/a")</f>
        <v>n/a</v>
      </c>
      <c r="EQ14" s="4" t="str">
        <f t="shared" si="47"/>
        <v>n/a</v>
      </c>
      <c r="ER14" s="11" t="str">
        <f>IFERROR(AVERAGEIF('Pemetaan Variant'!$A$5:$A$32,$B14,'Pemetaan Variant'!$BL$5:$BL$32),"n/a")</f>
        <v>n/a</v>
      </c>
      <c r="ES14" s="12" t="str">
        <f>IFERROR(IF(ISNUMBER(ER14),(ER14-AVERAGEIF('Pemetaan Variant'!$A$5:$A$32,$B14,'Pemetaan Variant'!$N$5:$N$32))/AVERAGEIF('Pemetaan Variant'!$A$5:$A$32,$B14,'Pemetaan Variant'!$N$5:$N$32)*100,"n/a"),"n/a")</f>
        <v>n/a</v>
      </c>
      <c r="ET14" s="4" t="str">
        <f t="shared" si="48"/>
        <v>n/a</v>
      </c>
      <c r="EU14" s="11" t="str">
        <f>IFERROR(AVERAGEIF('Pemetaan Variant'!$A$5:$A$32,$B14,'Pemetaan Variant'!$BM$5:$BM$32),"n/a")</f>
        <v>n/a</v>
      </c>
      <c r="EV14" s="12" t="str">
        <f>IFERROR(IF(ISNUMBER(EU14),(EU14-AVERAGEIF('Pemetaan Variant'!$A$5:$A$32,$B14,'Pemetaan Variant'!$N$5:$N$32))/AVERAGEIF('Pemetaan Variant'!$A$5:$A$32,$B14,'Pemetaan Variant'!$N$5:$N$32)*100,"n/a"),"n/a")</f>
        <v>n/a</v>
      </c>
      <c r="EW14" s="4" t="str">
        <f t="shared" si="49"/>
        <v>n/a</v>
      </c>
      <c r="EX14" s="11" t="str">
        <f>IFERROR(AVERAGEIF('Pemetaan Variant'!$A$5:$A$32,$B14,'Pemetaan Variant'!$BN$5:$BN$32),"n/a")</f>
        <v>n/a</v>
      </c>
      <c r="EY14" s="12" t="str">
        <f>IFERROR(IF(ISNUMBER(EX14),(EX14-AVERAGEIF('Pemetaan Variant'!$A$5:$A$32,$B14,'Pemetaan Variant'!$O$5:$O$32))/AVERAGEIF('Pemetaan Variant'!$A$5:$A$32,$B14,'Pemetaan Variant'!$O$5:$O$32)*100,"n/a"),"n/a")</f>
        <v>n/a</v>
      </c>
      <c r="EZ14" s="4" t="str">
        <f t="shared" si="50"/>
        <v>n/a</v>
      </c>
      <c r="FA14" s="11" t="str">
        <f>IFERROR(AVERAGEIF('Pemetaan Variant'!$A$5:$A$32,$B14,'Pemetaan Variant'!$BO$5:$BO$32),"n/a")</f>
        <v>n/a</v>
      </c>
      <c r="FB14" s="12" t="str">
        <f>IFERROR(IF(ISNUMBER(FA14),(FA14-AVERAGEIF('Pemetaan Variant'!$A$5:$A$32,$B14,'Pemetaan Variant'!$O$5:$O$32))/AVERAGEIF('Pemetaan Variant'!$A$5:$A$32,$B14,'Pemetaan Variant'!$O$5:$O$32)*100,"n/a"),"n/a")</f>
        <v>n/a</v>
      </c>
      <c r="FC14" s="4" t="str">
        <f t="shared" si="51"/>
        <v>n/a</v>
      </c>
      <c r="FD14" s="11" t="str">
        <f>IFERROR(AVERAGEIF('Pemetaan Variant'!$A$5:$A$32,$B14,'Pemetaan Variant'!$BP$5:$BP$32),"n/a")</f>
        <v>n/a</v>
      </c>
      <c r="FE14" s="12" t="str">
        <f>IFERROR(IF(ISNUMBER(FD14),(FD14-AVERAGEIF('Pemetaan Variant'!$A$5:$A$32,$B14,'Pemetaan Variant'!$O$5:$O$32))/AVERAGEIF('Pemetaan Variant'!$A$5:$A$32,$B14,'Pemetaan Variant'!$O$5:$O$32)*100,"n/a"),"n/a")</f>
        <v>n/a</v>
      </c>
      <c r="FF14" s="4" t="str">
        <f t="shared" si="52"/>
        <v>n/a</v>
      </c>
      <c r="FG14" s="11" t="str">
        <f>IFERROR(AVERAGEIF('Pemetaan Variant'!$A$5:$A$32,$B14,'Pemetaan Variant'!$BQ$5:$BQ$32),"n/a")</f>
        <v>n/a</v>
      </c>
      <c r="FH14" s="12" t="str">
        <f>IFERROR(IF(ISNUMBER(FG14),(FG14-AVERAGEIF('Pemetaan Variant'!$A$5:$A$32,$B14,'Pemetaan Variant'!$O$5:$O$32))/AVERAGEIF('Pemetaan Variant'!$A$5:$A$32,$B14,'Pemetaan Variant'!$O$5:$O$32)*100,"n/a"),"n/a")</f>
        <v>n/a</v>
      </c>
      <c r="FI14" s="4" t="str">
        <f t="shared" si="53"/>
        <v>n/a</v>
      </c>
      <c r="FJ14" s="11" t="str">
        <f>IFERROR(AVERAGEIF('Pemetaan Variant'!$A$5:$A$32,$B14,'Pemetaan Variant'!$BR$5:$BR$32),"n/a")</f>
        <v>n/a</v>
      </c>
      <c r="FK14" s="12" t="str">
        <f>IFERROR(IF(ISNUMBER(FJ14),(FJ14-AVERAGEIF('Pemetaan Variant'!$A$5:$A$32,$B14,'Pemetaan Variant'!$O$5:$O$32))/AVERAGEIF('Pemetaan Variant'!$A$5:$A$32,$B14,'Pemetaan Variant'!$O$5:$O$32)*100,"n/a"),"n/a")</f>
        <v>n/a</v>
      </c>
      <c r="FL14" s="4" t="str">
        <f t="shared" si="54"/>
        <v>n/a</v>
      </c>
      <c r="FM14" s="13"/>
      <c r="FO14" s="9">
        <f t="shared" si="55"/>
        <v>2.792316923313953E-2</v>
      </c>
      <c r="FP14" s="9">
        <f t="shared" si="56"/>
        <v>1.6753901539883719E-2</v>
      </c>
      <c r="FQ14" s="9">
        <f t="shared" si="57"/>
        <v>0.35183193233755811</v>
      </c>
      <c r="FR14" s="9">
        <f t="shared" si="58"/>
        <v>0.2513085230982558</v>
      </c>
      <c r="FS14" s="9">
        <f t="shared" si="59"/>
        <v>0.2513085230982558</v>
      </c>
      <c r="FT14" s="9">
        <f t="shared" si="60"/>
        <v>3.0627861148399878E-2</v>
      </c>
      <c r="FU14" s="9">
        <f t="shared" si="61"/>
        <v>4.0628795400938202E-2</v>
      </c>
      <c r="FV14" s="9">
        <f t="shared" si="62"/>
        <v>0.11188545195027627</v>
      </c>
      <c r="FW14" s="9">
        <f t="shared" si="63"/>
        <v>0.159389889649835</v>
      </c>
      <c r="FX14" s="9">
        <f t="shared" si="64"/>
        <v>4.5260113405936345E-2</v>
      </c>
      <c r="FY14" s="9">
        <f t="shared" si="65"/>
        <v>1.2844086236819718E-2</v>
      </c>
      <c r="FZ14" s="9">
        <f t="shared" si="66"/>
        <v>8.2569125808127003E-2</v>
      </c>
      <c r="GA14" s="9">
        <f t="shared" si="67"/>
        <v>9.7095175718815999E-2</v>
      </c>
      <c r="GB14" s="9">
        <f t="shared" si="68"/>
        <v>0</v>
      </c>
      <c r="GC14" s="9">
        <f t="shared" si="69"/>
        <v>0</v>
      </c>
      <c r="GD14" s="9">
        <f t="shared" si="70"/>
        <v>0.1376357870637617</v>
      </c>
      <c r="GE14" s="9">
        <f t="shared" si="71"/>
        <v>0.24047600998219043</v>
      </c>
      <c r="GF14" s="9">
        <f t="shared" si="72"/>
        <v>0.28455039123294562</v>
      </c>
      <c r="GG14" s="9">
        <f t="shared" si="73"/>
        <v>0.28455039123294562</v>
      </c>
      <c r="GH14" s="9">
        <f t="shared" si="74"/>
        <v>5.1857314290116273E-2</v>
      </c>
      <c r="GI14" s="9">
        <f t="shared" si="75"/>
        <v>5.1857314290116273E-2</v>
      </c>
      <c r="GJ14" s="9">
        <f t="shared" si="76"/>
        <v>5.1857314290116273E-2</v>
      </c>
      <c r="GK14" s="9">
        <f t="shared" si="77"/>
        <v>5.1857314290116273E-2</v>
      </c>
      <c r="GL14" s="9">
        <f t="shared" si="78"/>
        <v>5.4516663740891314E-2</v>
      </c>
      <c r="GM14" s="9">
        <f t="shared" si="79"/>
        <v>0.23917418526123696</v>
      </c>
      <c r="GN14" s="9">
        <f t="shared" si="80"/>
        <v>0.11009605353295029</v>
      </c>
      <c r="GO14" s="9">
        <f t="shared" si="81"/>
        <v>0.12224458357796573</v>
      </c>
      <c r="GP14" s="9">
        <f t="shared" si="82"/>
        <v>1.8982078195336389E-2</v>
      </c>
      <c r="GQ14" s="9">
        <f t="shared" si="83"/>
        <v>2.8080630713777706E-2</v>
      </c>
      <c r="GR14" s="9">
        <f t="shared" si="84"/>
        <v>0.11831305740738253</v>
      </c>
      <c r="GS14" s="9">
        <f t="shared" si="85"/>
        <v>9.2853285560224236E-2</v>
      </c>
      <c r="GT14" s="9">
        <f t="shared" si="86"/>
        <v>0.19469237294885741</v>
      </c>
      <c r="GU14" s="9">
        <f t="shared" si="87"/>
        <v>5.1481156308591985E-2</v>
      </c>
      <c r="GV14" s="9">
        <f t="shared" si="88"/>
        <v>2.9877791079459302</v>
      </c>
      <c r="GW14" s="9">
        <f t="shared" si="89"/>
        <v>2.9877791079459302</v>
      </c>
      <c r="GX14" s="9">
        <f t="shared" si="90"/>
        <v>2.9877791079459302</v>
      </c>
      <c r="GY14" s="9">
        <f t="shared" si="91"/>
        <v>2.9877791079459302</v>
      </c>
      <c r="GZ14" s="9">
        <f t="shared" si="92"/>
        <v>0</v>
      </c>
      <c r="HA14" s="9">
        <f t="shared" si="93"/>
        <v>0</v>
      </c>
      <c r="HB14" s="9">
        <f t="shared" si="94"/>
        <v>0</v>
      </c>
      <c r="HC14" s="9">
        <f t="shared" si="95"/>
        <v>0</v>
      </c>
      <c r="HD14" s="9">
        <f t="shared" si="96"/>
        <v>0</v>
      </c>
      <c r="HE14" s="9">
        <f t="shared" si="97"/>
        <v>0</v>
      </c>
      <c r="HF14" s="9">
        <f t="shared" si="98"/>
        <v>0</v>
      </c>
      <c r="HG14" s="9">
        <f t="shared" si="99"/>
        <v>0</v>
      </c>
      <c r="HH14" s="9">
        <f t="shared" si="100"/>
        <v>0</v>
      </c>
      <c r="HI14" s="9">
        <f t="shared" si="101"/>
        <v>0</v>
      </c>
      <c r="HJ14" s="9">
        <f t="shared" si="102"/>
        <v>0</v>
      </c>
      <c r="HK14" s="9">
        <f t="shared" si="103"/>
        <v>0</v>
      </c>
      <c r="HL14" s="9">
        <f t="shared" si="104"/>
        <v>0</v>
      </c>
      <c r="HM14" s="9">
        <f t="shared" si="105"/>
        <v>0</v>
      </c>
      <c r="HN14" s="9">
        <f t="shared" si="106"/>
        <v>0</v>
      </c>
      <c r="HO14" s="9">
        <f t="shared" si="107"/>
        <v>0</v>
      </c>
      <c r="HP14" s="9">
        <f t="shared" si="108"/>
        <v>0</v>
      </c>
      <c r="HQ14" s="9">
        <f t="shared" si="109"/>
        <v>0</v>
      </c>
    </row>
    <row r="15" spans="1:225" x14ac:dyDescent="0.35">
      <c r="A15" s="3">
        <v>10</v>
      </c>
      <c r="B15" s="3" t="s">
        <v>134</v>
      </c>
      <c r="C15" s="10">
        <f>'P0Q0 Dasar 2022'!F14</f>
        <v>1.93652206786879E-2</v>
      </c>
      <c r="D15" s="11">
        <f>IFERROR(AVERAGEIF('Pemetaan Variant'!$A$5:$A$32,$B15,'Pemetaan Variant'!$P$5:$P$32),"n/a")</f>
        <v>16500</v>
      </c>
      <c r="E15" s="12">
        <f>IFERROR(IF(ISNUMBER(D15),(D15-AVERAGEIF('Pemetaan Variant'!$A$5:$A$32,$B15,'Pemetaan Variant'!$D$5:$D$32))/AVERAGEIF('Pemetaan Variant'!$A$5:$A$32,$B15,'Pemetaan Variant'!$D$5:$D$32)*100,"n/a"),"n/a")</f>
        <v>0</v>
      </c>
      <c r="F15" s="4">
        <f t="shared" si="0"/>
        <v>0</v>
      </c>
      <c r="G15" s="11">
        <f>IFERROR(AVERAGEIF('Pemetaan Variant'!$A$5:$A$32,$B15,'Pemetaan Variant'!$Q$5:$Q$32),"n/a")</f>
        <v>16500</v>
      </c>
      <c r="H15" s="12">
        <f>IFERROR(IF(ISNUMBER(G15),(G15-AVERAGEIF('Pemetaan Variant'!$A$5:$A$32,$B15,'Pemetaan Variant'!$D$5:$D$32))/AVERAGEIF('Pemetaan Variant'!$A$5:$A$32,$B15,'Pemetaan Variant'!$D$5:$D$32)*100,"n/a"),"n/a")</f>
        <v>0</v>
      </c>
      <c r="I15" s="4">
        <f t="shared" si="1"/>
        <v>0</v>
      </c>
      <c r="J15" s="11">
        <f>IFERROR(AVERAGEIF('Pemetaan Variant'!$A$5:$A$32,$B15,'Pemetaan Variant'!$R$5:$R$32),"n/a")</f>
        <v>16500</v>
      </c>
      <c r="K15" s="12">
        <f>IFERROR(IF(ISNUMBER(J15),(J15-AVERAGEIF('Pemetaan Variant'!$A$5:$A$32,$B15,'Pemetaan Variant'!$D$5:$D$32))/AVERAGEIF('Pemetaan Variant'!$A$5:$A$32,$B15,'Pemetaan Variant'!$D$5:$D$32)*100,"n/a"),"n/a")</f>
        <v>0</v>
      </c>
      <c r="L15" s="4">
        <f t="shared" si="2"/>
        <v>0</v>
      </c>
      <c r="M15" s="11">
        <f>IFERROR(AVERAGEIF('Pemetaan Variant'!$A$5:$A$32,$B15,'Pemetaan Variant'!$S$5:$S$32),"n/a")</f>
        <v>16500</v>
      </c>
      <c r="N15" s="12">
        <f>IFERROR(IF(ISNUMBER(M15),(M15-AVERAGEIF('Pemetaan Variant'!$A$5:$A$32,$B15,'Pemetaan Variant'!$D$5:$D$32))/AVERAGEIF('Pemetaan Variant'!$A$5:$A$32,$B15,'Pemetaan Variant'!$D$5:$D$32)*100,"n/a"),"n/a")</f>
        <v>0</v>
      </c>
      <c r="O15" s="4">
        <f t="shared" si="3"/>
        <v>0</v>
      </c>
      <c r="P15" s="11">
        <f>IFERROR(AVERAGEIF('Pemetaan Variant'!$A$5:$A$32,$B15,'Pemetaan Variant'!$T$5:$T$32),"n/a")</f>
        <v>16500</v>
      </c>
      <c r="Q15" s="12">
        <f>IFERROR(IF(ISNUMBER(P15),(P15-AVERAGEIF('Pemetaan Variant'!$A$5:$A$32,$B15,'Pemetaan Variant'!$D$5:$D$32))/AVERAGEIF('Pemetaan Variant'!$A$5:$A$32,$B15,'Pemetaan Variant'!$D$5:$D$32)*100,"n/a"),"n/a")</f>
        <v>0</v>
      </c>
      <c r="R15" s="4">
        <f t="shared" si="4"/>
        <v>0</v>
      </c>
      <c r="S15" s="11">
        <f>IFERROR(AVERAGEIF('Pemetaan Variant'!$A$5:$A$32,$B15,'Pemetaan Variant'!$U$5:$U$32),"n/a")</f>
        <v>16500</v>
      </c>
      <c r="T15" s="12">
        <f>IFERROR(IF(ISNUMBER(S15),(S15-AVERAGEIF('Pemetaan Variant'!$A$5:$A$32,$B15,'Pemetaan Variant'!$E$5:$E$32))/AVERAGEIF('Pemetaan Variant'!$A$5:$A$32,$B15,'Pemetaan Variant'!$E$5:$E$32)*100,"n/a"),"n/a")</f>
        <v>0</v>
      </c>
      <c r="U15" s="4">
        <f t="shared" si="5"/>
        <v>0</v>
      </c>
      <c r="V15" s="11">
        <f>IFERROR(AVERAGEIF('Pemetaan Variant'!$A$5:$A$32,$B15,'Pemetaan Variant'!$V$5:$V$32),"n/a")</f>
        <v>16500</v>
      </c>
      <c r="W15" s="12">
        <f>IFERROR(IF(ISNUMBER(V15),(V15-AVERAGEIF('Pemetaan Variant'!$A$5:$A$32,$B15,'Pemetaan Variant'!$E$5:$E$32))/AVERAGEIF('Pemetaan Variant'!$A$5:$A$32,$B15,'Pemetaan Variant'!$E$5:$E$32)*100,"n/a"),"n/a")</f>
        <v>0</v>
      </c>
      <c r="X15" s="4">
        <f t="shared" si="6"/>
        <v>0</v>
      </c>
      <c r="Y15" s="11">
        <f>IFERROR(AVERAGEIF('Pemetaan Variant'!$A$5:$A$32,$B15,'Pemetaan Variant'!$W$5:$W$32),"n/a")</f>
        <v>16500</v>
      </c>
      <c r="Z15" s="12">
        <f>IFERROR(IF(ISNUMBER(Y15),(Y15-AVERAGEIF('Pemetaan Variant'!$A$5:$A$32,$B15,'Pemetaan Variant'!$E$5:$E$32))/AVERAGEIF('Pemetaan Variant'!$A$5:$A$32,$B15,'Pemetaan Variant'!$E$5:$E$32)*100,"n/a"),"n/a")</f>
        <v>0</v>
      </c>
      <c r="AA15" s="4">
        <f t="shared" si="7"/>
        <v>0</v>
      </c>
      <c r="AB15" s="11">
        <f>IFERROR(AVERAGEIF('Pemetaan Variant'!$A$5:$A$32,$B15,'Pemetaan Variant'!$X$5:$X$32),"n/a")</f>
        <v>16500</v>
      </c>
      <c r="AC15" s="12">
        <f>IFERROR(IF(ISNUMBER(AB15),(AB15-AVERAGEIF('Pemetaan Variant'!$A$5:$A$32,$B15,'Pemetaan Variant'!$E$5:$E$32))/AVERAGEIF('Pemetaan Variant'!$A$5:$A$32,$B15,'Pemetaan Variant'!$E$5:$E$32)*100,"n/a"),"n/a")</f>
        <v>0</v>
      </c>
      <c r="AD15" s="4">
        <f t="shared" si="8"/>
        <v>0</v>
      </c>
      <c r="AE15" s="11">
        <f>IFERROR(AVERAGEIF('Pemetaan Variant'!$A$5:$A$32,$B15,'Pemetaan Variant'!$Y$5:$Y$32),"n/a")</f>
        <v>16500</v>
      </c>
      <c r="AF15" s="12">
        <f>IFERROR(IF(ISNUMBER(AE15),(AE15-AVERAGEIF('Pemetaan Variant'!$A$5:$A$32,$B15,'Pemetaan Variant'!$F$5:$F$32))/AVERAGEIF('Pemetaan Variant'!$A$5:$A$32,$B15,'Pemetaan Variant'!$F$5:$F$32)*100,"n/a"),"n/a")</f>
        <v>0</v>
      </c>
      <c r="AG15" s="4">
        <f t="shared" si="9"/>
        <v>0</v>
      </c>
      <c r="AH15" s="11">
        <f>IFERROR(AVERAGEIF('Pemetaan Variant'!$A$5:$A$32,$B15,'Pemetaan Variant'!$Z$5:$Z$32),"n/a")</f>
        <v>16500</v>
      </c>
      <c r="AI15" s="12">
        <f>IFERROR(IF(ISNUMBER(AH15),(AH15-AVERAGEIF('Pemetaan Variant'!$A$5:$A$32,$B15,'Pemetaan Variant'!$F$5:$F$32))/AVERAGEIF('Pemetaan Variant'!$A$5:$A$32,$B15,'Pemetaan Variant'!$F$5:$F$32)*100,"n/a"),"n/a")</f>
        <v>0</v>
      </c>
      <c r="AJ15" s="4">
        <f t="shared" si="10"/>
        <v>0</v>
      </c>
      <c r="AK15" s="11">
        <f>IFERROR(AVERAGEIF('Pemetaan Variant'!$A$5:$A$32,$B15,'Pemetaan Variant'!$AA$5:$AA$32),"n/a")</f>
        <v>16500</v>
      </c>
      <c r="AL15" s="12">
        <f>IFERROR(IF(ISNUMBER(AK15),(AK15-AVERAGEIF('Pemetaan Variant'!$A$5:$A$32,$B15,'Pemetaan Variant'!$F$5:$F$32))/AVERAGEIF('Pemetaan Variant'!$A$5:$A$32,$B15,'Pemetaan Variant'!$F$5:$F$32)*100,"n/a"),"n/a")</f>
        <v>0</v>
      </c>
      <c r="AM15" s="4">
        <f t="shared" si="11"/>
        <v>0</v>
      </c>
      <c r="AN15" s="11">
        <f>IFERROR(AVERAGEIF('Pemetaan Variant'!$A$5:$A$32,$B15,'Pemetaan Variant'!$AB$5:$AB$32),"n/a")</f>
        <v>16500</v>
      </c>
      <c r="AO15" s="12">
        <f>IFERROR(IF(ISNUMBER(AN15),(AN15-AVERAGEIF('Pemetaan Variant'!$A$5:$A$32,$B15,'Pemetaan Variant'!$F$5:$F$32))/AVERAGEIF('Pemetaan Variant'!$A$5:$A$32,$B15,'Pemetaan Variant'!$F$5:$F$32)*100,"n/a"),"n/a")</f>
        <v>0</v>
      </c>
      <c r="AP15" s="4">
        <f t="shared" si="12"/>
        <v>0</v>
      </c>
      <c r="AQ15" s="11" t="str">
        <f>IFERROR(AVERAGEIF('Pemetaan Variant'!$A$5:$A$32,$B15,'Pemetaan Variant'!$AC$5:$AC$32),"n/a")</f>
        <v>n/a</v>
      </c>
      <c r="AR15" s="12" t="str">
        <f>IFERROR(IF(ISNUMBER(AQ15),(AQ15-AVERAGEIF('Pemetaan Variant'!$A$5:$A$32,$B15,'Pemetaan Variant'!$F$5:$F$32))/AVERAGEIF('Pemetaan Variant'!$A$5:$A$32,$B15,'Pemetaan Variant'!$F$5:$F$32)*100,"n/a"),"n/a")</f>
        <v>n/a</v>
      </c>
      <c r="AS15" s="4" t="str">
        <f t="shared" si="13"/>
        <v>n/a</v>
      </c>
      <c r="AT15" s="11" t="str">
        <f>IFERROR(AVERAGEIF('Pemetaan Variant'!$A$5:$A$32,$B15,'Pemetaan Variant'!$AD$5:$AD$32),"n/a")</f>
        <v>n/a</v>
      </c>
      <c r="AU15" s="12" t="str">
        <f>IFERROR(IF(ISNUMBER(AT15),(AT15-AVERAGEIF('Pemetaan Variant'!$A$5:$A$32,$B15,'Pemetaan Variant'!$G$5:$G$32))/AVERAGEIF('Pemetaan Variant'!$A$5:$A$32,$B15,'Pemetaan Variant'!$G$5:$G$32)*100,"n/a"),"n/a")</f>
        <v>n/a</v>
      </c>
      <c r="AV15" s="4" t="str">
        <f t="shared" si="14"/>
        <v>n/a</v>
      </c>
      <c r="AW15" s="11">
        <f>IFERROR(AVERAGEIF('Pemetaan Variant'!$A$5:$A$32,$B15,'Pemetaan Variant'!$AE$5:$AE$32),"n/a")</f>
        <v>16500</v>
      </c>
      <c r="AX15" s="12">
        <f>IFERROR(IF(ISNUMBER(AW15),(AW15-AVERAGEIF('Pemetaan Variant'!$A$5:$A$32,$B15,'Pemetaan Variant'!$G$5:$G$32))/AVERAGEIF('Pemetaan Variant'!$A$5:$A$32,$B15,'Pemetaan Variant'!$G$5:$G$32)*100,"n/a"),"n/a")</f>
        <v>0</v>
      </c>
      <c r="AY15" s="4">
        <f t="shared" si="15"/>
        <v>0</v>
      </c>
      <c r="AZ15" s="11">
        <f>IFERROR(AVERAGEIF('Pemetaan Variant'!$A$5:$A$32,$B15,'Pemetaan Variant'!$AF$5:$AF$32),"n/a")</f>
        <v>16000</v>
      </c>
      <c r="BA15" s="12">
        <f>IFERROR(IF(ISNUMBER(AZ15),(AZ15-AVERAGEIF('Pemetaan Variant'!$A$5:$A$32,$B15,'Pemetaan Variant'!$G$5:$G$32))/AVERAGEIF('Pemetaan Variant'!$A$5:$A$32,$B15,'Pemetaan Variant'!$G$5:$G$32)*100,"n/a"),"n/a")</f>
        <v>-3.0303030303030303</v>
      </c>
      <c r="BB15" s="4">
        <f t="shared" si="16"/>
        <v>-5.868248690511485E-2</v>
      </c>
      <c r="BC15" s="11">
        <f>IFERROR(AVERAGEIF('Pemetaan Variant'!$A$5:$A$32,$B15,'Pemetaan Variant'!$AG$5:$AG$32),"n/a")</f>
        <v>16000</v>
      </c>
      <c r="BD15" s="12">
        <f>IFERROR(IF(ISNUMBER(BC15),(BC15-AVERAGEIF('Pemetaan Variant'!$A$5:$A$32,$B15,'Pemetaan Variant'!$G$5:$G$32))/AVERAGEIF('Pemetaan Variant'!$A$5:$A$32,$B15,'Pemetaan Variant'!$G$5:$G$32)*100,"n/a"),"n/a")</f>
        <v>-3.0303030303030303</v>
      </c>
      <c r="BE15" s="4">
        <f t="shared" si="17"/>
        <v>-5.868248690511485E-2</v>
      </c>
      <c r="BF15" s="11">
        <f>IFERROR(AVERAGEIF('Pemetaan Variant'!$A$5:$A$32,$B15,'Pemetaan Variant'!$AH$5:$AH$32),"n/a")</f>
        <v>16000</v>
      </c>
      <c r="BG15" s="12">
        <f>IFERROR(IF(ISNUMBER(BF15),(BF15-AVERAGEIF('Pemetaan Variant'!$A$5:$A$32,$B15,'Pemetaan Variant'!$G$5:$G$32))/AVERAGEIF('Pemetaan Variant'!$A$5:$A$32,$B15,'Pemetaan Variant'!$G$5:$G$32)*100,"n/a"),"n/a")</f>
        <v>-3.0303030303030303</v>
      </c>
      <c r="BH15" s="4">
        <f t="shared" si="18"/>
        <v>-5.868248690511485E-2</v>
      </c>
      <c r="BI15" s="11">
        <f>IFERROR(AVERAGEIF('Pemetaan Variant'!$A$5:$A$32,$B15,'Pemetaan Variant'!$AI$5:$AI$32),"n/a")</f>
        <v>16000</v>
      </c>
      <c r="BJ15" s="12">
        <f>IFERROR(IF(ISNUMBER(BI15),(BI15-AVERAGEIF('Pemetaan Variant'!$A$5:$A$32,$B15,'Pemetaan Variant'!$H$5:$H$32))/AVERAGEIF('Pemetaan Variant'!$A$5:$A$32,$B15,'Pemetaan Variant'!$H$5:$H$32)*100,"n/a"),"n/a")</f>
        <v>-0.77519379844961245</v>
      </c>
      <c r="BK15" s="4">
        <f t="shared" si="19"/>
        <v>-1.5011798975727055E-2</v>
      </c>
      <c r="BL15" s="11">
        <f>IFERROR(AVERAGEIF('Pemetaan Variant'!$A$5:$A$32,$B15,'Pemetaan Variant'!$AJ$5:$AJ$32),"n/a")</f>
        <v>16000</v>
      </c>
      <c r="BM15" s="12">
        <f>IFERROR(IF(ISNUMBER(BL15),(BL15-AVERAGEIF('Pemetaan Variant'!$A$5:$A$32,$B15,'Pemetaan Variant'!$H$5:$H$32))/AVERAGEIF('Pemetaan Variant'!$A$5:$A$32,$B15,'Pemetaan Variant'!$H$5:$H$32)*100,"n/a"),"n/a")</f>
        <v>-0.77519379844961245</v>
      </c>
      <c r="BN15" s="4">
        <f t="shared" si="20"/>
        <v>-1.5011798975727055E-2</v>
      </c>
      <c r="BO15" s="11">
        <f>IFERROR(AVERAGEIF('Pemetaan Variant'!$A$5:$A$32,$B15,'Pemetaan Variant'!$AK$5:$AK$32),"n/a")</f>
        <v>16000</v>
      </c>
      <c r="BP15" s="12">
        <f>IFERROR(IF(ISNUMBER(BO15),(BO15-AVERAGEIF('Pemetaan Variant'!$A$5:$A$32,$B15,'Pemetaan Variant'!$H$5:$H$32))/AVERAGEIF('Pemetaan Variant'!$A$5:$A$32,$B15,'Pemetaan Variant'!$H$5:$H$32)*100,"n/a"),"n/a")</f>
        <v>-0.77519379844961245</v>
      </c>
      <c r="BQ15" s="4">
        <f t="shared" si="21"/>
        <v>-1.5011798975727055E-2</v>
      </c>
      <c r="BR15" s="11">
        <f>IFERROR(AVERAGEIF('Pemetaan Variant'!$A$5:$A$32,$B15,'Pemetaan Variant'!$AL$5:$AL$32),"n/a")</f>
        <v>16000</v>
      </c>
      <c r="BS15" s="12">
        <f>IFERROR(IF(ISNUMBER(BR15),(BR15-AVERAGEIF('Pemetaan Variant'!$A$5:$A$32,$B15,'Pemetaan Variant'!$H$5:$H$32))/AVERAGEIF('Pemetaan Variant'!$A$5:$A$32,$B15,'Pemetaan Variant'!$H$5:$H$32)*100,"n/a"),"n/a")</f>
        <v>-0.77519379844961245</v>
      </c>
      <c r="BT15" s="4">
        <f t="shared" si="22"/>
        <v>-1.5011798975727055E-2</v>
      </c>
      <c r="BU15" s="11">
        <f>IFERROR(AVERAGEIF('Pemetaan Variant'!$A$5:$A$32,$B15,'Pemetaan Variant'!$AM$5:$AM$32),"n/a")</f>
        <v>16500</v>
      </c>
      <c r="BV15" s="12">
        <f>IFERROR(IF(ISNUMBER(BU15),(BU15-AVERAGEIF('Pemetaan Variant'!$A$5:$A$32,$B15,'Pemetaan Variant'!$H$5:$H$32))/AVERAGEIF('Pemetaan Variant'!$A$5:$A$32,$B15,'Pemetaan Variant'!$H$5:$H$32)*100,"n/a"),"n/a")</f>
        <v>2.3255813953488373</v>
      </c>
      <c r="BW15" s="4">
        <f t="shared" si="23"/>
        <v>4.5035396927181164E-2</v>
      </c>
      <c r="BX15" s="11">
        <f>IFERROR(AVERAGEIF('Pemetaan Variant'!$A$5:$A$32,$B15,'Pemetaan Variant'!$AN$5:$AN$32),"n/a")</f>
        <v>16500</v>
      </c>
      <c r="BY15" s="12">
        <f>IFERROR(IF(ISNUMBER(BX15),(BX15-AVERAGEIF('Pemetaan Variant'!$A$5:$A$32,$B15,'Pemetaan Variant'!$I$5:$I$32))/AVERAGEIF('Pemetaan Variant'!$A$5:$A$32,$B15,'Pemetaan Variant'!$I$5:$I$32)*100,"n/a"),"n/a")</f>
        <v>2.5594149908592336</v>
      </c>
      <c r="BZ15" s="4">
        <f t="shared" si="24"/>
        <v>4.9563636106331035E-2</v>
      </c>
      <c r="CA15" s="11">
        <f>IFERROR(AVERAGEIF('Pemetaan Variant'!$A$5:$A$32,$B15,'Pemetaan Variant'!$AO$5:$AO$32),"n/a")</f>
        <v>16000</v>
      </c>
      <c r="CB15" s="12">
        <f>IFERROR(IF(ISNUMBER(CA15),(CA15-AVERAGEIF('Pemetaan Variant'!$A$5:$A$32,$B15,'Pemetaan Variant'!$I$5:$I$32))/AVERAGEIF('Pemetaan Variant'!$A$5:$A$32,$B15,'Pemetaan Variant'!$I$5:$I$32)*100,"n/a"),"n/a")</f>
        <v>-0.5484460694698341</v>
      </c>
      <c r="CC15" s="4">
        <f t="shared" si="25"/>
        <v>-1.0620779165642332E-2</v>
      </c>
      <c r="CD15" s="11">
        <f>IFERROR(AVERAGEIF('Pemetaan Variant'!$A$5:$A$32,$B15,'Pemetaan Variant'!$AP$5:$AP$32),"n/a")</f>
        <v>16000</v>
      </c>
      <c r="CE15" s="12">
        <f>IFERROR(IF(ISNUMBER(CD15),(CD15-AVERAGEIF('Pemetaan Variant'!$A$5:$A$32,$B15,'Pemetaan Variant'!$I$5:$I$32))/AVERAGEIF('Pemetaan Variant'!$A$5:$A$32,$B15,'Pemetaan Variant'!$I$5:$I$32)*100,"n/a"),"n/a")</f>
        <v>-0.5484460694698341</v>
      </c>
      <c r="CF15" s="4">
        <f t="shared" si="26"/>
        <v>-1.0620779165642332E-2</v>
      </c>
      <c r="CG15" s="11">
        <f>IFERROR(AVERAGEIF('Pemetaan Variant'!$A$5:$A$32,$B15,'Pemetaan Variant'!$AQ$5:$AQ$32),"n/a")</f>
        <v>16000</v>
      </c>
      <c r="CH15" s="12">
        <f>IFERROR(IF(ISNUMBER(CG15),(CG15-AVERAGEIF('Pemetaan Variant'!$A$5:$A$32,$B15,'Pemetaan Variant'!$I$5:$I$32))/AVERAGEIF('Pemetaan Variant'!$A$5:$A$32,$B15,'Pemetaan Variant'!$I$5:$I$32)*100,"n/a"),"n/a")</f>
        <v>-0.5484460694698341</v>
      </c>
      <c r="CI15" s="4">
        <f t="shared" si="27"/>
        <v>-1.0620779165642332E-2</v>
      </c>
      <c r="CJ15" s="11">
        <f>IFERROR(AVERAGEIF('Pemetaan Variant'!$A$5:$A$32,$B15,'Pemetaan Variant'!$AR$5:$AR$32),"n/a")</f>
        <v>16000</v>
      </c>
      <c r="CK15" s="12">
        <f>IFERROR(IF(ISNUMBER(CJ15),(CJ15-AVERAGEIF('Pemetaan Variant'!$A$5:$A$32,$B15,'Pemetaan Variant'!$J$5:$J$32))/AVERAGEIF('Pemetaan Variant'!$A$5:$A$32,$B15,'Pemetaan Variant'!$J$5:$J$32)*100,"n/a"),"n/a")</f>
        <v>-0.72992700729927207</v>
      </c>
      <c r="CL15" s="4">
        <f t="shared" si="28"/>
        <v>-1.4135197575684637E-2</v>
      </c>
      <c r="CM15" s="11">
        <f>IFERROR(AVERAGEIF('Pemetaan Variant'!$A$5:$A$32,$B15,'Pemetaan Variant'!$AS$5:$AS$32),"n/a")</f>
        <v>16000</v>
      </c>
      <c r="CN15" s="12">
        <f>IFERROR(IF(ISNUMBER(CM15),(CM15-AVERAGEIF('Pemetaan Variant'!$A$5:$A$32,$B15,'Pemetaan Variant'!$J$5:$J$32))/AVERAGEIF('Pemetaan Variant'!$A$5:$A$32,$B15,'Pemetaan Variant'!$J$5:$J$32)*100,"n/a"),"n/a")</f>
        <v>-0.72992700729927207</v>
      </c>
      <c r="CO15" s="4">
        <f t="shared" si="29"/>
        <v>-1.4135197575684637E-2</v>
      </c>
      <c r="CP15" s="11">
        <f>IFERROR(AVERAGEIF('Pemetaan Variant'!$A$5:$A$32,$B15,'Pemetaan Variant'!$AT$5:$AT$32),"n/a")</f>
        <v>16000</v>
      </c>
      <c r="CQ15" s="12">
        <f>IFERROR(IF(ISNUMBER(CP15),(CP15-AVERAGEIF('Pemetaan Variant'!$A$5:$A$32,$B15,'Pemetaan Variant'!$J$5:$J$32))/AVERAGEIF('Pemetaan Variant'!$A$5:$A$32,$B15,'Pemetaan Variant'!$J$5:$J$32)*100,"n/a"),"n/a")</f>
        <v>-0.72992700729927207</v>
      </c>
      <c r="CR15" s="4">
        <f t="shared" si="30"/>
        <v>-1.4135197575684637E-2</v>
      </c>
      <c r="CS15" s="11">
        <f>IFERROR(AVERAGEIF('Pemetaan Variant'!$A$5:$A$32,$B15,'Pemetaan Variant'!$AU$5:$AU$32),"n/a")</f>
        <v>16000</v>
      </c>
      <c r="CT15" s="12">
        <f>IFERROR(IF(ISNUMBER(CS15),(CS15-AVERAGEIF('Pemetaan Variant'!$A$5:$A$32,$B15,'Pemetaan Variant'!$J$5:$J$32))/AVERAGEIF('Pemetaan Variant'!$A$5:$A$32,$B15,'Pemetaan Variant'!$J$5:$J$32)*100,"n/a"),"n/a")</f>
        <v>-0.72992700729927207</v>
      </c>
      <c r="CU15" s="4">
        <f t="shared" si="31"/>
        <v>-1.4135197575684637E-2</v>
      </c>
      <c r="CV15" s="11">
        <f>IFERROR(AVERAGEIF('Pemetaan Variant'!$A$5:$A$32,$B15,'Pemetaan Variant'!$AV$5:$AV$32),"n/a")</f>
        <v>16000</v>
      </c>
      <c r="CW15" s="12">
        <f>IFERROR(IF(ISNUMBER(CV15),(CV15-AVERAGEIF('Pemetaan Variant'!$A$5:$A$32,$B15,'Pemetaan Variant'!$J$5:$J$32))/AVERAGEIF('Pemetaan Variant'!$A$5:$A$32,$B15,'Pemetaan Variant'!$J$5:$J$32)*100,"n/a"),"n/a")</f>
        <v>-0.72992700729927207</v>
      </c>
      <c r="CX15" s="4">
        <f t="shared" si="32"/>
        <v>-1.4135197575684637E-2</v>
      </c>
      <c r="CY15" s="11">
        <f>IFERROR(AVERAGEIF('Pemetaan Variant'!$A$5:$A$32,$B15,'Pemetaan Variant'!$AW$5:$AW$32),"n/a")</f>
        <v>0</v>
      </c>
      <c r="CZ15" s="12">
        <f>IFERROR(IF(ISNUMBER(CY15),(CY15-AVERAGEIF('Pemetaan Variant'!$A$5:$A$32,$B15,'Pemetaan Variant'!$K$5:$K$32))/AVERAGEIF('Pemetaan Variant'!$A$5:$A$32,$B15,'Pemetaan Variant'!$K$5:$K$32)*100,"n/a"),"n/a")</f>
        <v>-100</v>
      </c>
      <c r="DA15" s="4">
        <f t="shared" si="33"/>
        <v>-1.93652206786879</v>
      </c>
      <c r="DB15" s="11">
        <f>IFERROR(AVERAGEIF('Pemetaan Variant'!$A$5:$A$32,$B15,'Pemetaan Variant'!$AX$5:$AX$32),"n/a")</f>
        <v>0</v>
      </c>
      <c r="DC15" s="12">
        <f>IFERROR(IF(ISNUMBER(DB15),(DB15-AVERAGEIF('Pemetaan Variant'!$A$5:$A$32,$B15,'Pemetaan Variant'!$K$5:$K$32))/AVERAGEIF('Pemetaan Variant'!$A$5:$A$32,$B15,'Pemetaan Variant'!$K$5:$K$32)*100,"n/a"),"n/a")</f>
        <v>-100</v>
      </c>
      <c r="DD15" s="4">
        <f t="shared" si="34"/>
        <v>-1.93652206786879</v>
      </c>
      <c r="DE15" s="11">
        <f>IFERROR(AVERAGEIF('Pemetaan Variant'!$A$5:$A$32,$B15,'Pemetaan Variant'!$AY$5:$AY$32),"n/a")</f>
        <v>0</v>
      </c>
      <c r="DF15" s="12">
        <f>IFERROR(IF(ISNUMBER(DE15),(DE15-AVERAGEIF('Pemetaan Variant'!$A$5:$A$32,$B15,'Pemetaan Variant'!$K$5:$K$32))/AVERAGEIF('Pemetaan Variant'!$A$5:$A$32,$B15,'Pemetaan Variant'!$K$5:$K$32)*100,"n/a"),"n/a")</f>
        <v>-100</v>
      </c>
      <c r="DG15" s="4">
        <f t="shared" si="35"/>
        <v>-1.93652206786879</v>
      </c>
      <c r="DH15" s="11">
        <f>IFERROR(AVERAGEIF('Pemetaan Variant'!$A$5:$A$32,$B15,'Pemetaan Variant'!$AZ$5:$AZ$32),"n/a")</f>
        <v>0</v>
      </c>
      <c r="DI15" s="12">
        <f>IFERROR(IF(ISNUMBER(DH15),(DH15-AVERAGEIF('Pemetaan Variant'!$A$5:$A$32,$B15,'Pemetaan Variant'!$K$5:$K$32))/AVERAGEIF('Pemetaan Variant'!$A$5:$A$32,$B15,'Pemetaan Variant'!$K$5:$K$32)*100,"n/a"),"n/a")</f>
        <v>-100</v>
      </c>
      <c r="DJ15" s="4">
        <f t="shared" si="36"/>
        <v>-1.93652206786879</v>
      </c>
      <c r="DK15" s="11" t="str">
        <f>IFERROR(AVERAGEIF('Pemetaan Variant'!$A$5:$A$32,$B15,'Pemetaan Variant'!$BA$5:$BA$32),"n/a")</f>
        <v>n/a</v>
      </c>
      <c r="DL15" s="12" t="str">
        <f>IFERROR(IF(ISNUMBER(DK15),(DK15-AVERAGEIF('Pemetaan Variant'!$A$5:$A$32,$B15,'Pemetaan Variant'!$L$5:$L$32))/AVERAGEIF('Pemetaan Variant'!$A$5:$A$32,$B15,'Pemetaan Variant'!$L$5:$L$32)*100,"n/a"),"n/a")</f>
        <v>n/a</v>
      </c>
      <c r="DM15" s="4" t="str">
        <f t="shared" si="37"/>
        <v>n/a</v>
      </c>
      <c r="DN15" s="11" t="str">
        <f>IFERROR(AVERAGEIF('Pemetaan Variant'!$A$5:$A$32,$B15,'Pemetaan Variant'!$BB$5:$BB$32),"n/a")</f>
        <v>n/a</v>
      </c>
      <c r="DO15" s="12" t="str">
        <f>IFERROR(IF(ISNUMBER(DN15),(DN15-AVERAGEIF('Pemetaan Variant'!$A$5:$A$32,$B15,'Pemetaan Variant'!$L$5:$L$32))/AVERAGEIF('Pemetaan Variant'!$A$5:$A$32,$B15,'Pemetaan Variant'!$L$5:$L$32)*100,"n/a"),"n/a")</f>
        <v>n/a</v>
      </c>
      <c r="DP15" s="4" t="str">
        <f t="shared" si="38"/>
        <v>n/a</v>
      </c>
      <c r="DQ15" s="11" t="str">
        <f>IFERROR(AVERAGEIF('Pemetaan Variant'!$A$5:$A$32,$B15,'Pemetaan Variant'!$BC$5:$BC$32),"n/a")</f>
        <v>n/a</v>
      </c>
      <c r="DR15" s="12" t="str">
        <f>IFERROR(IF(ISNUMBER(DQ15),(DQ15-AVERAGEIF('Pemetaan Variant'!$A$5:$A$32,$B15,'Pemetaan Variant'!$L$5:$L$32))/AVERAGEIF('Pemetaan Variant'!$A$5:$A$32,$B15,'Pemetaan Variant'!$L$5:$L$32)*100,"n/a"),"n/a")</f>
        <v>n/a</v>
      </c>
      <c r="DS15" s="4" t="str">
        <f t="shared" si="39"/>
        <v>n/a</v>
      </c>
      <c r="DT15" s="11" t="str">
        <f>IFERROR(AVERAGEIF('Pemetaan Variant'!$A$5:$A$32,$B15,'Pemetaan Variant'!$BD$5:$BD$32),"n/a")</f>
        <v>n/a</v>
      </c>
      <c r="DU15" s="12" t="str">
        <f>IFERROR(IF(ISNUMBER(DT15),(DT15-AVERAGEIF('Pemetaan Variant'!$A$5:$A$32,$B15,'Pemetaan Variant'!$L$5:$L$32))/AVERAGEIF('Pemetaan Variant'!$A$5:$A$32,$B15,'Pemetaan Variant'!$L$5:$L$32)*100,"n/a"),"n/a")</f>
        <v>n/a</v>
      </c>
      <c r="DV15" s="4" t="str">
        <f t="shared" si="40"/>
        <v>n/a</v>
      </c>
      <c r="DW15" s="11" t="str">
        <f>IFERROR(AVERAGEIF('Pemetaan Variant'!$A$5:$A$32,$B15,'Pemetaan Variant'!$BE$5:$BE$32),"n/a")</f>
        <v>n/a</v>
      </c>
      <c r="DX15" s="12" t="str">
        <f>IFERROR(IF(ISNUMBER(DW15),(DW15-AVERAGEIF('Pemetaan Variant'!$A$5:$A$32,$B15,'Pemetaan Variant'!$M$5:$M$32))/AVERAGEIF('Pemetaan Variant'!$A$5:$A$32,$B15,'Pemetaan Variant'!$M$5:$M$32)*100,"n/a"),"n/a")</f>
        <v>n/a</v>
      </c>
      <c r="DY15" s="4" t="str">
        <f t="shared" si="41"/>
        <v>n/a</v>
      </c>
      <c r="DZ15" s="11" t="str">
        <f>IFERROR(AVERAGEIF('Pemetaan Variant'!$A$5:$A$32,$B15,'Pemetaan Variant'!$BF$5:$BF$32),"n/a")</f>
        <v>n/a</v>
      </c>
      <c r="EA15" s="12" t="str">
        <f>IFERROR(IF(ISNUMBER(DZ15),(DZ15-AVERAGEIF('Pemetaan Variant'!$A$5:$A$32,$B15,'Pemetaan Variant'!$M$5:$M$32))/AVERAGEIF('Pemetaan Variant'!$A$5:$A$32,$B15,'Pemetaan Variant'!$M$5:$M$32)*100,"n/a"),"n/a")</f>
        <v>n/a</v>
      </c>
      <c r="EB15" s="4" t="str">
        <f t="shared" si="42"/>
        <v>n/a</v>
      </c>
      <c r="EC15" s="11" t="str">
        <f>IFERROR(AVERAGEIF('Pemetaan Variant'!$A$5:$A$32,$B15,'Pemetaan Variant'!$BG$5:$BG$32),"n/a")</f>
        <v>n/a</v>
      </c>
      <c r="ED15" s="12" t="str">
        <f>IFERROR(IF(ISNUMBER(EC15),(EC15-AVERAGEIF('Pemetaan Variant'!$A$5:$A$32,$B15,'Pemetaan Variant'!$M$5:$M$32))/AVERAGEIF('Pemetaan Variant'!$A$5:$A$32,$B15,'Pemetaan Variant'!$M$5:$M$32)*100,"n/a"),"n/a")</f>
        <v>n/a</v>
      </c>
      <c r="EE15" s="4" t="str">
        <f t="shared" si="43"/>
        <v>n/a</v>
      </c>
      <c r="EF15" s="11" t="str">
        <f>IFERROR(AVERAGEIF('Pemetaan Variant'!$A$5:$A$32,$B15,'Pemetaan Variant'!$BH$5:$BH$32),"n/a")</f>
        <v>n/a</v>
      </c>
      <c r="EG15" s="12" t="str">
        <f>IFERROR(IF(ISNUMBER(EF15),(EF15-AVERAGEIF('Pemetaan Variant'!$A$5:$A$32,$B15,'Pemetaan Variant'!$M$5:$M$32))/AVERAGEIF('Pemetaan Variant'!$A$5:$A$32,$B15,'Pemetaan Variant'!$M$5:$M$32)*100,"n/a"),"n/a")</f>
        <v>n/a</v>
      </c>
      <c r="EH15" s="4" t="str">
        <f t="shared" si="44"/>
        <v>n/a</v>
      </c>
      <c r="EI15" s="11" t="str">
        <f>IFERROR(AVERAGEIF('Pemetaan Variant'!$A$5:$A$32,$B15,'Pemetaan Variant'!$BI$5:$BI$32),"n/a")</f>
        <v>n/a</v>
      </c>
      <c r="EJ15" s="12" t="str">
        <f>IFERROR(IF(ISNUMBER(EI15),(EI15-AVERAGEIF('Pemetaan Variant'!$A$5:$A$32,$B15,'Pemetaan Variant'!$M$5:$M$32))/AVERAGEIF('Pemetaan Variant'!$A$5:$A$32,$B15,'Pemetaan Variant'!$M$5:$M$32)*100,"n/a"),"n/a")</f>
        <v>n/a</v>
      </c>
      <c r="EK15" s="4" t="str">
        <f t="shared" si="45"/>
        <v>n/a</v>
      </c>
      <c r="EL15" s="11" t="str">
        <f>IFERROR(AVERAGEIF('Pemetaan Variant'!$A$5:$A$32,$B15,'Pemetaan Variant'!$BJ$5:$BJ$32),"n/a")</f>
        <v>n/a</v>
      </c>
      <c r="EM15" s="12" t="str">
        <f>IFERROR(IF(ISNUMBER(EL15),(EL15-AVERAGEIF('Pemetaan Variant'!$A$5:$A$32,$B15,'Pemetaan Variant'!$N$5:$N$32))/AVERAGEIF('Pemetaan Variant'!$A$5:$A$32,$B15,'Pemetaan Variant'!$N$5:$N$32)*100,"n/a"),"n/a")</f>
        <v>n/a</v>
      </c>
      <c r="EN15" s="4" t="str">
        <f t="shared" si="46"/>
        <v>n/a</v>
      </c>
      <c r="EO15" s="11" t="str">
        <f>IFERROR(AVERAGEIF('Pemetaan Variant'!$A$5:$A$32,$B15,'Pemetaan Variant'!$BK$5:$BK$32),"n/a")</f>
        <v>n/a</v>
      </c>
      <c r="EP15" s="12" t="str">
        <f>IFERROR(IF(ISNUMBER(EO15),(EO15-AVERAGEIF('Pemetaan Variant'!$A$5:$A$32,$B15,'Pemetaan Variant'!$N$5:$N$32))/AVERAGEIF('Pemetaan Variant'!$A$5:$A$32,$B15,'Pemetaan Variant'!$N$5:$N$32)*100,"n/a"),"n/a")</f>
        <v>n/a</v>
      </c>
      <c r="EQ15" s="4" t="str">
        <f t="shared" si="47"/>
        <v>n/a</v>
      </c>
      <c r="ER15" s="11" t="str">
        <f>IFERROR(AVERAGEIF('Pemetaan Variant'!$A$5:$A$32,$B15,'Pemetaan Variant'!$BL$5:$BL$32),"n/a")</f>
        <v>n/a</v>
      </c>
      <c r="ES15" s="12" t="str">
        <f>IFERROR(IF(ISNUMBER(ER15),(ER15-AVERAGEIF('Pemetaan Variant'!$A$5:$A$32,$B15,'Pemetaan Variant'!$N$5:$N$32))/AVERAGEIF('Pemetaan Variant'!$A$5:$A$32,$B15,'Pemetaan Variant'!$N$5:$N$32)*100,"n/a"),"n/a")</f>
        <v>n/a</v>
      </c>
      <c r="ET15" s="4" t="str">
        <f t="shared" si="48"/>
        <v>n/a</v>
      </c>
      <c r="EU15" s="11" t="str">
        <f>IFERROR(AVERAGEIF('Pemetaan Variant'!$A$5:$A$32,$B15,'Pemetaan Variant'!$BM$5:$BM$32),"n/a")</f>
        <v>n/a</v>
      </c>
      <c r="EV15" s="12" t="str">
        <f>IFERROR(IF(ISNUMBER(EU15),(EU15-AVERAGEIF('Pemetaan Variant'!$A$5:$A$32,$B15,'Pemetaan Variant'!$N$5:$N$32))/AVERAGEIF('Pemetaan Variant'!$A$5:$A$32,$B15,'Pemetaan Variant'!$N$5:$N$32)*100,"n/a"),"n/a")</f>
        <v>n/a</v>
      </c>
      <c r="EW15" s="4" t="str">
        <f t="shared" si="49"/>
        <v>n/a</v>
      </c>
      <c r="EX15" s="11" t="str">
        <f>IFERROR(AVERAGEIF('Pemetaan Variant'!$A$5:$A$32,$B15,'Pemetaan Variant'!$BN$5:$BN$32),"n/a")</f>
        <v>n/a</v>
      </c>
      <c r="EY15" s="12" t="str">
        <f>IFERROR(IF(ISNUMBER(EX15),(EX15-AVERAGEIF('Pemetaan Variant'!$A$5:$A$32,$B15,'Pemetaan Variant'!$O$5:$O$32))/AVERAGEIF('Pemetaan Variant'!$A$5:$A$32,$B15,'Pemetaan Variant'!$O$5:$O$32)*100,"n/a"),"n/a")</f>
        <v>n/a</v>
      </c>
      <c r="EZ15" s="4" t="str">
        <f t="shared" si="50"/>
        <v>n/a</v>
      </c>
      <c r="FA15" s="11" t="str">
        <f>IFERROR(AVERAGEIF('Pemetaan Variant'!$A$5:$A$32,$B15,'Pemetaan Variant'!$BO$5:$BO$32),"n/a")</f>
        <v>n/a</v>
      </c>
      <c r="FB15" s="12" t="str">
        <f>IFERROR(IF(ISNUMBER(FA15),(FA15-AVERAGEIF('Pemetaan Variant'!$A$5:$A$32,$B15,'Pemetaan Variant'!$O$5:$O$32))/AVERAGEIF('Pemetaan Variant'!$A$5:$A$32,$B15,'Pemetaan Variant'!$O$5:$O$32)*100,"n/a"),"n/a")</f>
        <v>n/a</v>
      </c>
      <c r="FC15" s="4" t="str">
        <f t="shared" si="51"/>
        <v>n/a</v>
      </c>
      <c r="FD15" s="11" t="str">
        <f>IFERROR(AVERAGEIF('Pemetaan Variant'!$A$5:$A$32,$B15,'Pemetaan Variant'!$BP$5:$BP$32),"n/a")</f>
        <v>n/a</v>
      </c>
      <c r="FE15" s="12" t="str">
        <f>IFERROR(IF(ISNUMBER(FD15),(FD15-AVERAGEIF('Pemetaan Variant'!$A$5:$A$32,$B15,'Pemetaan Variant'!$O$5:$O$32))/AVERAGEIF('Pemetaan Variant'!$A$5:$A$32,$B15,'Pemetaan Variant'!$O$5:$O$32)*100,"n/a"),"n/a")</f>
        <v>n/a</v>
      </c>
      <c r="FF15" s="4" t="str">
        <f t="shared" si="52"/>
        <v>n/a</v>
      </c>
      <c r="FG15" s="11" t="str">
        <f>IFERROR(AVERAGEIF('Pemetaan Variant'!$A$5:$A$32,$B15,'Pemetaan Variant'!$BQ$5:$BQ$32),"n/a")</f>
        <v>n/a</v>
      </c>
      <c r="FH15" s="12" t="str">
        <f>IFERROR(IF(ISNUMBER(FG15),(FG15-AVERAGEIF('Pemetaan Variant'!$A$5:$A$32,$B15,'Pemetaan Variant'!$O$5:$O$32))/AVERAGEIF('Pemetaan Variant'!$A$5:$A$32,$B15,'Pemetaan Variant'!$O$5:$O$32)*100,"n/a"),"n/a")</f>
        <v>n/a</v>
      </c>
      <c r="FI15" s="4" t="str">
        <f t="shared" si="53"/>
        <v>n/a</v>
      </c>
      <c r="FJ15" s="11" t="str">
        <f>IFERROR(AVERAGEIF('Pemetaan Variant'!$A$5:$A$32,$B15,'Pemetaan Variant'!$BR$5:$BR$32),"n/a")</f>
        <v>n/a</v>
      </c>
      <c r="FK15" s="12" t="str">
        <f>IFERROR(IF(ISNUMBER(FJ15),(FJ15-AVERAGEIF('Pemetaan Variant'!$A$5:$A$32,$B15,'Pemetaan Variant'!$O$5:$O$32))/AVERAGEIF('Pemetaan Variant'!$A$5:$A$32,$B15,'Pemetaan Variant'!$O$5:$O$32)*100,"n/a"),"n/a")</f>
        <v>n/a</v>
      </c>
      <c r="FL15" s="4" t="str">
        <f t="shared" si="54"/>
        <v>n/a</v>
      </c>
      <c r="FM15" s="13"/>
      <c r="FO15" s="9">
        <f t="shared" si="55"/>
        <v>0</v>
      </c>
      <c r="FP15" s="9">
        <f t="shared" si="56"/>
        <v>0</v>
      </c>
      <c r="FQ15" s="9">
        <f t="shared" si="57"/>
        <v>0</v>
      </c>
      <c r="FR15" s="9">
        <f t="shared" si="58"/>
        <v>0</v>
      </c>
      <c r="FS15" s="9">
        <f t="shared" si="59"/>
        <v>0</v>
      </c>
      <c r="FT15" s="9">
        <f t="shared" si="60"/>
        <v>0</v>
      </c>
      <c r="FU15" s="9">
        <f t="shared" si="61"/>
        <v>0</v>
      </c>
      <c r="FV15" s="9">
        <f t="shared" si="62"/>
        <v>0</v>
      </c>
      <c r="FW15" s="9">
        <f t="shared" si="63"/>
        <v>0</v>
      </c>
      <c r="FX15" s="9">
        <f t="shared" si="64"/>
        <v>0</v>
      </c>
      <c r="FY15" s="9">
        <f t="shared" si="65"/>
        <v>0</v>
      </c>
      <c r="FZ15" s="9">
        <f t="shared" si="66"/>
        <v>0</v>
      </c>
      <c r="GA15" s="9">
        <f t="shared" si="67"/>
        <v>0</v>
      </c>
      <c r="GB15" s="9">
        <f t="shared" si="68"/>
        <v>0</v>
      </c>
      <c r="GC15" s="9">
        <f t="shared" si="69"/>
        <v>0</v>
      </c>
      <c r="GD15" s="9">
        <f t="shared" si="70"/>
        <v>0</v>
      </c>
      <c r="GE15" s="9">
        <f t="shared" si="71"/>
        <v>5.868248690511485E-2</v>
      </c>
      <c r="GF15" s="9">
        <f t="shared" si="72"/>
        <v>5.868248690511485E-2</v>
      </c>
      <c r="GG15" s="9">
        <f t="shared" si="73"/>
        <v>5.868248690511485E-2</v>
      </c>
      <c r="GH15" s="9">
        <f t="shared" si="74"/>
        <v>1.5011798975727055E-2</v>
      </c>
      <c r="GI15" s="9">
        <f t="shared" si="75"/>
        <v>1.5011798975727055E-2</v>
      </c>
      <c r="GJ15" s="9">
        <f t="shared" si="76"/>
        <v>1.5011798975727055E-2</v>
      </c>
      <c r="GK15" s="9">
        <f t="shared" si="77"/>
        <v>1.5011798975727055E-2</v>
      </c>
      <c r="GL15" s="9">
        <f t="shared" si="78"/>
        <v>4.5035396927181164E-2</v>
      </c>
      <c r="GM15" s="9">
        <f t="shared" si="79"/>
        <v>4.9563636106331035E-2</v>
      </c>
      <c r="GN15" s="9">
        <f t="shared" si="80"/>
        <v>1.0620779165642332E-2</v>
      </c>
      <c r="GO15" s="9">
        <f t="shared" si="81"/>
        <v>1.0620779165642332E-2</v>
      </c>
      <c r="GP15" s="9">
        <f t="shared" si="82"/>
        <v>1.0620779165642332E-2</v>
      </c>
      <c r="GQ15" s="9">
        <f t="shared" si="83"/>
        <v>1.4135197575684637E-2</v>
      </c>
      <c r="GR15" s="9">
        <f t="shared" si="84"/>
        <v>1.4135197575684637E-2</v>
      </c>
      <c r="GS15" s="9">
        <f t="shared" si="85"/>
        <v>1.4135197575684637E-2</v>
      </c>
      <c r="GT15" s="9">
        <f t="shared" si="86"/>
        <v>1.4135197575684637E-2</v>
      </c>
      <c r="GU15" s="9">
        <f t="shared" si="87"/>
        <v>1.4135197575684637E-2</v>
      </c>
      <c r="GV15" s="9">
        <f t="shared" si="88"/>
        <v>1.93652206786879</v>
      </c>
      <c r="GW15" s="9">
        <f t="shared" si="89"/>
        <v>1.93652206786879</v>
      </c>
      <c r="GX15" s="9">
        <f t="shared" si="90"/>
        <v>1.93652206786879</v>
      </c>
      <c r="GY15" s="9">
        <f t="shared" si="91"/>
        <v>1.93652206786879</v>
      </c>
      <c r="GZ15" s="9">
        <f t="shared" si="92"/>
        <v>0</v>
      </c>
      <c r="HA15" s="9">
        <f t="shared" si="93"/>
        <v>0</v>
      </c>
      <c r="HB15" s="9">
        <f t="shared" si="94"/>
        <v>0</v>
      </c>
      <c r="HC15" s="9">
        <f t="shared" si="95"/>
        <v>0</v>
      </c>
      <c r="HD15" s="9">
        <f t="shared" si="96"/>
        <v>0</v>
      </c>
      <c r="HE15" s="9">
        <f t="shared" si="97"/>
        <v>0</v>
      </c>
      <c r="HF15" s="9">
        <f t="shared" si="98"/>
        <v>0</v>
      </c>
      <c r="HG15" s="9">
        <f t="shared" si="99"/>
        <v>0</v>
      </c>
      <c r="HH15" s="9">
        <f t="shared" si="100"/>
        <v>0</v>
      </c>
      <c r="HI15" s="9">
        <f t="shared" si="101"/>
        <v>0</v>
      </c>
      <c r="HJ15" s="9">
        <f t="shared" si="102"/>
        <v>0</v>
      </c>
      <c r="HK15" s="9">
        <f t="shared" si="103"/>
        <v>0</v>
      </c>
      <c r="HL15" s="9">
        <f t="shared" si="104"/>
        <v>0</v>
      </c>
      <c r="HM15" s="9">
        <f t="shared" si="105"/>
        <v>0</v>
      </c>
      <c r="HN15" s="9">
        <f t="shared" si="106"/>
        <v>0</v>
      </c>
      <c r="HO15" s="9">
        <f t="shared" si="107"/>
        <v>0</v>
      </c>
      <c r="HP15" s="9">
        <f t="shared" si="108"/>
        <v>0</v>
      </c>
      <c r="HQ15" s="9">
        <f t="shared" si="109"/>
        <v>0</v>
      </c>
    </row>
    <row r="16" spans="1:225" x14ac:dyDescent="0.35">
      <c r="A16" s="3">
        <v>11</v>
      </c>
      <c r="B16" s="3" t="s">
        <v>135</v>
      </c>
      <c r="C16" s="10">
        <f>'P0Q0 Dasar 2022'!F15</f>
        <v>2.0771540916134899E-2</v>
      </c>
      <c r="D16" s="11">
        <f>IFERROR(AVERAGEIF('Pemetaan Variant'!$A$5:$A$32,$B16,'Pemetaan Variant'!$P$5:$P$32),"n/a")</f>
        <v>35000</v>
      </c>
      <c r="E16" s="12">
        <f>IFERROR(IF(ISNUMBER(D16),(D16-AVERAGEIF('Pemetaan Variant'!$A$5:$A$32,$B16,'Pemetaan Variant'!$D$5:$D$32))/AVERAGEIF('Pemetaan Variant'!$A$5:$A$32,$B16,'Pemetaan Variant'!$D$5:$D$32)*100,"n/a"),"n/a")</f>
        <v>0</v>
      </c>
      <c r="F16" s="4">
        <f t="shared" si="0"/>
        <v>0</v>
      </c>
      <c r="G16" s="11">
        <f>IFERROR(AVERAGEIF('Pemetaan Variant'!$A$5:$A$32,$B16,'Pemetaan Variant'!$Q$5:$Q$32),"n/a")</f>
        <v>32600</v>
      </c>
      <c r="H16" s="12">
        <f>IFERROR(IF(ISNUMBER(G16),(G16-AVERAGEIF('Pemetaan Variant'!$A$5:$A$32,$B16,'Pemetaan Variant'!$D$5:$D$32))/AVERAGEIF('Pemetaan Variant'!$A$5:$A$32,$B16,'Pemetaan Variant'!$D$5:$D$32)*100,"n/a"),"n/a")</f>
        <v>-6.8571428571428577</v>
      </c>
      <c r="I16" s="4">
        <f t="shared" si="1"/>
        <v>-0.14243342342492504</v>
      </c>
      <c r="J16" s="11">
        <f>IFERROR(AVERAGEIF('Pemetaan Variant'!$A$5:$A$32,$B16,'Pemetaan Variant'!$R$5:$R$32),"n/a")</f>
        <v>35000</v>
      </c>
      <c r="K16" s="12">
        <f>IFERROR(IF(ISNUMBER(J16),(J16-AVERAGEIF('Pemetaan Variant'!$A$5:$A$32,$B16,'Pemetaan Variant'!$D$5:$D$32))/AVERAGEIF('Pemetaan Variant'!$A$5:$A$32,$B16,'Pemetaan Variant'!$D$5:$D$32)*100,"n/a"),"n/a")</f>
        <v>0</v>
      </c>
      <c r="L16" s="4">
        <f t="shared" si="2"/>
        <v>0</v>
      </c>
      <c r="M16" s="11">
        <f>IFERROR(AVERAGEIF('Pemetaan Variant'!$A$5:$A$32,$B16,'Pemetaan Variant'!$S$5:$S$32),"n/a")</f>
        <v>35000</v>
      </c>
      <c r="N16" s="12">
        <f>IFERROR(IF(ISNUMBER(M16),(M16-AVERAGEIF('Pemetaan Variant'!$A$5:$A$32,$B16,'Pemetaan Variant'!$D$5:$D$32))/AVERAGEIF('Pemetaan Variant'!$A$5:$A$32,$B16,'Pemetaan Variant'!$D$5:$D$32)*100,"n/a"),"n/a")</f>
        <v>0</v>
      </c>
      <c r="O16" s="4">
        <f t="shared" si="3"/>
        <v>0</v>
      </c>
      <c r="P16" s="11">
        <f>IFERROR(AVERAGEIF('Pemetaan Variant'!$A$5:$A$32,$B16,'Pemetaan Variant'!$T$5:$T$32),"n/a")</f>
        <v>35000</v>
      </c>
      <c r="Q16" s="12">
        <f>IFERROR(IF(ISNUMBER(P16),(P16-AVERAGEIF('Pemetaan Variant'!$A$5:$A$32,$B16,'Pemetaan Variant'!$D$5:$D$32))/AVERAGEIF('Pemetaan Variant'!$A$5:$A$32,$B16,'Pemetaan Variant'!$D$5:$D$32)*100,"n/a"),"n/a")</f>
        <v>0</v>
      </c>
      <c r="R16" s="4">
        <f t="shared" si="4"/>
        <v>0</v>
      </c>
      <c r="S16" s="11">
        <f>IFERROR(AVERAGEIF('Pemetaan Variant'!$A$5:$A$32,$B16,'Pemetaan Variant'!$U$5:$U$32),"n/a")</f>
        <v>35000</v>
      </c>
      <c r="T16" s="12">
        <f>IFERROR(IF(ISNUMBER(S16),(S16-AVERAGEIF('Pemetaan Variant'!$A$5:$A$32,$B16,'Pemetaan Variant'!$E$5:$E$32))/AVERAGEIF('Pemetaan Variant'!$A$5:$A$32,$B16,'Pemetaan Variant'!$E$5:$E$32)*100,"n/a"),"n/a")</f>
        <v>1.8376722817764133</v>
      </c>
      <c r="U16" s="4">
        <f t="shared" si="5"/>
        <v>3.8171284991365746E-2</v>
      </c>
      <c r="V16" s="11">
        <f>IFERROR(AVERAGEIF('Pemetaan Variant'!$A$5:$A$32,$B16,'Pemetaan Variant'!$V$5:$V$32),"n/a")</f>
        <v>35000</v>
      </c>
      <c r="W16" s="12">
        <f>IFERROR(IF(ISNUMBER(V16),(V16-AVERAGEIF('Pemetaan Variant'!$A$5:$A$32,$B16,'Pemetaan Variant'!$E$5:$E$32))/AVERAGEIF('Pemetaan Variant'!$A$5:$A$32,$B16,'Pemetaan Variant'!$E$5:$E$32)*100,"n/a"),"n/a")</f>
        <v>1.8376722817764133</v>
      </c>
      <c r="X16" s="4">
        <f t="shared" si="6"/>
        <v>3.8171284991365746E-2</v>
      </c>
      <c r="Y16" s="11">
        <f>IFERROR(AVERAGEIF('Pemetaan Variant'!$A$5:$A$32,$B16,'Pemetaan Variant'!$W$5:$W$32),"n/a")</f>
        <v>35000</v>
      </c>
      <c r="Z16" s="12">
        <f>IFERROR(IF(ISNUMBER(Y16),(Y16-AVERAGEIF('Pemetaan Variant'!$A$5:$A$32,$B16,'Pemetaan Variant'!$E$5:$E$32))/AVERAGEIF('Pemetaan Variant'!$A$5:$A$32,$B16,'Pemetaan Variant'!$E$5:$E$32)*100,"n/a"),"n/a")</f>
        <v>1.8376722817764133</v>
      </c>
      <c r="AA16" s="4">
        <f t="shared" si="7"/>
        <v>3.8171284991365746E-2</v>
      </c>
      <c r="AB16" s="11">
        <f>IFERROR(AVERAGEIF('Pemetaan Variant'!$A$5:$A$32,$B16,'Pemetaan Variant'!$X$5:$X$32),"n/a")</f>
        <v>35000</v>
      </c>
      <c r="AC16" s="12">
        <f>IFERROR(IF(ISNUMBER(AB16),(AB16-AVERAGEIF('Pemetaan Variant'!$A$5:$A$32,$B16,'Pemetaan Variant'!$E$5:$E$32))/AVERAGEIF('Pemetaan Variant'!$A$5:$A$32,$B16,'Pemetaan Variant'!$E$5:$E$32)*100,"n/a"),"n/a")</f>
        <v>1.8376722817764133</v>
      </c>
      <c r="AD16" s="4">
        <f t="shared" si="8"/>
        <v>3.8171284991365746E-2</v>
      </c>
      <c r="AE16" s="11">
        <f>IFERROR(AVERAGEIF('Pemetaan Variant'!$A$5:$A$32,$B16,'Pemetaan Variant'!$Y$5:$Y$32),"n/a")</f>
        <v>35000</v>
      </c>
      <c r="AF16" s="12">
        <f>IFERROR(IF(ISNUMBER(AE16),(AE16-AVERAGEIF('Pemetaan Variant'!$A$5:$A$32,$B16,'Pemetaan Variant'!$F$5:$F$32))/AVERAGEIF('Pemetaan Variant'!$A$5:$A$32,$B16,'Pemetaan Variant'!$F$5:$F$32)*100,"n/a"),"n/a")</f>
        <v>0</v>
      </c>
      <c r="AG16" s="4">
        <f t="shared" si="9"/>
        <v>0</v>
      </c>
      <c r="AH16" s="11">
        <f>IFERROR(AVERAGEIF('Pemetaan Variant'!$A$5:$A$32,$B16,'Pemetaan Variant'!$Z$5:$Z$32),"n/a")</f>
        <v>35000</v>
      </c>
      <c r="AI16" s="12">
        <f>IFERROR(IF(ISNUMBER(AH16),(AH16-AVERAGEIF('Pemetaan Variant'!$A$5:$A$32,$B16,'Pemetaan Variant'!$F$5:$F$32))/AVERAGEIF('Pemetaan Variant'!$A$5:$A$32,$B16,'Pemetaan Variant'!$F$5:$F$32)*100,"n/a"),"n/a")</f>
        <v>0</v>
      </c>
      <c r="AJ16" s="4">
        <f t="shared" si="10"/>
        <v>0</v>
      </c>
      <c r="AK16" s="11">
        <f>IFERROR(AVERAGEIF('Pemetaan Variant'!$A$5:$A$32,$B16,'Pemetaan Variant'!$AA$5:$AA$32),"n/a")</f>
        <v>35000</v>
      </c>
      <c r="AL16" s="12">
        <f>IFERROR(IF(ISNUMBER(AK16),(AK16-AVERAGEIF('Pemetaan Variant'!$A$5:$A$32,$B16,'Pemetaan Variant'!$F$5:$F$32))/AVERAGEIF('Pemetaan Variant'!$A$5:$A$32,$B16,'Pemetaan Variant'!$F$5:$F$32)*100,"n/a"),"n/a")</f>
        <v>0</v>
      </c>
      <c r="AM16" s="4">
        <f t="shared" si="11"/>
        <v>0</v>
      </c>
      <c r="AN16" s="11">
        <f>IFERROR(AVERAGEIF('Pemetaan Variant'!$A$5:$A$32,$B16,'Pemetaan Variant'!$AB$5:$AB$32),"n/a")</f>
        <v>35000</v>
      </c>
      <c r="AO16" s="12">
        <f>IFERROR(IF(ISNUMBER(AN16),(AN16-AVERAGEIF('Pemetaan Variant'!$A$5:$A$32,$B16,'Pemetaan Variant'!$F$5:$F$32))/AVERAGEIF('Pemetaan Variant'!$A$5:$A$32,$B16,'Pemetaan Variant'!$F$5:$F$32)*100,"n/a"),"n/a")</f>
        <v>0</v>
      </c>
      <c r="AP16" s="4">
        <f t="shared" si="12"/>
        <v>0</v>
      </c>
      <c r="AQ16" s="11" t="str">
        <f>IFERROR(AVERAGEIF('Pemetaan Variant'!$A$5:$A$32,$B16,'Pemetaan Variant'!$AC$5:$AC$32),"n/a")</f>
        <v>n/a</v>
      </c>
      <c r="AR16" s="12" t="str">
        <f>IFERROR(IF(ISNUMBER(AQ16),(AQ16-AVERAGEIF('Pemetaan Variant'!$A$5:$A$32,$B16,'Pemetaan Variant'!$F$5:$F$32))/AVERAGEIF('Pemetaan Variant'!$A$5:$A$32,$B16,'Pemetaan Variant'!$F$5:$F$32)*100,"n/a"),"n/a")</f>
        <v>n/a</v>
      </c>
      <c r="AS16" s="4" t="str">
        <f t="shared" si="13"/>
        <v>n/a</v>
      </c>
      <c r="AT16" s="11" t="str">
        <f>IFERROR(AVERAGEIF('Pemetaan Variant'!$A$5:$A$32,$B16,'Pemetaan Variant'!$AD$5:$AD$32),"n/a")</f>
        <v>n/a</v>
      </c>
      <c r="AU16" s="12" t="str">
        <f>IFERROR(IF(ISNUMBER(AT16),(AT16-AVERAGEIF('Pemetaan Variant'!$A$5:$A$32,$B16,'Pemetaan Variant'!$G$5:$G$32))/AVERAGEIF('Pemetaan Variant'!$A$5:$A$32,$B16,'Pemetaan Variant'!$G$5:$G$32)*100,"n/a"),"n/a")</f>
        <v>n/a</v>
      </c>
      <c r="AV16" s="4" t="str">
        <f t="shared" si="14"/>
        <v>n/a</v>
      </c>
      <c r="AW16" s="11">
        <f>IFERROR(AVERAGEIF('Pemetaan Variant'!$A$5:$A$32,$B16,'Pemetaan Variant'!$AE$5:$AE$32),"n/a")</f>
        <v>35000</v>
      </c>
      <c r="AX16" s="12">
        <f>IFERROR(IF(ISNUMBER(AW16),(AW16-AVERAGEIF('Pemetaan Variant'!$A$5:$A$32,$B16,'Pemetaan Variant'!$G$5:$G$32))/AVERAGEIF('Pemetaan Variant'!$A$5:$A$32,$B16,'Pemetaan Variant'!$G$5:$G$32)*100,"n/a"),"n/a")</f>
        <v>0</v>
      </c>
      <c r="AY16" s="4">
        <f t="shared" si="15"/>
        <v>0</v>
      </c>
      <c r="AZ16" s="11">
        <f>IFERROR(AVERAGEIF('Pemetaan Variant'!$A$5:$A$32,$B16,'Pemetaan Variant'!$AF$5:$AF$32),"n/a")</f>
        <v>35000</v>
      </c>
      <c r="BA16" s="12">
        <f>IFERROR(IF(ISNUMBER(AZ16),(AZ16-AVERAGEIF('Pemetaan Variant'!$A$5:$A$32,$B16,'Pemetaan Variant'!$G$5:$G$32))/AVERAGEIF('Pemetaan Variant'!$A$5:$A$32,$B16,'Pemetaan Variant'!$G$5:$G$32)*100,"n/a"),"n/a")</f>
        <v>0</v>
      </c>
      <c r="BB16" s="4">
        <f t="shared" si="16"/>
        <v>0</v>
      </c>
      <c r="BC16" s="11">
        <f>IFERROR(AVERAGEIF('Pemetaan Variant'!$A$5:$A$32,$B16,'Pemetaan Variant'!$AG$5:$AG$32),"n/a")</f>
        <v>35000</v>
      </c>
      <c r="BD16" s="12">
        <f>IFERROR(IF(ISNUMBER(BC16),(BC16-AVERAGEIF('Pemetaan Variant'!$A$5:$A$32,$B16,'Pemetaan Variant'!$G$5:$G$32))/AVERAGEIF('Pemetaan Variant'!$A$5:$A$32,$B16,'Pemetaan Variant'!$G$5:$G$32)*100,"n/a"),"n/a")</f>
        <v>0</v>
      </c>
      <c r="BE16" s="4">
        <f t="shared" si="17"/>
        <v>0</v>
      </c>
      <c r="BF16" s="11">
        <f>IFERROR(AVERAGEIF('Pemetaan Variant'!$A$5:$A$32,$B16,'Pemetaan Variant'!$AH$5:$AH$32),"n/a")</f>
        <v>32000</v>
      </c>
      <c r="BG16" s="12">
        <f>IFERROR(IF(ISNUMBER(BF16),(BF16-AVERAGEIF('Pemetaan Variant'!$A$5:$A$32,$B16,'Pemetaan Variant'!$G$5:$G$32))/AVERAGEIF('Pemetaan Variant'!$A$5:$A$32,$B16,'Pemetaan Variant'!$G$5:$G$32)*100,"n/a"),"n/a")</f>
        <v>-8.5714285714285712</v>
      </c>
      <c r="BH16" s="4">
        <f t="shared" si="18"/>
        <v>-0.17804177928115628</v>
      </c>
      <c r="BI16" s="11">
        <f>IFERROR(AVERAGEIF('Pemetaan Variant'!$A$5:$A$32,$B16,'Pemetaan Variant'!$AI$5:$AI$32),"n/a")</f>
        <v>30000</v>
      </c>
      <c r="BJ16" s="12">
        <f>IFERROR(IF(ISNUMBER(BI16),(BI16-AVERAGEIF('Pemetaan Variant'!$A$5:$A$32,$B16,'Pemetaan Variant'!$H$5:$H$32))/AVERAGEIF('Pemetaan Variant'!$A$5:$A$32,$B16,'Pemetaan Variant'!$H$5:$H$32)*100,"n/a"),"n/a")</f>
        <v>-12.885662431941924</v>
      </c>
      <c r="BK16" s="4">
        <f t="shared" si="19"/>
        <v>-0.26765506443658399</v>
      </c>
      <c r="BL16" s="11">
        <f>IFERROR(AVERAGEIF('Pemetaan Variant'!$A$5:$A$32,$B16,'Pemetaan Variant'!$AJ$5:$AJ$32),"n/a")</f>
        <v>30000</v>
      </c>
      <c r="BM16" s="12">
        <f>IFERROR(IF(ISNUMBER(BL16),(BL16-AVERAGEIF('Pemetaan Variant'!$A$5:$A$32,$B16,'Pemetaan Variant'!$H$5:$H$32))/AVERAGEIF('Pemetaan Variant'!$A$5:$A$32,$B16,'Pemetaan Variant'!$H$5:$H$32)*100,"n/a"),"n/a")</f>
        <v>-12.885662431941924</v>
      </c>
      <c r="BN16" s="4">
        <f t="shared" si="20"/>
        <v>-0.26765506443658399</v>
      </c>
      <c r="BO16" s="11">
        <f>IFERROR(AVERAGEIF('Pemetaan Variant'!$A$5:$A$32,$B16,'Pemetaan Variant'!$AK$5:$AK$32),"n/a")</f>
        <v>30000</v>
      </c>
      <c r="BP16" s="12">
        <f>IFERROR(IF(ISNUMBER(BO16),(BO16-AVERAGEIF('Pemetaan Variant'!$A$5:$A$32,$B16,'Pemetaan Variant'!$H$5:$H$32))/AVERAGEIF('Pemetaan Variant'!$A$5:$A$32,$B16,'Pemetaan Variant'!$H$5:$H$32)*100,"n/a"),"n/a")</f>
        <v>-12.885662431941924</v>
      </c>
      <c r="BQ16" s="4">
        <f t="shared" si="21"/>
        <v>-0.26765506443658399</v>
      </c>
      <c r="BR16" s="11">
        <f>IFERROR(AVERAGEIF('Pemetaan Variant'!$A$5:$A$32,$B16,'Pemetaan Variant'!$AL$5:$AL$32),"n/a")</f>
        <v>30000</v>
      </c>
      <c r="BS16" s="12">
        <f>IFERROR(IF(ISNUMBER(BR16),(BR16-AVERAGEIF('Pemetaan Variant'!$A$5:$A$32,$B16,'Pemetaan Variant'!$H$5:$H$32))/AVERAGEIF('Pemetaan Variant'!$A$5:$A$32,$B16,'Pemetaan Variant'!$H$5:$H$32)*100,"n/a"),"n/a")</f>
        <v>-12.885662431941924</v>
      </c>
      <c r="BT16" s="4">
        <f t="shared" si="22"/>
        <v>-0.26765506443658399</v>
      </c>
      <c r="BU16" s="11">
        <f>IFERROR(AVERAGEIF('Pemetaan Variant'!$A$5:$A$32,$B16,'Pemetaan Variant'!$AM$5:$AM$32),"n/a")</f>
        <v>30000</v>
      </c>
      <c r="BV16" s="12">
        <f>IFERROR(IF(ISNUMBER(BU16),(BU16-AVERAGEIF('Pemetaan Variant'!$A$5:$A$32,$B16,'Pemetaan Variant'!$H$5:$H$32))/AVERAGEIF('Pemetaan Variant'!$A$5:$A$32,$B16,'Pemetaan Variant'!$H$5:$H$32)*100,"n/a"),"n/a")</f>
        <v>-12.885662431941924</v>
      </c>
      <c r="BW16" s="4">
        <f t="shared" si="23"/>
        <v>-0.26765506443658399</v>
      </c>
      <c r="BX16" s="11">
        <f>IFERROR(AVERAGEIF('Pemetaan Variant'!$A$5:$A$32,$B16,'Pemetaan Variant'!$AN$5:$AN$32),"n/a")</f>
        <v>30000</v>
      </c>
      <c r="BY16" s="12">
        <f>IFERROR(IF(ISNUMBER(BX16),(BX16-AVERAGEIF('Pemetaan Variant'!$A$5:$A$32,$B16,'Pemetaan Variant'!$I$5:$I$32))/AVERAGEIF('Pemetaan Variant'!$A$5:$A$32,$B16,'Pemetaan Variant'!$I$5:$I$32)*100,"n/a"),"n/a")</f>
        <v>0</v>
      </c>
      <c r="BZ16" s="4">
        <f t="shared" si="24"/>
        <v>0</v>
      </c>
      <c r="CA16" s="11">
        <f>IFERROR(AVERAGEIF('Pemetaan Variant'!$A$5:$A$32,$B16,'Pemetaan Variant'!$AO$5:$AO$32),"n/a")</f>
        <v>28500</v>
      </c>
      <c r="CB16" s="12">
        <f>IFERROR(IF(ISNUMBER(CA16),(CA16-AVERAGEIF('Pemetaan Variant'!$A$5:$A$32,$B16,'Pemetaan Variant'!$I$5:$I$32))/AVERAGEIF('Pemetaan Variant'!$A$5:$A$32,$B16,'Pemetaan Variant'!$I$5:$I$32)*100,"n/a"),"n/a")</f>
        <v>-5</v>
      </c>
      <c r="CC16" s="4">
        <f t="shared" si="25"/>
        <v>-0.10385770458067449</v>
      </c>
      <c r="CD16" s="11">
        <f>IFERROR(AVERAGEIF('Pemetaan Variant'!$A$5:$A$32,$B16,'Pemetaan Variant'!$AP$5:$AP$32),"n/a")</f>
        <v>28000</v>
      </c>
      <c r="CE16" s="12">
        <f>IFERROR(IF(ISNUMBER(CD16),(CD16-AVERAGEIF('Pemetaan Variant'!$A$5:$A$32,$B16,'Pemetaan Variant'!$I$5:$I$32))/AVERAGEIF('Pemetaan Variant'!$A$5:$A$32,$B16,'Pemetaan Variant'!$I$5:$I$32)*100,"n/a"),"n/a")</f>
        <v>-6.666666666666667</v>
      </c>
      <c r="CF16" s="4">
        <f t="shared" si="26"/>
        <v>-0.13847693944089934</v>
      </c>
      <c r="CG16" s="11">
        <f>IFERROR(AVERAGEIF('Pemetaan Variant'!$A$5:$A$32,$B16,'Pemetaan Variant'!$AQ$5:$AQ$32),"n/a")</f>
        <v>28000</v>
      </c>
      <c r="CH16" s="12">
        <f>IFERROR(IF(ISNUMBER(CG16),(CG16-AVERAGEIF('Pemetaan Variant'!$A$5:$A$32,$B16,'Pemetaan Variant'!$I$5:$I$32))/AVERAGEIF('Pemetaan Variant'!$A$5:$A$32,$B16,'Pemetaan Variant'!$I$5:$I$32)*100,"n/a"),"n/a")</f>
        <v>-6.666666666666667</v>
      </c>
      <c r="CI16" s="4">
        <f t="shared" si="27"/>
        <v>-0.13847693944089934</v>
      </c>
      <c r="CJ16" s="11">
        <f>IFERROR(AVERAGEIF('Pemetaan Variant'!$A$5:$A$32,$B16,'Pemetaan Variant'!$AR$5:$AR$32),"n/a")</f>
        <v>28000</v>
      </c>
      <c r="CK16" s="12">
        <f>IFERROR(IF(ISNUMBER(CJ16),(CJ16-AVERAGEIF('Pemetaan Variant'!$A$5:$A$32,$B16,'Pemetaan Variant'!$J$5:$J$32))/AVERAGEIF('Pemetaan Variant'!$A$5:$A$32,$B16,'Pemetaan Variant'!$J$5:$J$32)*100,"n/a"),"n/a")</f>
        <v>-2.0576131687242794</v>
      </c>
      <c r="CL16" s="4">
        <f t="shared" si="28"/>
        <v>-4.2739796123734353E-2</v>
      </c>
      <c r="CM16" s="11">
        <f>IFERROR(AVERAGEIF('Pemetaan Variant'!$A$5:$A$32,$B16,'Pemetaan Variant'!$AS$5:$AS$32),"n/a")</f>
        <v>28000</v>
      </c>
      <c r="CN16" s="12">
        <f>IFERROR(IF(ISNUMBER(CM16),(CM16-AVERAGEIF('Pemetaan Variant'!$A$5:$A$32,$B16,'Pemetaan Variant'!$J$5:$J$32))/AVERAGEIF('Pemetaan Variant'!$A$5:$A$32,$B16,'Pemetaan Variant'!$J$5:$J$32)*100,"n/a"),"n/a")</f>
        <v>-2.0576131687242794</v>
      </c>
      <c r="CO16" s="4">
        <f t="shared" si="29"/>
        <v>-4.2739796123734353E-2</v>
      </c>
      <c r="CP16" s="11">
        <f>IFERROR(AVERAGEIF('Pemetaan Variant'!$A$5:$A$32,$B16,'Pemetaan Variant'!$AT$5:$AT$32),"n/a")</f>
        <v>28000</v>
      </c>
      <c r="CQ16" s="12">
        <f>IFERROR(IF(ISNUMBER(CP16),(CP16-AVERAGEIF('Pemetaan Variant'!$A$5:$A$32,$B16,'Pemetaan Variant'!$J$5:$J$32))/AVERAGEIF('Pemetaan Variant'!$A$5:$A$32,$B16,'Pemetaan Variant'!$J$5:$J$32)*100,"n/a"),"n/a")</f>
        <v>-2.0576131687242794</v>
      </c>
      <c r="CR16" s="4">
        <f t="shared" si="30"/>
        <v>-4.2739796123734353E-2</v>
      </c>
      <c r="CS16" s="11">
        <f>IFERROR(AVERAGEIF('Pemetaan Variant'!$A$5:$A$32,$B16,'Pemetaan Variant'!$AU$5:$AU$32),"n/a")</f>
        <v>28000</v>
      </c>
      <c r="CT16" s="12">
        <f>IFERROR(IF(ISNUMBER(CS16),(CS16-AVERAGEIF('Pemetaan Variant'!$A$5:$A$32,$B16,'Pemetaan Variant'!$J$5:$J$32))/AVERAGEIF('Pemetaan Variant'!$A$5:$A$32,$B16,'Pemetaan Variant'!$J$5:$J$32)*100,"n/a"),"n/a")</f>
        <v>-2.0576131687242794</v>
      </c>
      <c r="CU16" s="4">
        <f t="shared" si="31"/>
        <v>-4.2739796123734353E-2</v>
      </c>
      <c r="CV16" s="11">
        <f>IFERROR(AVERAGEIF('Pemetaan Variant'!$A$5:$A$32,$B16,'Pemetaan Variant'!$AV$5:$AV$32),"n/a")</f>
        <v>28000</v>
      </c>
      <c r="CW16" s="12">
        <f>IFERROR(IF(ISNUMBER(CV16),(CV16-AVERAGEIF('Pemetaan Variant'!$A$5:$A$32,$B16,'Pemetaan Variant'!$J$5:$J$32))/AVERAGEIF('Pemetaan Variant'!$A$5:$A$32,$B16,'Pemetaan Variant'!$J$5:$J$32)*100,"n/a"),"n/a")</f>
        <v>-2.0576131687242794</v>
      </c>
      <c r="CX16" s="4">
        <f t="shared" si="32"/>
        <v>-4.2739796123734353E-2</v>
      </c>
      <c r="CY16" s="11">
        <f>IFERROR(AVERAGEIF('Pemetaan Variant'!$A$5:$A$32,$B16,'Pemetaan Variant'!$AW$5:$AW$32),"n/a")</f>
        <v>0</v>
      </c>
      <c r="CZ16" s="12">
        <f>IFERROR(IF(ISNUMBER(CY16),(CY16-AVERAGEIF('Pemetaan Variant'!$A$5:$A$32,$B16,'Pemetaan Variant'!$K$5:$K$32))/AVERAGEIF('Pemetaan Variant'!$A$5:$A$32,$B16,'Pemetaan Variant'!$K$5:$K$32)*100,"n/a"),"n/a")</f>
        <v>-100</v>
      </c>
      <c r="DA16" s="4">
        <f t="shared" si="33"/>
        <v>-2.0771540916134899</v>
      </c>
      <c r="DB16" s="11">
        <f>IFERROR(AVERAGEIF('Pemetaan Variant'!$A$5:$A$32,$B16,'Pemetaan Variant'!$AX$5:$AX$32),"n/a")</f>
        <v>0</v>
      </c>
      <c r="DC16" s="12">
        <f>IFERROR(IF(ISNUMBER(DB16),(DB16-AVERAGEIF('Pemetaan Variant'!$A$5:$A$32,$B16,'Pemetaan Variant'!$K$5:$K$32))/AVERAGEIF('Pemetaan Variant'!$A$5:$A$32,$B16,'Pemetaan Variant'!$K$5:$K$32)*100,"n/a"),"n/a")</f>
        <v>-100</v>
      </c>
      <c r="DD16" s="4">
        <f t="shared" si="34"/>
        <v>-2.0771540916134899</v>
      </c>
      <c r="DE16" s="11">
        <f>IFERROR(AVERAGEIF('Pemetaan Variant'!$A$5:$A$32,$B16,'Pemetaan Variant'!$AY$5:$AY$32),"n/a")</f>
        <v>0</v>
      </c>
      <c r="DF16" s="12">
        <f>IFERROR(IF(ISNUMBER(DE16),(DE16-AVERAGEIF('Pemetaan Variant'!$A$5:$A$32,$B16,'Pemetaan Variant'!$K$5:$K$32))/AVERAGEIF('Pemetaan Variant'!$A$5:$A$32,$B16,'Pemetaan Variant'!$K$5:$K$32)*100,"n/a"),"n/a")</f>
        <v>-100</v>
      </c>
      <c r="DG16" s="4">
        <f t="shared" si="35"/>
        <v>-2.0771540916134899</v>
      </c>
      <c r="DH16" s="11">
        <f>IFERROR(AVERAGEIF('Pemetaan Variant'!$A$5:$A$32,$B16,'Pemetaan Variant'!$AZ$5:$AZ$32),"n/a")</f>
        <v>0</v>
      </c>
      <c r="DI16" s="12">
        <f>IFERROR(IF(ISNUMBER(DH16),(DH16-AVERAGEIF('Pemetaan Variant'!$A$5:$A$32,$B16,'Pemetaan Variant'!$K$5:$K$32))/AVERAGEIF('Pemetaan Variant'!$A$5:$A$32,$B16,'Pemetaan Variant'!$K$5:$K$32)*100,"n/a"),"n/a")</f>
        <v>-100</v>
      </c>
      <c r="DJ16" s="4">
        <f t="shared" si="36"/>
        <v>-2.0771540916134899</v>
      </c>
      <c r="DK16" s="11" t="str">
        <f>IFERROR(AVERAGEIF('Pemetaan Variant'!$A$5:$A$32,$B16,'Pemetaan Variant'!$BA$5:$BA$32),"n/a")</f>
        <v>n/a</v>
      </c>
      <c r="DL16" s="12" t="str">
        <f>IFERROR(IF(ISNUMBER(DK16),(DK16-AVERAGEIF('Pemetaan Variant'!$A$5:$A$32,$B16,'Pemetaan Variant'!$L$5:$L$32))/AVERAGEIF('Pemetaan Variant'!$A$5:$A$32,$B16,'Pemetaan Variant'!$L$5:$L$32)*100,"n/a"),"n/a")</f>
        <v>n/a</v>
      </c>
      <c r="DM16" s="4" t="str">
        <f t="shared" si="37"/>
        <v>n/a</v>
      </c>
      <c r="DN16" s="11" t="str">
        <f>IFERROR(AVERAGEIF('Pemetaan Variant'!$A$5:$A$32,$B16,'Pemetaan Variant'!$BB$5:$BB$32),"n/a")</f>
        <v>n/a</v>
      </c>
      <c r="DO16" s="12" t="str">
        <f>IFERROR(IF(ISNUMBER(DN16),(DN16-AVERAGEIF('Pemetaan Variant'!$A$5:$A$32,$B16,'Pemetaan Variant'!$L$5:$L$32))/AVERAGEIF('Pemetaan Variant'!$A$5:$A$32,$B16,'Pemetaan Variant'!$L$5:$L$32)*100,"n/a"),"n/a")</f>
        <v>n/a</v>
      </c>
      <c r="DP16" s="4" t="str">
        <f t="shared" si="38"/>
        <v>n/a</v>
      </c>
      <c r="DQ16" s="11" t="str">
        <f>IFERROR(AVERAGEIF('Pemetaan Variant'!$A$5:$A$32,$B16,'Pemetaan Variant'!$BC$5:$BC$32),"n/a")</f>
        <v>n/a</v>
      </c>
      <c r="DR16" s="12" t="str">
        <f>IFERROR(IF(ISNUMBER(DQ16),(DQ16-AVERAGEIF('Pemetaan Variant'!$A$5:$A$32,$B16,'Pemetaan Variant'!$L$5:$L$32))/AVERAGEIF('Pemetaan Variant'!$A$5:$A$32,$B16,'Pemetaan Variant'!$L$5:$L$32)*100,"n/a"),"n/a")</f>
        <v>n/a</v>
      </c>
      <c r="DS16" s="4" t="str">
        <f t="shared" si="39"/>
        <v>n/a</v>
      </c>
      <c r="DT16" s="11" t="str">
        <f>IFERROR(AVERAGEIF('Pemetaan Variant'!$A$5:$A$32,$B16,'Pemetaan Variant'!$BD$5:$BD$32),"n/a")</f>
        <v>n/a</v>
      </c>
      <c r="DU16" s="12" t="str">
        <f>IFERROR(IF(ISNUMBER(DT16),(DT16-AVERAGEIF('Pemetaan Variant'!$A$5:$A$32,$B16,'Pemetaan Variant'!$L$5:$L$32))/AVERAGEIF('Pemetaan Variant'!$A$5:$A$32,$B16,'Pemetaan Variant'!$L$5:$L$32)*100,"n/a"),"n/a")</f>
        <v>n/a</v>
      </c>
      <c r="DV16" s="4" t="str">
        <f t="shared" si="40"/>
        <v>n/a</v>
      </c>
      <c r="DW16" s="11" t="str">
        <f>IFERROR(AVERAGEIF('Pemetaan Variant'!$A$5:$A$32,$B16,'Pemetaan Variant'!$BE$5:$BE$32),"n/a")</f>
        <v>n/a</v>
      </c>
      <c r="DX16" s="12" t="str">
        <f>IFERROR(IF(ISNUMBER(DW16),(DW16-AVERAGEIF('Pemetaan Variant'!$A$5:$A$32,$B16,'Pemetaan Variant'!$M$5:$M$32))/AVERAGEIF('Pemetaan Variant'!$A$5:$A$32,$B16,'Pemetaan Variant'!$M$5:$M$32)*100,"n/a"),"n/a")</f>
        <v>n/a</v>
      </c>
      <c r="DY16" s="4" t="str">
        <f t="shared" si="41"/>
        <v>n/a</v>
      </c>
      <c r="DZ16" s="11" t="str">
        <f>IFERROR(AVERAGEIF('Pemetaan Variant'!$A$5:$A$32,$B16,'Pemetaan Variant'!$BF$5:$BF$32),"n/a")</f>
        <v>n/a</v>
      </c>
      <c r="EA16" s="12" t="str">
        <f>IFERROR(IF(ISNUMBER(DZ16),(DZ16-AVERAGEIF('Pemetaan Variant'!$A$5:$A$32,$B16,'Pemetaan Variant'!$M$5:$M$32))/AVERAGEIF('Pemetaan Variant'!$A$5:$A$32,$B16,'Pemetaan Variant'!$M$5:$M$32)*100,"n/a"),"n/a")</f>
        <v>n/a</v>
      </c>
      <c r="EB16" s="4" t="str">
        <f t="shared" si="42"/>
        <v>n/a</v>
      </c>
      <c r="EC16" s="11" t="str">
        <f>IFERROR(AVERAGEIF('Pemetaan Variant'!$A$5:$A$32,$B16,'Pemetaan Variant'!$BG$5:$BG$32),"n/a")</f>
        <v>n/a</v>
      </c>
      <c r="ED16" s="12" t="str">
        <f>IFERROR(IF(ISNUMBER(EC16),(EC16-AVERAGEIF('Pemetaan Variant'!$A$5:$A$32,$B16,'Pemetaan Variant'!$M$5:$M$32))/AVERAGEIF('Pemetaan Variant'!$A$5:$A$32,$B16,'Pemetaan Variant'!$M$5:$M$32)*100,"n/a"),"n/a")</f>
        <v>n/a</v>
      </c>
      <c r="EE16" s="4" t="str">
        <f t="shared" si="43"/>
        <v>n/a</v>
      </c>
      <c r="EF16" s="11" t="str">
        <f>IFERROR(AVERAGEIF('Pemetaan Variant'!$A$5:$A$32,$B16,'Pemetaan Variant'!$BH$5:$BH$32),"n/a")</f>
        <v>n/a</v>
      </c>
      <c r="EG16" s="12" t="str">
        <f>IFERROR(IF(ISNUMBER(EF16),(EF16-AVERAGEIF('Pemetaan Variant'!$A$5:$A$32,$B16,'Pemetaan Variant'!$M$5:$M$32))/AVERAGEIF('Pemetaan Variant'!$A$5:$A$32,$B16,'Pemetaan Variant'!$M$5:$M$32)*100,"n/a"),"n/a")</f>
        <v>n/a</v>
      </c>
      <c r="EH16" s="4" t="str">
        <f t="shared" si="44"/>
        <v>n/a</v>
      </c>
      <c r="EI16" s="11" t="str">
        <f>IFERROR(AVERAGEIF('Pemetaan Variant'!$A$5:$A$32,$B16,'Pemetaan Variant'!$BI$5:$BI$32),"n/a")</f>
        <v>n/a</v>
      </c>
      <c r="EJ16" s="12" t="str">
        <f>IFERROR(IF(ISNUMBER(EI16),(EI16-AVERAGEIF('Pemetaan Variant'!$A$5:$A$32,$B16,'Pemetaan Variant'!$M$5:$M$32))/AVERAGEIF('Pemetaan Variant'!$A$5:$A$32,$B16,'Pemetaan Variant'!$M$5:$M$32)*100,"n/a"),"n/a")</f>
        <v>n/a</v>
      </c>
      <c r="EK16" s="4" t="str">
        <f t="shared" si="45"/>
        <v>n/a</v>
      </c>
      <c r="EL16" s="11" t="str">
        <f>IFERROR(AVERAGEIF('Pemetaan Variant'!$A$5:$A$32,$B16,'Pemetaan Variant'!$BJ$5:$BJ$32),"n/a")</f>
        <v>n/a</v>
      </c>
      <c r="EM16" s="12" t="str">
        <f>IFERROR(IF(ISNUMBER(EL16),(EL16-AVERAGEIF('Pemetaan Variant'!$A$5:$A$32,$B16,'Pemetaan Variant'!$N$5:$N$32))/AVERAGEIF('Pemetaan Variant'!$A$5:$A$32,$B16,'Pemetaan Variant'!$N$5:$N$32)*100,"n/a"),"n/a")</f>
        <v>n/a</v>
      </c>
      <c r="EN16" s="4" t="str">
        <f t="shared" si="46"/>
        <v>n/a</v>
      </c>
      <c r="EO16" s="11" t="str">
        <f>IFERROR(AVERAGEIF('Pemetaan Variant'!$A$5:$A$32,$B16,'Pemetaan Variant'!$BK$5:$BK$32),"n/a")</f>
        <v>n/a</v>
      </c>
      <c r="EP16" s="12" t="str">
        <f>IFERROR(IF(ISNUMBER(EO16),(EO16-AVERAGEIF('Pemetaan Variant'!$A$5:$A$32,$B16,'Pemetaan Variant'!$N$5:$N$32))/AVERAGEIF('Pemetaan Variant'!$A$5:$A$32,$B16,'Pemetaan Variant'!$N$5:$N$32)*100,"n/a"),"n/a")</f>
        <v>n/a</v>
      </c>
      <c r="EQ16" s="4" t="str">
        <f t="shared" si="47"/>
        <v>n/a</v>
      </c>
      <c r="ER16" s="11" t="str">
        <f>IFERROR(AVERAGEIF('Pemetaan Variant'!$A$5:$A$32,$B16,'Pemetaan Variant'!$BL$5:$BL$32),"n/a")</f>
        <v>n/a</v>
      </c>
      <c r="ES16" s="12" t="str">
        <f>IFERROR(IF(ISNUMBER(ER16),(ER16-AVERAGEIF('Pemetaan Variant'!$A$5:$A$32,$B16,'Pemetaan Variant'!$N$5:$N$32))/AVERAGEIF('Pemetaan Variant'!$A$5:$A$32,$B16,'Pemetaan Variant'!$N$5:$N$32)*100,"n/a"),"n/a")</f>
        <v>n/a</v>
      </c>
      <c r="ET16" s="4" t="str">
        <f t="shared" si="48"/>
        <v>n/a</v>
      </c>
      <c r="EU16" s="11" t="str">
        <f>IFERROR(AVERAGEIF('Pemetaan Variant'!$A$5:$A$32,$B16,'Pemetaan Variant'!$BM$5:$BM$32),"n/a")</f>
        <v>n/a</v>
      </c>
      <c r="EV16" s="12" t="str">
        <f>IFERROR(IF(ISNUMBER(EU16),(EU16-AVERAGEIF('Pemetaan Variant'!$A$5:$A$32,$B16,'Pemetaan Variant'!$N$5:$N$32))/AVERAGEIF('Pemetaan Variant'!$A$5:$A$32,$B16,'Pemetaan Variant'!$N$5:$N$32)*100,"n/a"),"n/a")</f>
        <v>n/a</v>
      </c>
      <c r="EW16" s="4" t="str">
        <f t="shared" si="49"/>
        <v>n/a</v>
      </c>
      <c r="EX16" s="11" t="str">
        <f>IFERROR(AVERAGEIF('Pemetaan Variant'!$A$5:$A$32,$B16,'Pemetaan Variant'!$BN$5:$BN$32),"n/a")</f>
        <v>n/a</v>
      </c>
      <c r="EY16" s="12" t="str">
        <f>IFERROR(IF(ISNUMBER(EX16),(EX16-AVERAGEIF('Pemetaan Variant'!$A$5:$A$32,$B16,'Pemetaan Variant'!$O$5:$O$32))/AVERAGEIF('Pemetaan Variant'!$A$5:$A$32,$B16,'Pemetaan Variant'!$O$5:$O$32)*100,"n/a"),"n/a")</f>
        <v>n/a</v>
      </c>
      <c r="EZ16" s="4" t="str">
        <f t="shared" si="50"/>
        <v>n/a</v>
      </c>
      <c r="FA16" s="11" t="str">
        <f>IFERROR(AVERAGEIF('Pemetaan Variant'!$A$5:$A$32,$B16,'Pemetaan Variant'!$BO$5:$BO$32),"n/a")</f>
        <v>n/a</v>
      </c>
      <c r="FB16" s="12" t="str">
        <f>IFERROR(IF(ISNUMBER(FA16),(FA16-AVERAGEIF('Pemetaan Variant'!$A$5:$A$32,$B16,'Pemetaan Variant'!$O$5:$O$32))/AVERAGEIF('Pemetaan Variant'!$A$5:$A$32,$B16,'Pemetaan Variant'!$O$5:$O$32)*100,"n/a"),"n/a")</f>
        <v>n/a</v>
      </c>
      <c r="FC16" s="4" t="str">
        <f t="shared" si="51"/>
        <v>n/a</v>
      </c>
      <c r="FD16" s="11" t="str">
        <f>IFERROR(AVERAGEIF('Pemetaan Variant'!$A$5:$A$32,$B16,'Pemetaan Variant'!$BP$5:$BP$32),"n/a")</f>
        <v>n/a</v>
      </c>
      <c r="FE16" s="12" t="str">
        <f>IFERROR(IF(ISNUMBER(FD16),(FD16-AVERAGEIF('Pemetaan Variant'!$A$5:$A$32,$B16,'Pemetaan Variant'!$O$5:$O$32))/AVERAGEIF('Pemetaan Variant'!$A$5:$A$32,$B16,'Pemetaan Variant'!$O$5:$O$32)*100,"n/a"),"n/a")</f>
        <v>n/a</v>
      </c>
      <c r="FF16" s="4" t="str">
        <f t="shared" si="52"/>
        <v>n/a</v>
      </c>
      <c r="FG16" s="11" t="str">
        <f>IFERROR(AVERAGEIF('Pemetaan Variant'!$A$5:$A$32,$B16,'Pemetaan Variant'!$BQ$5:$BQ$32),"n/a")</f>
        <v>n/a</v>
      </c>
      <c r="FH16" s="12" t="str">
        <f>IFERROR(IF(ISNUMBER(FG16),(FG16-AVERAGEIF('Pemetaan Variant'!$A$5:$A$32,$B16,'Pemetaan Variant'!$O$5:$O$32))/AVERAGEIF('Pemetaan Variant'!$A$5:$A$32,$B16,'Pemetaan Variant'!$O$5:$O$32)*100,"n/a"),"n/a")</f>
        <v>n/a</v>
      </c>
      <c r="FI16" s="4" t="str">
        <f t="shared" si="53"/>
        <v>n/a</v>
      </c>
      <c r="FJ16" s="11" t="str">
        <f>IFERROR(AVERAGEIF('Pemetaan Variant'!$A$5:$A$32,$B16,'Pemetaan Variant'!$BR$5:$BR$32),"n/a")</f>
        <v>n/a</v>
      </c>
      <c r="FK16" s="12" t="str">
        <f>IFERROR(IF(ISNUMBER(FJ16),(FJ16-AVERAGEIF('Pemetaan Variant'!$A$5:$A$32,$B16,'Pemetaan Variant'!$O$5:$O$32))/AVERAGEIF('Pemetaan Variant'!$A$5:$A$32,$B16,'Pemetaan Variant'!$O$5:$O$32)*100,"n/a"),"n/a")</f>
        <v>n/a</v>
      </c>
      <c r="FL16" s="4" t="str">
        <f t="shared" si="54"/>
        <v>n/a</v>
      </c>
      <c r="FM16" s="13" t="s">
        <v>136</v>
      </c>
      <c r="FO16" s="9">
        <f t="shared" si="55"/>
        <v>0</v>
      </c>
      <c r="FP16" s="9">
        <f t="shared" si="56"/>
        <v>0.14243342342492504</v>
      </c>
      <c r="FQ16" s="9">
        <f t="shared" si="57"/>
        <v>0</v>
      </c>
      <c r="FR16" s="9">
        <f t="shared" si="58"/>
        <v>0</v>
      </c>
      <c r="FS16" s="9">
        <f t="shared" si="59"/>
        <v>0</v>
      </c>
      <c r="FT16" s="9">
        <f t="shared" si="60"/>
        <v>3.8171284991365746E-2</v>
      </c>
      <c r="FU16" s="9">
        <f t="shared" si="61"/>
        <v>3.8171284991365746E-2</v>
      </c>
      <c r="FV16" s="9">
        <f t="shared" si="62"/>
        <v>3.8171284991365746E-2</v>
      </c>
      <c r="FW16" s="9">
        <f t="shared" si="63"/>
        <v>3.8171284991365746E-2</v>
      </c>
      <c r="FX16" s="9">
        <f t="shared" si="64"/>
        <v>0</v>
      </c>
      <c r="FY16" s="9">
        <f t="shared" si="65"/>
        <v>0</v>
      </c>
      <c r="FZ16" s="9">
        <f t="shared" si="66"/>
        <v>0</v>
      </c>
      <c r="GA16" s="9">
        <f t="shared" si="67"/>
        <v>0</v>
      </c>
      <c r="GB16" s="9">
        <f t="shared" si="68"/>
        <v>0</v>
      </c>
      <c r="GC16" s="9">
        <f t="shared" si="69"/>
        <v>0</v>
      </c>
      <c r="GD16" s="9">
        <f t="shared" si="70"/>
        <v>0</v>
      </c>
      <c r="GE16" s="9">
        <f t="shared" si="71"/>
        <v>0</v>
      </c>
      <c r="GF16" s="9">
        <f t="shared" si="72"/>
        <v>0</v>
      </c>
      <c r="GG16" s="9">
        <f t="shared" si="73"/>
        <v>0.17804177928115628</v>
      </c>
      <c r="GH16" s="9">
        <f t="shared" si="74"/>
        <v>0.26765506443658399</v>
      </c>
      <c r="GI16" s="9">
        <f t="shared" si="75"/>
        <v>0.26765506443658399</v>
      </c>
      <c r="GJ16" s="9">
        <f t="shared" si="76"/>
        <v>0.26765506443658399</v>
      </c>
      <c r="GK16" s="9">
        <f t="shared" si="77"/>
        <v>0.26765506443658399</v>
      </c>
      <c r="GL16" s="9">
        <f t="shared" si="78"/>
        <v>0.26765506443658399</v>
      </c>
      <c r="GM16" s="9">
        <f t="shared" si="79"/>
        <v>0</v>
      </c>
      <c r="GN16" s="9">
        <f t="shared" si="80"/>
        <v>0.10385770458067449</v>
      </c>
      <c r="GO16" s="9">
        <f t="shared" si="81"/>
        <v>0.13847693944089934</v>
      </c>
      <c r="GP16" s="9">
        <f t="shared" si="82"/>
        <v>0.13847693944089934</v>
      </c>
      <c r="GQ16" s="9">
        <f t="shared" si="83"/>
        <v>4.2739796123734353E-2</v>
      </c>
      <c r="GR16" s="9">
        <f t="shared" si="84"/>
        <v>4.2739796123734353E-2</v>
      </c>
      <c r="GS16" s="9">
        <f t="shared" si="85"/>
        <v>4.2739796123734353E-2</v>
      </c>
      <c r="GT16" s="9">
        <f t="shared" si="86"/>
        <v>4.2739796123734353E-2</v>
      </c>
      <c r="GU16" s="9">
        <f t="shared" si="87"/>
        <v>4.2739796123734353E-2</v>
      </c>
      <c r="GV16" s="9">
        <f t="shared" si="88"/>
        <v>2.0771540916134899</v>
      </c>
      <c r="GW16" s="9">
        <f t="shared" si="89"/>
        <v>2.0771540916134899</v>
      </c>
      <c r="GX16" s="9">
        <f t="shared" si="90"/>
        <v>2.0771540916134899</v>
      </c>
      <c r="GY16" s="9">
        <f t="shared" si="91"/>
        <v>2.0771540916134899</v>
      </c>
      <c r="GZ16" s="9">
        <f t="shared" si="92"/>
        <v>0</v>
      </c>
      <c r="HA16" s="9">
        <f t="shared" si="93"/>
        <v>0</v>
      </c>
      <c r="HB16" s="9">
        <f t="shared" si="94"/>
        <v>0</v>
      </c>
      <c r="HC16" s="9">
        <f t="shared" si="95"/>
        <v>0</v>
      </c>
      <c r="HD16" s="9">
        <f t="shared" si="96"/>
        <v>0</v>
      </c>
      <c r="HE16" s="9">
        <f t="shared" si="97"/>
        <v>0</v>
      </c>
      <c r="HF16" s="9">
        <f t="shared" si="98"/>
        <v>0</v>
      </c>
      <c r="HG16" s="9">
        <f t="shared" si="99"/>
        <v>0</v>
      </c>
      <c r="HH16" s="9">
        <f t="shared" si="100"/>
        <v>0</v>
      </c>
      <c r="HI16" s="9">
        <f t="shared" si="101"/>
        <v>0</v>
      </c>
      <c r="HJ16" s="9">
        <f t="shared" si="102"/>
        <v>0</v>
      </c>
      <c r="HK16" s="9">
        <f t="shared" si="103"/>
        <v>0</v>
      </c>
      <c r="HL16" s="9">
        <f t="shared" si="104"/>
        <v>0</v>
      </c>
      <c r="HM16" s="9">
        <f t="shared" si="105"/>
        <v>0</v>
      </c>
      <c r="HN16" s="9">
        <f t="shared" si="106"/>
        <v>0</v>
      </c>
      <c r="HO16" s="9">
        <f t="shared" si="107"/>
        <v>0</v>
      </c>
      <c r="HP16" s="9">
        <f t="shared" si="108"/>
        <v>0</v>
      </c>
      <c r="HQ16" s="9">
        <f t="shared" si="109"/>
        <v>0</v>
      </c>
    </row>
    <row r="17" spans="1:225" x14ac:dyDescent="0.35">
      <c r="A17" s="3">
        <v>12</v>
      </c>
      <c r="B17" s="3" t="s">
        <v>137</v>
      </c>
      <c r="C17" s="10">
        <f>'P0Q0 Dasar 2022'!F16</f>
        <v>0.21946420178649401</v>
      </c>
      <c r="D17" s="11">
        <f>IFERROR(AVERAGEIF('Pemetaan Variant'!$A$5:$A$32,$B17,'Pemetaan Variant'!$P$5:$P$32),"n/a")</f>
        <v>42000</v>
      </c>
      <c r="E17" s="12">
        <f>IFERROR(IF(ISNUMBER(D17),(D17-AVERAGEIF('Pemetaan Variant'!$A$5:$A$32,$B17,'Pemetaan Variant'!$D$5:$D$32))/AVERAGEIF('Pemetaan Variant'!$A$5:$A$32,$B17,'Pemetaan Variant'!$D$5:$D$32)*100,"n/a"),"n/a")</f>
        <v>0</v>
      </c>
      <c r="F17" s="4">
        <f t="shared" si="0"/>
        <v>0</v>
      </c>
      <c r="G17" s="11">
        <f>IFERROR(AVERAGEIF('Pemetaan Variant'!$A$5:$A$32,$B17,'Pemetaan Variant'!$Q$5:$Q$32),"n/a")</f>
        <v>42000</v>
      </c>
      <c r="H17" s="12">
        <f>IFERROR(IF(ISNUMBER(G17),(G17-AVERAGEIF('Pemetaan Variant'!$A$5:$A$32,$B17,'Pemetaan Variant'!$D$5:$D$32))/AVERAGEIF('Pemetaan Variant'!$A$5:$A$32,$B17,'Pemetaan Variant'!$D$5:$D$32)*100,"n/a"),"n/a")</f>
        <v>0</v>
      </c>
      <c r="I17" s="4">
        <f t="shared" si="1"/>
        <v>0</v>
      </c>
      <c r="J17" s="11">
        <f>IFERROR(AVERAGEIF('Pemetaan Variant'!$A$5:$A$32,$B17,'Pemetaan Variant'!$R$5:$R$32),"n/a")</f>
        <v>42000</v>
      </c>
      <c r="K17" s="12">
        <f>IFERROR(IF(ISNUMBER(J17),(J17-AVERAGEIF('Pemetaan Variant'!$A$5:$A$32,$B17,'Pemetaan Variant'!$D$5:$D$32))/AVERAGEIF('Pemetaan Variant'!$A$5:$A$32,$B17,'Pemetaan Variant'!$D$5:$D$32)*100,"n/a"),"n/a")</f>
        <v>0</v>
      </c>
      <c r="L17" s="4">
        <f t="shared" si="2"/>
        <v>0</v>
      </c>
      <c r="M17" s="11">
        <f>IFERROR(AVERAGEIF('Pemetaan Variant'!$A$5:$A$32,$B17,'Pemetaan Variant'!$S$5:$S$32),"n/a")</f>
        <v>42000</v>
      </c>
      <c r="N17" s="12">
        <f>IFERROR(IF(ISNUMBER(M17),(M17-AVERAGEIF('Pemetaan Variant'!$A$5:$A$32,$B17,'Pemetaan Variant'!$D$5:$D$32))/AVERAGEIF('Pemetaan Variant'!$A$5:$A$32,$B17,'Pemetaan Variant'!$D$5:$D$32)*100,"n/a"),"n/a")</f>
        <v>0</v>
      </c>
      <c r="O17" s="4">
        <f t="shared" si="3"/>
        <v>0</v>
      </c>
      <c r="P17" s="11">
        <f>IFERROR(AVERAGEIF('Pemetaan Variant'!$A$5:$A$32,$B17,'Pemetaan Variant'!$T$5:$T$32),"n/a")</f>
        <v>42000</v>
      </c>
      <c r="Q17" s="12">
        <f>IFERROR(IF(ISNUMBER(P17),(P17-AVERAGEIF('Pemetaan Variant'!$A$5:$A$32,$B17,'Pemetaan Variant'!$D$5:$D$32))/AVERAGEIF('Pemetaan Variant'!$A$5:$A$32,$B17,'Pemetaan Variant'!$D$5:$D$32)*100,"n/a"),"n/a")</f>
        <v>0</v>
      </c>
      <c r="R17" s="4">
        <f t="shared" si="4"/>
        <v>0</v>
      </c>
      <c r="S17" s="11">
        <f>IFERROR(AVERAGEIF('Pemetaan Variant'!$A$5:$A$32,$B17,'Pemetaan Variant'!$U$5:$U$32),"n/a")</f>
        <v>42000</v>
      </c>
      <c r="T17" s="12">
        <f>IFERROR(IF(ISNUMBER(S17),(S17-AVERAGEIF('Pemetaan Variant'!$A$5:$A$32,$B17,'Pemetaan Variant'!$E$5:$E$32))/AVERAGEIF('Pemetaan Variant'!$A$5:$A$32,$B17,'Pemetaan Variant'!$E$5:$E$32)*100,"n/a"),"n/a")</f>
        <v>0</v>
      </c>
      <c r="U17" s="4">
        <f t="shared" si="5"/>
        <v>0</v>
      </c>
      <c r="V17" s="11">
        <f>IFERROR(AVERAGEIF('Pemetaan Variant'!$A$5:$A$32,$B17,'Pemetaan Variant'!$V$5:$V$32),"n/a")</f>
        <v>42000</v>
      </c>
      <c r="W17" s="12">
        <f>IFERROR(IF(ISNUMBER(V17),(V17-AVERAGEIF('Pemetaan Variant'!$A$5:$A$32,$B17,'Pemetaan Variant'!$E$5:$E$32))/AVERAGEIF('Pemetaan Variant'!$A$5:$A$32,$B17,'Pemetaan Variant'!$E$5:$E$32)*100,"n/a"),"n/a")</f>
        <v>0</v>
      </c>
      <c r="X17" s="4">
        <f t="shared" si="6"/>
        <v>0</v>
      </c>
      <c r="Y17" s="11">
        <f>IFERROR(AVERAGEIF('Pemetaan Variant'!$A$5:$A$32,$B17,'Pemetaan Variant'!$W$5:$W$32),"n/a")</f>
        <v>42000</v>
      </c>
      <c r="Z17" s="12">
        <f>IFERROR(IF(ISNUMBER(Y17),(Y17-AVERAGEIF('Pemetaan Variant'!$A$5:$A$32,$B17,'Pemetaan Variant'!$E$5:$E$32))/AVERAGEIF('Pemetaan Variant'!$A$5:$A$32,$B17,'Pemetaan Variant'!$E$5:$E$32)*100,"n/a"),"n/a")</f>
        <v>0</v>
      </c>
      <c r="AA17" s="4">
        <f t="shared" si="7"/>
        <v>0</v>
      </c>
      <c r="AB17" s="11">
        <f>IFERROR(AVERAGEIF('Pemetaan Variant'!$A$5:$A$32,$B17,'Pemetaan Variant'!$X$5:$X$32),"n/a")</f>
        <v>42000</v>
      </c>
      <c r="AC17" s="12">
        <f>IFERROR(IF(ISNUMBER(AB17),(AB17-AVERAGEIF('Pemetaan Variant'!$A$5:$A$32,$B17,'Pemetaan Variant'!$E$5:$E$32))/AVERAGEIF('Pemetaan Variant'!$A$5:$A$32,$B17,'Pemetaan Variant'!$E$5:$E$32)*100,"n/a"),"n/a")</f>
        <v>0</v>
      </c>
      <c r="AD17" s="4">
        <f t="shared" si="8"/>
        <v>0</v>
      </c>
      <c r="AE17" s="11">
        <f>IFERROR(AVERAGEIF('Pemetaan Variant'!$A$5:$A$32,$B17,'Pemetaan Variant'!$Y$5:$Y$32),"n/a")</f>
        <v>42000</v>
      </c>
      <c r="AF17" s="12">
        <f>IFERROR(IF(ISNUMBER(AE17),(AE17-AVERAGEIF('Pemetaan Variant'!$A$5:$A$32,$B17,'Pemetaan Variant'!$F$5:$F$32))/AVERAGEIF('Pemetaan Variant'!$A$5:$A$32,$B17,'Pemetaan Variant'!$F$5:$F$32)*100,"n/a"),"n/a")</f>
        <v>0</v>
      </c>
      <c r="AG17" s="4">
        <f t="shared" si="9"/>
        <v>0</v>
      </c>
      <c r="AH17" s="11">
        <f>IFERROR(AVERAGEIF('Pemetaan Variant'!$A$5:$A$32,$B17,'Pemetaan Variant'!$Z$5:$Z$32),"n/a")</f>
        <v>42000</v>
      </c>
      <c r="AI17" s="12">
        <f>IFERROR(IF(ISNUMBER(AH17),(AH17-AVERAGEIF('Pemetaan Variant'!$A$5:$A$32,$B17,'Pemetaan Variant'!$F$5:$F$32))/AVERAGEIF('Pemetaan Variant'!$A$5:$A$32,$B17,'Pemetaan Variant'!$F$5:$F$32)*100,"n/a"),"n/a")</f>
        <v>0</v>
      </c>
      <c r="AJ17" s="4">
        <f t="shared" si="10"/>
        <v>0</v>
      </c>
      <c r="AK17" s="11">
        <f>IFERROR(AVERAGEIF('Pemetaan Variant'!$A$5:$A$32,$B17,'Pemetaan Variant'!$AA$5:$AA$32),"n/a")</f>
        <v>42000</v>
      </c>
      <c r="AL17" s="12">
        <f>IFERROR(IF(ISNUMBER(AK17),(AK17-AVERAGEIF('Pemetaan Variant'!$A$5:$A$32,$B17,'Pemetaan Variant'!$F$5:$F$32))/AVERAGEIF('Pemetaan Variant'!$A$5:$A$32,$B17,'Pemetaan Variant'!$F$5:$F$32)*100,"n/a"),"n/a")</f>
        <v>0</v>
      </c>
      <c r="AM17" s="4">
        <f t="shared" si="11"/>
        <v>0</v>
      </c>
      <c r="AN17" s="11">
        <f>IFERROR(AVERAGEIF('Pemetaan Variant'!$A$5:$A$32,$B17,'Pemetaan Variant'!$AB$5:$AB$32),"n/a")</f>
        <v>42000</v>
      </c>
      <c r="AO17" s="12">
        <f>IFERROR(IF(ISNUMBER(AN17),(AN17-AVERAGEIF('Pemetaan Variant'!$A$5:$A$32,$B17,'Pemetaan Variant'!$F$5:$F$32))/AVERAGEIF('Pemetaan Variant'!$A$5:$A$32,$B17,'Pemetaan Variant'!$F$5:$F$32)*100,"n/a"),"n/a")</f>
        <v>0</v>
      </c>
      <c r="AP17" s="4">
        <f t="shared" si="12"/>
        <v>0</v>
      </c>
      <c r="AQ17" s="11" t="str">
        <f>IFERROR(AVERAGEIF('Pemetaan Variant'!$A$5:$A$32,$B17,'Pemetaan Variant'!$AC$5:$AC$32),"n/a")</f>
        <v>n/a</v>
      </c>
      <c r="AR17" s="12" t="str">
        <f>IFERROR(IF(ISNUMBER(AQ17),(AQ17-AVERAGEIF('Pemetaan Variant'!$A$5:$A$32,$B17,'Pemetaan Variant'!$F$5:$F$32))/AVERAGEIF('Pemetaan Variant'!$A$5:$A$32,$B17,'Pemetaan Variant'!$F$5:$F$32)*100,"n/a"),"n/a")</f>
        <v>n/a</v>
      </c>
      <c r="AS17" s="4" t="str">
        <f t="shared" si="13"/>
        <v>n/a</v>
      </c>
      <c r="AT17" s="11" t="str">
        <f>IFERROR(AVERAGEIF('Pemetaan Variant'!$A$5:$A$32,$B17,'Pemetaan Variant'!$AD$5:$AD$32),"n/a")</f>
        <v>n/a</v>
      </c>
      <c r="AU17" s="12" t="str">
        <f>IFERROR(IF(ISNUMBER(AT17),(AT17-AVERAGEIF('Pemetaan Variant'!$A$5:$A$32,$B17,'Pemetaan Variant'!$G$5:$G$32))/AVERAGEIF('Pemetaan Variant'!$A$5:$A$32,$B17,'Pemetaan Variant'!$G$5:$G$32)*100,"n/a"),"n/a")</f>
        <v>n/a</v>
      </c>
      <c r="AV17" s="4" t="str">
        <f t="shared" si="14"/>
        <v>n/a</v>
      </c>
      <c r="AW17" s="11">
        <f>IFERROR(AVERAGEIF('Pemetaan Variant'!$A$5:$A$32,$B17,'Pemetaan Variant'!$AE$5:$AE$32),"n/a")</f>
        <v>42000</v>
      </c>
      <c r="AX17" s="12">
        <f>IFERROR(IF(ISNUMBER(AW17),(AW17-AVERAGEIF('Pemetaan Variant'!$A$5:$A$32,$B17,'Pemetaan Variant'!$G$5:$G$32))/AVERAGEIF('Pemetaan Variant'!$A$5:$A$32,$B17,'Pemetaan Variant'!$G$5:$G$32)*100,"n/a"),"n/a")</f>
        <v>0</v>
      </c>
      <c r="AY17" s="4">
        <f t="shared" si="15"/>
        <v>0</v>
      </c>
      <c r="AZ17" s="11">
        <f>IFERROR(AVERAGEIF('Pemetaan Variant'!$A$5:$A$32,$B17,'Pemetaan Variant'!$AF$5:$AF$32),"n/a")</f>
        <v>42000</v>
      </c>
      <c r="BA17" s="12">
        <f>IFERROR(IF(ISNUMBER(AZ17),(AZ17-AVERAGEIF('Pemetaan Variant'!$A$5:$A$32,$B17,'Pemetaan Variant'!$G$5:$G$32))/AVERAGEIF('Pemetaan Variant'!$A$5:$A$32,$B17,'Pemetaan Variant'!$G$5:$G$32)*100,"n/a"),"n/a")</f>
        <v>0</v>
      </c>
      <c r="BB17" s="4">
        <f t="shared" si="16"/>
        <v>0</v>
      </c>
      <c r="BC17" s="11">
        <f>IFERROR(AVERAGEIF('Pemetaan Variant'!$A$5:$A$32,$B17,'Pemetaan Variant'!$AG$5:$AG$32),"n/a")</f>
        <v>42000</v>
      </c>
      <c r="BD17" s="12">
        <f>IFERROR(IF(ISNUMBER(BC17),(BC17-AVERAGEIF('Pemetaan Variant'!$A$5:$A$32,$B17,'Pemetaan Variant'!$G$5:$G$32))/AVERAGEIF('Pemetaan Variant'!$A$5:$A$32,$B17,'Pemetaan Variant'!$G$5:$G$32)*100,"n/a"),"n/a")</f>
        <v>0</v>
      </c>
      <c r="BE17" s="4">
        <f t="shared" si="17"/>
        <v>0</v>
      </c>
      <c r="BF17" s="11">
        <f>IFERROR(AVERAGEIF('Pemetaan Variant'!$A$5:$A$32,$B17,'Pemetaan Variant'!$AH$5:$AH$32),"n/a")</f>
        <v>42000</v>
      </c>
      <c r="BG17" s="12">
        <f>IFERROR(IF(ISNUMBER(BF17),(BF17-AVERAGEIF('Pemetaan Variant'!$A$5:$A$32,$B17,'Pemetaan Variant'!$G$5:$G$32))/AVERAGEIF('Pemetaan Variant'!$A$5:$A$32,$B17,'Pemetaan Variant'!$G$5:$G$32)*100,"n/a"),"n/a")</f>
        <v>0</v>
      </c>
      <c r="BH17" s="4">
        <f t="shared" si="18"/>
        <v>0</v>
      </c>
      <c r="BI17" s="11">
        <f>IFERROR(AVERAGEIF('Pemetaan Variant'!$A$5:$A$32,$B17,'Pemetaan Variant'!$AI$5:$AI$32),"n/a")</f>
        <v>42000</v>
      </c>
      <c r="BJ17" s="12">
        <f>IFERROR(IF(ISNUMBER(BI17),(BI17-AVERAGEIF('Pemetaan Variant'!$A$5:$A$32,$B17,'Pemetaan Variant'!$H$5:$H$32))/AVERAGEIF('Pemetaan Variant'!$A$5:$A$32,$B17,'Pemetaan Variant'!$H$5:$H$32)*100,"n/a"),"n/a")</f>
        <v>0</v>
      </c>
      <c r="BK17" s="4">
        <f t="shared" si="19"/>
        <v>0</v>
      </c>
      <c r="BL17" s="11">
        <f>IFERROR(AVERAGEIF('Pemetaan Variant'!$A$5:$A$32,$B17,'Pemetaan Variant'!$AJ$5:$AJ$32),"n/a")</f>
        <v>42000</v>
      </c>
      <c r="BM17" s="12">
        <f>IFERROR(IF(ISNUMBER(BL17),(BL17-AVERAGEIF('Pemetaan Variant'!$A$5:$A$32,$B17,'Pemetaan Variant'!$H$5:$H$32))/AVERAGEIF('Pemetaan Variant'!$A$5:$A$32,$B17,'Pemetaan Variant'!$H$5:$H$32)*100,"n/a"),"n/a")</f>
        <v>0</v>
      </c>
      <c r="BN17" s="4">
        <f t="shared" si="20"/>
        <v>0</v>
      </c>
      <c r="BO17" s="11">
        <f>IFERROR(AVERAGEIF('Pemetaan Variant'!$A$5:$A$32,$B17,'Pemetaan Variant'!$AK$5:$AK$32),"n/a")</f>
        <v>42000</v>
      </c>
      <c r="BP17" s="12">
        <f>IFERROR(IF(ISNUMBER(BO17),(BO17-AVERAGEIF('Pemetaan Variant'!$A$5:$A$32,$B17,'Pemetaan Variant'!$H$5:$H$32))/AVERAGEIF('Pemetaan Variant'!$A$5:$A$32,$B17,'Pemetaan Variant'!$H$5:$H$32)*100,"n/a"),"n/a")</f>
        <v>0</v>
      </c>
      <c r="BQ17" s="4">
        <f t="shared" si="21"/>
        <v>0</v>
      </c>
      <c r="BR17" s="11">
        <f>IFERROR(AVERAGEIF('Pemetaan Variant'!$A$5:$A$32,$B17,'Pemetaan Variant'!$AL$5:$AL$32),"n/a")</f>
        <v>42000</v>
      </c>
      <c r="BS17" s="12">
        <f>IFERROR(IF(ISNUMBER(BR17),(BR17-AVERAGEIF('Pemetaan Variant'!$A$5:$A$32,$B17,'Pemetaan Variant'!$H$5:$H$32))/AVERAGEIF('Pemetaan Variant'!$A$5:$A$32,$B17,'Pemetaan Variant'!$H$5:$H$32)*100,"n/a"),"n/a")</f>
        <v>0</v>
      </c>
      <c r="BT17" s="4">
        <f t="shared" si="22"/>
        <v>0</v>
      </c>
      <c r="BU17" s="11">
        <f>IFERROR(AVERAGEIF('Pemetaan Variant'!$A$5:$A$32,$B17,'Pemetaan Variant'!$AM$5:$AM$32),"n/a")</f>
        <v>42000</v>
      </c>
      <c r="BV17" s="12">
        <f>IFERROR(IF(ISNUMBER(BU17),(BU17-AVERAGEIF('Pemetaan Variant'!$A$5:$A$32,$B17,'Pemetaan Variant'!$H$5:$H$32))/AVERAGEIF('Pemetaan Variant'!$A$5:$A$32,$B17,'Pemetaan Variant'!$H$5:$H$32)*100,"n/a"),"n/a")</f>
        <v>0</v>
      </c>
      <c r="BW17" s="4">
        <f t="shared" si="23"/>
        <v>0</v>
      </c>
      <c r="BX17" s="11">
        <f>IFERROR(AVERAGEIF('Pemetaan Variant'!$A$5:$A$32,$B17,'Pemetaan Variant'!$AN$5:$AN$32),"n/a")</f>
        <v>42000</v>
      </c>
      <c r="BY17" s="12">
        <f>IFERROR(IF(ISNUMBER(BX17),(BX17-AVERAGEIF('Pemetaan Variant'!$A$5:$A$32,$B17,'Pemetaan Variant'!$I$5:$I$32))/AVERAGEIF('Pemetaan Variant'!$A$5:$A$32,$B17,'Pemetaan Variant'!$I$5:$I$32)*100,"n/a"),"n/a")</f>
        <v>0</v>
      </c>
      <c r="BZ17" s="4">
        <f t="shared" si="24"/>
        <v>0</v>
      </c>
      <c r="CA17" s="11">
        <f>IFERROR(AVERAGEIF('Pemetaan Variant'!$A$5:$A$32,$B17,'Pemetaan Variant'!$AO$5:$AO$32),"n/a")</f>
        <v>42000</v>
      </c>
      <c r="CB17" s="12">
        <f>IFERROR(IF(ISNUMBER(CA17),(CA17-AVERAGEIF('Pemetaan Variant'!$A$5:$A$32,$B17,'Pemetaan Variant'!$I$5:$I$32))/AVERAGEIF('Pemetaan Variant'!$A$5:$A$32,$B17,'Pemetaan Variant'!$I$5:$I$32)*100,"n/a"),"n/a")</f>
        <v>0</v>
      </c>
      <c r="CC17" s="4">
        <f t="shared" si="25"/>
        <v>0</v>
      </c>
      <c r="CD17" s="11">
        <f>IFERROR(AVERAGEIF('Pemetaan Variant'!$A$5:$A$32,$B17,'Pemetaan Variant'!$AP$5:$AP$32),"n/a")</f>
        <v>42000</v>
      </c>
      <c r="CE17" s="12">
        <f>IFERROR(IF(ISNUMBER(CD17),(CD17-AVERAGEIF('Pemetaan Variant'!$A$5:$A$32,$B17,'Pemetaan Variant'!$I$5:$I$32))/AVERAGEIF('Pemetaan Variant'!$A$5:$A$32,$B17,'Pemetaan Variant'!$I$5:$I$32)*100,"n/a"),"n/a")</f>
        <v>0</v>
      </c>
      <c r="CF17" s="4">
        <f t="shared" si="26"/>
        <v>0</v>
      </c>
      <c r="CG17" s="11">
        <f>IFERROR(AVERAGEIF('Pemetaan Variant'!$A$5:$A$32,$B17,'Pemetaan Variant'!$AQ$5:$AQ$32),"n/a")</f>
        <v>42000</v>
      </c>
      <c r="CH17" s="12">
        <f>IFERROR(IF(ISNUMBER(CG17),(CG17-AVERAGEIF('Pemetaan Variant'!$A$5:$A$32,$B17,'Pemetaan Variant'!$I$5:$I$32))/AVERAGEIF('Pemetaan Variant'!$A$5:$A$32,$B17,'Pemetaan Variant'!$I$5:$I$32)*100,"n/a"),"n/a")</f>
        <v>0</v>
      </c>
      <c r="CI17" s="4">
        <f t="shared" si="27"/>
        <v>0</v>
      </c>
      <c r="CJ17" s="11">
        <f>IFERROR(AVERAGEIF('Pemetaan Variant'!$A$5:$A$32,$B17,'Pemetaan Variant'!$AR$5:$AR$32),"n/a")</f>
        <v>42000</v>
      </c>
      <c r="CK17" s="12">
        <f>IFERROR(IF(ISNUMBER(CJ17),(CJ17-AVERAGEIF('Pemetaan Variant'!$A$5:$A$32,$B17,'Pemetaan Variant'!$J$5:$J$32))/AVERAGEIF('Pemetaan Variant'!$A$5:$A$32,$B17,'Pemetaan Variant'!$J$5:$J$32)*100,"n/a"),"n/a")</f>
        <v>0</v>
      </c>
      <c r="CL17" s="4">
        <f t="shared" si="28"/>
        <v>0</v>
      </c>
      <c r="CM17" s="11">
        <f>IFERROR(AVERAGEIF('Pemetaan Variant'!$A$5:$A$32,$B17,'Pemetaan Variant'!$AS$5:$AS$32),"n/a")</f>
        <v>42000</v>
      </c>
      <c r="CN17" s="12">
        <f>IFERROR(IF(ISNUMBER(CM17),(CM17-AVERAGEIF('Pemetaan Variant'!$A$5:$A$32,$B17,'Pemetaan Variant'!$J$5:$J$32))/AVERAGEIF('Pemetaan Variant'!$A$5:$A$32,$B17,'Pemetaan Variant'!$J$5:$J$32)*100,"n/a"),"n/a")</f>
        <v>0</v>
      </c>
      <c r="CO17" s="4">
        <f t="shared" si="29"/>
        <v>0</v>
      </c>
      <c r="CP17" s="11">
        <f>IFERROR(AVERAGEIF('Pemetaan Variant'!$A$5:$A$32,$B17,'Pemetaan Variant'!$AT$5:$AT$32),"n/a")</f>
        <v>42000</v>
      </c>
      <c r="CQ17" s="12">
        <f>IFERROR(IF(ISNUMBER(CP17),(CP17-AVERAGEIF('Pemetaan Variant'!$A$5:$A$32,$B17,'Pemetaan Variant'!$J$5:$J$32))/AVERAGEIF('Pemetaan Variant'!$A$5:$A$32,$B17,'Pemetaan Variant'!$J$5:$J$32)*100,"n/a"),"n/a")</f>
        <v>0</v>
      </c>
      <c r="CR17" s="4">
        <f t="shared" si="30"/>
        <v>0</v>
      </c>
      <c r="CS17" s="11">
        <f>IFERROR(AVERAGEIF('Pemetaan Variant'!$A$5:$A$32,$B17,'Pemetaan Variant'!$AU$5:$AU$32),"n/a")</f>
        <v>42000</v>
      </c>
      <c r="CT17" s="12">
        <f>IFERROR(IF(ISNUMBER(CS17),(CS17-AVERAGEIF('Pemetaan Variant'!$A$5:$A$32,$B17,'Pemetaan Variant'!$J$5:$J$32))/AVERAGEIF('Pemetaan Variant'!$A$5:$A$32,$B17,'Pemetaan Variant'!$J$5:$J$32)*100,"n/a"),"n/a")</f>
        <v>0</v>
      </c>
      <c r="CU17" s="4">
        <f t="shared" si="31"/>
        <v>0</v>
      </c>
      <c r="CV17" s="11">
        <f>IFERROR(AVERAGEIF('Pemetaan Variant'!$A$5:$A$32,$B17,'Pemetaan Variant'!$AV$5:$AV$32),"n/a")</f>
        <v>42000</v>
      </c>
      <c r="CW17" s="12">
        <f>IFERROR(IF(ISNUMBER(CV17),(CV17-AVERAGEIF('Pemetaan Variant'!$A$5:$A$32,$B17,'Pemetaan Variant'!$J$5:$J$32))/AVERAGEIF('Pemetaan Variant'!$A$5:$A$32,$B17,'Pemetaan Variant'!$J$5:$J$32)*100,"n/a"),"n/a")</f>
        <v>0</v>
      </c>
      <c r="CX17" s="4">
        <f t="shared" si="32"/>
        <v>0</v>
      </c>
      <c r="CY17" s="11">
        <f>IFERROR(AVERAGEIF('Pemetaan Variant'!$A$5:$A$32,$B17,'Pemetaan Variant'!$AW$5:$AW$32),"n/a")</f>
        <v>0</v>
      </c>
      <c r="CZ17" s="12">
        <f>IFERROR(IF(ISNUMBER(CY17),(CY17-AVERAGEIF('Pemetaan Variant'!$A$5:$A$32,$B17,'Pemetaan Variant'!$K$5:$K$32))/AVERAGEIF('Pemetaan Variant'!$A$5:$A$32,$B17,'Pemetaan Variant'!$K$5:$K$32)*100,"n/a"),"n/a")</f>
        <v>-100</v>
      </c>
      <c r="DA17" s="4">
        <f t="shared" si="33"/>
        <v>-21.946420178649401</v>
      </c>
      <c r="DB17" s="11">
        <f>IFERROR(AVERAGEIF('Pemetaan Variant'!$A$5:$A$32,$B17,'Pemetaan Variant'!$AX$5:$AX$32),"n/a")</f>
        <v>0</v>
      </c>
      <c r="DC17" s="12">
        <f>IFERROR(IF(ISNUMBER(DB17),(DB17-AVERAGEIF('Pemetaan Variant'!$A$5:$A$32,$B17,'Pemetaan Variant'!$K$5:$K$32))/AVERAGEIF('Pemetaan Variant'!$A$5:$A$32,$B17,'Pemetaan Variant'!$K$5:$K$32)*100,"n/a"),"n/a")</f>
        <v>-100</v>
      </c>
      <c r="DD17" s="4">
        <f t="shared" si="34"/>
        <v>-21.946420178649401</v>
      </c>
      <c r="DE17" s="11">
        <f>IFERROR(AVERAGEIF('Pemetaan Variant'!$A$5:$A$32,$B17,'Pemetaan Variant'!$AY$5:$AY$32),"n/a")</f>
        <v>0</v>
      </c>
      <c r="DF17" s="12">
        <f>IFERROR(IF(ISNUMBER(DE17),(DE17-AVERAGEIF('Pemetaan Variant'!$A$5:$A$32,$B17,'Pemetaan Variant'!$K$5:$K$32))/AVERAGEIF('Pemetaan Variant'!$A$5:$A$32,$B17,'Pemetaan Variant'!$K$5:$K$32)*100,"n/a"),"n/a")</f>
        <v>-100</v>
      </c>
      <c r="DG17" s="4">
        <f t="shared" si="35"/>
        <v>-21.946420178649401</v>
      </c>
      <c r="DH17" s="11">
        <f>IFERROR(AVERAGEIF('Pemetaan Variant'!$A$5:$A$32,$B17,'Pemetaan Variant'!$AZ$5:$AZ$32),"n/a")</f>
        <v>0</v>
      </c>
      <c r="DI17" s="12">
        <f>IFERROR(IF(ISNUMBER(DH17),(DH17-AVERAGEIF('Pemetaan Variant'!$A$5:$A$32,$B17,'Pemetaan Variant'!$K$5:$K$32))/AVERAGEIF('Pemetaan Variant'!$A$5:$A$32,$B17,'Pemetaan Variant'!$K$5:$K$32)*100,"n/a"),"n/a")</f>
        <v>-100</v>
      </c>
      <c r="DJ17" s="4">
        <f t="shared" si="36"/>
        <v>-21.946420178649401</v>
      </c>
      <c r="DK17" s="11" t="str">
        <f>IFERROR(AVERAGEIF('Pemetaan Variant'!$A$5:$A$32,$B17,'Pemetaan Variant'!$BA$5:$BA$32),"n/a")</f>
        <v>n/a</v>
      </c>
      <c r="DL17" s="12" t="str">
        <f>IFERROR(IF(ISNUMBER(DK17),(DK17-AVERAGEIF('Pemetaan Variant'!$A$5:$A$32,$B17,'Pemetaan Variant'!$L$5:$L$32))/AVERAGEIF('Pemetaan Variant'!$A$5:$A$32,$B17,'Pemetaan Variant'!$L$5:$L$32)*100,"n/a"),"n/a")</f>
        <v>n/a</v>
      </c>
      <c r="DM17" s="4" t="str">
        <f t="shared" si="37"/>
        <v>n/a</v>
      </c>
      <c r="DN17" s="11" t="str">
        <f>IFERROR(AVERAGEIF('Pemetaan Variant'!$A$5:$A$32,$B17,'Pemetaan Variant'!$BB$5:$BB$32),"n/a")</f>
        <v>n/a</v>
      </c>
      <c r="DO17" s="12" t="str">
        <f>IFERROR(IF(ISNUMBER(DN17),(DN17-AVERAGEIF('Pemetaan Variant'!$A$5:$A$32,$B17,'Pemetaan Variant'!$L$5:$L$32))/AVERAGEIF('Pemetaan Variant'!$A$5:$A$32,$B17,'Pemetaan Variant'!$L$5:$L$32)*100,"n/a"),"n/a")</f>
        <v>n/a</v>
      </c>
      <c r="DP17" s="4" t="str">
        <f t="shared" si="38"/>
        <v>n/a</v>
      </c>
      <c r="DQ17" s="11" t="str">
        <f>IFERROR(AVERAGEIF('Pemetaan Variant'!$A$5:$A$32,$B17,'Pemetaan Variant'!$BC$5:$BC$32),"n/a")</f>
        <v>n/a</v>
      </c>
      <c r="DR17" s="12" t="str">
        <f>IFERROR(IF(ISNUMBER(DQ17),(DQ17-AVERAGEIF('Pemetaan Variant'!$A$5:$A$32,$B17,'Pemetaan Variant'!$L$5:$L$32))/AVERAGEIF('Pemetaan Variant'!$A$5:$A$32,$B17,'Pemetaan Variant'!$L$5:$L$32)*100,"n/a"),"n/a")</f>
        <v>n/a</v>
      </c>
      <c r="DS17" s="4" t="str">
        <f t="shared" si="39"/>
        <v>n/a</v>
      </c>
      <c r="DT17" s="11" t="str">
        <f>IFERROR(AVERAGEIF('Pemetaan Variant'!$A$5:$A$32,$B17,'Pemetaan Variant'!$BD$5:$BD$32),"n/a")</f>
        <v>n/a</v>
      </c>
      <c r="DU17" s="12" t="str">
        <f>IFERROR(IF(ISNUMBER(DT17),(DT17-AVERAGEIF('Pemetaan Variant'!$A$5:$A$32,$B17,'Pemetaan Variant'!$L$5:$L$32))/AVERAGEIF('Pemetaan Variant'!$A$5:$A$32,$B17,'Pemetaan Variant'!$L$5:$L$32)*100,"n/a"),"n/a")</f>
        <v>n/a</v>
      </c>
      <c r="DV17" s="4" t="str">
        <f t="shared" si="40"/>
        <v>n/a</v>
      </c>
      <c r="DW17" s="11" t="str">
        <f>IFERROR(AVERAGEIF('Pemetaan Variant'!$A$5:$A$32,$B17,'Pemetaan Variant'!$BE$5:$BE$32),"n/a")</f>
        <v>n/a</v>
      </c>
      <c r="DX17" s="12" t="str">
        <f>IFERROR(IF(ISNUMBER(DW17),(DW17-AVERAGEIF('Pemetaan Variant'!$A$5:$A$32,$B17,'Pemetaan Variant'!$M$5:$M$32))/AVERAGEIF('Pemetaan Variant'!$A$5:$A$32,$B17,'Pemetaan Variant'!$M$5:$M$32)*100,"n/a"),"n/a")</f>
        <v>n/a</v>
      </c>
      <c r="DY17" s="4" t="str">
        <f t="shared" si="41"/>
        <v>n/a</v>
      </c>
      <c r="DZ17" s="11" t="str">
        <f>IFERROR(AVERAGEIF('Pemetaan Variant'!$A$5:$A$32,$B17,'Pemetaan Variant'!$BF$5:$BF$32),"n/a")</f>
        <v>n/a</v>
      </c>
      <c r="EA17" s="12" t="str">
        <f>IFERROR(IF(ISNUMBER(DZ17),(DZ17-AVERAGEIF('Pemetaan Variant'!$A$5:$A$32,$B17,'Pemetaan Variant'!$M$5:$M$32))/AVERAGEIF('Pemetaan Variant'!$A$5:$A$32,$B17,'Pemetaan Variant'!$M$5:$M$32)*100,"n/a"),"n/a")</f>
        <v>n/a</v>
      </c>
      <c r="EB17" s="4" t="str">
        <f t="shared" si="42"/>
        <v>n/a</v>
      </c>
      <c r="EC17" s="11" t="str">
        <f>IFERROR(AVERAGEIF('Pemetaan Variant'!$A$5:$A$32,$B17,'Pemetaan Variant'!$BG$5:$BG$32),"n/a")</f>
        <v>n/a</v>
      </c>
      <c r="ED17" s="12" t="str">
        <f>IFERROR(IF(ISNUMBER(EC17),(EC17-AVERAGEIF('Pemetaan Variant'!$A$5:$A$32,$B17,'Pemetaan Variant'!$M$5:$M$32))/AVERAGEIF('Pemetaan Variant'!$A$5:$A$32,$B17,'Pemetaan Variant'!$M$5:$M$32)*100,"n/a"),"n/a")</f>
        <v>n/a</v>
      </c>
      <c r="EE17" s="4" t="str">
        <f t="shared" si="43"/>
        <v>n/a</v>
      </c>
      <c r="EF17" s="11" t="str">
        <f>IFERROR(AVERAGEIF('Pemetaan Variant'!$A$5:$A$32,$B17,'Pemetaan Variant'!$BH$5:$BH$32),"n/a")</f>
        <v>n/a</v>
      </c>
      <c r="EG17" s="12" t="str">
        <f>IFERROR(IF(ISNUMBER(EF17),(EF17-AVERAGEIF('Pemetaan Variant'!$A$5:$A$32,$B17,'Pemetaan Variant'!$M$5:$M$32))/AVERAGEIF('Pemetaan Variant'!$A$5:$A$32,$B17,'Pemetaan Variant'!$M$5:$M$32)*100,"n/a"),"n/a")</f>
        <v>n/a</v>
      </c>
      <c r="EH17" s="4" t="str">
        <f t="shared" si="44"/>
        <v>n/a</v>
      </c>
      <c r="EI17" s="11" t="str">
        <f>IFERROR(AVERAGEIF('Pemetaan Variant'!$A$5:$A$32,$B17,'Pemetaan Variant'!$BI$5:$BI$32),"n/a")</f>
        <v>n/a</v>
      </c>
      <c r="EJ17" s="12" t="str">
        <f>IFERROR(IF(ISNUMBER(EI17),(EI17-AVERAGEIF('Pemetaan Variant'!$A$5:$A$32,$B17,'Pemetaan Variant'!$M$5:$M$32))/AVERAGEIF('Pemetaan Variant'!$A$5:$A$32,$B17,'Pemetaan Variant'!$M$5:$M$32)*100,"n/a"),"n/a")</f>
        <v>n/a</v>
      </c>
      <c r="EK17" s="4" t="str">
        <f t="shared" si="45"/>
        <v>n/a</v>
      </c>
      <c r="EL17" s="11" t="str">
        <f>IFERROR(AVERAGEIF('Pemetaan Variant'!$A$5:$A$32,$B17,'Pemetaan Variant'!$BJ$5:$BJ$32),"n/a")</f>
        <v>n/a</v>
      </c>
      <c r="EM17" s="12" t="str">
        <f>IFERROR(IF(ISNUMBER(EL17),(EL17-AVERAGEIF('Pemetaan Variant'!$A$5:$A$32,$B17,'Pemetaan Variant'!$N$5:$N$32))/AVERAGEIF('Pemetaan Variant'!$A$5:$A$32,$B17,'Pemetaan Variant'!$N$5:$N$32)*100,"n/a"),"n/a")</f>
        <v>n/a</v>
      </c>
      <c r="EN17" s="4" t="str">
        <f t="shared" si="46"/>
        <v>n/a</v>
      </c>
      <c r="EO17" s="11" t="str">
        <f>IFERROR(AVERAGEIF('Pemetaan Variant'!$A$5:$A$32,$B17,'Pemetaan Variant'!$BK$5:$BK$32),"n/a")</f>
        <v>n/a</v>
      </c>
      <c r="EP17" s="12" t="str">
        <f>IFERROR(IF(ISNUMBER(EO17),(EO17-AVERAGEIF('Pemetaan Variant'!$A$5:$A$32,$B17,'Pemetaan Variant'!$N$5:$N$32))/AVERAGEIF('Pemetaan Variant'!$A$5:$A$32,$B17,'Pemetaan Variant'!$N$5:$N$32)*100,"n/a"),"n/a")</f>
        <v>n/a</v>
      </c>
      <c r="EQ17" s="4" t="str">
        <f t="shared" si="47"/>
        <v>n/a</v>
      </c>
      <c r="ER17" s="11" t="str">
        <f>IFERROR(AVERAGEIF('Pemetaan Variant'!$A$5:$A$32,$B17,'Pemetaan Variant'!$BL$5:$BL$32),"n/a")</f>
        <v>n/a</v>
      </c>
      <c r="ES17" s="12" t="str">
        <f>IFERROR(IF(ISNUMBER(ER17),(ER17-AVERAGEIF('Pemetaan Variant'!$A$5:$A$32,$B17,'Pemetaan Variant'!$N$5:$N$32))/AVERAGEIF('Pemetaan Variant'!$A$5:$A$32,$B17,'Pemetaan Variant'!$N$5:$N$32)*100,"n/a"),"n/a")</f>
        <v>n/a</v>
      </c>
      <c r="ET17" s="4" t="str">
        <f t="shared" si="48"/>
        <v>n/a</v>
      </c>
      <c r="EU17" s="11" t="str">
        <f>IFERROR(AVERAGEIF('Pemetaan Variant'!$A$5:$A$32,$B17,'Pemetaan Variant'!$BM$5:$BM$32),"n/a")</f>
        <v>n/a</v>
      </c>
      <c r="EV17" s="12" t="str">
        <f>IFERROR(IF(ISNUMBER(EU17),(EU17-AVERAGEIF('Pemetaan Variant'!$A$5:$A$32,$B17,'Pemetaan Variant'!$N$5:$N$32))/AVERAGEIF('Pemetaan Variant'!$A$5:$A$32,$B17,'Pemetaan Variant'!$N$5:$N$32)*100,"n/a"),"n/a")</f>
        <v>n/a</v>
      </c>
      <c r="EW17" s="4" t="str">
        <f t="shared" si="49"/>
        <v>n/a</v>
      </c>
      <c r="EX17" s="11" t="str">
        <f>IFERROR(AVERAGEIF('Pemetaan Variant'!$A$5:$A$32,$B17,'Pemetaan Variant'!$BN$5:$BN$32),"n/a")</f>
        <v>n/a</v>
      </c>
      <c r="EY17" s="12" t="str">
        <f>IFERROR(IF(ISNUMBER(EX17),(EX17-AVERAGEIF('Pemetaan Variant'!$A$5:$A$32,$B17,'Pemetaan Variant'!$O$5:$O$32))/AVERAGEIF('Pemetaan Variant'!$A$5:$A$32,$B17,'Pemetaan Variant'!$O$5:$O$32)*100,"n/a"),"n/a")</f>
        <v>n/a</v>
      </c>
      <c r="EZ17" s="4" t="str">
        <f t="shared" si="50"/>
        <v>n/a</v>
      </c>
      <c r="FA17" s="11" t="str">
        <f>IFERROR(AVERAGEIF('Pemetaan Variant'!$A$5:$A$32,$B17,'Pemetaan Variant'!$BO$5:$BO$32),"n/a")</f>
        <v>n/a</v>
      </c>
      <c r="FB17" s="12" t="str">
        <f>IFERROR(IF(ISNUMBER(FA17),(FA17-AVERAGEIF('Pemetaan Variant'!$A$5:$A$32,$B17,'Pemetaan Variant'!$O$5:$O$32))/AVERAGEIF('Pemetaan Variant'!$A$5:$A$32,$B17,'Pemetaan Variant'!$O$5:$O$32)*100,"n/a"),"n/a")</f>
        <v>n/a</v>
      </c>
      <c r="FC17" s="4" t="str">
        <f t="shared" si="51"/>
        <v>n/a</v>
      </c>
      <c r="FD17" s="11" t="str">
        <f>IFERROR(AVERAGEIF('Pemetaan Variant'!$A$5:$A$32,$B17,'Pemetaan Variant'!$BP$5:$BP$32),"n/a")</f>
        <v>n/a</v>
      </c>
      <c r="FE17" s="12" t="str">
        <f>IFERROR(IF(ISNUMBER(FD17),(FD17-AVERAGEIF('Pemetaan Variant'!$A$5:$A$32,$B17,'Pemetaan Variant'!$O$5:$O$32))/AVERAGEIF('Pemetaan Variant'!$A$5:$A$32,$B17,'Pemetaan Variant'!$O$5:$O$32)*100,"n/a"),"n/a")</f>
        <v>n/a</v>
      </c>
      <c r="FF17" s="4" t="str">
        <f t="shared" si="52"/>
        <v>n/a</v>
      </c>
      <c r="FG17" s="11" t="str">
        <f>IFERROR(AVERAGEIF('Pemetaan Variant'!$A$5:$A$32,$B17,'Pemetaan Variant'!$BQ$5:$BQ$32),"n/a")</f>
        <v>n/a</v>
      </c>
      <c r="FH17" s="12" t="str">
        <f>IFERROR(IF(ISNUMBER(FG17),(FG17-AVERAGEIF('Pemetaan Variant'!$A$5:$A$32,$B17,'Pemetaan Variant'!$O$5:$O$32))/AVERAGEIF('Pemetaan Variant'!$A$5:$A$32,$B17,'Pemetaan Variant'!$O$5:$O$32)*100,"n/a"),"n/a")</f>
        <v>n/a</v>
      </c>
      <c r="FI17" s="4" t="str">
        <f t="shared" si="53"/>
        <v>n/a</v>
      </c>
      <c r="FJ17" s="11" t="str">
        <f>IFERROR(AVERAGEIF('Pemetaan Variant'!$A$5:$A$32,$B17,'Pemetaan Variant'!$BR$5:$BR$32),"n/a")</f>
        <v>n/a</v>
      </c>
      <c r="FK17" s="12" t="str">
        <f>IFERROR(IF(ISNUMBER(FJ17),(FJ17-AVERAGEIF('Pemetaan Variant'!$A$5:$A$32,$B17,'Pemetaan Variant'!$O$5:$O$32))/AVERAGEIF('Pemetaan Variant'!$A$5:$A$32,$B17,'Pemetaan Variant'!$O$5:$O$32)*100,"n/a"),"n/a")</f>
        <v>n/a</v>
      </c>
      <c r="FL17" s="4" t="str">
        <f t="shared" si="54"/>
        <v>n/a</v>
      </c>
      <c r="FM17" s="13" t="s">
        <v>138</v>
      </c>
      <c r="FO17" s="9">
        <f t="shared" si="55"/>
        <v>0</v>
      </c>
      <c r="FP17" s="9">
        <f t="shared" si="56"/>
        <v>0</v>
      </c>
      <c r="FQ17" s="9">
        <f t="shared" si="57"/>
        <v>0</v>
      </c>
      <c r="FR17" s="9">
        <f t="shared" si="58"/>
        <v>0</v>
      </c>
      <c r="FS17" s="9">
        <f t="shared" si="59"/>
        <v>0</v>
      </c>
      <c r="FT17" s="9">
        <f t="shared" si="60"/>
        <v>0</v>
      </c>
      <c r="FU17" s="9">
        <f t="shared" si="61"/>
        <v>0</v>
      </c>
      <c r="FV17" s="9">
        <f t="shared" si="62"/>
        <v>0</v>
      </c>
      <c r="FW17" s="9">
        <f t="shared" si="63"/>
        <v>0</v>
      </c>
      <c r="FX17" s="9">
        <f t="shared" si="64"/>
        <v>0</v>
      </c>
      <c r="FY17" s="9">
        <f t="shared" si="65"/>
        <v>0</v>
      </c>
      <c r="FZ17" s="9">
        <f t="shared" si="66"/>
        <v>0</v>
      </c>
      <c r="GA17" s="9">
        <f t="shared" si="67"/>
        <v>0</v>
      </c>
      <c r="GB17" s="9">
        <f t="shared" si="68"/>
        <v>0</v>
      </c>
      <c r="GC17" s="9">
        <f t="shared" si="69"/>
        <v>0</v>
      </c>
      <c r="GD17" s="9">
        <f t="shared" si="70"/>
        <v>0</v>
      </c>
      <c r="GE17" s="9">
        <f t="shared" si="71"/>
        <v>0</v>
      </c>
      <c r="GF17" s="9">
        <f t="shared" si="72"/>
        <v>0</v>
      </c>
      <c r="GG17" s="9">
        <f t="shared" si="73"/>
        <v>0</v>
      </c>
      <c r="GH17" s="9">
        <f t="shared" si="74"/>
        <v>0</v>
      </c>
      <c r="GI17" s="9">
        <f t="shared" si="75"/>
        <v>0</v>
      </c>
      <c r="GJ17" s="9">
        <f t="shared" si="76"/>
        <v>0</v>
      </c>
      <c r="GK17" s="9">
        <f t="shared" si="77"/>
        <v>0</v>
      </c>
      <c r="GL17" s="9">
        <f t="shared" si="78"/>
        <v>0</v>
      </c>
      <c r="GM17" s="9">
        <f t="shared" si="79"/>
        <v>0</v>
      </c>
      <c r="GN17" s="9">
        <f t="shared" si="80"/>
        <v>0</v>
      </c>
      <c r="GO17" s="9">
        <f t="shared" si="81"/>
        <v>0</v>
      </c>
      <c r="GP17" s="9">
        <f t="shared" si="82"/>
        <v>0</v>
      </c>
      <c r="GQ17" s="9">
        <f t="shared" si="83"/>
        <v>0</v>
      </c>
      <c r="GR17" s="9">
        <f t="shared" si="84"/>
        <v>0</v>
      </c>
      <c r="GS17" s="9">
        <f t="shared" si="85"/>
        <v>0</v>
      </c>
      <c r="GT17" s="9">
        <f t="shared" si="86"/>
        <v>0</v>
      </c>
      <c r="GU17" s="9">
        <f t="shared" si="87"/>
        <v>0</v>
      </c>
      <c r="GV17" s="9">
        <f t="shared" si="88"/>
        <v>21.946420178649401</v>
      </c>
      <c r="GW17" s="9">
        <f t="shared" si="89"/>
        <v>21.946420178649401</v>
      </c>
      <c r="GX17" s="9">
        <f t="shared" si="90"/>
        <v>21.946420178649401</v>
      </c>
      <c r="GY17" s="9">
        <f t="shared" si="91"/>
        <v>21.946420178649401</v>
      </c>
      <c r="GZ17" s="9">
        <f t="shared" si="92"/>
        <v>0</v>
      </c>
      <c r="HA17" s="9">
        <f t="shared" si="93"/>
        <v>0</v>
      </c>
      <c r="HB17" s="9">
        <f t="shared" si="94"/>
        <v>0</v>
      </c>
      <c r="HC17" s="9">
        <f t="shared" si="95"/>
        <v>0</v>
      </c>
      <c r="HD17" s="9">
        <f t="shared" si="96"/>
        <v>0</v>
      </c>
      <c r="HE17" s="9">
        <f t="shared" si="97"/>
        <v>0</v>
      </c>
      <c r="HF17" s="9">
        <f t="shared" si="98"/>
        <v>0</v>
      </c>
      <c r="HG17" s="9">
        <f t="shared" si="99"/>
        <v>0</v>
      </c>
      <c r="HH17" s="9">
        <f t="shared" si="100"/>
        <v>0</v>
      </c>
      <c r="HI17" s="9">
        <f t="shared" si="101"/>
        <v>0</v>
      </c>
      <c r="HJ17" s="9">
        <f t="shared" si="102"/>
        <v>0</v>
      </c>
      <c r="HK17" s="9">
        <f t="shared" si="103"/>
        <v>0</v>
      </c>
      <c r="HL17" s="9">
        <f t="shared" si="104"/>
        <v>0</v>
      </c>
      <c r="HM17" s="9">
        <f t="shared" si="105"/>
        <v>0</v>
      </c>
      <c r="HN17" s="9">
        <f t="shared" si="106"/>
        <v>0</v>
      </c>
      <c r="HO17" s="9">
        <f t="shared" si="107"/>
        <v>0</v>
      </c>
      <c r="HP17" s="9">
        <f t="shared" si="108"/>
        <v>0</v>
      </c>
      <c r="HQ17" s="9">
        <f t="shared" si="109"/>
        <v>0</v>
      </c>
    </row>
    <row r="18" spans="1:225" x14ac:dyDescent="0.35">
      <c r="A18" s="3">
        <v>13</v>
      </c>
      <c r="B18" s="3" t="s">
        <v>139</v>
      </c>
      <c r="C18" s="10">
        <f>'P0Q0 Dasar 2022'!F17</f>
        <v>1.94434650422287E-2</v>
      </c>
      <c r="D18" s="11">
        <f>IFERROR(AVERAGEIF('Pemetaan Variant'!$A$5:$A$32,$B18,'Pemetaan Variant'!$P$5:$P$32),"n/a")</f>
        <v>24000</v>
      </c>
      <c r="E18" s="12">
        <f>IFERROR(IF(ISNUMBER(D18),(D18-AVERAGEIF('Pemetaan Variant'!$A$5:$A$32,$B18,'Pemetaan Variant'!$D$5:$D$32))/AVERAGEIF('Pemetaan Variant'!$A$5:$A$32,$B18,'Pemetaan Variant'!$D$5:$D$32)*100,"n/a"),"n/a")</f>
        <v>-12.727272727272727</v>
      </c>
      <c r="F18" s="4">
        <f t="shared" si="0"/>
        <v>-0.247462282355638</v>
      </c>
      <c r="G18" s="11">
        <f>IFERROR(AVERAGEIF('Pemetaan Variant'!$A$5:$A$32,$B18,'Pemetaan Variant'!$Q$5:$Q$32),"n/a")</f>
        <v>24000</v>
      </c>
      <c r="H18" s="12">
        <f>IFERROR(IF(ISNUMBER(G18),(G18-AVERAGEIF('Pemetaan Variant'!$A$5:$A$32,$B18,'Pemetaan Variant'!$D$5:$D$32))/AVERAGEIF('Pemetaan Variant'!$A$5:$A$32,$B18,'Pemetaan Variant'!$D$5:$D$32)*100,"n/a"),"n/a")</f>
        <v>-12.727272727272727</v>
      </c>
      <c r="I18" s="4">
        <f t="shared" si="1"/>
        <v>-0.247462282355638</v>
      </c>
      <c r="J18" s="11">
        <f>IFERROR(AVERAGEIF('Pemetaan Variant'!$A$5:$A$32,$B18,'Pemetaan Variant'!$R$5:$R$32),"n/a")</f>
        <v>24000</v>
      </c>
      <c r="K18" s="12">
        <f>IFERROR(IF(ISNUMBER(J18),(J18-AVERAGEIF('Pemetaan Variant'!$A$5:$A$32,$B18,'Pemetaan Variant'!$D$5:$D$32))/AVERAGEIF('Pemetaan Variant'!$A$5:$A$32,$B18,'Pemetaan Variant'!$D$5:$D$32)*100,"n/a"),"n/a")</f>
        <v>-12.727272727272727</v>
      </c>
      <c r="L18" s="4">
        <f t="shared" si="2"/>
        <v>-0.247462282355638</v>
      </c>
      <c r="M18" s="11">
        <f>IFERROR(AVERAGEIF('Pemetaan Variant'!$A$5:$A$32,$B18,'Pemetaan Variant'!$S$5:$S$32),"n/a")</f>
        <v>23000</v>
      </c>
      <c r="N18" s="12">
        <f>IFERROR(IF(ISNUMBER(M18),(M18-AVERAGEIF('Pemetaan Variant'!$A$5:$A$32,$B18,'Pemetaan Variant'!$D$5:$D$32))/AVERAGEIF('Pemetaan Variant'!$A$5:$A$32,$B18,'Pemetaan Variant'!$D$5:$D$32)*100,"n/a"),"n/a")</f>
        <v>-16.363636363636363</v>
      </c>
      <c r="O18" s="4">
        <f t="shared" si="3"/>
        <v>-0.318165791600106</v>
      </c>
      <c r="P18" s="11">
        <f>IFERROR(AVERAGEIF('Pemetaan Variant'!$A$5:$A$32,$B18,'Pemetaan Variant'!$T$5:$T$32),"n/a")</f>
        <v>23000</v>
      </c>
      <c r="Q18" s="12">
        <f>IFERROR(IF(ISNUMBER(P18),(P18-AVERAGEIF('Pemetaan Variant'!$A$5:$A$32,$B18,'Pemetaan Variant'!$D$5:$D$32))/AVERAGEIF('Pemetaan Variant'!$A$5:$A$32,$B18,'Pemetaan Variant'!$D$5:$D$32)*100,"n/a"),"n/a")</f>
        <v>-16.363636363636363</v>
      </c>
      <c r="R18" s="4">
        <f t="shared" si="4"/>
        <v>-0.318165791600106</v>
      </c>
      <c r="S18" s="11">
        <f>IFERROR(AVERAGEIF('Pemetaan Variant'!$A$5:$A$32,$B18,'Pemetaan Variant'!$U$5:$U$32),"n/a")</f>
        <v>23150</v>
      </c>
      <c r="T18" s="12">
        <f>IFERROR(IF(ISNUMBER(S18),(S18-AVERAGEIF('Pemetaan Variant'!$A$5:$A$32,$B18,'Pemetaan Variant'!$E$5:$E$32))/AVERAGEIF('Pemetaan Variant'!$A$5:$A$32,$B18,'Pemetaan Variant'!$E$5:$E$32)*100,"n/a"),"n/a")</f>
        <v>-2.0378619153674786</v>
      </c>
      <c r="U18" s="4">
        <f t="shared" si="5"/>
        <v>-3.9623096912336793E-2</v>
      </c>
      <c r="V18" s="11">
        <f>IFERROR(AVERAGEIF('Pemetaan Variant'!$A$5:$A$32,$B18,'Pemetaan Variant'!$V$5:$V$32),"n/a")</f>
        <v>24000</v>
      </c>
      <c r="W18" s="12">
        <f>IFERROR(IF(ISNUMBER(V18),(V18-AVERAGEIF('Pemetaan Variant'!$A$5:$A$32,$B18,'Pemetaan Variant'!$E$5:$E$32))/AVERAGEIF('Pemetaan Variant'!$A$5:$A$32,$B18,'Pemetaan Variant'!$E$5:$E$32)*100,"n/a"),"n/a")</f>
        <v>1.5590200445434348</v>
      </c>
      <c r="X18" s="4">
        <f t="shared" si="6"/>
        <v>3.0312751736214106E-2</v>
      </c>
      <c r="Y18" s="11">
        <f>IFERROR(AVERAGEIF('Pemetaan Variant'!$A$5:$A$32,$B18,'Pemetaan Variant'!$W$5:$W$32),"n/a")</f>
        <v>24000</v>
      </c>
      <c r="Z18" s="12">
        <f>IFERROR(IF(ISNUMBER(Y18),(Y18-AVERAGEIF('Pemetaan Variant'!$A$5:$A$32,$B18,'Pemetaan Variant'!$E$5:$E$32))/AVERAGEIF('Pemetaan Variant'!$A$5:$A$32,$B18,'Pemetaan Variant'!$E$5:$E$32)*100,"n/a"),"n/a")</f>
        <v>1.5590200445434348</v>
      </c>
      <c r="AA18" s="4">
        <f t="shared" si="7"/>
        <v>3.0312751736214106E-2</v>
      </c>
      <c r="AB18" s="11">
        <f>IFERROR(AVERAGEIF('Pemetaan Variant'!$A$5:$A$32,$B18,'Pemetaan Variant'!$X$5:$X$32),"n/a")</f>
        <v>24000</v>
      </c>
      <c r="AC18" s="12">
        <f>IFERROR(IF(ISNUMBER(AB18),(AB18-AVERAGEIF('Pemetaan Variant'!$A$5:$A$32,$B18,'Pemetaan Variant'!$E$5:$E$32))/AVERAGEIF('Pemetaan Variant'!$A$5:$A$32,$B18,'Pemetaan Variant'!$E$5:$E$32)*100,"n/a"),"n/a")</f>
        <v>1.5590200445434348</v>
      </c>
      <c r="AD18" s="4">
        <f t="shared" si="8"/>
        <v>3.0312751736214106E-2</v>
      </c>
      <c r="AE18" s="11">
        <f>IFERROR(AVERAGEIF('Pemetaan Variant'!$A$5:$A$32,$B18,'Pemetaan Variant'!$Y$5:$Y$32),"n/a")</f>
        <v>24000</v>
      </c>
      <c r="AF18" s="12">
        <f>IFERROR(IF(ISNUMBER(AE18),(AE18-AVERAGEIF('Pemetaan Variant'!$A$5:$A$32,$B18,'Pemetaan Variant'!$F$5:$F$32))/AVERAGEIF('Pemetaan Variant'!$A$5:$A$32,$B18,'Pemetaan Variant'!$F$5:$F$32)*100,"n/a"),"n/a")</f>
        <v>0.94078583287216777</v>
      </c>
      <c r="AG18" s="4">
        <f t="shared" si="9"/>
        <v>1.8292136453674005E-2</v>
      </c>
      <c r="AH18" s="11">
        <f>IFERROR(AVERAGEIF('Pemetaan Variant'!$A$5:$A$32,$B18,'Pemetaan Variant'!$Z$5:$Z$32),"n/a")</f>
        <v>24000</v>
      </c>
      <c r="AI18" s="12">
        <f>IFERROR(IF(ISNUMBER(AH18),(AH18-AVERAGEIF('Pemetaan Variant'!$A$5:$A$32,$B18,'Pemetaan Variant'!$F$5:$F$32))/AVERAGEIF('Pemetaan Variant'!$A$5:$A$32,$B18,'Pemetaan Variant'!$F$5:$F$32)*100,"n/a"),"n/a")</f>
        <v>0.94078583287216777</v>
      </c>
      <c r="AJ18" s="4">
        <f t="shared" si="10"/>
        <v>1.8292136453674005E-2</v>
      </c>
      <c r="AK18" s="11">
        <f>IFERROR(AVERAGEIF('Pemetaan Variant'!$A$5:$A$32,$B18,'Pemetaan Variant'!$AA$5:$AA$32),"n/a")</f>
        <v>25200</v>
      </c>
      <c r="AL18" s="12">
        <f>IFERROR(IF(ISNUMBER(AK18),(AK18-AVERAGEIF('Pemetaan Variant'!$A$5:$A$32,$B18,'Pemetaan Variant'!$F$5:$F$32))/AVERAGEIF('Pemetaan Variant'!$A$5:$A$32,$B18,'Pemetaan Variant'!$F$5:$F$32)*100,"n/a"),"n/a")</f>
        <v>5.9878251245157763</v>
      </c>
      <c r="AM18" s="4">
        <f t="shared" si="11"/>
        <v>0.11642406848750121</v>
      </c>
      <c r="AN18" s="11">
        <f>IFERROR(AVERAGEIF('Pemetaan Variant'!$A$5:$A$32,$B18,'Pemetaan Variant'!$AB$5:$AB$32),"n/a")</f>
        <v>27000</v>
      </c>
      <c r="AO18" s="12">
        <f>IFERROR(IF(ISNUMBER(AN18),(AN18-AVERAGEIF('Pemetaan Variant'!$A$5:$A$32,$B18,'Pemetaan Variant'!$F$5:$F$32))/AVERAGEIF('Pemetaan Variant'!$A$5:$A$32,$B18,'Pemetaan Variant'!$F$5:$F$32)*100,"n/a"),"n/a")</f>
        <v>13.558384061981188</v>
      </c>
      <c r="AP18" s="4">
        <f t="shared" si="12"/>
        <v>0.26362196653824199</v>
      </c>
      <c r="AQ18" s="11" t="str">
        <f>IFERROR(AVERAGEIF('Pemetaan Variant'!$A$5:$A$32,$B18,'Pemetaan Variant'!$AC$5:$AC$32),"n/a")</f>
        <v>n/a</v>
      </c>
      <c r="AR18" s="12" t="str">
        <f>IFERROR(IF(ISNUMBER(AQ18),(AQ18-AVERAGEIF('Pemetaan Variant'!$A$5:$A$32,$B18,'Pemetaan Variant'!$F$5:$F$32))/AVERAGEIF('Pemetaan Variant'!$A$5:$A$32,$B18,'Pemetaan Variant'!$F$5:$F$32)*100,"n/a"),"n/a")</f>
        <v>n/a</v>
      </c>
      <c r="AS18" s="4" t="str">
        <f t="shared" si="13"/>
        <v>n/a</v>
      </c>
      <c r="AT18" s="11" t="str">
        <f>IFERROR(AVERAGEIF('Pemetaan Variant'!$A$5:$A$32,$B18,'Pemetaan Variant'!$AD$5:$AD$32),"n/a")</f>
        <v>n/a</v>
      </c>
      <c r="AU18" s="12" t="str">
        <f>IFERROR(IF(ISNUMBER(AT18),(AT18-AVERAGEIF('Pemetaan Variant'!$A$5:$A$32,$B18,'Pemetaan Variant'!$G$5:$G$32))/AVERAGEIF('Pemetaan Variant'!$A$5:$A$32,$B18,'Pemetaan Variant'!$G$5:$G$32)*100,"n/a"),"n/a")</f>
        <v>n/a</v>
      </c>
      <c r="AV18" s="4" t="str">
        <f t="shared" si="14"/>
        <v>n/a</v>
      </c>
      <c r="AW18" s="11">
        <f>IFERROR(AVERAGEIF('Pemetaan Variant'!$A$5:$A$32,$B18,'Pemetaan Variant'!$AE$5:$AE$32),"n/a")</f>
        <v>35000</v>
      </c>
      <c r="AX18" s="12">
        <f>IFERROR(IF(ISNUMBER(AW18),(AW18-AVERAGEIF('Pemetaan Variant'!$A$5:$A$32,$B18,'Pemetaan Variant'!$G$5:$G$32))/AVERAGEIF('Pemetaan Variant'!$A$5:$A$32,$B18,'Pemetaan Variant'!$G$5:$G$32)*100,"n/a"),"n/a")</f>
        <v>40.295358649789037</v>
      </c>
      <c r="AY18" s="4">
        <f t="shared" si="15"/>
        <v>0.783481397271241</v>
      </c>
      <c r="AZ18" s="11">
        <f>IFERROR(AVERAGEIF('Pemetaan Variant'!$A$5:$A$32,$B18,'Pemetaan Variant'!$AF$5:$AF$32),"n/a")</f>
        <v>35000</v>
      </c>
      <c r="BA18" s="12">
        <f>IFERROR(IF(ISNUMBER(AZ18),(AZ18-AVERAGEIF('Pemetaan Variant'!$A$5:$A$32,$B18,'Pemetaan Variant'!$G$5:$G$32))/AVERAGEIF('Pemetaan Variant'!$A$5:$A$32,$B18,'Pemetaan Variant'!$G$5:$G$32)*100,"n/a"),"n/a")</f>
        <v>40.295358649789037</v>
      </c>
      <c r="BB18" s="4">
        <f t="shared" si="16"/>
        <v>0.783481397271241</v>
      </c>
      <c r="BC18" s="11">
        <f>IFERROR(AVERAGEIF('Pemetaan Variant'!$A$5:$A$32,$B18,'Pemetaan Variant'!$AG$5:$AG$32),"n/a")</f>
        <v>34600</v>
      </c>
      <c r="BD18" s="12">
        <f>IFERROR(IF(ISNUMBER(BC18),(BC18-AVERAGEIF('Pemetaan Variant'!$A$5:$A$32,$B18,'Pemetaan Variant'!$G$5:$G$32))/AVERAGEIF('Pemetaan Variant'!$A$5:$A$32,$B18,'Pemetaan Variant'!$G$5:$G$32)*100,"n/a"),"n/a")</f>
        <v>38.691983122362878</v>
      </c>
      <c r="BE18" s="4">
        <f t="shared" si="17"/>
        <v>0.75230622125416546</v>
      </c>
      <c r="BF18" s="11">
        <f>IFERROR(AVERAGEIF('Pemetaan Variant'!$A$5:$A$32,$B18,'Pemetaan Variant'!$AH$5:$AH$32),"n/a")</f>
        <v>29333.333333333332</v>
      </c>
      <c r="BG18" s="12">
        <f>IFERROR(IF(ISNUMBER(BF18),(BF18-AVERAGEIF('Pemetaan Variant'!$A$5:$A$32,$B18,'Pemetaan Variant'!$G$5:$G$32))/AVERAGEIF('Pemetaan Variant'!$A$5:$A$32,$B18,'Pemetaan Variant'!$G$5:$G$32)*100,"n/a"),"n/a")</f>
        <v>17.58087201125176</v>
      </c>
      <c r="BH18" s="4">
        <f t="shared" si="18"/>
        <v>0.34183307036267058</v>
      </c>
      <c r="BI18" s="11">
        <f>IFERROR(AVERAGEIF('Pemetaan Variant'!$A$5:$A$32,$B18,'Pemetaan Variant'!$AI$5:$AI$32),"n/a")</f>
        <v>29000</v>
      </c>
      <c r="BJ18" s="12">
        <f>IFERROR(IF(ISNUMBER(BI18),(BI18-AVERAGEIF('Pemetaan Variant'!$A$5:$A$32,$B18,'Pemetaan Variant'!$H$5:$H$32))/AVERAGEIF('Pemetaan Variant'!$A$5:$A$32,$B18,'Pemetaan Variant'!$H$5:$H$32)*100,"n/a"),"n/a")</f>
        <v>-14.232902033271719</v>
      </c>
      <c r="BK18" s="4">
        <f t="shared" si="19"/>
        <v>-0.27673693313338443</v>
      </c>
      <c r="BL18" s="11">
        <f>IFERROR(AVERAGEIF('Pemetaan Variant'!$A$5:$A$32,$B18,'Pemetaan Variant'!$AJ$5:$AJ$32),"n/a")</f>
        <v>29400</v>
      </c>
      <c r="BM18" s="12">
        <f>IFERROR(IF(ISNUMBER(BL18),(BL18-AVERAGEIF('Pemetaan Variant'!$A$5:$A$32,$B18,'Pemetaan Variant'!$H$5:$H$32))/AVERAGEIF('Pemetaan Variant'!$A$5:$A$32,$B18,'Pemetaan Variant'!$H$5:$H$32)*100,"n/a"),"n/a")</f>
        <v>-13.049907578558226</v>
      </c>
      <c r="BN18" s="4">
        <f t="shared" si="20"/>
        <v>-0.25373542180801223</v>
      </c>
      <c r="BO18" s="11">
        <f>IFERROR(AVERAGEIF('Pemetaan Variant'!$A$5:$A$32,$B18,'Pemetaan Variant'!$AK$5:$AK$32),"n/a")</f>
        <v>30000</v>
      </c>
      <c r="BP18" s="12">
        <f>IFERROR(IF(ISNUMBER(BO18),(BO18-AVERAGEIF('Pemetaan Variant'!$A$5:$A$32,$B18,'Pemetaan Variant'!$H$5:$H$32))/AVERAGEIF('Pemetaan Variant'!$A$5:$A$32,$B18,'Pemetaan Variant'!$H$5:$H$32)*100,"n/a"),"n/a")</f>
        <v>-11.275415896487985</v>
      </c>
      <c r="BQ18" s="4">
        <f t="shared" si="21"/>
        <v>-0.21923315481995392</v>
      </c>
      <c r="BR18" s="11">
        <f>IFERROR(AVERAGEIF('Pemetaan Variant'!$A$5:$A$32,$B18,'Pemetaan Variant'!$AL$5:$AL$32),"n/a")</f>
        <v>30000</v>
      </c>
      <c r="BS18" s="12">
        <f>IFERROR(IF(ISNUMBER(BR18),(BR18-AVERAGEIF('Pemetaan Variant'!$A$5:$A$32,$B18,'Pemetaan Variant'!$H$5:$H$32))/AVERAGEIF('Pemetaan Variant'!$A$5:$A$32,$B18,'Pemetaan Variant'!$H$5:$H$32)*100,"n/a"),"n/a")</f>
        <v>-11.275415896487985</v>
      </c>
      <c r="BT18" s="4">
        <f t="shared" si="22"/>
        <v>-0.21923315481995392</v>
      </c>
      <c r="BU18" s="11">
        <f>IFERROR(AVERAGEIF('Pemetaan Variant'!$A$5:$A$32,$B18,'Pemetaan Variant'!$AM$5:$AM$32),"n/a")</f>
        <v>28666.666666666668</v>
      </c>
      <c r="BV18" s="12">
        <f>IFERROR(IF(ISNUMBER(BU18),(BU18-AVERAGEIF('Pemetaan Variant'!$A$5:$A$32,$B18,'Pemetaan Variant'!$H$5:$H$32))/AVERAGEIF('Pemetaan Variant'!$A$5:$A$32,$B18,'Pemetaan Variant'!$H$5:$H$32)*100,"n/a"),"n/a")</f>
        <v>-15.218730745532961</v>
      </c>
      <c r="BW18" s="4">
        <f t="shared" si="23"/>
        <v>-0.29590485923786125</v>
      </c>
      <c r="BX18" s="11">
        <f>IFERROR(AVERAGEIF('Pemetaan Variant'!$A$5:$A$32,$B18,'Pemetaan Variant'!$AN$5:$AN$32),"n/a")</f>
        <v>32750</v>
      </c>
      <c r="BY18" s="12">
        <f>IFERROR(IF(ISNUMBER(BX18),(BX18-AVERAGEIF('Pemetaan Variant'!$A$5:$A$32,$B18,'Pemetaan Variant'!$I$5:$I$32))/AVERAGEIF('Pemetaan Variant'!$A$5:$A$32,$B18,'Pemetaan Variant'!$I$5:$I$32)*100,"n/a"),"n/a")</f>
        <v>10.906374501992037</v>
      </c>
      <c r="BZ18" s="4">
        <f t="shared" si="24"/>
        <v>0.2120577113669366</v>
      </c>
      <c r="CA18" s="11">
        <f>IFERROR(AVERAGEIF('Pemetaan Variant'!$A$5:$A$32,$B18,'Pemetaan Variant'!$AO$5:$AO$32),"n/a")</f>
        <v>27500</v>
      </c>
      <c r="CB18" s="12">
        <f>IFERROR(IF(ISNUMBER(CA18),(CA18-AVERAGEIF('Pemetaan Variant'!$A$5:$A$32,$B18,'Pemetaan Variant'!$I$5:$I$32))/AVERAGEIF('Pemetaan Variant'!$A$5:$A$32,$B18,'Pemetaan Variant'!$I$5:$I$32)*100,"n/a"),"n/a")</f>
        <v>-6.8725099601593582</v>
      </c>
      <c r="CC18" s="4">
        <f t="shared" si="25"/>
        <v>-0.13362540716272703</v>
      </c>
      <c r="CD18" s="11">
        <f>IFERROR(AVERAGEIF('Pemetaan Variant'!$A$5:$A$32,$B18,'Pemetaan Variant'!$AP$5:$AP$32),"n/a")</f>
        <v>21200</v>
      </c>
      <c r="CE18" s="12">
        <f>IFERROR(IF(ISNUMBER(CD18),(CD18-AVERAGEIF('Pemetaan Variant'!$A$5:$A$32,$B18,'Pemetaan Variant'!$I$5:$I$32))/AVERAGEIF('Pemetaan Variant'!$A$5:$A$32,$B18,'Pemetaan Variant'!$I$5:$I$32)*100,"n/a"),"n/a")</f>
        <v>-28.207171314741032</v>
      </c>
      <c r="CF18" s="4">
        <f t="shared" si="26"/>
        <v>-0.54844514939832345</v>
      </c>
      <c r="CG18" s="11">
        <f>IFERROR(AVERAGEIF('Pemetaan Variant'!$A$5:$A$32,$B18,'Pemetaan Variant'!$AQ$5:$AQ$32),"n/a")</f>
        <v>22000</v>
      </c>
      <c r="CH18" s="12">
        <f>IFERROR(IF(ISNUMBER(CG18),(CG18-AVERAGEIF('Pemetaan Variant'!$A$5:$A$32,$B18,'Pemetaan Variant'!$I$5:$I$32))/AVERAGEIF('Pemetaan Variant'!$A$5:$A$32,$B18,'Pemetaan Variant'!$I$5:$I$32)*100,"n/a"),"n/a")</f>
        <v>-25.498007968127485</v>
      </c>
      <c r="CI18" s="4">
        <f t="shared" si="27"/>
        <v>-0.4957696265747556</v>
      </c>
      <c r="CJ18" s="11">
        <f>IFERROR(AVERAGEIF('Pemetaan Variant'!$A$5:$A$32,$B18,'Pemetaan Variant'!$AR$5:$AR$32),"n/a")</f>
        <v>22500</v>
      </c>
      <c r="CK18" s="12">
        <f>IFERROR(IF(ISNUMBER(CJ18),(CJ18-AVERAGEIF('Pemetaan Variant'!$A$5:$A$32,$B18,'Pemetaan Variant'!$J$5:$J$32))/AVERAGEIF('Pemetaan Variant'!$A$5:$A$32,$B18,'Pemetaan Variant'!$J$5:$J$32)*100,"n/a"),"n/a")</f>
        <v>-12.068965517241379</v>
      </c>
      <c r="CL18" s="4">
        <f t="shared" si="28"/>
        <v>-0.23466250913034636</v>
      </c>
      <c r="CM18" s="11">
        <f>IFERROR(AVERAGEIF('Pemetaan Variant'!$A$5:$A$32,$B18,'Pemetaan Variant'!$AS$5:$AS$32),"n/a")</f>
        <v>26600</v>
      </c>
      <c r="CN18" s="12">
        <f>IFERROR(IF(ISNUMBER(CM18),(CM18-AVERAGEIF('Pemetaan Variant'!$A$5:$A$32,$B18,'Pemetaan Variant'!$J$5:$J$32))/AVERAGEIF('Pemetaan Variant'!$A$5:$A$32,$B18,'Pemetaan Variant'!$J$5:$J$32)*100,"n/a"),"n/a")</f>
        <v>3.9540229885057481</v>
      </c>
      <c r="CO18" s="4">
        <f t="shared" si="29"/>
        <v>7.6879907753180168E-2</v>
      </c>
      <c r="CP18" s="11">
        <f>IFERROR(AVERAGEIF('Pemetaan Variant'!$A$5:$A$32,$B18,'Pemetaan Variant'!$AT$5:$AT$32),"n/a")</f>
        <v>26200</v>
      </c>
      <c r="CQ18" s="12">
        <f>IFERROR(IF(ISNUMBER(CP18),(CP18-AVERAGEIF('Pemetaan Variant'!$A$5:$A$32,$B18,'Pemetaan Variant'!$J$5:$J$32))/AVERAGEIF('Pemetaan Variant'!$A$5:$A$32,$B18,'Pemetaan Variant'!$J$5:$J$32)*100,"n/a"),"n/a")</f>
        <v>2.3908045977011501</v>
      </c>
      <c r="CR18" s="4">
        <f t="shared" si="30"/>
        <v>4.6485525618201962E-2</v>
      </c>
      <c r="CS18" s="11">
        <f>IFERROR(AVERAGEIF('Pemetaan Variant'!$A$5:$A$32,$B18,'Pemetaan Variant'!$AU$5:$AU$32),"n/a")</f>
        <v>28000</v>
      </c>
      <c r="CT18" s="12">
        <f>IFERROR(IF(ISNUMBER(CS18),(CS18-AVERAGEIF('Pemetaan Variant'!$A$5:$A$32,$B18,'Pemetaan Variant'!$J$5:$J$32))/AVERAGEIF('Pemetaan Variant'!$A$5:$A$32,$B18,'Pemetaan Variant'!$J$5:$J$32)*100,"n/a"),"n/a")</f>
        <v>9.4252873563218404</v>
      </c>
      <c r="CU18" s="4">
        <f t="shared" si="31"/>
        <v>0.18326024522560386</v>
      </c>
      <c r="CV18" s="11">
        <f>IFERROR(AVERAGEIF('Pemetaan Variant'!$A$5:$A$32,$B18,'Pemetaan Variant'!$AV$5:$AV$32),"n/a")</f>
        <v>28000</v>
      </c>
      <c r="CW18" s="12">
        <f>IFERROR(IF(ISNUMBER(CV18),(CV18-AVERAGEIF('Pemetaan Variant'!$A$5:$A$32,$B18,'Pemetaan Variant'!$J$5:$J$32))/AVERAGEIF('Pemetaan Variant'!$A$5:$A$32,$B18,'Pemetaan Variant'!$J$5:$J$32)*100,"n/a"),"n/a")</f>
        <v>9.4252873563218404</v>
      </c>
      <c r="CX18" s="4">
        <f t="shared" si="32"/>
        <v>0.18326024522560386</v>
      </c>
      <c r="CY18" s="11">
        <f>IFERROR(AVERAGEIF('Pemetaan Variant'!$A$5:$A$32,$B18,'Pemetaan Variant'!$AW$5:$AW$32),"n/a")</f>
        <v>0</v>
      </c>
      <c r="CZ18" s="12">
        <f>IFERROR(IF(ISNUMBER(CY18),(CY18-AVERAGEIF('Pemetaan Variant'!$A$5:$A$32,$B18,'Pemetaan Variant'!$K$5:$K$32))/AVERAGEIF('Pemetaan Variant'!$A$5:$A$32,$B18,'Pemetaan Variant'!$K$5:$K$32)*100,"n/a"),"n/a")</f>
        <v>-100</v>
      </c>
      <c r="DA18" s="4">
        <f t="shared" si="33"/>
        <v>-1.94434650422287</v>
      </c>
      <c r="DB18" s="11">
        <f>IFERROR(AVERAGEIF('Pemetaan Variant'!$A$5:$A$32,$B18,'Pemetaan Variant'!$AX$5:$AX$32),"n/a")</f>
        <v>0</v>
      </c>
      <c r="DC18" s="12">
        <f>IFERROR(IF(ISNUMBER(DB18),(DB18-AVERAGEIF('Pemetaan Variant'!$A$5:$A$32,$B18,'Pemetaan Variant'!$K$5:$K$32))/AVERAGEIF('Pemetaan Variant'!$A$5:$A$32,$B18,'Pemetaan Variant'!$K$5:$K$32)*100,"n/a"),"n/a")</f>
        <v>-100</v>
      </c>
      <c r="DD18" s="4">
        <f t="shared" si="34"/>
        <v>-1.94434650422287</v>
      </c>
      <c r="DE18" s="11">
        <f>IFERROR(AVERAGEIF('Pemetaan Variant'!$A$5:$A$32,$B18,'Pemetaan Variant'!$AY$5:$AY$32),"n/a")</f>
        <v>0</v>
      </c>
      <c r="DF18" s="12">
        <f>IFERROR(IF(ISNUMBER(DE18),(DE18-AVERAGEIF('Pemetaan Variant'!$A$5:$A$32,$B18,'Pemetaan Variant'!$K$5:$K$32))/AVERAGEIF('Pemetaan Variant'!$A$5:$A$32,$B18,'Pemetaan Variant'!$K$5:$K$32)*100,"n/a"),"n/a")</f>
        <v>-100</v>
      </c>
      <c r="DG18" s="4">
        <f t="shared" si="35"/>
        <v>-1.94434650422287</v>
      </c>
      <c r="DH18" s="11">
        <f>IFERROR(AVERAGEIF('Pemetaan Variant'!$A$5:$A$32,$B18,'Pemetaan Variant'!$AZ$5:$AZ$32),"n/a")</f>
        <v>0</v>
      </c>
      <c r="DI18" s="12">
        <f>IFERROR(IF(ISNUMBER(DH18),(DH18-AVERAGEIF('Pemetaan Variant'!$A$5:$A$32,$B18,'Pemetaan Variant'!$K$5:$K$32))/AVERAGEIF('Pemetaan Variant'!$A$5:$A$32,$B18,'Pemetaan Variant'!$K$5:$K$32)*100,"n/a"),"n/a")</f>
        <v>-100</v>
      </c>
      <c r="DJ18" s="4">
        <f t="shared" si="36"/>
        <v>-1.94434650422287</v>
      </c>
      <c r="DK18" s="11" t="str">
        <f>IFERROR(AVERAGEIF('Pemetaan Variant'!$A$5:$A$32,$B18,'Pemetaan Variant'!$BA$5:$BA$32),"n/a")</f>
        <v>n/a</v>
      </c>
      <c r="DL18" s="12" t="str">
        <f>IFERROR(IF(ISNUMBER(DK18),(DK18-AVERAGEIF('Pemetaan Variant'!$A$5:$A$32,$B18,'Pemetaan Variant'!$L$5:$L$32))/AVERAGEIF('Pemetaan Variant'!$A$5:$A$32,$B18,'Pemetaan Variant'!$L$5:$L$32)*100,"n/a"),"n/a")</f>
        <v>n/a</v>
      </c>
      <c r="DM18" s="4" t="str">
        <f t="shared" si="37"/>
        <v>n/a</v>
      </c>
      <c r="DN18" s="11" t="str">
        <f>IFERROR(AVERAGEIF('Pemetaan Variant'!$A$5:$A$32,$B18,'Pemetaan Variant'!$BB$5:$BB$32),"n/a")</f>
        <v>n/a</v>
      </c>
      <c r="DO18" s="12" t="str">
        <f>IFERROR(IF(ISNUMBER(DN18),(DN18-AVERAGEIF('Pemetaan Variant'!$A$5:$A$32,$B18,'Pemetaan Variant'!$L$5:$L$32))/AVERAGEIF('Pemetaan Variant'!$A$5:$A$32,$B18,'Pemetaan Variant'!$L$5:$L$32)*100,"n/a"),"n/a")</f>
        <v>n/a</v>
      </c>
      <c r="DP18" s="4" t="str">
        <f t="shared" si="38"/>
        <v>n/a</v>
      </c>
      <c r="DQ18" s="11" t="str">
        <f>IFERROR(AVERAGEIF('Pemetaan Variant'!$A$5:$A$32,$B18,'Pemetaan Variant'!$BC$5:$BC$32),"n/a")</f>
        <v>n/a</v>
      </c>
      <c r="DR18" s="12" t="str">
        <f>IFERROR(IF(ISNUMBER(DQ18),(DQ18-AVERAGEIF('Pemetaan Variant'!$A$5:$A$32,$B18,'Pemetaan Variant'!$L$5:$L$32))/AVERAGEIF('Pemetaan Variant'!$A$5:$A$32,$B18,'Pemetaan Variant'!$L$5:$L$32)*100,"n/a"),"n/a")</f>
        <v>n/a</v>
      </c>
      <c r="DS18" s="4" t="str">
        <f t="shared" si="39"/>
        <v>n/a</v>
      </c>
      <c r="DT18" s="11" t="str">
        <f>IFERROR(AVERAGEIF('Pemetaan Variant'!$A$5:$A$32,$B18,'Pemetaan Variant'!$BD$5:$BD$32),"n/a")</f>
        <v>n/a</v>
      </c>
      <c r="DU18" s="12" t="str">
        <f>IFERROR(IF(ISNUMBER(DT18),(DT18-AVERAGEIF('Pemetaan Variant'!$A$5:$A$32,$B18,'Pemetaan Variant'!$L$5:$L$32))/AVERAGEIF('Pemetaan Variant'!$A$5:$A$32,$B18,'Pemetaan Variant'!$L$5:$L$32)*100,"n/a"),"n/a")</f>
        <v>n/a</v>
      </c>
      <c r="DV18" s="4" t="str">
        <f t="shared" si="40"/>
        <v>n/a</v>
      </c>
      <c r="DW18" s="11" t="str">
        <f>IFERROR(AVERAGEIF('Pemetaan Variant'!$A$5:$A$32,$B18,'Pemetaan Variant'!$BE$5:$BE$32),"n/a")</f>
        <v>n/a</v>
      </c>
      <c r="DX18" s="12" t="str">
        <f>IFERROR(IF(ISNUMBER(DW18),(DW18-AVERAGEIF('Pemetaan Variant'!$A$5:$A$32,$B18,'Pemetaan Variant'!$M$5:$M$32))/AVERAGEIF('Pemetaan Variant'!$A$5:$A$32,$B18,'Pemetaan Variant'!$M$5:$M$32)*100,"n/a"),"n/a")</f>
        <v>n/a</v>
      </c>
      <c r="DY18" s="4" t="str">
        <f t="shared" si="41"/>
        <v>n/a</v>
      </c>
      <c r="DZ18" s="11" t="str">
        <f>IFERROR(AVERAGEIF('Pemetaan Variant'!$A$5:$A$32,$B18,'Pemetaan Variant'!$BF$5:$BF$32),"n/a")</f>
        <v>n/a</v>
      </c>
      <c r="EA18" s="12" t="str">
        <f>IFERROR(IF(ISNUMBER(DZ18),(DZ18-AVERAGEIF('Pemetaan Variant'!$A$5:$A$32,$B18,'Pemetaan Variant'!$M$5:$M$32))/AVERAGEIF('Pemetaan Variant'!$A$5:$A$32,$B18,'Pemetaan Variant'!$M$5:$M$32)*100,"n/a"),"n/a")</f>
        <v>n/a</v>
      </c>
      <c r="EB18" s="4" t="str">
        <f t="shared" si="42"/>
        <v>n/a</v>
      </c>
      <c r="EC18" s="11" t="str">
        <f>IFERROR(AVERAGEIF('Pemetaan Variant'!$A$5:$A$32,$B18,'Pemetaan Variant'!$BG$5:$BG$32),"n/a")</f>
        <v>n/a</v>
      </c>
      <c r="ED18" s="12" t="str">
        <f>IFERROR(IF(ISNUMBER(EC18),(EC18-AVERAGEIF('Pemetaan Variant'!$A$5:$A$32,$B18,'Pemetaan Variant'!$M$5:$M$32))/AVERAGEIF('Pemetaan Variant'!$A$5:$A$32,$B18,'Pemetaan Variant'!$M$5:$M$32)*100,"n/a"),"n/a")</f>
        <v>n/a</v>
      </c>
      <c r="EE18" s="4" t="str">
        <f t="shared" si="43"/>
        <v>n/a</v>
      </c>
      <c r="EF18" s="11" t="str">
        <f>IFERROR(AVERAGEIF('Pemetaan Variant'!$A$5:$A$32,$B18,'Pemetaan Variant'!$BH$5:$BH$32),"n/a")</f>
        <v>n/a</v>
      </c>
      <c r="EG18" s="12" t="str">
        <f>IFERROR(IF(ISNUMBER(EF18),(EF18-AVERAGEIF('Pemetaan Variant'!$A$5:$A$32,$B18,'Pemetaan Variant'!$M$5:$M$32))/AVERAGEIF('Pemetaan Variant'!$A$5:$A$32,$B18,'Pemetaan Variant'!$M$5:$M$32)*100,"n/a"),"n/a")</f>
        <v>n/a</v>
      </c>
      <c r="EH18" s="4" t="str">
        <f t="shared" si="44"/>
        <v>n/a</v>
      </c>
      <c r="EI18" s="11" t="str">
        <f>IFERROR(AVERAGEIF('Pemetaan Variant'!$A$5:$A$32,$B18,'Pemetaan Variant'!$BI$5:$BI$32),"n/a")</f>
        <v>n/a</v>
      </c>
      <c r="EJ18" s="12" t="str">
        <f>IFERROR(IF(ISNUMBER(EI18),(EI18-AVERAGEIF('Pemetaan Variant'!$A$5:$A$32,$B18,'Pemetaan Variant'!$M$5:$M$32))/AVERAGEIF('Pemetaan Variant'!$A$5:$A$32,$B18,'Pemetaan Variant'!$M$5:$M$32)*100,"n/a"),"n/a")</f>
        <v>n/a</v>
      </c>
      <c r="EK18" s="4" t="str">
        <f t="shared" si="45"/>
        <v>n/a</v>
      </c>
      <c r="EL18" s="11" t="str">
        <f>IFERROR(AVERAGEIF('Pemetaan Variant'!$A$5:$A$32,$B18,'Pemetaan Variant'!$BJ$5:$BJ$32),"n/a")</f>
        <v>n/a</v>
      </c>
      <c r="EM18" s="12" t="str">
        <f>IFERROR(IF(ISNUMBER(EL18),(EL18-AVERAGEIF('Pemetaan Variant'!$A$5:$A$32,$B18,'Pemetaan Variant'!$N$5:$N$32))/AVERAGEIF('Pemetaan Variant'!$A$5:$A$32,$B18,'Pemetaan Variant'!$N$5:$N$32)*100,"n/a"),"n/a")</f>
        <v>n/a</v>
      </c>
      <c r="EN18" s="4" t="str">
        <f t="shared" si="46"/>
        <v>n/a</v>
      </c>
      <c r="EO18" s="11" t="str">
        <f>IFERROR(AVERAGEIF('Pemetaan Variant'!$A$5:$A$32,$B18,'Pemetaan Variant'!$BK$5:$BK$32),"n/a")</f>
        <v>n/a</v>
      </c>
      <c r="EP18" s="12" t="str">
        <f>IFERROR(IF(ISNUMBER(EO18),(EO18-AVERAGEIF('Pemetaan Variant'!$A$5:$A$32,$B18,'Pemetaan Variant'!$N$5:$N$32))/AVERAGEIF('Pemetaan Variant'!$A$5:$A$32,$B18,'Pemetaan Variant'!$N$5:$N$32)*100,"n/a"),"n/a")</f>
        <v>n/a</v>
      </c>
      <c r="EQ18" s="4" t="str">
        <f t="shared" si="47"/>
        <v>n/a</v>
      </c>
      <c r="ER18" s="11" t="str">
        <f>IFERROR(AVERAGEIF('Pemetaan Variant'!$A$5:$A$32,$B18,'Pemetaan Variant'!$BL$5:$BL$32),"n/a")</f>
        <v>n/a</v>
      </c>
      <c r="ES18" s="12" t="str">
        <f>IFERROR(IF(ISNUMBER(ER18),(ER18-AVERAGEIF('Pemetaan Variant'!$A$5:$A$32,$B18,'Pemetaan Variant'!$N$5:$N$32))/AVERAGEIF('Pemetaan Variant'!$A$5:$A$32,$B18,'Pemetaan Variant'!$N$5:$N$32)*100,"n/a"),"n/a")</f>
        <v>n/a</v>
      </c>
      <c r="ET18" s="4" t="str">
        <f t="shared" si="48"/>
        <v>n/a</v>
      </c>
      <c r="EU18" s="11" t="str">
        <f>IFERROR(AVERAGEIF('Pemetaan Variant'!$A$5:$A$32,$B18,'Pemetaan Variant'!$BM$5:$BM$32),"n/a")</f>
        <v>n/a</v>
      </c>
      <c r="EV18" s="12" t="str">
        <f>IFERROR(IF(ISNUMBER(EU18),(EU18-AVERAGEIF('Pemetaan Variant'!$A$5:$A$32,$B18,'Pemetaan Variant'!$N$5:$N$32))/AVERAGEIF('Pemetaan Variant'!$A$5:$A$32,$B18,'Pemetaan Variant'!$N$5:$N$32)*100,"n/a"),"n/a")</f>
        <v>n/a</v>
      </c>
      <c r="EW18" s="4" t="str">
        <f t="shared" si="49"/>
        <v>n/a</v>
      </c>
      <c r="EX18" s="11" t="str">
        <f>IFERROR(AVERAGEIF('Pemetaan Variant'!$A$5:$A$32,$B18,'Pemetaan Variant'!$BN$5:$BN$32),"n/a")</f>
        <v>n/a</v>
      </c>
      <c r="EY18" s="12" t="str">
        <f>IFERROR(IF(ISNUMBER(EX18),(EX18-AVERAGEIF('Pemetaan Variant'!$A$5:$A$32,$B18,'Pemetaan Variant'!$O$5:$O$32))/AVERAGEIF('Pemetaan Variant'!$A$5:$A$32,$B18,'Pemetaan Variant'!$O$5:$O$32)*100,"n/a"),"n/a")</f>
        <v>n/a</v>
      </c>
      <c r="EZ18" s="4" t="str">
        <f t="shared" si="50"/>
        <v>n/a</v>
      </c>
      <c r="FA18" s="11" t="str">
        <f>IFERROR(AVERAGEIF('Pemetaan Variant'!$A$5:$A$32,$B18,'Pemetaan Variant'!$BO$5:$BO$32),"n/a")</f>
        <v>n/a</v>
      </c>
      <c r="FB18" s="12" t="str">
        <f>IFERROR(IF(ISNUMBER(FA18),(FA18-AVERAGEIF('Pemetaan Variant'!$A$5:$A$32,$B18,'Pemetaan Variant'!$O$5:$O$32))/AVERAGEIF('Pemetaan Variant'!$A$5:$A$32,$B18,'Pemetaan Variant'!$O$5:$O$32)*100,"n/a"),"n/a")</f>
        <v>n/a</v>
      </c>
      <c r="FC18" s="4" t="str">
        <f t="shared" si="51"/>
        <v>n/a</v>
      </c>
      <c r="FD18" s="11" t="str">
        <f>IFERROR(AVERAGEIF('Pemetaan Variant'!$A$5:$A$32,$B18,'Pemetaan Variant'!$BP$5:$BP$32),"n/a")</f>
        <v>n/a</v>
      </c>
      <c r="FE18" s="12" t="str">
        <f>IFERROR(IF(ISNUMBER(FD18),(FD18-AVERAGEIF('Pemetaan Variant'!$A$5:$A$32,$B18,'Pemetaan Variant'!$O$5:$O$32))/AVERAGEIF('Pemetaan Variant'!$A$5:$A$32,$B18,'Pemetaan Variant'!$O$5:$O$32)*100,"n/a"),"n/a")</f>
        <v>n/a</v>
      </c>
      <c r="FF18" s="4" t="str">
        <f t="shared" si="52"/>
        <v>n/a</v>
      </c>
      <c r="FG18" s="11" t="str">
        <f>IFERROR(AVERAGEIF('Pemetaan Variant'!$A$5:$A$32,$B18,'Pemetaan Variant'!$BQ$5:$BQ$32),"n/a")</f>
        <v>n/a</v>
      </c>
      <c r="FH18" s="12" t="str">
        <f>IFERROR(IF(ISNUMBER(FG18),(FG18-AVERAGEIF('Pemetaan Variant'!$A$5:$A$32,$B18,'Pemetaan Variant'!$O$5:$O$32))/AVERAGEIF('Pemetaan Variant'!$A$5:$A$32,$B18,'Pemetaan Variant'!$O$5:$O$32)*100,"n/a"),"n/a")</f>
        <v>n/a</v>
      </c>
      <c r="FI18" s="4" t="str">
        <f t="shared" si="53"/>
        <v>n/a</v>
      </c>
      <c r="FJ18" s="11" t="str">
        <f>IFERROR(AVERAGEIF('Pemetaan Variant'!$A$5:$A$32,$B18,'Pemetaan Variant'!$BR$5:$BR$32),"n/a")</f>
        <v>n/a</v>
      </c>
      <c r="FK18" s="12" t="str">
        <f>IFERROR(IF(ISNUMBER(FJ18),(FJ18-AVERAGEIF('Pemetaan Variant'!$A$5:$A$32,$B18,'Pemetaan Variant'!$O$5:$O$32))/AVERAGEIF('Pemetaan Variant'!$A$5:$A$32,$B18,'Pemetaan Variant'!$O$5:$O$32)*100,"n/a"),"n/a")</f>
        <v>n/a</v>
      </c>
      <c r="FL18" s="4" t="str">
        <f t="shared" si="54"/>
        <v>n/a</v>
      </c>
      <c r="FM18" s="13"/>
      <c r="FO18" s="9">
        <f t="shared" si="55"/>
        <v>0.247462282355638</v>
      </c>
      <c r="FP18" s="9">
        <f t="shared" si="56"/>
        <v>0.247462282355638</v>
      </c>
      <c r="FQ18" s="9">
        <f t="shared" si="57"/>
        <v>0.247462282355638</v>
      </c>
      <c r="FR18" s="9">
        <f t="shared" si="58"/>
        <v>0.318165791600106</v>
      </c>
      <c r="FS18" s="9">
        <f t="shared" si="59"/>
        <v>0.318165791600106</v>
      </c>
      <c r="FT18" s="9">
        <f t="shared" si="60"/>
        <v>3.9623096912336793E-2</v>
      </c>
      <c r="FU18" s="9">
        <f t="shared" si="61"/>
        <v>3.0312751736214106E-2</v>
      </c>
      <c r="FV18" s="9">
        <f t="shared" si="62"/>
        <v>3.0312751736214106E-2</v>
      </c>
      <c r="FW18" s="9">
        <f t="shared" si="63"/>
        <v>3.0312751736214106E-2</v>
      </c>
      <c r="FX18" s="9">
        <f t="shared" si="64"/>
        <v>1.8292136453674005E-2</v>
      </c>
      <c r="FY18" s="9">
        <f t="shared" si="65"/>
        <v>1.8292136453674005E-2</v>
      </c>
      <c r="FZ18" s="9">
        <f t="shared" si="66"/>
        <v>0.11642406848750121</v>
      </c>
      <c r="GA18" s="9">
        <f t="shared" si="67"/>
        <v>0.26362196653824199</v>
      </c>
      <c r="GB18" s="9">
        <f t="shared" si="68"/>
        <v>0</v>
      </c>
      <c r="GC18" s="9">
        <f t="shared" si="69"/>
        <v>0</v>
      </c>
      <c r="GD18" s="9">
        <f t="shared" si="70"/>
        <v>0.783481397271241</v>
      </c>
      <c r="GE18" s="9">
        <f t="shared" si="71"/>
        <v>0.783481397271241</v>
      </c>
      <c r="GF18" s="9">
        <f t="shared" si="72"/>
        <v>0.75230622125416546</v>
      </c>
      <c r="GG18" s="9">
        <f t="shared" si="73"/>
        <v>0.34183307036267058</v>
      </c>
      <c r="GH18" s="9">
        <f t="shared" si="74"/>
        <v>0.27673693313338443</v>
      </c>
      <c r="GI18" s="9">
        <f t="shared" si="75"/>
        <v>0.25373542180801223</v>
      </c>
      <c r="GJ18" s="9">
        <f t="shared" si="76"/>
        <v>0.21923315481995392</v>
      </c>
      <c r="GK18" s="9">
        <f t="shared" si="77"/>
        <v>0.21923315481995392</v>
      </c>
      <c r="GL18" s="9">
        <f t="shared" si="78"/>
        <v>0.29590485923786125</v>
      </c>
      <c r="GM18" s="9">
        <f t="shared" si="79"/>
        <v>0.2120577113669366</v>
      </c>
      <c r="GN18" s="9">
        <f t="shared" si="80"/>
        <v>0.13362540716272703</v>
      </c>
      <c r="GO18" s="9">
        <f t="shared" si="81"/>
        <v>0.54844514939832345</v>
      </c>
      <c r="GP18" s="9">
        <f t="shared" si="82"/>
        <v>0.4957696265747556</v>
      </c>
      <c r="GQ18" s="9">
        <f t="shared" si="83"/>
        <v>0.23466250913034636</v>
      </c>
      <c r="GR18" s="9">
        <f t="shared" si="84"/>
        <v>7.6879907753180168E-2</v>
      </c>
      <c r="GS18" s="9">
        <f t="shared" si="85"/>
        <v>4.6485525618201962E-2</v>
      </c>
      <c r="GT18" s="9">
        <f t="shared" si="86"/>
        <v>0.18326024522560386</v>
      </c>
      <c r="GU18" s="9">
        <f t="shared" si="87"/>
        <v>0.18326024522560386</v>
      </c>
      <c r="GV18" s="9">
        <f t="shared" si="88"/>
        <v>1.94434650422287</v>
      </c>
      <c r="GW18" s="9">
        <f t="shared" si="89"/>
        <v>1.94434650422287</v>
      </c>
      <c r="GX18" s="9">
        <f t="shared" si="90"/>
        <v>1.94434650422287</v>
      </c>
      <c r="GY18" s="9">
        <f t="shared" si="91"/>
        <v>1.94434650422287</v>
      </c>
      <c r="GZ18" s="9">
        <f t="shared" si="92"/>
        <v>0</v>
      </c>
      <c r="HA18" s="9">
        <f t="shared" si="93"/>
        <v>0</v>
      </c>
      <c r="HB18" s="9">
        <f t="shared" si="94"/>
        <v>0</v>
      </c>
      <c r="HC18" s="9">
        <f t="shared" si="95"/>
        <v>0</v>
      </c>
      <c r="HD18" s="9">
        <f t="shared" si="96"/>
        <v>0</v>
      </c>
      <c r="HE18" s="9">
        <f t="shared" si="97"/>
        <v>0</v>
      </c>
      <c r="HF18" s="9">
        <f t="shared" si="98"/>
        <v>0</v>
      </c>
      <c r="HG18" s="9">
        <f t="shared" si="99"/>
        <v>0</v>
      </c>
      <c r="HH18" s="9">
        <f t="shared" si="100"/>
        <v>0</v>
      </c>
      <c r="HI18" s="9">
        <f t="shared" si="101"/>
        <v>0</v>
      </c>
      <c r="HJ18" s="9">
        <f t="shared" si="102"/>
        <v>0</v>
      </c>
      <c r="HK18" s="9">
        <f t="shared" si="103"/>
        <v>0</v>
      </c>
      <c r="HL18" s="9">
        <f t="shared" si="104"/>
        <v>0</v>
      </c>
      <c r="HM18" s="9">
        <f t="shared" si="105"/>
        <v>0</v>
      </c>
      <c r="HN18" s="9">
        <f t="shared" si="106"/>
        <v>0</v>
      </c>
      <c r="HO18" s="9">
        <f t="shared" si="107"/>
        <v>0</v>
      </c>
      <c r="HP18" s="9">
        <f t="shared" si="108"/>
        <v>0</v>
      </c>
      <c r="HQ18" s="9">
        <f t="shared" si="109"/>
        <v>0</v>
      </c>
    </row>
    <row r="19" spans="1:225" x14ac:dyDescent="0.35">
      <c r="A19" s="3">
        <v>14</v>
      </c>
      <c r="B19" s="3" t="s">
        <v>140</v>
      </c>
      <c r="C19" s="10">
        <f>'P0Q0 Dasar 2022'!F18</f>
        <v>1.28006139283175E-2</v>
      </c>
      <c r="D19" s="11">
        <f>IFERROR(AVERAGEIF('Pemetaan Variant'!$A$5:$A$32,$B19,'Pemetaan Variant'!$P$5:$P$32),"n/a")</f>
        <v>36000</v>
      </c>
      <c r="E19" s="12">
        <f>IFERROR(IF(ISNUMBER(D19),(D19-AVERAGEIF('Pemetaan Variant'!$A$5:$A$32,$B19,'Pemetaan Variant'!$D$5:$D$32))/AVERAGEIF('Pemetaan Variant'!$A$5:$A$32,$B19,'Pemetaan Variant'!$D$5:$D$32)*100,"n/a"),"n/a")</f>
        <v>-2.1886792452830166</v>
      </c>
      <c r="F19" s="4">
        <f t="shared" si="0"/>
        <v>-2.8016438031789215E-2</v>
      </c>
      <c r="G19" s="11">
        <f>IFERROR(AVERAGEIF('Pemetaan Variant'!$A$5:$A$32,$B19,'Pemetaan Variant'!$Q$5:$Q$32),"n/a")</f>
        <v>36000</v>
      </c>
      <c r="H19" s="12">
        <f>IFERROR(IF(ISNUMBER(G19),(G19-AVERAGEIF('Pemetaan Variant'!$A$5:$A$32,$B19,'Pemetaan Variant'!$D$5:$D$32))/AVERAGEIF('Pemetaan Variant'!$A$5:$A$32,$B19,'Pemetaan Variant'!$D$5:$D$32)*100,"n/a"),"n/a")</f>
        <v>-2.1886792452830166</v>
      </c>
      <c r="I19" s="4">
        <f t="shared" si="1"/>
        <v>-2.8016438031789215E-2</v>
      </c>
      <c r="J19" s="11">
        <f>IFERROR(AVERAGEIF('Pemetaan Variant'!$A$5:$A$32,$B19,'Pemetaan Variant'!$R$5:$R$32),"n/a")</f>
        <v>36000</v>
      </c>
      <c r="K19" s="12">
        <f>IFERROR(IF(ISNUMBER(J19),(J19-AVERAGEIF('Pemetaan Variant'!$A$5:$A$32,$B19,'Pemetaan Variant'!$D$5:$D$32))/AVERAGEIF('Pemetaan Variant'!$A$5:$A$32,$B19,'Pemetaan Variant'!$D$5:$D$32)*100,"n/a"),"n/a")</f>
        <v>-2.1886792452830166</v>
      </c>
      <c r="L19" s="4">
        <f t="shared" si="2"/>
        <v>-2.8016438031789215E-2</v>
      </c>
      <c r="M19" s="11">
        <f>IFERROR(AVERAGEIF('Pemetaan Variant'!$A$5:$A$32,$B19,'Pemetaan Variant'!$S$5:$S$32),"n/a")</f>
        <v>36000</v>
      </c>
      <c r="N19" s="12">
        <f>IFERROR(IF(ISNUMBER(M19),(M19-AVERAGEIF('Pemetaan Variant'!$A$5:$A$32,$B19,'Pemetaan Variant'!$D$5:$D$32))/AVERAGEIF('Pemetaan Variant'!$A$5:$A$32,$B19,'Pemetaan Variant'!$D$5:$D$32)*100,"n/a"),"n/a")</f>
        <v>-2.1886792452830166</v>
      </c>
      <c r="O19" s="4">
        <f t="shared" si="3"/>
        <v>-2.8016438031789215E-2</v>
      </c>
      <c r="P19" s="11">
        <f>IFERROR(AVERAGEIF('Pemetaan Variant'!$A$5:$A$32,$B19,'Pemetaan Variant'!$T$5:$T$32),"n/a")</f>
        <v>36000</v>
      </c>
      <c r="Q19" s="12">
        <f>IFERROR(IF(ISNUMBER(P19),(P19-AVERAGEIF('Pemetaan Variant'!$A$5:$A$32,$B19,'Pemetaan Variant'!$D$5:$D$32))/AVERAGEIF('Pemetaan Variant'!$A$5:$A$32,$B19,'Pemetaan Variant'!$D$5:$D$32)*100,"n/a"),"n/a")</f>
        <v>-2.1886792452830166</v>
      </c>
      <c r="R19" s="4">
        <f t="shared" si="4"/>
        <v>-2.8016438031789215E-2</v>
      </c>
      <c r="S19" s="11">
        <f>IFERROR(AVERAGEIF('Pemetaan Variant'!$A$5:$A$32,$B19,'Pemetaan Variant'!$U$5:$U$32),"n/a")</f>
        <v>36000</v>
      </c>
      <c r="T19" s="12">
        <f>IFERROR(IF(ISNUMBER(S19),(S19-AVERAGEIF('Pemetaan Variant'!$A$5:$A$32,$B19,'Pemetaan Variant'!$E$5:$E$32))/AVERAGEIF('Pemetaan Variant'!$A$5:$A$32,$B19,'Pemetaan Variant'!$E$5:$E$32)*100,"n/a"),"n/a")</f>
        <v>0</v>
      </c>
      <c r="U19" s="4">
        <f t="shared" si="5"/>
        <v>0</v>
      </c>
      <c r="V19" s="11">
        <f>IFERROR(AVERAGEIF('Pemetaan Variant'!$A$5:$A$32,$B19,'Pemetaan Variant'!$V$5:$V$32),"n/a")</f>
        <v>36500</v>
      </c>
      <c r="W19" s="12">
        <f>IFERROR(IF(ISNUMBER(V19),(V19-AVERAGEIF('Pemetaan Variant'!$A$5:$A$32,$B19,'Pemetaan Variant'!$E$5:$E$32))/AVERAGEIF('Pemetaan Variant'!$A$5:$A$32,$B19,'Pemetaan Variant'!$E$5:$E$32)*100,"n/a"),"n/a")</f>
        <v>1.3888888888888888</v>
      </c>
      <c r="X19" s="4">
        <f t="shared" si="6"/>
        <v>1.7778630455996525E-2</v>
      </c>
      <c r="Y19" s="11">
        <f>IFERROR(AVERAGEIF('Pemetaan Variant'!$A$5:$A$32,$B19,'Pemetaan Variant'!$W$5:$W$32),"n/a")</f>
        <v>37000</v>
      </c>
      <c r="Z19" s="12">
        <f>IFERROR(IF(ISNUMBER(Y19),(Y19-AVERAGEIF('Pemetaan Variant'!$A$5:$A$32,$B19,'Pemetaan Variant'!$E$5:$E$32))/AVERAGEIF('Pemetaan Variant'!$A$5:$A$32,$B19,'Pemetaan Variant'!$E$5:$E$32)*100,"n/a"),"n/a")</f>
        <v>2.7777777777777777</v>
      </c>
      <c r="AA19" s="4">
        <f t="shared" si="7"/>
        <v>3.5557260911993051E-2</v>
      </c>
      <c r="AB19" s="11">
        <f>IFERROR(AVERAGEIF('Pemetaan Variant'!$A$5:$A$32,$B19,'Pemetaan Variant'!$X$5:$X$32),"n/a")</f>
        <v>37000</v>
      </c>
      <c r="AC19" s="12">
        <f>IFERROR(IF(ISNUMBER(AB19),(AB19-AVERAGEIF('Pemetaan Variant'!$A$5:$A$32,$B19,'Pemetaan Variant'!$E$5:$E$32))/AVERAGEIF('Pemetaan Variant'!$A$5:$A$32,$B19,'Pemetaan Variant'!$E$5:$E$32)*100,"n/a"),"n/a")</f>
        <v>2.7777777777777777</v>
      </c>
      <c r="AD19" s="4">
        <f t="shared" si="8"/>
        <v>3.5557260911993051E-2</v>
      </c>
      <c r="AE19" s="11">
        <f>IFERROR(AVERAGEIF('Pemetaan Variant'!$A$5:$A$32,$B19,'Pemetaan Variant'!$Y$5:$Y$32),"n/a")</f>
        <v>36200</v>
      </c>
      <c r="AF19" s="12">
        <f>IFERROR(IF(ISNUMBER(AE19),(AE19-AVERAGEIF('Pemetaan Variant'!$A$5:$A$32,$B19,'Pemetaan Variant'!$F$5:$F$32))/AVERAGEIF('Pemetaan Variant'!$A$5:$A$32,$B19,'Pemetaan Variant'!$F$5:$F$32)*100,"n/a"),"n/a")</f>
        <v>-1.1071171818835266</v>
      </c>
      <c r="AG19" s="4">
        <f t="shared" si="9"/>
        <v>-1.4171779618697889E-2</v>
      </c>
      <c r="AH19" s="11">
        <f>IFERROR(AVERAGEIF('Pemetaan Variant'!$A$5:$A$32,$B19,'Pemetaan Variant'!$Z$5:$Z$32),"n/a")</f>
        <v>36000</v>
      </c>
      <c r="AI19" s="12">
        <f>IFERROR(IF(ISNUMBER(AH19),(AH19-AVERAGEIF('Pemetaan Variant'!$A$5:$A$32,$B19,'Pemetaan Variant'!$F$5:$F$32))/AVERAGEIF('Pemetaan Variant'!$A$5:$A$32,$B19,'Pemetaan Variant'!$F$5:$F$32)*100,"n/a"),"n/a")</f>
        <v>-1.6534867002156621</v>
      </c>
      <c r="AJ19" s="4">
        <f t="shared" si="10"/>
        <v>-2.1165644885068346E-2</v>
      </c>
      <c r="AK19" s="11">
        <f>IFERROR(AVERAGEIF('Pemetaan Variant'!$A$5:$A$32,$B19,'Pemetaan Variant'!$AA$5:$AA$32),"n/a")</f>
        <v>36000</v>
      </c>
      <c r="AL19" s="12">
        <f>IFERROR(IF(ISNUMBER(AK19),(AK19-AVERAGEIF('Pemetaan Variant'!$A$5:$A$32,$B19,'Pemetaan Variant'!$F$5:$F$32))/AVERAGEIF('Pemetaan Variant'!$A$5:$A$32,$B19,'Pemetaan Variant'!$F$5:$F$32)*100,"n/a"),"n/a")</f>
        <v>-1.6534867002156621</v>
      </c>
      <c r="AM19" s="4">
        <f t="shared" si="11"/>
        <v>-2.1165644885068346E-2</v>
      </c>
      <c r="AN19" s="11">
        <f>IFERROR(AVERAGEIF('Pemetaan Variant'!$A$5:$A$32,$B19,'Pemetaan Variant'!$AB$5:$AB$32),"n/a")</f>
        <v>36250</v>
      </c>
      <c r="AO19" s="12">
        <f>IFERROR(IF(ISNUMBER(AN19),(AN19-AVERAGEIF('Pemetaan Variant'!$A$5:$A$32,$B19,'Pemetaan Variant'!$F$5:$F$32))/AVERAGEIF('Pemetaan Variant'!$A$5:$A$32,$B19,'Pemetaan Variant'!$F$5:$F$32)*100,"n/a"),"n/a")</f>
        <v>-0.97052480230049287</v>
      </c>
      <c r="AP19" s="4">
        <f t="shared" si="12"/>
        <v>-1.2423313302105277E-2</v>
      </c>
      <c r="AQ19" s="11" t="str">
        <f>IFERROR(AVERAGEIF('Pemetaan Variant'!$A$5:$A$32,$B19,'Pemetaan Variant'!$AC$5:$AC$32),"n/a")</f>
        <v>n/a</v>
      </c>
      <c r="AR19" s="12" t="str">
        <f>IFERROR(IF(ISNUMBER(AQ19),(AQ19-AVERAGEIF('Pemetaan Variant'!$A$5:$A$32,$B19,'Pemetaan Variant'!$F$5:$F$32))/AVERAGEIF('Pemetaan Variant'!$A$5:$A$32,$B19,'Pemetaan Variant'!$F$5:$F$32)*100,"n/a"),"n/a")</f>
        <v>n/a</v>
      </c>
      <c r="AS19" s="4" t="str">
        <f t="shared" si="13"/>
        <v>n/a</v>
      </c>
      <c r="AT19" s="11" t="str">
        <f>IFERROR(AVERAGEIF('Pemetaan Variant'!$A$5:$A$32,$B19,'Pemetaan Variant'!$AD$5:$AD$32),"n/a")</f>
        <v>n/a</v>
      </c>
      <c r="AU19" s="12" t="str">
        <f>IFERROR(IF(ISNUMBER(AT19),(AT19-AVERAGEIF('Pemetaan Variant'!$A$5:$A$32,$B19,'Pemetaan Variant'!$G$5:$G$32))/AVERAGEIF('Pemetaan Variant'!$A$5:$A$32,$B19,'Pemetaan Variant'!$G$5:$G$32)*100,"n/a"),"n/a")</f>
        <v>n/a</v>
      </c>
      <c r="AV19" s="4" t="str">
        <f t="shared" si="14"/>
        <v>n/a</v>
      </c>
      <c r="AW19" s="11">
        <f>IFERROR(AVERAGEIF('Pemetaan Variant'!$A$5:$A$32,$B19,'Pemetaan Variant'!$AE$5:$AE$32),"n/a")</f>
        <v>37500</v>
      </c>
      <c r="AX19" s="12">
        <f>IFERROR(IF(ISNUMBER(AW19),(AW19-AVERAGEIF('Pemetaan Variant'!$A$5:$A$32,$B19,'Pemetaan Variant'!$G$5:$G$32))/AVERAGEIF('Pemetaan Variant'!$A$5:$A$32,$B19,'Pemetaan Variant'!$G$5:$G$32)*100,"n/a"),"n/a")</f>
        <v>3.8629737609329347</v>
      </c>
      <c r="AY19" s="4">
        <f t="shared" si="15"/>
        <v>4.9448435728923157E-2</v>
      </c>
      <c r="AZ19" s="11">
        <f>IFERROR(AVERAGEIF('Pemetaan Variant'!$A$5:$A$32,$B19,'Pemetaan Variant'!$AF$5:$AF$32),"n/a")</f>
        <v>35500</v>
      </c>
      <c r="BA19" s="12">
        <f>IFERROR(IF(ISNUMBER(AZ19),(AZ19-AVERAGEIF('Pemetaan Variant'!$A$5:$A$32,$B19,'Pemetaan Variant'!$G$5:$G$32))/AVERAGEIF('Pemetaan Variant'!$A$5:$A$32,$B19,'Pemetaan Variant'!$G$5:$G$32)*100,"n/a"),"n/a")</f>
        <v>-1.6763848396501553</v>
      </c>
      <c r="BB19" s="4">
        <f t="shared" si="16"/>
        <v>-2.1458755127646077E-2</v>
      </c>
      <c r="BC19" s="11">
        <f>IFERROR(AVERAGEIF('Pemetaan Variant'!$A$5:$A$32,$B19,'Pemetaan Variant'!$AG$5:$AG$32),"n/a")</f>
        <v>35100</v>
      </c>
      <c r="BD19" s="12">
        <f>IFERROR(IF(ISNUMBER(BC19),(BC19-AVERAGEIF('Pemetaan Variant'!$A$5:$A$32,$B19,'Pemetaan Variant'!$G$5:$G$32))/AVERAGEIF('Pemetaan Variant'!$A$5:$A$32,$B19,'Pemetaan Variant'!$G$5:$G$32)*100,"n/a"),"n/a")</f>
        <v>-2.784256559766773</v>
      </c>
      <c r="BE19" s="4">
        <f t="shared" si="17"/>
        <v>-3.564019329895992E-2</v>
      </c>
      <c r="BF19" s="11">
        <f>IFERROR(AVERAGEIF('Pemetaan Variant'!$A$5:$A$32,$B19,'Pemetaan Variant'!$AH$5:$AH$32),"n/a")</f>
        <v>32500</v>
      </c>
      <c r="BG19" s="12">
        <f>IFERROR(IF(ISNUMBER(BF19),(BF19-AVERAGEIF('Pemetaan Variant'!$A$5:$A$32,$B19,'Pemetaan Variant'!$G$5:$G$32))/AVERAGEIF('Pemetaan Variant'!$A$5:$A$32,$B19,'Pemetaan Variant'!$G$5:$G$32)*100,"n/a"),"n/a")</f>
        <v>-9.9854227405247897</v>
      </c>
      <c r="BH19" s="4">
        <f t="shared" si="18"/>
        <v>-0.12781954141249993</v>
      </c>
      <c r="BI19" s="11">
        <f>IFERROR(AVERAGEIF('Pemetaan Variant'!$A$5:$A$32,$B19,'Pemetaan Variant'!$AI$5:$AI$32),"n/a")</f>
        <v>32500</v>
      </c>
      <c r="BJ19" s="12">
        <f>IFERROR(IF(ISNUMBER(BI19),(BI19-AVERAGEIF('Pemetaan Variant'!$A$5:$A$32,$B19,'Pemetaan Variant'!$H$5:$H$32))/AVERAGEIF('Pemetaan Variant'!$A$5:$A$32,$B19,'Pemetaan Variant'!$H$5:$H$32)*100,"n/a"),"n/a")</f>
        <v>-7.9646017699115044</v>
      </c>
      <c r="BK19" s="4">
        <f t="shared" si="19"/>
        <v>-0.10195179234943141</v>
      </c>
      <c r="BL19" s="11">
        <f>IFERROR(AVERAGEIF('Pemetaan Variant'!$A$5:$A$32,$B19,'Pemetaan Variant'!$AJ$5:$AJ$32),"n/a")</f>
        <v>32500</v>
      </c>
      <c r="BM19" s="12">
        <f>IFERROR(IF(ISNUMBER(BL19),(BL19-AVERAGEIF('Pemetaan Variant'!$A$5:$A$32,$B19,'Pemetaan Variant'!$H$5:$H$32))/AVERAGEIF('Pemetaan Variant'!$A$5:$A$32,$B19,'Pemetaan Variant'!$H$5:$H$32)*100,"n/a"),"n/a")</f>
        <v>-7.9646017699115044</v>
      </c>
      <c r="BN19" s="4">
        <f t="shared" si="20"/>
        <v>-0.10195179234943141</v>
      </c>
      <c r="BO19" s="11">
        <f>IFERROR(AVERAGEIF('Pemetaan Variant'!$A$5:$A$32,$B19,'Pemetaan Variant'!$AK$5:$AK$32),"n/a")</f>
        <v>32500</v>
      </c>
      <c r="BP19" s="12">
        <f>IFERROR(IF(ISNUMBER(BO19),(BO19-AVERAGEIF('Pemetaan Variant'!$A$5:$A$32,$B19,'Pemetaan Variant'!$H$5:$H$32))/AVERAGEIF('Pemetaan Variant'!$A$5:$A$32,$B19,'Pemetaan Variant'!$H$5:$H$32)*100,"n/a"),"n/a")</f>
        <v>-7.9646017699115044</v>
      </c>
      <c r="BQ19" s="4">
        <f t="shared" si="21"/>
        <v>-0.10195179234943141</v>
      </c>
      <c r="BR19" s="11">
        <f>IFERROR(AVERAGEIF('Pemetaan Variant'!$A$5:$A$32,$B19,'Pemetaan Variant'!$AL$5:$AL$32),"n/a")</f>
        <v>32500</v>
      </c>
      <c r="BS19" s="12">
        <f>IFERROR(IF(ISNUMBER(BR19),(BR19-AVERAGEIF('Pemetaan Variant'!$A$5:$A$32,$B19,'Pemetaan Variant'!$H$5:$H$32))/AVERAGEIF('Pemetaan Variant'!$A$5:$A$32,$B19,'Pemetaan Variant'!$H$5:$H$32)*100,"n/a"),"n/a")</f>
        <v>-7.9646017699115044</v>
      </c>
      <c r="BT19" s="4">
        <f t="shared" si="22"/>
        <v>-0.10195179234943141</v>
      </c>
      <c r="BU19" s="11">
        <f>IFERROR(AVERAGEIF('Pemetaan Variant'!$A$5:$A$32,$B19,'Pemetaan Variant'!$AM$5:$AM$32),"n/a")</f>
        <v>32500</v>
      </c>
      <c r="BV19" s="12">
        <f>IFERROR(IF(ISNUMBER(BU19),(BU19-AVERAGEIF('Pemetaan Variant'!$A$5:$A$32,$B19,'Pemetaan Variant'!$H$5:$H$32))/AVERAGEIF('Pemetaan Variant'!$A$5:$A$32,$B19,'Pemetaan Variant'!$H$5:$H$32)*100,"n/a"),"n/a")</f>
        <v>-7.9646017699115044</v>
      </c>
      <c r="BW19" s="4">
        <f t="shared" si="23"/>
        <v>-0.10195179234943141</v>
      </c>
      <c r="BX19" s="11">
        <f>IFERROR(AVERAGEIF('Pemetaan Variant'!$A$5:$A$32,$B19,'Pemetaan Variant'!$AN$5:$AN$32),"n/a")</f>
        <v>30000</v>
      </c>
      <c r="BY19" s="12">
        <f>IFERROR(IF(ISNUMBER(BX19),(BX19-AVERAGEIF('Pemetaan Variant'!$A$5:$A$32,$B19,'Pemetaan Variant'!$I$5:$I$32))/AVERAGEIF('Pemetaan Variant'!$A$5:$A$32,$B19,'Pemetaan Variant'!$I$5:$I$32)*100,"n/a"),"n/a")</f>
        <v>-7.6923076923076925</v>
      </c>
      <c r="BZ19" s="4">
        <f t="shared" si="24"/>
        <v>-9.8466260987057699E-2</v>
      </c>
      <c r="CA19" s="11">
        <f>IFERROR(AVERAGEIF('Pemetaan Variant'!$A$5:$A$32,$B19,'Pemetaan Variant'!$AO$5:$AO$32),"n/a")</f>
        <v>30000</v>
      </c>
      <c r="CB19" s="12">
        <f>IFERROR(IF(ISNUMBER(CA19),(CA19-AVERAGEIF('Pemetaan Variant'!$A$5:$A$32,$B19,'Pemetaan Variant'!$I$5:$I$32))/AVERAGEIF('Pemetaan Variant'!$A$5:$A$32,$B19,'Pemetaan Variant'!$I$5:$I$32)*100,"n/a"),"n/a")</f>
        <v>-7.6923076923076925</v>
      </c>
      <c r="CC19" s="4">
        <f t="shared" si="25"/>
        <v>-9.8466260987057699E-2</v>
      </c>
      <c r="CD19" s="11">
        <f>IFERROR(AVERAGEIF('Pemetaan Variant'!$A$5:$A$32,$B19,'Pemetaan Variant'!$AP$5:$AP$32),"n/a")</f>
        <v>28000</v>
      </c>
      <c r="CE19" s="12">
        <f>IFERROR(IF(ISNUMBER(CD19),(CD19-AVERAGEIF('Pemetaan Variant'!$A$5:$A$32,$B19,'Pemetaan Variant'!$I$5:$I$32))/AVERAGEIF('Pemetaan Variant'!$A$5:$A$32,$B19,'Pemetaan Variant'!$I$5:$I$32)*100,"n/a"),"n/a")</f>
        <v>-13.846153846153847</v>
      </c>
      <c r="CF19" s="4">
        <f t="shared" si="26"/>
        <v>-0.17723926977670384</v>
      </c>
      <c r="CG19" s="11">
        <f>IFERROR(AVERAGEIF('Pemetaan Variant'!$A$5:$A$32,$B19,'Pemetaan Variant'!$AQ$5:$AQ$32),"n/a")</f>
        <v>27500</v>
      </c>
      <c r="CH19" s="12">
        <f>IFERROR(IF(ISNUMBER(CG19),(CG19-AVERAGEIF('Pemetaan Variant'!$A$5:$A$32,$B19,'Pemetaan Variant'!$I$5:$I$32))/AVERAGEIF('Pemetaan Variant'!$A$5:$A$32,$B19,'Pemetaan Variant'!$I$5:$I$32)*100,"n/a"),"n/a")</f>
        <v>-15.384615384615385</v>
      </c>
      <c r="CI19" s="4">
        <f t="shared" si="27"/>
        <v>-0.1969325219741154</v>
      </c>
      <c r="CJ19" s="11">
        <f>IFERROR(AVERAGEIF('Pemetaan Variant'!$A$5:$A$32,$B19,'Pemetaan Variant'!$AR$5:$AR$32),"n/a")</f>
        <v>27500</v>
      </c>
      <c r="CK19" s="12">
        <f>IFERROR(IF(ISNUMBER(CJ19),(CJ19-AVERAGEIF('Pemetaan Variant'!$A$5:$A$32,$B19,'Pemetaan Variant'!$J$5:$J$32))/AVERAGEIF('Pemetaan Variant'!$A$5:$A$32,$B19,'Pemetaan Variant'!$J$5:$J$32)*100,"n/a"),"n/a")</f>
        <v>-4.5918367346938789</v>
      </c>
      <c r="CL19" s="4">
        <f t="shared" si="28"/>
        <v>-5.8778329262682415E-2</v>
      </c>
      <c r="CM19" s="11">
        <f>IFERROR(AVERAGEIF('Pemetaan Variant'!$A$5:$A$32,$B19,'Pemetaan Variant'!$AS$5:$AS$32),"n/a")</f>
        <v>28500</v>
      </c>
      <c r="CN19" s="12">
        <f>IFERROR(IF(ISNUMBER(CM19),(CM19-AVERAGEIF('Pemetaan Variant'!$A$5:$A$32,$B19,'Pemetaan Variant'!$J$5:$J$32))/AVERAGEIF('Pemetaan Variant'!$A$5:$A$32,$B19,'Pemetaan Variant'!$J$5:$J$32)*100,"n/a"),"n/a")</f>
        <v>-1.1224489795918382</v>
      </c>
      <c r="CO19" s="4">
        <f t="shared" si="29"/>
        <v>-1.436803604198905E-2</v>
      </c>
      <c r="CP19" s="11">
        <f>IFERROR(AVERAGEIF('Pemetaan Variant'!$A$5:$A$32,$B19,'Pemetaan Variant'!$AT$5:$AT$32),"n/a")</f>
        <v>27700</v>
      </c>
      <c r="CQ19" s="12">
        <f>IFERROR(IF(ISNUMBER(CP19),(CP19-AVERAGEIF('Pemetaan Variant'!$A$5:$A$32,$B19,'Pemetaan Variant'!$J$5:$J$32))/AVERAGEIF('Pemetaan Variant'!$A$5:$A$32,$B19,'Pemetaan Variant'!$J$5:$J$32)*100,"n/a"),"n/a")</f>
        <v>-3.8979591836734708</v>
      </c>
      <c r="CR19" s="4">
        <f t="shared" si="30"/>
        <v>-4.9896270618543744E-2</v>
      </c>
      <c r="CS19" s="11">
        <f>IFERROR(AVERAGEIF('Pemetaan Variant'!$A$5:$A$32,$B19,'Pemetaan Variant'!$AU$5:$AU$32),"n/a")</f>
        <v>27500</v>
      </c>
      <c r="CT19" s="12">
        <f>IFERROR(IF(ISNUMBER(CS19),(CS19-AVERAGEIF('Pemetaan Variant'!$A$5:$A$32,$B19,'Pemetaan Variant'!$J$5:$J$32))/AVERAGEIF('Pemetaan Variant'!$A$5:$A$32,$B19,'Pemetaan Variant'!$J$5:$J$32)*100,"n/a"),"n/a")</f>
        <v>-4.5918367346938789</v>
      </c>
      <c r="CU19" s="4">
        <f t="shared" si="31"/>
        <v>-5.8778329262682415E-2</v>
      </c>
      <c r="CV19" s="11">
        <f>IFERROR(AVERAGEIF('Pemetaan Variant'!$A$5:$A$32,$B19,'Pemetaan Variant'!$AV$5:$AV$32),"n/a")</f>
        <v>27125</v>
      </c>
      <c r="CW19" s="12">
        <f>IFERROR(IF(ISNUMBER(CV19),(CV19-AVERAGEIF('Pemetaan Variant'!$A$5:$A$32,$B19,'Pemetaan Variant'!$J$5:$J$32))/AVERAGEIF('Pemetaan Variant'!$A$5:$A$32,$B19,'Pemetaan Variant'!$J$5:$J$32)*100,"n/a"),"n/a")</f>
        <v>-5.8928571428571441</v>
      </c>
      <c r="CX19" s="4">
        <f t="shared" si="32"/>
        <v>-7.5432189220442425E-2</v>
      </c>
      <c r="CY19" s="11">
        <f>IFERROR(AVERAGEIF('Pemetaan Variant'!$A$5:$A$32,$B19,'Pemetaan Variant'!$AW$5:$AW$32),"n/a")</f>
        <v>0</v>
      </c>
      <c r="CZ19" s="12">
        <f>IFERROR(IF(ISNUMBER(CY19),(CY19-AVERAGEIF('Pemetaan Variant'!$A$5:$A$32,$B19,'Pemetaan Variant'!$K$5:$K$32))/AVERAGEIF('Pemetaan Variant'!$A$5:$A$32,$B19,'Pemetaan Variant'!$K$5:$K$32)*100,"n/a"),"n/a")</f>
        <v>-100</v>
      </c>
      <c r="DA19" s="4">
        <f t="shared" si="33"/>
        <v>-1.2800613928317499</v>
      </c>
      <c r="DB19" s="11">
        <f>IFERROR(AVERAGEIF('Pemetaan Variant'!$A$5:$A$32,$B19,'Pemetaan Variant'!$AX$5:$AX$32),"n/a")</f>
        <v>0</v>
      </c>
      <c r="DC19" s="12">
        <f>IFERROR(IF(ISNUMBER(DB19),(DB19-AVERAGEIF('Pemetaan Variant'!$A$5:$A$32,$B19,'Pemetaan Variant'!$K$5:$K$32))/AVERAGEIF('Pemetaan Variant'!$A$5:$A$32,$B19,'Pemetaan Variant'!$K$5:$K$32)*100,"n/a"),"n/a")</f>
        <v>-100</v>
      </c>
      <c r="DD19" s="4">
        <f t="shared" si="34"/>
        <v>-1.2800613928317499</v>
      </c>
      <c r="DE19" s="11">
        <f>IFERROR(AVERAGEIF('Pemetaan Variant'!$A$5:$A$32,$B19,'Pemetaan Variant'!$AY$5:$AY$32),"n/a")</f>
        <v>0</v>
      </c>
      <c r="DF19" s="12">
        <f>IFERROR(IF(ISNUMBER(DE19),(DE19-AVERAGEIF('Pemetaan Variant'!$A$5:$A$32,$B19,'Pemetaan Variant'!$K$5:$K$32))/AVERAGEIF('Pemetaan Variant'!$A$5:$A$32,$B19,'Pemetaan Variant'!$K$5:$K$32)*100,"n/a"),"n/a")</f>
        <v>-100</v>
      </c>
      <c r="DG19" s="4">
        <f t="shared" si="35"/>
        <v>-1.2800613928317499</v>
      </c>
      <c r="DH19" s="11">
        <f>IFERROR(AVERAGEIF('Pemetaan Variant'!$A$5:$A$32,$B19,'Pemetaan Variant'!$AZ$5:$AZ$32),"n/a")</f>
        <v>0</v>
      </c>
      <c r="DI19" s="12">
        <f>IFERROR(IF(ISNUMBER(DH19),(DH19-AVERAGEIF('Pemetaan Variant'!$A$5:$A$32,$B19,'Pemetaan Variant'!$K$5:$K$32))/AVERAGEIF('Pemetaan Variant'!$A$5:$A$32,$B19,'Pemetaan Variant'!$K$5:$K$32)*100,"n/a"),"n/a")</f>
        <v>-100</v>
      </c>
      <c r="DJ19" s="4">
        <f t="shared" si="36"/>
        <v>-1.2800613928317499</v>
      </c>
      <c r="DK19" s="11" t="str">
        <f>IFERROR(AVERAGEIF('Pemetaan Variant'!$A$5:$A$32,$B19,'Pemetaan Variant'!$BA$5:$BA$32),"n/a")</f>
        <v>n/a</v>
      </c>
      <c r="DL19" s="12" t="str">
        <f>IFERROR(IF(ISNUMBER(DK19),(DK19-AVERAGEIF('Pemetaan Variant'!$A$5:$A$32,$B19,'Pemetaan Variant'!$L$5:$L$32))/AVERAGEIF('Pemetaan Variant'!$A$5:$A$32,$B19,'Pemetaan Variant'!$L$5:$L$32)*100,"n/a"),"n/a")</f>
        <v>n/a</v>
      </c>
      <c r="DM19" s="4" t="str">
        <f t="shared" si="37"/>
        <v>n/a</v>
      </c>
      <c r="DN19" s="11" t="str">
        <f>IFERROR(AVERAGEIF('Pemetaan Variant'!$A$5:$A$32,$B19,'Pemetaan Variant'!$BB$5:$BB$32),"n/a")</f>
        <v>n/a</v>
      </c>
      <c r="DO19" s="12" t="str">
        <f>IFERROR(IF(ISNUMBER(DN19),(DN19-AVERAGEIF('Pemetaan Variant'!$A$5:$A$32,$B19,'Pemetaan Variant'!$L$5:$L$32))/AVERAGEIF('Pemetaan Variant'!$A$5:$A$32,$B19,'Pemetaan Variant'!$L$5:$L$32)*100,"n/a"),"n/a")</f>
        <v>n/a</v>
      </c>
      <c r="DP19" s="4" t="str">
        <f t="shared" si="38"/>
        <v>n/a</v>
      </c>
      <c r="DQ19" s="11" t="str">
        <f>IFERROR(AVERAGEIF('Pemetaan Variant'!$A$5:$A$32,$B19,'Pemetaan Variant'!$BC$5:$BC$32),"n/a")</f>
        <v>n/a</v>
      </c>
      <c r="DR19" s="12" t="str">
        <f>IFERROR(IF(ISNUMBER(DQ19),(DQ19-AVERAGEIF('Pemetaan Variant'!$A$5:$A$32,$B19,'Pemetaan Variant'!$L$5:$L$32))/AVERAGEIF('Pemetaan Variant'!$A$5:$A$32,$B19,'Pemetaan Variant'!$L$5:$L$32)*100,"n/a"),"n/a")</f>
        <v>n/a</v>
      </c>
      <c r="DS19" s="4" t="str">
        <f t="shared" si="39"/>
        <v>n/a</v>
      </c>
      <c r="DT19" s="11" t="str">
        <f>IFERROR(AVERAGEIF('Pemetaan Variant'!$A$5:$A$32,$B19,'Pemetaan Variant'!$BD$5:$BD$32),"n/a")</f>
        <v>n/a</v>
      </c>
      <c r="DU19" s="12" t="str">
        <f>IFERROR(IF(ISNUMBER(DT19),(DT19-AVERAGEIF('Pemetaan Variant'!$A$5:$A$32,$B19,'Pemetaan Variant'!$L$5:$L$32))/AVERAGEIF('Pemetaan Variant'!$A$5:$A$32,$B19,'Pemetaan Variant'!$L$5:$L$32)*100,"n/a"),"n/a")</f>
        <v>n/a</v>
      </c>
      <c r="DV19" s="4" t="str">
        <f t="shared" si="40"/>
        <v>n/a</v>
      </c>
      <c r="DW19" s="11" t="str">
        <f>IFERROR(AVERAGEIF('Pemetaan Variant'!$A$5:$A$32,$B19,'Pemetaan Variant'!$BE$5:$BE$32),"n/a")</f>
        <v>n/a</v>
      </c>
      <c r="DX19" s="12" t="str">
        <f>IFERROR(IF(ISNUMBER(DW19),(DW19-AVERAGEIF('Pemetaan Variant'!$A$5:$A$32,$B19,'Pemetaan Variant'!$M$5:$M$32))/AVERAGEIF('Pemetaan Variant'!$A$5:$A$32,$B19,'Pemetaan Variant'!$M$5:$M$32)*100,"n/a"),"n/a")</f>
        <v>n/a</v>
      </c>
      <c r="DY19" s="4" t="str">
        <f t="shared" si="41"/>
        <v>n/a</v>
      </c>
      <c r="DZ19" s="11" t="str">
        <f>IFERROR(AVERAGEIF('Pemetaan Variant'!$A$5:$A$32,$B19,'Pemetaan Variant'!$BF$5:$BF$32),"n/a")</f>
        <v>n/a</v>
      </c>
      <c r="EA19" s="12" t="str">
        <f>IFERROR(IF(ISNUMBER(DZ19),(DZ19-AVERAGEIF('Pemetaan Variant'!$A$5:$A$32,$B19,'Pemetaan Variant'!$M$5:$M$32))/AVERAGEIF('Pemetaan Variant'!$A$5:$A$32,$B19,'Pemetaan Variant'!$M$5:$M$32)*100,"n/a"),"n/a")</f>
        <v>n/a</v>
      </c>
      <c r="EB19" s="4" t="str">
        <f t="shared" si="42"/>
        <v>n/a</v>
      </c>
      <c r="EC19" s="11" t="str">
        <f>IFERROR(AVERAGEIF('Pemetaan Variant'!$A$5:$A$32,$B19,'Pemetaan Variant'!$BG$5:$BG$32),"n/a")</f>
        <v>n/a</v>
      </c>
      <c r="ED19" s="12" t="str">
        <f>IFERROR(IF(ISNUMBER(EC19),(EC19-AVERAGEIF('Pemetaan Variant'!$A$5:$A$32,$B19,'Pemetaan Variant'!$M$5:$M$32))/AVERAGEIF('Pemetaan Variant'!$A$5:$A$32,$B19,'Pemetaan Variant'!$M$5:$M$32)*100,"n/a"),"n/a")</f>
        <v>n/a</v>
      </c>
      <c r="EE19" s="4" t="str">
        <f t="shared" si="43"/>
        <v>n/a</v>
      </c>
      <c r="EF19" s="11" t="str">
        <f>IFERROR(AVERAGEIF('Pemetaan Variant'!$A$5:$A$32,$B19,'Pemetaan Variant'!$BH$5:$BH$32),"n/a")</f>
        <v>n/a</v>
      </c>
      <c r="EG19" s="12" t="str">
        <f>IFERROR(IF(ISNUMBER(EF19),(EF19-AVERAGEIF('Pemetaan Variant'!$A$5:$A$32,$B19,'Pemetaan Variant'!$M$5:$M$32))/AVERAGEIF('Pemetaan Variant'!$A$5:$A$32,$B19,'Pemetaan Variant'!$M$5:$M$32)*100,"n/a"),"n/a")</f>
        <v>n/a</v>
      </c>
      <c r="EH19" s="4" t="str">
        <f t="shared" si="44"/>
        <v>n/a</v>
      </c>
      <c r="EI19" s="11" t="str">
        <f>IFERROR(AVERAGEIF('Pemetaan Variant'!$A$5:$A$32,$B19,'Pemetaan Variant'!$BI$5:$BI$32),"n/a")</f>
        <v>n/a</v>
      </c>
      <c r="EJ19" s="12" t="str">
        <f>IFERROR(IF(ISNUMBER(EI19),(EI19-AVERAGEIF('Pemetaan Variant'!$A$5:$A$32,$B19,'Pemetaan Variant'!$M$5:$M$32))/AVERAGEIF('Pemetaan Variant'!$A$5:$A$32,$B19,'Pemetaan Variant'!$M$5:$M$32)*100,"n/a"),"n/a")</f>
        <v>n/a</v>
      </c>
      <c r="EK19" s="4" t="str">
        <f t="shared" si="45"/>
        <v>n/a</v>
      </c>
      <c r="EL19" s="11" t="str">
        <f>IFERROR(AVERAGEIF('Pemetaan Variant'!$A$5:$A$32,$B19,'Pemetaan Variant'!$BJ$5:$BJ$32),"n/a")</f>
        <v>n/a</v>
      </c>
      <c r="EM19" s="12" t="str">
        <f>IFERROR(IF(ISNUMBER(EL19),(EL19-AVERAGEIF('Pemetaan Variant'!$A$5:$A$32,$B19,'Pemetaan Variant'!$N$5:$N$32))/AVERAGEIF('Pemetaan Variant'!$A$5:$A$32,$B19,'Pemetaan Variant'!$N$5:$N$32)*100,"n/a"),"n/a")</f>
        <v>n/a</v>
      </c>
      <c r="EN19" s="4" t="str">
        <f t="shared" si="46"/>
        <v>n/a</v>
      </c>
      <c r="EO19" s="11" t="str">
        <f>IFERROR(AVERAGEIF('Pemetaan Variant'!$A$5:$A$32,$B19,'Pemetaan Variant'!$BK$5:$BK$32),"n/a")</f>
        <v>n/a</v>
      </c>
      <c r="EP19" s="12" t="str">
        <f>IFERROR(IF(ISNUMBER(EO19),(EO19-AVERAGEIF('Pemetaan Variant'!$A$5:$A$32,$B19,'Pemetaan Variant'!$N$5:$N$32))/AVERAGEIF('Pemetaan Variant'!$A$5:$A$32,$B19,'Pemetaan Variant'!$N$5:$N$32)*100,"n/a"),"n/a")</f>
        <v>n/a</v>
      </c>
      <c r="EQ19" s="4" t="str">
        <f t="shared" si="47"/>
        <v>n/a</v>
      </c>
      <c r="ER19" s="11" t="str">
        <f>IFERROR(AVERAGEIF('Pemetaan Variant'!$A$5:$A$32,$B19,'Pemetaan Variant'!$BL$5:$BL$32),"n/a")</f>
        <v>n/a</v>
      </c>
      <c r="ES19" s="12" t="str">
        <f>IFERROR(IF(ISNUMBER(ER19),(ER19-AVERAGEIF('Pemetaan Variant'!$A$5:$A$32,$B19,'Pemetaan Variant'!$N$5:$N$32))/AVERAGEIF('Pemetaan Variant'!$A$5:$A$32,$B19,'Pemetaan Variant'!$N$5:$N$32)*100,"n/a"),"n/a")</f>
        <v>n/a</v>
      </c>
      <c r="ET19" s="4" t="str">
        <f t="shared" si="48"/>
        <v>n/a</v>
      </c>
      <c r="EU19" s="11" t="str">
        <f>IFERROR(AVERAGEIF('Pemetaan Variant'!$A$5:$A$32,$B19,'Pemetaan Variant'!$BM$5:$BM$32),"n/a")</f>
        <v>n/a</v>
      </c>
      <c r="EV19" s="12" t="str">
        <f>IFERROR(IF(ISNUMBER(EU19),(EU19-AVERAGEIF('Pemetaan Variant'!$A$5:$A$32,$B19,'Pemetaan Variant'!$N$5:$N$32))/AVERAGEIF('Pemetaan Variant'!$A$5:$A$32,$B19,'Pemetaan Variant'!$N$5:$N$32)*100,"n/a"),"n/a")</f>
        <v>n/a</v>
      </c>
      <c r="EW19" s="4" t="str">
        <f t="shared" si="49"/>
        <v>n/a</v>
      </c>
      <c r="EX19" s="11" t="str">
        <f>IFERROR(AVERAGEIF('Pemetaan Variant'!$A$5:$A$32,$B19,'Pemetaan Variant'!$BN$5:$BN$32),"n/a")</f>
        <v>n/a</v>
      </c>
      <c r="EY19" s="12" t="str">
        <f>IFERROR(IF(ISNUMBER(EX19),(EX19-AVERAGEIF('Pemetaan Variant'!$A$5:$A$32,$B19,'Pemetaan Variant'!$O$5:$O$32))/AVERAGEIF('Pemetaan Variant'!$A$5:$A$32,$B19,'Pemetaan Variant'!$O$5:$O$32)*100,"n/a"),"n/a")</f>
        <v>n/a</v>
      </c>
      <c r="EZ19" s="4" t="str">
        <f t="shared" si="50"/>
        <v>n/a</v>
      </c>
      <c r="FA19" s="11" t="str">
        <f>IFERROR(AVERAGEIF('Pemetaan Variant'!$A$5:$A$32,$B19,'Pemetaan Variant'!$BO$5:$BO$32),"n/a")</f>
        <v>n/a</v>
      </c>
      <c r="FB19" s="12" t="str">
        <f>IFERROR(IF(ISNUMBER(FA19),(FA19-AVERAGEIF('Pemetaan Variant'!$A$5:$A$32,$B19,'Pemetaan Variant'!$O$5:$O$32))/AVERAGEIF('Pemetaan Variant'!$A$5:$A$32,$B19,'Pemetaan Variant'!$O$5:$O$32)*100,"n/a"),"n/a")</f>
        <v>n/a</v>
      </c>
      <c r="FC19" s="4" t="str">
        <f t="shared" si="51"/>
        <v>n/a</v>
      </c>
      <c r="FD19" s="11" t="str">
        <f>IFERROR(AVERAGEIF('Pemetaan Variant'!$A$5:$A$32,$B19,'Pemetaan Variant'!$BP$5:$BP$32),"n/a")</f>
        <v>n/a</v>
      </c>
      <c r="FE19" s="12" t="str">
        <f>IFERROR(IF(ISNUMBER(FD19),(FD19-AVERAGEIF('Pemetaan Variant'!$A$5:$A$32,$B19,'Pemetaan Variant'!$O$5:$O$32))/AVERAGEIF('Pemetaan Variant'!$A$5:$A$32,$B19,'Pemetaan Variant'!$O$5:$O$32)*100,"n/a"),"n/a")</f>
        <v>n/a</v>
      </c>
      <c r="FF19" s="4" t="str">
        <f t="shared" si="52"/>
        <v>n/a</v>
      </c>
      <c r="FG19" s="11" t="str">
        <f>IFERROR(AVERAGEIF('Pemetaan Variant'!$A$5:$A$32,$B19,'Pemetaan Variant'!$BQ$5:$BQ$32),"n/a")</f>
        <v>n/a</v>
      </c>
      <c r="FH19" s="12" t="str">
        <f>IFERROR(IF(ISNUMBER(FG19),(FG19-AVERAGEIF('Pemetaan Variant'!$A$5:$A$32,$B19,'Pemetaan Variant'!$O$5:$O$32))/AVERAGEIF('Pemetaan Variant'!$A$5:$A$32,$B19,'Pemetaan Variant'!$O$5:$O$32)*100,"n/a"),"n/a")</f>
        <v>n/a</v>
      </c>
      <c r="FI19" s="4" t="str">
        <f t="shared" si="53"/>
        <v>n/a</v>
      </c>
      <c r="FJ19" s="11" t="str">
        <f>IFERROR(AVERAGEIF('Pemetaan Variant'!$A$5:$A$32,$B19,'Pemetaan Variant'!$BR$5:$BR$32),"n/a")</f>
        <v>n/a</v>
      </c>
      <c r="FK19" s="12" t="str">
        <f>IFERROR(IF(ISNUMBER(FJ19),(FJ19-AVERAGEIF('Pemetaan Variant'!$A$5:$A$32,$B19,'Pemetaan Variant'!$O$5:$O$32))/AVERAGEIF('Pemetaan Variant'!$A$5:$A$32,$B19,'Pemetaan Variant'!$O$5:$O$32)*100,"n/a"),"n/a")</f>
        <v>n/a</v>
      </c>
      <c r="FL19" s="4" t="str">
        <f t="shared" si="54"/>
        <v>n/a</v>
      </c>
      <c r="FM19" s="13"/>
      <c r="FO19" s="9">
        <f t="shared" si="55"/>
        <v>2.8016438031789215E-2</v>
      </c>
      <c r="FP19" s="9">
        <f t="shared" si="56"/>
        <v>2.8016438031789215E-2</v>
      </c>
      <c r="FQ19" s="9">
        <f t="shared" si="57"/>
        <v>2.8016438031789215E-2</v>
      </c>
      <c r="FR19" s="9">
        <f t="shared" si="58"/>
        <v>2.8016438031789215E-2</v>
      </c>
      <c r="FS19" s="9">
        <f t="shared" si="59"/>
        <v>2.8016438031789215E-2</v>
      </c>
      <c r="FT19" s="9">
        <f t="shared" si="60"/>
        <v>0</v>
      </c>
      <c r="FU19" s="9">
        <f t="shared" si="61"/>
        <v>1.7778630455996525E-2</v>
      </c>
      <c r="FV19" s="9">
        <f t="shared" si="62"/>
        <v>3.5557260911993051E-2</v>
      </c>
      <c r="FW19" s="9">
        <f t="shared" si="63"/>
        <v>3.5557260911993051E-2</v>
      </c>
      <c r="FX19" s="9">
        <f t="shared" si="64"/>
        <v>1.4171779618697889E-2</v>
      </c>
      <c r="FY19" s="9">
        <f t="shared" si="65"/>
        <v>2.1165644885068346E-2</v>
      </c>
      <c r="FZ19" s="9">
        <f t="shared" si="66"/>
        <v>2.1165644885068346E-2</v>
      </c>
      <c r="GA19" s="9">
        <f t="shared" si="67"/>
        <v>1.2423313302105277E-2</v>
      </c>
      <c r="GB19" s="9">
        <f t="shared" si="68"/>
        <v>0</v>
      </c>
      <c r="GC19" s="9">
        <f t="shared" si="69"/>
        <v>0</v>
      </c>
      <c r="GD19" s="9">
        <f t="shared" si="70"/>
        <v>4.9448435728923157E-2</v>
      </c>
      <c r="GE19" s="9">
        <f t="shared" si="71"/>
        <v>2.1458755127646077E-2</v>
      </c>
      <c r="GF19" s="9">
        <f t="shared" si="72"/>
        <v>3.564019329895992E-2</v>
      </c>
      <c r="GG19" s="9">
        <f t="shared" si="73"/>
        <v>0.12781954141249993</v>
      </c>
      <c r="GH19" s="9">
        <f t="shared" si="74"/>
        <v>0.10195179234943141</v>
      </c>
      <c r="GI19" s="9">
        <f t="shared" si="75"/>
        <v>0.10195179234943141</v>
      </c>
      <c r="GJ19" s="9">
        <f t="shared" si="76"/>
        <v>0.10195179234943141</v>
      </c>
      <c r="GK19" s="9">
        <f t="shared" si="77"/>
        <v>0.10195179234943141</v>
      </c>
      <c r="GL19" s="9">
        <f t="shared" si="78"/>
        <v>0.10195179234943141</v>
      </c>
      <c r="GM19" s="9">
        <f t="shared" si="79"/>
        <v>9.8466260987057699E-2</v>
      </c>
      <c r="GN19" s="9">
        <f t="shared" si="80"/>
        <v>9.8466260987057699E-2</v>
      </c>
      <c r="GO19" s="9">
        <f t="shared" si="81"/>
        <v>0.17723926977670384</v>
      </c>
      <c r="GP19" s="9">
        <f t="shared" si="82"/>
        <v>0.1969325219741154</v>
      </c>
      <c r="GQ19" s="9">
        <f t="shared" si="83"/>
        <v>5.8778329262682415E-2</v>
      </c>
      <c r="GR19" s="9">
        <f t="shared" si="84"/>
        <v>1.436803604198905E-2</v>
      </c>
      <c r="GS19" s="9">
        <f t="shared" si="85"/>
        <v>4.9896270618543744E-2</v>
      </c>
      <c r="GT19" s="9">
        <f t="shared" si="86"/>
        <v>5.8778329262682415E-2</v>
      </c>
      <c r="GU19" s="9">
        <f t="shared" si="87"/>
        <v>7.5432189220442425E-2</v>
      </c>
      <c r="GV19" s="9">
        <f t="shared" si="88"/>
        <v>1.2800613928317499</v>
      </c>
      <c r="GW19" s="9">
        <f t="shared" si="89"/>
        <v>1.2800613928317499</v>
      </c>
      <c r="GX19" s="9">
        <f t="shared" si="90"/>
        <v>1.2800613928317499</v>
      </c>
      <c r="GY19" s="9">
        <f t="shared" si="91"/>
        <v>1.2800613928317499</v>
      </c>
      <c r="GZ19" s="9">
        <f t="shared" si="92"/>
        <v>0</v>
      </c>
      <c r="HA19" s="9">
        <f t="shared" si="93"/>
        <v>0</v>
      </c>
      <c r="HB19" s="9">
        <f t="shared" si="94"/>
        <v>0</v>
      </c>
      <c r="HC19" s="9">
        <f t="shared" si="95"/>
        <v>0</v>
      </c>
      <c r="HD19" s="9">
        <f t="shared" si="96"/>
        <v>0</v>
      </c>
      <c r="HE19" s="9">
        <f t="shared" si="97"/>
        <v>0</v>
      </c>
      <c r="HF19" s="9">
        <f t="shared" si="98"/>
        <v>0</v>
      </c>
      <c r="HG19" s="9">
        <f t="shared" si="99"/>
        <v>0</v>
      </c>
      <c r="HH19" s="9">
        <f t="shared" si="100"/>
        <v>0</v>
      </c>
      <c r="HI19" s="9">
        <f t="shared" si="101"/>
        <v>0</v>
      </c>
      <c r="HJ19" s="9">
        <f t="shared" si="102"/>
        <v>0</v>
      </c>
      <c r="HK19" s="9">
        <f t="shared" si="103"/>
        <v>0</v>
      </c>
      <c r="HL19" s="9">
        <f t="shared" si="104"/>
        <v>0</v>
      </c>
      <c r="HM19" s="9">
        <f t="shared" si="105"/>
        <v>0</v>
      </c>
      <c r="HN19" s="9">
        <f t="shared" si="106"/>
        <v>0</v>
      </c>
      <c r="HO19" s="9">
        <f t="shared" si="107"/>
        <v>0</v>
      </c>
      <c r="HP19" s="9">
        <f t="shared" si="108"/>
        <v>0</v>
      </c>
      <c r="HQ19" s="9">
        <f t="shared" si="109"/>
        <v>0</v>
      </c>
    </row>
    <row r="20" spans="1:225" x14ac:dyDescent="0.35">
      <c r="A20" s="3">
        <v>15</v>
      </c>
      <c r="B20" s="3" t="s">
        <v>141</v>
      </c>
      <c r="C20" s="10">
        <f>'P0Q0 Dasar 2022'!F19</f>
        <v>2.5517868612932301E-2</v>
      </c>
      <c r="D20" s="11">
        <f>IFERROR(AVERAGEIF('Pemetaan Variant'!$A$5:$A$32,$B20,'Pemetaan Variant'!$P$5:$P$32),"n/a")</f>
        <v>2800</v>
      </c>
      <c r="E20" s="12">
        <f>IFERROR(IF(ISNUMBER(D20),(D20-AVERAGEIF('Pemetaan Variant'!$A$5:$A$32,$B20,'Pemetaan Variant'!$D$5:$D$32))/AVERAGEIF('Pemetaan Variant'!$A$5:$A$32,$B20,'Pemetaan Variant'!$D$5:$D$32)*100,"n/a"),"n/a")</f>
        <v>0</v>
      </c>
      <c r="F20" s="4">
        <f t="shared" si="0"/>
        <v>0</v>
      </c>
      <c r="G20" s="11">
        <f>IFERROR(AVERAGEIF('Pemetaan Variant'!$A$5:$A$32,$B20,'Pemetaan Variant'!$Q$5:$Q$32),"n/a")</f>
        <v>2800</v>
      </c>
      <c r="H20" s="12">
        <f>IFERROR(IF(ISNUMBER(G20),(G20-AVERAGEIF('Pemetaan Variant'!$A$5:$A$32,$B20,'Pemetaan Variant'!$D$5:$D$32))/AVERAGEIF('Pemetaan Variant'!$A$5:$A$32,$B20,'Pemetaan Variant'!$D$5:$D$32)*100,"n/a"),"n/a")</f>
        <v>0</v>
      </c>
      <c r="I20" s="4">
        <f t="shared" si="1"/>
        <v>0</v>
      </c>
      <c r="J20" s="11">
        <f>IFERROR(AVERAGEIF('Pemetaan Variant'!$A$5:$A$32,$B20,'Pemetaan Variant'!$R$5:$R$32),"n/a")</f>
        <v>2800</v>
      </c>
      <c r="K20" s="12">
        <f>IFERROR(IF(ISNUMBER(J20),(J20-AVERAGEIF('Pemetaan Variant'!$A$5:$A$32,$B20,'Pemetaan Variant'!$D$5:$D$32))/AVERAGEIF('Pemetaan Variant'!$A$5:$A$32,$B20,'Pemetaan Variant'!$D$5:$D$32)*100,"n/a"),"n/a")</f>
        <v>0</v>
      </c>
      <c r="L20" s="4">
        <f t="shared" si="2"/>
        <v>0</v>
      </c>
      <c r="M20" s="11">
        <f>IFERROR(AVERAGEIF('Pemetaan Variant'!$A$5:$A$32,$B20,'Pemetaan Variant'!$S$5:$S$32),"n/a")</f>
        <v>2800</v>
      </c>
      <c r="N20" s="12">
        <f>IFERROR(IF(ISNUMBER(M20),(M20-AVERAGEIF('Pemetaan Variant'!$A$5:$A$32,$B20,'Pemetaan Variant'!$D$5:$D$32))/AVERAGEIF('Pemetaan Variant'!$A$5:$A$32,$B20,'Pemetaan Variant'!$D$5:$D$32)*100,"n/a"),"n/a")</f>
        <v>0</v>
      </c>
      <c r="O20" s="4">
        <f t="shared" si="3"/>
        <v>0</v>
      </c>
      <c r="P20" s="11">
        <f>IFERROR(AVERAGEIF('Pemetaan Variant'!$A$5:$A$32,$B20,'Pemetaan Variant'!$T$5:$T$32),"n/a")</f>
        <v>2800</v>
      </c>
      <c r="Q20" s="12">
        <f>IFERROR(IF(ISNUMBER(P20),(P20-AVERAGEIF('Pemetaan Variant'!$A$5:$A$32,$B20,'Pemetaan Variant'!$D$5:$D$32))/AVERAGEIF('Pemetaan Variant'!$A$5:$A$32,$B20,'Pemetaan Variant'!$D$5:$D$32)*100,"n/a"),"n/a")</f>
        <v>0</v>
      </c>
      <c r="R20" s="4">
        <f t="shared" si="4"/>
        <v>0</v>
      </c>
      <c r="S20" s="11">
        <f>IFERROR(AVERAGEIF('Pemetaan Variant'!$A$5:$A$32,$B20,'Pemetaan Variant'!$U$5:$U$32),"n/a")</f>
        <v>2800</v>
      </c>
      <c r="T20" s="12">
        <f>IFERROR(IF(ISNUMBER(S20),(S20-AVERAGEIF('Pemetaan Variant'!$A$5:$A$32,$B20,'Pemetaan Variant'!$E$5:$E$32))/AVERAGEIF('Pemetaan Variant'!$A$5:$A$32,$B20,'Pemetaan Variant'!$E$5:$E$32)*100,"n/a"),"n/a")</f>
        <v>0</v>
      </c>
      <c r="U20" s="4">
        <f t="shared" si="5"/>
        <v>0</v>
      </c>
      <c r="V20" s="11">
        <f>IFERROR(AVERAGEIF('Pemetaan Variant'!$A$5:$A$32,$B20,'Pemetaan Variant'!$V$5:$V$32),"n/a")</f>
        <v>2800</v>
      </c>
      <c r="W20" s="12">
        <f>IFERROR(IF(ISNUMBER(V20),(V20-AVERAGEIF('Pemetaan Variant'!$A$5:$A$32,$B20,'Pemetaan Variant'!$E$5:$E$32))/AVERAGEIF('Pemetaan Variant'!$A$5:$A$32,$B20,'Pemetaan Variant'!$E$5:$E$32)*100,"n/a"),"n/a")</f>
        <v>0</v>
      </c>
      <c r="X20" s="4">
        <f t="shared" si="6"/>
        <v>0</v>
      </c>
      <c r="Y20" s="11">
        <f>IFERROR(AVERAGEIF('Pemetaan Variant'!$A$5:$A$32,$B20,'Pemetaan Variant'!$W$5:$W$32),"n/a")</f>
        <v>2800</v>
      </c>
      <c r="Z20" s="12">
        <f>IFERROR(IF(ISNUMBER(Y20),(Y20-AVERAGEIF('Pemetaan Variant'!$A$5:$A$32,$B20,'Pemetaan Variant'!$E$5:$E$32))/AVERAGEIF('Pemetaan Variant'!$A$5:$A$32,$B20,'Pemetaan Variant'!$E$5:$E$32)*100,"n/a"),"n/a")</f>
        <v>0</v>
      </c>
      <c r="AA20" s="4">
        <f t="shared" si="7"/>
        <v>0</v>
      </c>
      <c r="AB20" s="11">
        <f>IFERROR(AVERAGEIF('Pemetaan Variant'!$A$5:$A$32,$B20,'Pemetaan Variant'!$X$5:$X$32),"n/a")</f>
        <v>2800</v>
      </c>
      <c r="AC20" s="12">
        <f>IFERROR(IF(ISNUMBER(AB20),(AB20-AVERAGEIF('Pemetaan Variant'!$A$5:$A$32,$B20,'Pemetaan Variant'!$E$5:$E$32))/AVERAGEIF('Pemetaan Variant'!$A$5:$A$32,$B20,'Pemetaan Variant'!$E$5:$E$32)*100,"n/a"),"n/a")</f>
        <v>0</v>
      </c>
      <c r="AD20" s="4">
        <f t="shared" si="8"/>
        <v>0</v>
      </c>
      <c r="AE20" s="11">
        <f>IFERROR(AVERAGEIF('Pemetaan Variant'!$A$5:$A$32,$B20,'Pemetaan Variant'!$Y$5:$Y$32),"n/a")</f>
        <v>2800</v>
      </c>
      <c r="AF20" s="12">
        <f>IFERROR(IF(ISNUMBER(AE20),(AE20-AVERAGEIF('Pemetaan Variant'!$A$5:$A$32,$B20,'Pemetaan Variant'!$F$5:$F$32))/AVERAGEIF('Pemetaan Variant'!$A$5:$A$32,$B20,'Pemetaan Variant'!$F$5:$F$32)*100,"n/a"),"n/a")</f>
        <v>0</v>
      </c>
      <c r="AG20" s="4">
        <f t="shared" si="9"/>
        <v>0</v>
      </c>
      <c r="AH20" s="11">
        <f>IFERROR(AVERAGEIF('Pemetaan Variant'!$A$5:$A$32,$B20,'Pemetaan Variant'!$Z$5:$Z$32),"n/a")</f>
        <v>2800</v>
      </c>
      <c r="AI20" s="12">
        <f>IFERROR(IF(ISNUMBER(AH20),(AH20-AVERAGEIF('Pemetaan Variant'!$A$5:$A$32,$B20,'Pemetaan Variant'!$F$5:$F$32))/AVERAGEIF('Pemetaan Variant'!$A$5:$A$32,$B20,'Pemetaan Variant'!$F$5:$F$32)*100,"n/a"),"n/a")</f>
        <v>0</v>
      </c>
      <c r="AJ20" s="4">
        <f t="shared" si="10"/>
        <v>0</v>
      </c>
      <c r="AK20" s="11">
        <f>IFERROR(AVERAGEIF('Pemetaan Variant'!$A$5:$A$32,$B20,'Pemetaan Variant'!$AA$5:$AA$32),"n/a")</f>
        <v>2800</v>
      </c>
      <c r="AL20" s="12">
        <f>IFERROR(IF(ISNUMBER(AK20),(AK20-AVERAGEIF('Pemetaan Variant'!$A$5:$A$32,$B20,'Pemetaan Variant'!$F$5:$F$32))/AVERAGEIF('Pemetaan Variant'!$A$5:$A$32,$B20,'Pemetaan Variant'!$F$5:$F$32)*100,"n/a"),"n/a")</f>
        <v>0</v>
      </c>
      <c r="AM20" s="4">
        <f t="shared" si="11"/>
        <v>0</v>
      </c>
      <c r="AN20" s="11">
        <f>IFERROR(AVERAGEIF('Pemetaan Variant'!$A$5:$A$32,$B20,'Pemetaan Variant'!$AB$5:$AB$32),"n/a")</f>
        <v>2800</v>
      </c>
      <c r="AO20" s="12">
        <f>IFERROR(IF(ISNUMBER(AN20),(AN20-AVERAGEIF('Pemetaan Variant'!$A$5:$A$32,$B20,'Pemetaan Variant'!$F$5:$F$32))/AVERAGEIF('Pemetaan Variant'!$A$5:$A$32,$B20,'Pemetaan Variant'!$F$5:$F$32)*100,"n/a"),"n/a")</f>
        <v>0</v>
      </c>
      <c r="AP20" s="4">
        <f t="shared" si="12"/>
        <v>0</v>
      </c>
      <c r="AQ20" s="11" t="str">
        <f>IFERROR(AVERAGEIF('Pemetaan Variant'!$A$5:$A$32,$B20,'Pemetaan Variant'!$AC$5:$AC$32),"n/a")</f>
        <v>n/a</v>
      </c>
      <c r="AR20" s="12" t="str">
        <f>IFERROR(IF(ISNUMBER(AQ20),(AQ20-AVERAGEIF('Pemetaan Variant'!$A$5:$A$32,$B20,'Pemetaan Variant'!$F$5:$F$32))/AVERAGEIF('Pemetaan Variant'!$A$5:$A$32,$B20,'Pemetaan Variant'!$F$5:$F$32)*100,"n/a"),"n/a")</f>
        <v>n/a</v>
      </c>
      <c r="AS20" s="4" t="str">
        <f t="shared" si="13"/>
        <v>n/a</v>
      </c>
      <c r="AT20" s="11" t="str">
        <f>IFERROR(AVERAGEIF('Pemetaan Variant'!$A$5:$A$32,$B20,'Pemetaan Variant'!$AD$5:$AD$32),"n/a")</f>
        <v>n/a</v>
      </c>
      <c r="AU20" s="12" t="str">
        <f>IFERROR(IF(ISNUMBER(AT20),(AT20-AVERAGEIF('Pemetaan Variant'!$A$5:$A$32,$B20,'Pemetaan Variant'!$G$5:$G$32))/AVERAGEIF('Pemetaan Variant'!$A$5:$A$32,$B20,'Pemetaan Variant'!$G$5:$G$32)*100,"n/a"),"n/a")</f>
        <v>n/a</v>
      </c>
      <c r="AV20" s="4" t="str">
        <f t="shared" si="14"/>
        <v>n/a</v>
      </c>
      <c r="AW20" s="11">
        <f>IFERROR(AVERAGEIF('Pemetaan Variant'!$A$5:$A$32,$B20,'Pemetaan Variant'!$AE$5:$AE$32),"n/a")</f>
        <v>2800</v>
      </c>
      <c r="AX20" s="12">
        <f>IFERROR(IF(ISNUMBER(AW20),(AW20-AVERAGEIF('Pemetaan Variant'!$A$5:$A$32,$B20,'Pemetaan Variant'!$G$5:$G$32))/AVERAGEIF('Pemetaan Variant'!$A$5:$A$32,$B20,'Pemetaan Variant'!$G$5:$G$32)*100,"n/a"),"n/a")</f>
        <v>0</v>
      </c>
      <c r="AY20" s="4">
        <f t="shared" si="15"/>
        <v>0</v>
      </c>
      <c r="AZ20" s="11">
        <f>IFERROR(AVERAGEIF('Pemetaan Variant'!$A$5:$A$32,$B20,'Pemetaan Variant'!$AF$5:$AF$32),"n/a")</f>
        <v>2800</v>
      </c>
      <c r="BA20" s="12">
        <f>IFERROR(IF(ISNUMBER(AZ20),(AZ20-AVERAGEIF('Pemetaan Variant'!$A$5:$A$32,$B20,'Pemetaan Variant'!$G$5:$G$32))/AVERAGEIF('Pemetaan Variant'!$A$5:$A$32,$B20,'Pemetaan Variant'!$G$5:$G$32)*100,"n/a"),"n/a")</f>
        <v>0</v>
      </c>
      <c r="BB20" s="4">
        <f t="shared" si="16"/>
        <v>0</v>
      </c>
      <c r="BC20" s="11">
        <f>IFERROR(AVERAGEIF('Pemetaan Variant'!$A$5:$A$32,$B20,'Pemetaan Variant'!$AG$5:$AG$32),"n/a")</f>
        <v>2800</v>
      </c>
      <c r="BD20" s="12">
        <f>IFERROR(IF(ISNUMBER(BC20),(BC20-AVERAGEIF('Pemetaan Variant'!$A$5:$A$32,$B20,'Pemetaan Variant'!$G$5:$G$32))/AVERAGEIF('Pemetaan Variant'!$A$5:$A$32,$B20,'Pemetaan Variant'!$G$5:$G$32)*100,"n/a"),"n/a")</f>
        <v>0</v>
      </c>
      <c r="BE20" s="4">
        <f t="shared" si="17"/>
        <v>0</v>
      </c>
      <c r="BF20" s="11">
        <f>IFERROR(AVERAGEIF('Pemetaan Variant'!$A$5:$A$32,$B20,'Pemetaan Variant'!$AH$5:$AH$32),"n/a")</f>
        <v>2800</v>
      </c>
      <c r="BG20" s="12">
        <f>IFERROR(IF(ISNUMBER(BF20),(BF20-AVERAGEIF('Pemetaan Variant'!$A$5:$A$32,$B20,'Pemetaan Variant'!$G$5:$G$32))/AVERAGEIF('Pemetaan Variant'!$A$5:$A$32,$B20,'Pemetaan Variant'!$G$5:$G$32)*100,"n/a"),"n/a")</f>
        <v>0</v>
      </c>
      <c r="BH20" s="4">
        <f t="shared" si="18"/>
        <v>0</v>
      </c>
      <c r="BI20" s="11">
        <f>IFERROR(AVERAGEIF('Pemetaan Variant'!$A$5:$A$32,$B20,'Pemetaan Variant'!$AI$5:$AI$32),"n/a")</f>
        <v>2800</v>
      </c>
      <c r="BJ20" s="12">
        <f>IFERROR(IF(ISNUMBER(BI20),(BI20-AVERAGEIF('Pemetaan Variant'!$A$5:$A$32,$B20,'Pemetaan Variant'!$H$5:$H$32))/AVERAGEIF('Pemetaan Variant'!$A$5:$A$32,$B20,'Pemetaan Variant'!$H$5:$H$32)*100,"n/a"),"n/a")</f>
        <v>0</v>
      </c>
      <c r="BK20" s="4">
        <f t="shared" si="19"/>
        <v>0</v>
      </c>
      <c r="BL20" s="11">
        <f>IFERROR(AVERAGEIF('Pemetaan Variant'!$A$5:$A$32,$B20,'Pemetaan Variant'!$AJ$5:$AJ$32),"n/a")</f>
        <v>2800</v>
      </c>
      <c r="BM20" s="12">
        <f>IFERROR(IF(ISNUMBER(BL20),(BL20-AVERAGEIF('Pemetaan Variant'!$A$5:$A$32,$B20,'Pemetaan Variant'!$H$5:$H$32))/AVERAGEIF('Pemetaan Variant'!$A$5:$A$32,$B20,'Pemetaan Variant'!$H$5:$H$32)*100,"n/a"),"n/a")</f>
        <v>0</v>
      </c>
      <c r="BN20" s="4">
        <f t="shared" si="20"/>
        <v>0</v>
      </c>
      <c r="BO20" s="11">
        <f>IFERROR(AVERAGEIF('Pemetaan Variant'!$A$5:$A$32,$B20,'Pemetaan Variant'!$AK$5:$AK$32),"n/a")</f>
        <v>2800</v>
      </c>
      <c r="BP20" s="12">
        <f>IFERROR(IF(ISNUMBER(BO20),(BO20-AVERAGEIF('Pemetaan Variant'!$A$5:$A$32,$B20,'Pemetaan Variant'!$H$5:$H$32))/AVERAGEIF('Pemetaan Variant'!$A$5:$A$32,$B20,'Pemetaan Variant'!$H$5:$H$32)*100,"n/a"),"n/a")</f>
        <v>0</v>
      </c>
      <c r="BQ20" s="4">
        <f t="shared" si="21"/>
        <v>0</v>
      </c>
      <c r="BR20" s="11">
        <f>IFERROR(AVERAGEIF('Pemetaan Variant'!$A$5:$A$32,$B20,'Pemetaan Variant'!$AL$5:$AL$32),"n/a")</f>
        <v>2800</v>
      </c>
      <c r="BS20" s="12">
        <f>IFERROR(IF(ISNUMBER(BR20),(BR20-AVERAGEIF('Pemetaan Variant'!$A$5:$A$32,$B20,'Pemetaan Variant'!$H$5:$H$32))/AVERAGEIF('Pemetaan Variant'!$A$5:$A$32,$B20,'Pemetaan Variant'!$H$5:$H$32)*100,"n/a"),"n/a")</f>
        <v>0</v>
      </c>
      <c r="BT20" s="4">
        <f t="shared" si="22"/>
        <v>0</v>
      </c>
      <c r="BU20" s="11">
        <f>IFERROR(AVERAGEIF('Pemetaan Variant'!$A$5:$A$32,$B20,'Pemetaan Variant'!$AM$5:$AM$32),"n/a")</f>
        <v>2800</v>
      </c>
      <c r="BV20" s="12">
        <f>IFERROR(IF(ISNUMBER(BU20),(BU20-AVERAGEIF('Pemetaan Variant'!$A$5:$A$32,$B20,'Pemetaan Variant'!$H$5:$H$32))/AVERAGEIF('Pemetaan Variant'!$A$5:$A$32,$B20,'Pemetaan Variant'!$H$5:$H$32)*100,"n/a"),"n/a")</f>
        <v>0</v>
      </c>
      <c r="BW20" s="4">
        <f t="shared" si="23"/>
        <v>0</v>
      </c>
      <c r="BX20" s="11">
        <f>IFERROR(AVERAGEIF('Pemetaan Variant'!$A$5:$A$32,$B20,'Pemetaan Variant'!$AN$5:$AN$32),"n/a")</f>
        <v>2800</v>
      </c>
      <c r="BY20" s="12">
        <f>IFERROR(IF(ISNUMBER(BX20),(BX20-AVERAGEIF('Pemetaan Variant'!$A$5:$A$32,$B20,'Pemetaan Variant'!$I$5:$I$32))/AVERAGEIF('Pemetaan Variant'!$A$5:$A$32,$B20,'Pemetaan Variant'!$I$5:$I$32)*100,"n/a"),"n/a")</f>
        <v>0</v>
      </c>
      <c r="BZ20" s="4">
        <f t="shared" si="24"/>
        <v>0</v>
      </c>
      <c r="CA20" s="11">
        <f>IFERROR(AVERAGEIF('Pemetaan Variant'!$A$5:$A$32,$B20,'Pemetaan Variant'!$AO$5:$AO$32),"n/a")</f>
        <v>2800</v>
      </c>
      <c r="CB20" s="12">
        <f>IFERROR(IF(ISNUMBER(CA20),(CA20-AVERAGEIF('Pemetaan Variant'!$A$5:$A$32,$B20,'Pemetaan Variant'!$I$5:$I$32))/AVERAGEIF('Pemetaan Variant'!$A$5:$A$32,$B20,'Pemetaan Variant'!$I$5:$I$32)*100,"n/a"),"n/a")</f>
        <v>0</v>
      </c>
      <c r="CC20" s="4">
        <f t="shared" si="25"/>
        <v>0</v>
      </c>
      <c r="CD20" s="11">
        <f>IFERROR(AVERAGEIF('Pemetaan Variant'!$A$5:$A$32,$B20,'Pemetaan Variant'!$AP$5:$AP$32),"n/a")</f>
        <v>2800</v>
      </c>
      <c r="CE20" s="12">
        <f>IFERROR(IF(ISNUMBER(CD20),(CD20-AVERAGEIF('Pemetaan Variant'!$A$5:$A$32,$B20,'Pemetaan Variant'!$I$5:$I$32))/AVERAGEIF('Pemetaan Variant'!$A$5:$A$32,$B20,'Pemetaan Variant'!$I$5:$I$32)*100,"n/a"),"n/a")</f>
        <v>0</v>
      </c>
      <c r="CF20" s="4">
        <f t="shared" si="26"/>
        <v>0</v>
      </c>
      <c r="CG20" s="11">
        <f>IFERROR(AVERAGEIF('Pemetaan Variant'!$A$5:$A$32,$B20,'Pemetaan Variant'!$AQ$5:$AQ$32),"n/a")</f>
        <v>2800</v>
      </c>
      <c r="CH20" s="12">
        <f>IFERROR(IF(ISNUMBER(CG20),(CG20-AVERAGEIF('Pemetaan Variant'!$A$5:$A$32,$B20,'Pemetaan Variant'!$I$5:$I$32))/AVERAGEIF('Pemetaan Variant'!$A$5:$A$32,$B20,'Pemetaan Variant'!$I$5:$I$32)*100,"n/a"),"n/a")</f>
        <v>0</v>
      </c>
      <c r="CI20" s="4">
        <f t="shared" si="27"/>
        <v>0</v>
      </c>
      <c r="CJ20" s="11">
        <f>IFERROR(AVERAGEIF('Pemetaan Variant'!$A$5:$A$32,$B20,'Pemetaan Variant'!$AR$5:$AR$32),"n/a")</f>
        <v>2800</v>
      </c>
      <c r="CK20" s="12">
        <f>IFERROR(IF(ISNUMBER(CJ20),(CJ20-AVERAGEIF('Pemetaan Variant'!$A$5:$A$32,$B20,'Pemetaan Variant'!$J$5:$J$32))/AVERAGEIF('Pemetaan Variant'!$A$5:$A$32,$B20,'Pemetaan Variant'!$J$5:$J$32)*100,"n/a"),"n/a")</f>
        <v>0</v>
      </c>
      <c r="CL20" s="4">
        <f t="shared" si="28"/>
        <v>0</v>
      </c>
      <c r="CM20" s="11">
        <f>IFERROR(AVERAGEIF('Pemetaan Variant'!$A$5:$A$32,$B20,'Pemetaan Variant'!$AS$5:$AS$32),"n/a")</f>
        <v>2800</v>
      </c>
      <c r="CN20" s="12">
        <f>IFERROR(IF(ISNUMBER(CM20),(CM20-AVERAGEIF('Pemetaan Variant'!$A$5:$A$32,$B20,'Pemetaan Variant'!$J$5:$J$32))/AVERAGEIF('Pemetaan Variant'!$A$5:$A$32,$B20,'Pemetaan Variant'!$J$5:$J$32)*100,"n/a"),"n/a")</f>
        <v>0</v>
      </c>
      <c r="CO20" s="4">
        <f t="shared" si="29"/>
        <v>0</v>
      </c>
      <c r="CP20" s="11">
        <f>IFERROR(AVERAGEIF('Pemetaan Variant'!$A$5:$A$32,$B20,'Pemetaan Variant'!$AT$5:$AT$32),"n/a")</f>
        <v>2800</v>
      </c>
      <c r="CQ20" s="12">
        <f>IFERROR(IF(ISNUMBER(CP20),(CP20-AVERAGEIF('Pemetaan Variant'!$A$5:$A$32,$B20,'Pemetaan Variant'!$J$5:$J$32))/AVERAGEIF('Pemetaan Variant'!$A$5:$A$32,$B20,'Pemetaan Variant'!$J$5:$J$32)*100,"n/a"),"n/a")</f>
        <v>0</v>
      </c>
      <c r="CR20" s="4">
        <f t="shared" si="30"/>
        <v>0</v>
      </c>
      <c r="CS20" s="11">
        <f>IFERROR(AVERAGEIF('Pemetaan Variant'!$A$5:$A$32,$B20,'Pemetaan Variant'!$AU$5:$AU$32),"n/a")</f>
        <v>2800</v>
      </c>
      <c r="CT20" s="12">
        <f>IFERROR(IF(ISNUMBER(CS20),(CS20-AVERAGEIF('Pemetaan Variant'!$A$5:$A$32,$B20,'Pemetaan Variant'!$J$5:$J$32))/AVERAGEIF('Pemetaan Variant'!$A$5:$A$32,$B20,'Pemetaan Variant'!$J$5:$J$32)*100,"n/a"),"n/a")</f>
        <v>0</v>
      </c>
      <c r="CU20" s="4">
        <f t="shared" si="31"/>
        <v>0</v>
      </c>
      <c r="CV20" s="11">
        <f>IFERROR(AVERAGEIF('Pemetaan Variant'!$A$5:$A$32,$B20,'Pemetaan Variant'!$AV$5:$AV$32),"n/a")</f>
        <v>2800</v>
      </c>
      <c r="CW20" s="12">
        <f>IFERROR(IF(ISNUMBER(CV20),(CV20-AVERAGEIF('Pemetaan Variant'!$A$5:$A$32,$B20,'Pemetaan Variant'!$J$5:$J$32))/AVERAGEIF('Pemetaan Variant'!$A$5:$A$32,$B20,'Pemetaan Variant'!$J$5:$J$32)*100,"n/a"),"n/a")</f>
        <v>0</v>
      </c>
      <c r="CX20" s="4">
        <f t="shared" si="32"/>
        <v>0</v>
      </c>
      <c r="CY20" s="11">
        <f>IFERROR(AVERAGEIF('Pemetaan Variant'!$A$5:$A$32,$B20,'Pemetaan Variant'!$AW$5:$AW$32),"n/a")</f>
        <v>0</v>
      </c>
      <c r="CZ20" s="12">
        <f>IFERROR(IF(ISNUMBER(CY20),(CY20-AVERAGEIF('Pemetaan Variant'!$A$5:$A$32,$B20,'Pemetaan Variant'!$K$5:$K$32))/AVERAGEIF('Pemetaan Variant'!$A$5:$A$32,$B20,'Pemetaan Variant'!$K$5:$K$32)*100,"n/a"),"n/a")</f>
        <v>-100</v>
      </c>
      <c r="DA20" s="4">
        <f t="shared" si="33"/>
        <v>-2.55178686129323</v>
      </c>
      <c r="DB20" s="11">
        <f>IFERROR(AVERAGEIF('Pemetaan Variant'!$A$5:$A$32,$B20,'Pemetaan Variant'!$AX$5:$AX$32),"n/a")</f>
        <v>0</v>
      </c>
      <c r="DC20" s="12">
        <f>IFERROR(IF(ISNUMBER(DB20),(DB20-AVERAGEIF('Pemetaan Variant'!$A$5:$A$32,$B20,'Pemetaan Variant'!$K$5:$K$32))/AVERAGEIF('Pemetaan Variant'!$A$5:$A$32,$B20,'Pemetaan Variant'!$K$5:$K$32)*100,"n/a"),"n/a")</f>
        <v>-100</v>
      </c>
      <c r="DD20" s="4">
        <f t="shared" si="34"/>
        <v>-2.55178686129323</v>
      </c>
      <c r="DE20" s="11">
        <f>IFERROR(AVERAGEIF('Pemetaan Variant'!$A$5:$A$32,$B20,'Pemetaan Variant'!$AY$5:$AY$32),"n/a")</f>
        <v>0</v>
      </c>
      <c r="DF20" s="12">
        <f>IFERROR(IF(ISNUMBER(DE20),(DE20-AVERAGEIF('Pemetaan Variant'!$A$5:$A$32,$B20,'Pemetaan Variant'!$K$5:$K$32))/AVERAGEIF('Pemetaan Variant'!$A$5:$A$32,$B20,'Pemetaan Variant'!$K$5:$K$32)*100,"n/a"),"n/a")</f>
        <v>-100</v>
      </c>
      <c r="DG20" s="4">
        <f t="shared" si="35"/>
        <v>-2.55178686129323</v>
      </c>
      <c r="DH20" s="11">
        <f>IFERROR(AVERAGEIF('Pemetaan Variant'!$A$5:$A$32,$B20,'Pemetaan Variant'!$AZ$5:$AZ$32),"n/a")</f>
        <v>0</v>
      </c>
      <c r="DI20" s="12">
        <f>IFERROR(IF(ISNUMBER(DH20),(DH20-AVERAGEIF('Pemetaan Variant'!$A$5:$A$32,$B20,'Pemetaan Variant'!$K$5:$K$32))/AVERAGEIF('Pemetaan Variant'!$A$5:$A$32,$B20,'Pemetaan Variant'!$K$5:$K$32)*100,"n/a"),"n/a")</f>
        <v>-100</v>
      </c>
      <c r="DJ20" s="4">
        <f t="shared" si="36"/>
        <v>-2.55178686129323</v>
      </c>
      <c r="DK20" s="11" t="str">
        <f>IFERROR(AVERAGEIF('Pemetaan Variant'!$A$5:$A$32,$B20,'Pemetaan Variant'!$BA$5:$BA$32),"n/a")</f>
        <v>n/a</v>
      </c>
      <c r="DL20" s="12" t="str">
        <f>IFERROR(IF(ISNUMBER(DK20),(DK20-AVERAGEIF('Pemetaan Variant'!$A$5:$A$32,$B20,'Pemetaan Variant'!$L$5:$L$32))/AVERAGEIF('Pemetaan Variant'!$A$5:$A$32,$B20,'Pemetaan Variant'!$L$5:$L$32)*100,"n/a"),"n/a")</f>
        <v>n/a</v>
      </c>
      <c r="DM20" s="4" t="str">
        <f t="shared" si="37"/>
        <v>n/a</v>
      </c>
      <c r="DN20" s="11" t="str">
        <f>IFERROR(AVERAGEIF('Pemetaan Variant'!$A$5:$A$32,$B20,'Pemetaan Variant'!$BB$5:$BB$32),"n/a")</f>
        <v>n/a</v>
      </c>
      <c r="DO20" s="12" t="str">
        <f>IFERROR(IF(ISNUMBER(DN20),(DN20-AVERAGEIF('Pemetaan Variant'!$A$5:$A$32,$B20,'Pemetaan Variant'!$L$5:$L$32))/AVERAGEIF('Pemetaan Variant'!$A$5:$A$32,$B20,'Pemetaan Variant'!$L$5:$L$32)*100,"n/a"),"n/a")</f>
        <v>n/a</v>
      </c>
      <c r="DP20" s="4" t="str">
        <f t="shared" si="38"/>
        <v>n/a</v>
      </c>
      <c r="DQ20" s="11" t="str">
        <f>IFERROR(AVERAGEIF('Pemetaan Variant'!$A$5:$A$32,$B20,'Pemetaan Variant'!$BC$5:$BC$32),"n/a")</f>
        <v>n/a</v>
      </c>
      <c r="DR20" s="12" t="str">
        <f>IFERROR(IF(ISNUMBER(DQ20),(DQ20-AVERAGEIF('Pemetaan Variant'!$A$5:$A$32,$B20,'Pemetaan Variant'!$L$5:$L$32))/AVERAGEIF('Pemetaan Variant'!$A$5:$A$32,$B20,'Pemetaan Variant'!$L$5:$L$32)*100,"n/a"),"n/a")</f>
        <v>n/a</v>
      </c>
      <c r="DS20" s="4" t="str">
        <f t="shared" si="39"/>
        <v>n/a</v>
      </c>
      <c r="DT20" s="11" t="str">
        <f>IFERROR(AVERAGEIF('Pemetaan Variant'!$A$5:$A$32,$B20,'Pemetaan Variant'!$BD$5:$BD$32),"n/a")</f>
        <v>n/a</v>
      </c>
      <c r="DU20" s="12" t="str">
        <f>IFERROR(IF(ISNUMBER(DT20),(DT20-AVERAGEIF('Pemetaan Variant'!$A$5:$A$32,$B20,'Pemetaan Variant'!$L$5:$L$32))/AVERAGEIF('Pemetaan Variant'!$A$5:$A$32,$B20,'Pemetaan Variant'!$L$5:$L$32)*100,"n/a"),"n/a")</f>
        <v>n/a</v>
      </c>
      <c r="DV20" s="4" t="str">
        <f t="shared" si="40"/>
        <v>n/a</v>
      </c>
      <c r="DW20" s="11" t="str">
        <f>IFERROR(AVERAGEIF('Pemetaan Variant'!$A$5:$A$32,$B20,'Pemetaan Variant'!$BE$5:$BE$32),"n/a")</f>
        <v>n/a</v>
      </c>
      <c r="DX20" s="12" t="str">
        <f>IFERROR(IF(ISNUMBER(DW20),(DW20-AVERAGEIF('Pemetaan Variant'!$A$5:$A$32,$B20,'Pemetaan Variant'!$M$5:$M$32))/AVERAGEIF('Pemetaan Variant'!$A$5:$A$32,$B20,'Pemetaan Variant'!$M$5:$M$32)*100,"n/a"),"n/a")</f>
        <v>n/a</v>
      </c>
      <c r="DY20" s="4" t="str">
        <f t="shared" si="41"/>
        <v>n/a</v>
      </c>
      <c r="DZ20" s="11" t="str">
        <f>IFERROR(AVERAGEIF('Pemetaan Variant'!$A$5:$A$32,$B20,'Pemetaan Variant'!$BF$5:$BF$32),"n/a")</f>
        <v>n/a</v>
      </c>
      <c r="EA20" s="12" t="str">
        <f>IFERROR(IF(ISNUMBER(DZ20),(DZ20-AVERAGEIF('Pemetaan Variant'!$A$5:$A$32,$B20,'Pemetaan Variant'!$M$5:$M$32))/AVERAGEIF('Pemetaan Variant'!$A$5:$A$32,$B20,'Pemetaan Variant'!$M$5:$M$32)*100,"n/a"),"n/a")</f>
        <v>n/a</v>
      </c>
      <c r="EB20" s="4" t="str">
        <f t="shared" si="42"/>
        <v>n/a</v>
      </c>
      <c r="EC20" s="11" t="str">
        <f>IFERROR(AVERAGEIF('Pemetaan Variant'!$A$5:$A$32,$B20,'Pemetaan Variant'!$BG$5:$BG$32),"n/a")</f>
        <v>n/a</v>
      </c>
      <c r="ED20" s="12" t="str">
        <f>IFERROR(IF(ISNUMBER(EC20),(EC20-AVERAGEIF('Pemetaan Variant'!$A$5:$A$32,$B20,'Pemetaan Variant'!$M$5:$M$32))/AVERAGEIF('Pemetaan Variant'!$A$5:$A$32,$B20,'Pemetaan Variant'!$M$5:$M$32)*100,"n/a"),"n/a")</f>
        <v>n/a</v>
      </c>
      <c r="EE20" s="4" t="str">
        <f t="shared" si="43"/>
        <v>n/a</v>
      </c>
      <c r="EF20" s="11" t="str">
        <f>IFERROR(AVERAGEIF('Pemetaan Variant'!$A$5:$A$32,$B20,'Pemetaan Variant'!$BH$5:$BH$32),"n/a")</f>
        <v>n/a</v>
      </c>
      <c r="EG20" s="12" t="str">
        <f>IFERROR(IF(ISNUMBER(EF20),(EF20-AVERAGEIF('Pemetaan Variant'!$A$5:$A$32,$B20,'Pemetaan Variant'!$M$5:$M$32))/AVERAGEIF('Pemetaan Variant'!$A$5:$A$32,$B20,'Pemetaan Variant'!$M$5:$M$32)*100,"n/a"),"n/a")</f>
        <v>n/a</v>
      </c>
      <c r="EH20" s="4" t="str">
        <f t="shared" si="44"/>
        <v>n/a</v>
      </c>
      <c r="EI20" s="11" t="str">
        <f>IFERROR(AVERAGEIF('Pemetaan Variant'!$A$5:$A$32,$B20,'Pemetaan Variant'!$BI$5:$BI$32),"n/a")</f>
        <v>n/a</v>
      </c>
      <c r="EJ20" s="12" t="str">
        <f>IFERROR(IF(ISNUMBER(EI20),(EI20-AVERAGEIF('Pemetaan Variant'!$A$5:$A$32,$B20,'Pemetaan Variant'!$M$5:$M$32))/AVERAGEIF('Pemetaan Variant'!$A$5:$A$32,$B20,'Pemetaan Variant'!$M$5:$M$32)*100,"n/a"),"n/a")</f>
        <v>n/a</v>
      </c>
      <c r="EK20" s="4" t="str">
        <f t="shared" si="45"/>
        <v>n/a</v>
      </c>
      <c r="EL20" s="11" t="str">
        <f>IFERROR(AVERAGEIF('Pemetaan Variant'!$A$5:$A$32,$B20,'Pemetaan Variant'!$BJ$5:$BJ$32),"n/a")</f>
        <v>n/a</v>
      </c>
      <c r="EM20" s="12" t="str">
        <f>IFERROR(IF(ISNUMBER(EL20),(EL20-AVERAGEIF('Pemetaan Variant'!$A$5:$A$32,$B20,'Pemetaan Variant'!$N$5:$N$32))/AVERAGEIF('Pemetaan Variant'!$A$5:$A$32,$B20,'Pemetaan Variant'!$N$5:$N$32)*100,"n/a"),"n/a")</f>
        <v>n/a</v>
      </c>
      <c r="EN20" s="4" t="str">
        <f t="shared" si="46"/>
        <v>n/a</v>
      </c>
      <c r="EO20" s="11" t="str">
        <f>IFERROR(AVERAGEIF('Pemetaan Variant'!$A$5:$A$32,$B20,'Pemetaan Variant'!$BK$5:$BK$32),"n/a")</f>
        <v>n/a</v>
      </c>
      <c r="EP20" s="12" t="str">
        <f>IFERROR(IF(ISNUMBER(EO20),(EO20-AVERAGEIF('Pemetaan Variant'!$A$5:$A$32,$B20,'Pemetaan Variant'!$N$5:$N$32))/AVERAGEIF('Pemetaan Variant'!$A$5:$A$32,$B20,'Pemetaan Variant'!$N$5:$N$32)*100,"n/a"),"n/a")</f>
        <v>n/a</v>
      </c>
      <c r="EQ20" s="4" t="str">
        <f t="shared" si="47"/>
        <v>n/a</v>
      </c>
      <c r="ER20" s="11" t="str">
        <f>IFERROR(AVERAGEIF('Pemetaan Variant'!$A$5:$A$32,$B20,'Pemetaan Variant'!$BL$5:$BL$32),"n/a")</f>
        <v>n/a</v>
      </c>
      <c r="ES20" s="12" t="str">
        <f>IFERROR(IF(ISNUMBER(ER20),(ER20-AVERAGEIF('Pemetaan Variant'!$A$5:$A$32,$B20,'Pemetaan Variant'!$N$5:$N$32))/AVERAGEIF('Pemetaan Variant'!$A$5:$A$32,$B20,'Pemetaan Variant'!$N$5:$N$32)*100,"n/a"),"n/a")</f>
        <v>n/a</v>
      </c>
      <c r="ET20" s="4" t="str">
        <f t="shared" si="48"/>
        <v>n/a</v>
      </c>
      <c r="EU20" s="11" t="str">
        <f>IFERROR(AVERAGEIF('Pemetaan Variant'!$A$5:$A$32,$B20,'Pemetaan Variant'!$BM$5:$BM$32),"n/a")</f>
        <v>n/a</v>
      </c>
      <c r="EV20" s="12" t="str">
        <f>IFERROR(IF(ISNUMBER(EU20),(EU20-AVERAGEIF('Pemetaan Variant'!$A$5:$A$32,$B20,'Pemetaan Variant'!$N$5:$N$32))/AVERAGEIF('Pemetaan Variant'!$A$5:$A$32,$B20,'Pemetaan Variant'!$N$5:$N$32)*100,"n/a"),"n/a")</f>
        <v>n/a</v>
      </c>
      <c r="EW20" s="4" t="str">
        <f t="shared" si="49"/>
        <v>n/a</v>
      </c>
      <c r="EX20" s="11" t="str">
        <f>IFERROR(AVERAGEIF('Pemetaan Variant'!$A$5:$A$32,$B20,'Pemetaan Variant'!$BN$5:$BN$32),"n/a")</f>
        <v>n/a</v>
      </c>
      <c r="EY20" s="12" t="str">
        <f>IFERROR(IF(ISNUMBER(EX20),(EX20-AVERAGEIF('Pemetaan Variant'!$A$5:$A$32,$B20,'Pemetaan Variant'!$O$5:$O$32))/AVERAGEIF('Pemetaan Variant'!$A$5:$A$32,$B20,'Pemetaan Variant'!$O$5:$O$32)*100,"n/a"),"n/a")</f>
        <v>n/a</v>
      </c>
      <c r="EZ20" s="4" t="str">
        <f t="shared" si="50"/>
        <v>n/a</v>
      </c>
      <c r="FA20" s="11" t="str">
        <f>IFERROR(AVERAGEIF('Pemetaan Variant'!$A$5:$A$32,$B20,'Pemetaan Variant'!$BO$5:$BO$32),"n/a")</f>
        <v>n/a</v>
      </c>
      <c r="FB20" s="12" t="str">
        <f>IFERROR(IF(ISNUMBER(FA20),(FA20-AVERAGEIF('Pemetaan Variant'!$A$5:$A$32,$B20,'Pemetaan Variant'!$O$5:$O$32))/AVERAGEIF('Pemetaan Variant'!$A$5:$A$32,$B20,'Pemetaan Variant'!$O$5:$O$32)*100,"n/a"),"n/a")</f>
        <v>n/a</v>
      </c>
      <c r="FC20" s="4" t="str">
        <f t="shared" si="51"/>
        <v>n/a</v>
      </c>
      <c r="FD20" s="11" t="str">
        <f>IFERROR(AVERAGEIF('Pemetaan Variant'!$A$5:$A$32,$B20,'Pemetaan Variant'!$BP$5:$BP$32),"n/a")</f>
        <v>n/a</v>
      </c>
      <c r="FE20" s="12" t="str">
        <f>IFERROR(IF(ISNUMBER(FD20),(FD20-AVERAGEIF('Pemetaan Variant'!$A$5:$A$32,$B20,'Pemetaan Variant'!$O$5:$O$32))/AVERAGEIF('Pemetaan Variant'!$A$5:$A$32,$B20,'Pemetaan Variant'!$O$5:$O$32)*100,"n/a"),"n/a")</f>
        <v>n/a</v>
      </c>
      <c r="FF20" s="4" t="str">
        <f t="shared" si="52"/>
        <v>n/a</v>
      </c>
      <c r="FG20" s="11" t="str">
        <f>IFERROR(AVERAGEIF('Pemetaan Variant'!$A$5:$A$32,$B20,'Pemetaan Variant'!$BQ$5:$BQ$32),"n/a")</f>
        <v>n/a</v>
      </c>
      <c r="FH20" s="12" t="str">
        <f>IFERROR(IF(ISNUMBER(FG20),(FG20-AVERAGEIF('Pemetaan Variant'!$A$5:$A$32,$B20,'Pemetaan Variant'!$O$5:$O$32))/AVERAGEIF('Pemetaan Variant'!$A$5:$A$32,$B20,'Pemetaan Variant'!$O$5:$O$32)*100,"n/a"),"n/a")</f>
        <v>n/a</v>
      </c>
      <c r="FI20" s="4" t="str">
        <f t="shared" si="53"/>
        <v>n/a</v>
      </c>
      <c r="FJ20" s="11" t="str">
        <f>IFERROR(AVERAGEIF('Pemetaan Variant'!$A$5:$A$32,$B20,'Pemetaan Variant'!$BR$5:$BR$32),"n/a")</f>
        <v>n/a</v>
      </c>
      <c r="FK20" s="12" t="str">
        <f>IFERROR(IF(ISNUMBER(FJ20),(FJ20-AVERAGEIF('Pemetaan Variant'!$A$5:$A$32,$B20,'Pemetaan Variant'!$O$5:$O$32))/AVERAGEIF('Pemetaan Variant'!$A$5:$A$32,$B20,'Pemetaan Variant'!$O$5:$O$32)*100,"n/a"),"n/a")</f>
        <v>n/a</v>
      </c>
      <c r="FL20" s="4" t="str">
        <f t="shared" si="54"/>
        <v>n/a</v>
      </c>
      <c r="FM20" s="13"/>
      <c r="FO20" s="9">
        <f t="shared" si="55"/>
        <v>0</v>
      </c>
      <c r="FP20" s="9">
        <f t="shared" si="56"/>
        <v>0</v>
      </c>
      <c r="FQ20" s="9">
        <f t="shared" si="57"/>
        <v>0</v>
      </c>
      <c r="FR20" s="9">
        <f t="shared" si="58"/>
        <v>0</v>
      </c>
      <c r="FS20" s="9">
        <f t="shared" si="59"/>
        <v>0</v>
      </c>
      <c r="FT20" s="9">
        <f t="shared" si="60"/>
        <v>0</v>
      </c>
      <c r="FU20" s="9">
        <f t="shared" si="61"/>
        <v>0</v>
      </c>
      <c r="FV20" s="9">
        <f t="shared" si="62"/>
        <v>0</v>
      </c>
      <c r="FW20" s="9">
        <f t="shared" si="63"/>
        <v>0</v>
      </c>
      <c r="FX20" s="9">
        <f t="shared" si="64"/>
        <v>0</v>
      </c>
      <c r="FY20" s="9">
        <f t="shared" si="65"/>
        <v>0</v>
      </c>
      <c r="FZ20" s="9">
        <f t="shared" si="66"/>
        <v>0</v>
      </c>
      <c r="GA20" s="9">
        <f t="shared" si="67"/>
        <v>0</v>
      </c>
      <c r="GB20" s="9">
        <f t="shared" si="68"/>
        <v>0</v>
      </c>
      <c r="GC20" s="9">
        <f t="shared" si="69"/>
        <v>0</v>
      </c>
      <c r="GD20" s="9">
        <f t="shared" si="70"/>
        <v>0</v>
      </c>
      <c r="GE20" s="9">
        <f t="shared" si="71"/>
        <v>0</v>
      </c>
      <c r="GF20" s="9">
        <f t="shared" si="72"/>
        <v>0</v>
      </c>
      <c r="GG20" s="9">
        <f t="shared" si="73"/>
        <v>0</v>
      </c>
      <c r="GH20" s="9">
        <f t="shared" si="74"/>
        <v>0</v>
      </c>
      <c r="GI20" s="9">
        <f t="shared" si="75"/>
        <v>0</v>
      </c>
      <c r="GJ20" s="9">
        <f t="shared" si="76"/>
        <v>0</v>
      </c>
      <c r="GK20" s="9">
        <f t="shared" si="77"/>
        <v>0</v>
      </c>
      <c r="GL20" s="9">
        <f t="shared" si="78"/>
        <v>0</v>
      </c>
      <c r="GM20" s="9">
        <f t="shared" si="79"/>
        <v>0</v>
      </c>
      <c r="GN20" s="9">
        <f t="shared" si="80"/>
        <v>0</v>
      </c>
      <c r="GO20" s="9">
        <f t="shared" si="81"/>
        <v>0</v>
      </c>
      <c r="GP20" s="9">
        <f t="shared" si="82"/>
        <v>0</v>
      </c>
      <c r="GQ20" s="9">
        <f t="shared" si="83"/>
        <v>0</v>
      </c>
      <c r="GR20" s="9">
        <f t="shared" si="84"/>
        <v>0</v>
      </c>
      <c r="GS20" s="9">
        <f t="shared" si="85"/>
        <v>0</v>
      </c>
      <c r="GT20" s="9">
        <f t="shared" si="86"/>
        <v>0</v>
      </c>
      <c r="GU20" s="9">
        <f t="shared" si="87"/>
        <v>0</v>
      </c>
      <c r="GV20" s="9">
        <f t="shared" si="88"/>
        <v>2.55178686129323</v>
      </c>
      <c r="GW20" s="9">
        <f t="shared" si="89"/>
        <v>2.55178686129323</v>
      </c>
      <c r="GX20" s="9">
        <f t="shared" si="90"/>
        <v>2.55178686129323</v>
      </c>
      <c r="GY20" s="9">
        <f t="shared" si="91"/>
        <v>2.55178686129323</v>
      </c>
      <c r="GZ20" s="9">
        <f t="shared" si="92"/>
        <v>0</v>
      </c>
      <c r="HA20" s="9">
        <f t="shared" si="93"/>
        <v>0</v>
      </c>
      <c r="HB20" s="9">
        <f t="shared" si="94"/>
        <v>0</v>
      </c>
      <c r="HC20" s="9">
        <f t="shared" si="95"/>
        <v>0</v>
      </c>
      <c r="HD20" s="9">
        <f t="shared" si="96"/>
        <v>0</v>
      </c>
      <c r="HE20" s="9">
        <f t="shared" si="97"/>
        <v>0</v>
      </c>
      <c r="HF20" s="9">
        <f t="shared" si="98"/>
        <v>0</v>
      </c>
      <c r="HG20" s="9">
        <f t="shared" si="99"/>
        <v>0</v>
      </c>
      <c r="HH20" s="9">
        <f t="shared" si="100"/>
        <v>0</v>
      </c>
      <c r="HI20" s="9">
        <f t="shared" si="101"/>
        <v>0</v>
      </c>
      <c r="HJ20" s="9">
        <f t="shared" si="102"/>
        <v>0</v>
      </c>
      <c r="HK20" s="9">
        <f t="shared" si="103"/>
        <v>0</v>
      </c>
      <c r="HL20" s="9">
        <f t="shared" si="104"/>
        <v>0</v>
      </c>
      <c r="HM20" s="9">
        <f t="shared" si="105"/>
        <v>0</v>
      </c>
      <c r="HN20" s="9">
        <f t="shared" si="106"/>
        <v>0</v>
      </c>
      <c r="HO20" s="9">
        <f t="shared" si="107"/>
        <v>0</v>
      </c>
      <c r="HP20" s="9">
        <f t="shared" si="108"/>
        <v>0</v>
      </c>
      <c r="HQ20" s="9">
        <f t="shared" si="109"/>
        <v>0</v>
      </c>
    </row>
    <row r="21" spans="1:225" x14ac:dyDescent="0.35">
      <c r="A21" s="3">
        <v>16</v>
      </c>
      <c r="B21" s="3" t="s">
        <v>142</v>
      </c>
      <c r="C21" s="10">
        <f>'P0Q0 Dasar 2022'!F20</f>
        <v>0.18461346650329299</v>
      </c>
      <c r="D21" s="11">
        <f>IFERROR(AVERAGEIF('Pemetaan Variant'!$A$5:$A$32,$B21,'Pemetaan Variant'!$P$5:$P$32),"n/a")</f>
        <v>10500</v>
      </c>
      <c r="E21" s="12">
        <f>IFERROR(IF(ISNUMBER(D21),(D21-AVERAGEIF('Pemetaan Variant'!$A$5:$A$32,$B21,'Pemetaan Variant'!$D$5:$D$32))/AVERAGEIF('Pemetaan Variant'!$A$5:$A$32,$B21,'Pemetaan Variant'!$D$5:$D$32)*100,"n/a"),"n/a")</f>
        <v>0</v>
      </c>
      <c r="F21" s="4">
        <f t="shared" si="0"/>
        <v>0</v>
      </c>
      <c r="G21" s="11">
        <f>IFERROR(AVERAGEIF('Pemetaan Variant'!$A$5:$A$32,$B21,'Pemetaan Variant'!$Q$5:$Q$32),"n/a")</f>
        <v>10500</v>
      </c>
      <c r="H21" s="12">
        <f>IFERROR(IF(ISNUMBER(G21),(G21-AVERAGEIF('Pemetaan Variant'!$A$5:$A$32,$B21,'Pemetaan Variant'!$D$5:$D$32))/AVERAGEIF('Pemetaan Variant'!$A$5:$A$32,$B21,'Pemetaan Variant'!$D$5:$D$32)*100,"n/a"),"n/a")</f>
        <v>0</v>
      </c>
      <c r="I21" s="4">
        <f t="shared" si="1"/>
        <v>0</v>
      </c>
      <c r="J21" s="11">
        <f>IFERROR(AVERAGEIF('Pemetaan Variant'!$A$5:$A$32,$B21,'Pemetaan Variant'!$R$5:$R$32),"n/a")</f>
        <v>10500</v>
      </c>
      <c r="K21" s="12">
        <f>IFERROR(IF(ISNUMBER(J21),(J21-AVERAGEIF('Pemetaan Variant'!$A$5:$A$32,$B21,'Pemetaan Variant'!$D$5:$D$32))/AVERAGEIF('Pemetaan Variant'!$A$5:$A$32,$B21,'Pemetaan Variant'!$D$5:$D$32)*100,"n/a"),"n/a")</f>
        <v>0</v>
      </c>
      <c r="L21" s="4">
        <f t="shared" si="2"/>
        <v>0</v>
      </c>
      <c r="M21" s="11">
        <f>IFERROR(AVERAGEIF('Pemetaan Variant'!$A$5:$A$32,$B21,'Pemetaan Variant'!$S$5:$S$32),"n/a")</f>
        <v>10500</v>
      </c>
      <c r="N21" s="12">
        <f>IFERROR(IF(ISNUMBER(M21),(M21-AVERAGEIF('Pemetaan Variant'!$A$5:$A$32,$B21,'Pemetaan Variant'!$D$5:$D$32))/AVERAGEIF('Pemetaan Variant'!$A$5:$A$32,$B21,'Pemetaan Variant'!$D$5:$D$32)*100,"n/a"),"n/a")</f>
        <v>0</v>
      </c>
      <c r="O21" s="4">
        <f t="shared" si="3"/>
        <v>0</v>
      </c>
      <c r="P21" s="11">
        <f>IFERROR(AVERAGEIF('Pemetaan Variant'!$A$5:$A$32,$B21,'Pemetaan Variant'!$T$5:$T$32),"n/a")</f>
        <v>10500</v>
      </c>
      <c r="Q21" s="12">
        <f>IFERROR(IF(ISNUMBER(P21),(P21-AVERAGEIF('Pemetaan Variant'!$A$5:$A$32,$B21,'Pemetaan Variant'!$D$5:$D$32))/AVERAGEIF('Pemetaan Variant'!$A$5:$A$32,$B21,'Pemetaan Variant'!$D$5:$D$32)*100,"n/a"),"n/a")</f>
        <v>0</v>
      </c>
      <c r="R21" s="4">
        <f t="shared" si="4"/>
        <v>0</v>
      </c>
      <c r="S21" s="11">
        <f>IFERROR(AVERAGEIF('Pemetaan Variant'!$A$5:$A$32,$B21,'Pemetaan Variant'!$U$5:$U$32),"n/a")</f>
        <v>10500</v>
      </c>
      <c r="T21" s="12">
        <f>IFERROR(IF(ISNUMBER(S21),(S21-AVERAGEIF('Pemetaan Variant'!$A$5:$A$32,$B21,'Pemetaan Variant'!$E$5:$E$32))/AVERAGEIF('Pemetaan Variant'!$A$5:$A$32,$B21,'Pemetaan Variant'!$E$5:$E$32)*100,"n/a"),"n/a")</f>
        <v>0</v>
      </c>
      <c r="U21" s="4">
        <f t="shared" si="5"/>
        <v>0</v>
      </c>
      <c r="V21" s="11">
        <f>IFERROR(AVERAGEIF('Pemetaan Variant'!$A$5:$A$32,$B21,'Pemetaan Variant'!$V$5:$V$32),"n/a")</f>
        <v>10500</v>
      </c>
      <c r="W21" s="12">
        <f>IFERROR(IF(ISNUMBER(V21),(V21-AVERAGEIF('Pemetaan Variant'!$A$5:$A$32,$B21,'Pemetaan Variant'!$E$5:$E$32))/AVERAGEIF('Pemetaan Variant'!$A$5:$A$32,$B21,'Pemetaan Variant'!$E$5:$E$32)*100,"n/a"),"n/a")</f>
        <v>0</v>
      </c>
      <c r="X21" s="4">
        <f t="shared" si="6"/>
        <v>0</v>
      </c>
      <c r="Y21" s="11">
        <f>IFERROR(AVERAGEIF('Pemetaan Variant'!$A$5:$A$32,$B21,'Pemetaan Variant'!$W$5:$W$32),"n/a")</f>
        <v>10500</v>
      </c>
      <c r="Z21" s="12">
        <f>IFERROR(IF(ISNUMBER(Y21),(Y21-AVERAGEIF('Pemetaan Variant'!$A$5:$A$32,$B21,'Pemetaan Variant'!$E$5:$E$32))/AVERAGEIF('Pemetaan Variant'!$A$5:$A$32,$B21,'Pemetaan Variant'!$E$5:$E$32)*100,"n/a"),"n/a")</f>
        <v>0</v>
      </c>
      <c r="AA21" s="4">
        <f t="shared" si="7"/>
        <v>0</v>
      </c>
      <c r="AB21" s="11">
        <f>IFERROR(AVERAGEIF('Pemetaan Variant'!$A$5:$A$32,$B21,'Pemetaan Variant'!$X$5:$X$32),"n/a")</f>
        <v>10500</v>
      </c>
      <c r="AC21" s="12">
        <f>IFERROR(IF(ISNUMBER(AB21),(AB21-AVERAGEIF('Pemetaan Variant'!$A$5:$A$32,$B21,'Pemetaan Variant'!$E$5:$E$32))/AVERAGEIF('Pemetaan Variant'!$A$5:$A$32,$B21,'Pemetaan Variant'!$E$5:$E$32)*100,"n/a"),"n/a")</f>
        <v>0</v>
      </c>
      <c r="AD21" s="4">
        <f t="shared" si="8"/>
        <v>0</v>
      </c>
      <c r="AE21" s="11">
        <f>IFERROR(AVERAGEIF('Pemetaan Variant'!$A$5:$A$32,$B21,'Pemetaan Variant'!$Y$5:$Y$32),"n/a")</f>
        <v>10500</v>
      </c>
      <c r="AF21" s="12">
        <f>IFERROR(IF(ISNUMBER(AE21),(AE21-AVERAGEIF('Pemetaan Variant'!$A$5:$A$32,$B21,'Pemetaan Variant'!$F$5:$F$32))/AVERAGEIF('Pemetaan Variant'!$A$5:$A$32,$B21,'Pemetaan Variant'!$F$5:$F$32)*100,"n/a"),"n/a")</f>
        <v>0</v>
      </c>
      <c r="AG21" s="4">
        <f t="shared" si="9"/>
        <v>0</v>
      </c>
      <c r="AH21" s="11">
        <f>IFERROR(AVERAGEIF('Pemetaan Variant'!$A$5:$A$32,$B21,'Pemetaan Variant'!$Z$5:$Z$32),"n/a")</f>
        <v>10500</v>
      </c>
      <c r="AI21" s="12">
        <f>IFERROR(IF(ISNUMBER(AH21),(AH21-AVERAGEIF('Pemetaan Variant'!$A$5:$A$32,$B21,'Pemetaan Variant'!$F$5:$F$32))/AVERAGEIF('Pemetaan Variant'!$A$5:$A$32,$B21,'Pemetaan Variant'!$F$5:$F$32)*100,"n/a"),"n/a")</f>
        <v>0</v>
      </c>
      <c r="AJ21" s="4">
        <f t="shared" si="10"/>
        <v>0</v>
      </c>
      <c r="AK21" s="11">
        <f>IFERROR(AVERAGEIF('Pemetaan Variant'!$A$5:$A$32,$B21,'Pemetaan Variant'!$AA$5:$AA$32),"n/a")</f>
        <v>10500</v>
      </c>
      <c r="AL21" s="12">
        <f>IFERROR(IF(ISNUMBER(AK21),(AK21-AVERAGEIF('Pemetaan Variant'!$A$5:$A$32,$B21,'Pemetaan Variant'!$F$5:$F$32))/AVERAGEIF('Pemetaan Variant'!$A$5:$A$32,$B21,'Pemetaan Variant'!$F$5:$F$32)*100,"n/a"),"n/a")</f>
        <v>0</v>
      </c>
      <c r="AM21" s="4">
        <f t="shared" si="11"/>
        <v>0</v>
      </c>
      <c r="AN21" s="11">
        <f>IFERROR(AVERAGEIF('Pemetaan Variant'!$A$5:$A$32,$B21,'Pemetaan Variant'!$AB$5:$AB$32),"n/a")</f>
        <v>10500</v>
      </c>
      <c r="AO21" s="12">
        <f>IFERROR(IF(ISNUMBER(AN21),(AN21-AVERAGEIF('Pemetaan Variant'!$A$5:$A$32,$B21,'Pemetaan Variant'!$F$5:$F$32))/AVERAGEIF('Pemetaan Variant'!$A$5:$A$32,$B21,'Pemetaan Variant'!$F$5:$F$32)*100,"n/a"),"n/a")</f>
        <v>0</v>
      </c>
      <c r="AP21" s="4">
        <f t="shared" si="12"/>
        <v>0</v>
      </c>
      <c r="AQ21" s="11" t="str">
        <f>IFERROR(AVERAGEIF('Pemetaan Variant'!$A$5:$A$32,$B21,'Pemetaan Variant'!$AC$5:$AC$32),"n/a")</f>
        <v>n/a</v>
      </c>
      <c r="AR21" s="12" t="str">
        <f>IFERROR(IF(ISNUMBER(AQ21),(AQ21-AVERAGEIF('Pemetaan Variant'!$A$5:$A$32,$B21,'Pemetaan Variant'!$F$5:$F$32))/AVERAGEIF('Pemetaan Variant'!$A$5:$A$32,$B21,'Pemetaan Variant'!$F$5:$F$32)*100,"n/a"),"n/a")</f>
        <v>n/a</v>
      </c>
      <c r="AS21" s="4" t="str">
        <f t="shared" si="13"/>
        <v>n/a</v>
      </c>
      <c r="AT21" s="11" t="str">
        <f>IFERROR(AVERAGEIF('Pemetaan Variant'!$A$5:$A$32,$B21,'Pemetaan Variant'!$AD$5:$AD$32),"n/a")</f>
        <v>n/a</v>
      </c>
      <c r="AU21" s="12" t="str">
        <f>IFERROR(IF(ISNUMBER(AT21),(AT21-AVERAGEIF('Pemetaan Variant'!$A$5:$A$32,$B21,'Pemetaan Variant'!$G$5:$G$32))/AVERAGEIF('Pemetaan Variant'!$A$5:$A$32,$B21,'Pemetaan Variant'!$G$5:$G$32)*100,"n/a"),"n/a")</f>
        <v>n/a</v>
      </c>
      <c r="AV21" s="4" t="str">
        <f t="shared" si="14"/>
        <v>n/a</v>
      </c>
      <c r="AW21" s="11">
        <f>IFERROR(AVERAGEIF('Pemetaan Variant'!$A$5:$A$32,$B21,'Pemetaan Variant'!$AE$5:$AE$32),"n/a")</f>
        <v>10500</v>
      </c>
      <c r="AX21" s="12">
        <f>IFERROR(IF(ISNUMBER(AW21),(AW21-AVERAGEIF('Pemetaan Variant'!$A$5:$A$32,$B21,'Pemetaan Variant'!$G$5:$G$32))/AVERAGEIF('Pemetaan Variant'!$A$5:$A$32,$B21,'Pemetaan Variant'!$G$5:$G$32)*100,"n/a"),"n/a")</f>
        <v>0</v>
      </c>
      <c r="AY21" s="4">
        <f t="shared" si="15"/>
        <v>0</v>
      </c>
      <c r="AZ21" s="11">
        <f>IFERROR(AVERAGEIF('Pemetaan Variant'!$A$5:$A$32,$B21,'Pemetaan Variant'!$AF$5:$AF$32),"n/a")</f>
        <v>10500</v>
      </c>
      <c r="BA21" s="12">
        <f>IFERROR(IF(ISNUMBER(AZ21),(AZ21-AVERAGEIF('Pemetaan Variant'!$A$5:$A$32,$B21,'Pemetaan Variant'!$G$5:$G$32))/AVERAGEIF('Pemetaan Variant'!$A$5:$A$32,$B21,'Pemetaan Variant'!$G$5:$G$32)*100,"n/a"),"n/a")</f>
        <v>0</v>
      </c>
      <c r="BB21" s="4">
        <f t="shared" si="16"/>
        <v>0</v>
      </c>
      <c r="BC21" s="11">
        <f>IFERROR(AVERAGEIF('Pemetaan Variant'!$A$5:$A$32,$B21,'Pemetaan Variant'!$AG$5:$AG$32),"n/a")</f>
        <v>10500</v>
      </c>
      <c r="BD21" s="12">
        <f>IFERROR(IF(ISNUMBER(BC21),(BC21-AVERAGEIF('Pemetaan Variant'!$A$5:$A$32,$B21,'Pemetaan Variant'!$G$5:$G$32))/AVERAGEIF('Pemetaan Variant'!$A$5:$A$32,$B21,'Pemetaan Variant'!$G$5:$G$32)*100,"n/a"),"n/a")</f>
        <v>0</v>
      </c>
      <c r="BE21" s="4">
        <f t="shared" si="17"/>
        <v>0</v>
      </c>
      <c r="BF21" s="11">
        <f>IFERROR(AVERAGEIF('Pemetaan Variant'!$A$5:$A$32,$B21,'Pemetaan Variant'!$AH$5:$AH$32),"n/a")</f>
        <v>10500</v>
      </c>
      <c r="BG21" s="12">
        <f>IFERROR(IF(ISNUMBER(BF21),(BF21-AVERAGEIF('Pemetaan Variant'!$A$5:$A$32,$B21,'Pemetaan Variant'!$G$5:$G$32))/AVERAGEIF('Pemetaan Variant'!$A$5:$A$32,$B21,'Pemetaan Variant'!$G$5:$G$32)*100,"n/a"),"n/a")</f>
        <v>0</v>
      </c>
      <c r="BH21" s="4">
        <f t="shared" si="18"/>
        <v>0</v>
      </c>
      <c r="BI21" s="11">
        <f>IFERROR(AVERAGEIF('Pemetaan Variant'!$A$5:$A$32,$B21,'Pemetaan Variant'!$AI$5:$AI$32),"n/a")</f>
        <v>10500</v>
      </c>
      <c r="BJ21" s="12">
        <f>IFERROR(IF(ISNUMBER(BI21),(BI21-AVERAGEIF('Pemetaan Variant'!$A$5:$A$32,$B21,'Pemetaan Variant'!$H$5:$H$32))/AVERAGEIF('Pemetaan Variant'!$A$5:$A$32,$B21,'Pemetaan Variant'!$H$5:$H$32)*100,"n/a"),"n/a")</f>
        <v>0</v>
      </c>
      <c r="BK21" s="4">
        <f t="shared" si="19"/>
        <v>0</v>
      </c>
      <c r="BL21" s="11">
        <f>IFERROR(AVERAGEIF('Pemetaan Variant'!$A$5:$A$32,$B21,'Pemetaan Variant'!$AJ$5:$AJ$32),"n/a")</f>
        <v>10500</v>
      </c>
      <c r="BM21" s="12">
        <f>IFERROR(IF(ISNUMBER(BL21),(BL21-AVERAGEIF('Pemetaan Variant'!$A$5:$A$32,$B21,'Pemetaan Variant'!$H$5:$H$32))/AVERAGEIF('Pemetaan Variant'!$A$5:$A$32,$B21,'Pemetaan Variant'!$H$5:$H$32)*100,"n/a"),"n/a")</f>
        <v>0</v>
      </c>
      <c r="BN21" s="4">
        <f t="shared" si="20"/>
        <v>0</v>
      </c>
      <c r="BO21" s="11">
        <f>IFERROR(AVERAGEIF('Pemetaan Variant'!$A$5:$A$32,$B21,'Pemetaan Variant'!$AK$5:$AK$32),"n/a")</f>
        <v>10500</v>
      </c>
      <c r="BP21" s="12">
        <f>IFERROR(IF(ISNUMBER(BO21),(BO21-AVERAGEIF('Pemetaan Variant'!$A$5:$A$32,$B21,'Pemetaan Variant'!$H$5:$H$32))/AVERAGEIF('Pemetaan Variant'!$A$5:$A$32,$B21,'Pemetaan Variant'!$H$5:$H$32)*100,"n/a"),"n/a")</f>
        <v>0</v>
      </c>
      <c r="BQ21" s="4">
        <f t="shared" si="21"/>
        <v>0</v>
      </c>
      <c r="BR21" s="11">
        <f>IFERROR(AVERAGEIF('Pemetaan Variant'!$A$5:$A$32,$B21,'Pemetaan Variant'!$AL$5:$AL$32),"n/a")</f>
        <v>10500</v>
      </c>
      <c r="BS21" s="12">
        <f>IFERROR(IF(ISNUMBER(BR21),(BR21-AVERAGEIF('Pemetaan Variant'!$A$5:$A$32,$B21,'Pemetaan Variant'!$H$5:$H$32))/AVERAGEIF('Pemetaan Variant'!$A$5:$A$32,$B21,'Pemetaan Variant'!$H$5:$H$32)*100,"n/a"),"n/a")</f>
        <v>0</v>
      </c>
      <c r="BT21" s="4">
        <f t="shared" si="22"/>
        <v>0</v>
      </c>
      <c r="BU21" s="11">
        <f>IFERROR(AVERAGEIF('Pemetaan Variant'!$A$5:$A$32,$B21,'Pemetaan Variant'!$AM$5:$AM$32),"n/a")</f>
        <v>10500</v>
      </c>
      <c r="BV21" s="12">
        <f>IFERROR(IF(ISNUMBER(BU21),(BU21-AVERAGEIF('Pemetaan Variant'!$A$5:$A$32,$B21,'Pemetaan Variant'!$H$5:$H$32))/AVERAGEIF('Pemetaan Variant'!$A$5:$A$32,$B21,'Pemetaan Variant'!$H$5:$H$32)*100,"n/a"),"n/a")</f>
        <v>0</v>
      </c>
      <c r="BW21" s="4">
        <f t="shared" si="23"/>
        <v>0</v>
      </c>
      <c r="BX21" s="11">
        <f>IFERROR(AVERAGEIF('Pemetaan Variant'!$A$5:$A$32,$B21,'Pemetaan Variant'!$AN$5:$AN$32),"n/a")</f>
        <v>10500</v>
      </c>
      <c r="BY21" s="12">
        <f>IFERROR(IF(ISNUMBER(BX21),(BX21-AVERAGEIF('Pemetaan Variant'!$A$5:$A$32,$B21,'Pemetaan Variant'!$I$5:$I$32))/AVERAGEIF('Pemetaan Variant'!$A$5:$A$32,$B21,'Pemetaan Variant'!$I$5:$I$32)*100,"n/a"),"n/a")</f>
        <v>0</v>
      </c>
      <c r="BZ21" s="4">
        <f t="shared" si="24"/>
        <v>0</v>
      </c>
      <c r="CA21" s="11">
        <f>IFERROR(AVERAGEIF('Pemetaan Variant'!$A$5:$A$32,$B21,'Pemetaan Variant'!$AO$5:$AO$32),"n/a")</f>
        <v>10500</v>
      </c>
      <c r="CB21" s="12">
        <f>IFERROR(IF(ISNUMBER(CA21),(CA21-AVERAGEIF('Pemetaan Variant'!$A$5:$A$32,$B21,'Pemetaan Variant'!$I$5:$I$32))/AVERAGEIF('Pemetaan Variant'!$A$5:$A$32,$B21,'Pemetaan Variant'!$I$5:$I$32)*100,"n/a"),"n/a")</f>
        <v>0</v>
      </c>
      <c r="CC21" s="4">
        <f t="shared" si="25"/>
        <v>0</v>
      </c>
      <c r="CD21" s="11">
        <f>IFERROR(AVERAGEIF('Pemetaan Variant'!$A$5:$A$32,$B21,'Pemetaan Variant'!$AP$5:$AP$32),"n/a")</f>
        <v>10500</v>
      </c>
      <c r="CE21" s="12">
        <f>IFERROR(IF(ISNUMBER(CD21),(CD21-AVERAGEIF('Pemetaan Variant'!$A$5:$A$32,$B21,'Pemetaan Variant'!$I$5:$I$32))/AVERAGEIF('Pemetaan Variant'!$A$5:$A$32,$B21,'Pemetaan Variant'!$I$5:$I$32)*100,"n/a"),"n/a")</f>
        <v>0</v>
      </c>
      <c r="CF21" s="4">
        <f t="shared" si="26"/>
        <v>0</v>
      </c>
      <c r="CG21" s="11">
        <f>IFERROR(AVERAGEIF('Pemetaan Variant'!$A$5:$A$32,$B21,'Pemetaan Variant'!$AQ$5:$AQ$32),"n/a")</f>
        <v>10500</v>
      </c>
      <c r="CH21" s="12">
        <f>IFERROR(IF(ISNUMBER(CG21),(CG21-AVERAGEIF('Pemetaan Variant'!$A$5:$A$32,$B21,'Pemetaan Variant'!$I$5:$I$32))/AVERAGEIF('Pemetaan Variant'!$A$5:$A$32,$B21,'Pemetaan Variant'!$I$5:$I$32)*100,"n/a"),"n/a")</f>
        <v>0</v>
      </c>
      <c r="CI21" s="4">
        <f t="shared" si="27"/>
        <v>0</v>
      </c>
      <c r="CJ21" s="11">
        <f>IFERROR(AVERAGEIF('Pemetaan Variant'!$A$5:$A$32,$B21,'Pemetaan Variant'!$AR$5:$AR$32),"n/a")</f>
        <v>10500</v>
      </c>
      <c r="CK21" s="12">
        <f>IFERROR(IF(ISNUMBER(CJ21),(CJ21-AVERAGEIF('Pemetaan Variant'!$A$5:$A$32,$B21,'Pemetaan Variant'!$J$5:$J$32))/AVERAGEIF('Pemetaan Variant'!$A$5:$A$32,$B21,'Pemetaan Variant'!$J$5:$J$32)*100,"n/a"),"n/a")</f>
        <v>0</v>
      </c>
      <c r="CL21" s="4">
        <f t="shared" si="28"/>
        <v>0</v>
      </c>
      <c r="CM21" s="11">
        <f>IFERROR(AVERAGEIF('Pemetaan Variant'!$A$5:$A$32,$B21,'Pemetaan Variant'!$AS$5:$AS$32),"n/a")</f>
        <v>10500</v>
      </c>
      <c r="CN21" s="12">
        <f>IFERROR(IF(ISNUMBER(CM21),(CM21-AVERAGEIF('Pemetaan Variant'!$A$5:$A$32,$B21,'Pemetaan Variant'!$J$5:$J$32))/AVERAGEIF('Pemetaan Variant'!$A$5:$A$32,$B21,'Pemetaan Variant'!$J$5:$J$32)*100,"n/a"),"n/a")</f>
        <v>0</v>
      </c>
      <c r="CO21" s="4">
        <f t="shared" si="29"/>
        <v>0</v>
      </c>
      <c r="CP21" s="11">
        <f>IFERROR(AVERAGEIF('Pemetaan Variant'!$A$5:$A$32,$B21,'Pemetaan Variant'!$AT$5:$AT$32),"n/a")</f>
        <v>10500</v>
      </c>
      <c r="CQ21" s="12">
        <f>IFERROR(IF(ISNUMBER(CP21),(CP21-AVERAGEIF('Pemetaan Variant'!$A$5:$A$32,$B21,'Pemetaan Variant'!$J$5:$J$32))/AVERAGEIF('Pemetaan Variant'!$A$5:$A$32,$B21,'Pemetaan Variant'!$J$5:$J$32)*100,"n/a"),"n/a")</f>
        <v>0</v>
      </c>
      <c r="CR21" s="4">
        <f t="shared" si="30"/>
        <v>0</v>
      </c>
      <c r="CS21" s="11">
        <f>IFERROR(AVERAGEIF('Pemetaan Variant'!$A$5:$A$32,$B21,'Pemetaan Variant'!$AU$5:$AU$32),"n/a")</f>
        <v>10500</v>
      </c>
      <c r="CT21" s="12">
        <f>IFERROR(IF(ISNUMBER(CS21),(CS21-AVERAGEIF('Pemetaan Variant'!$A$5:$A$32,$B21,'Pemetaan Variant'!$J$5:$J$32))/AVERAGEIF('Pemetaan Variant'!$A$5:$A$32,$B21,'Pemetaan Variant'!$J$5:$J$32)*100,"n/a"),"n/a")</f>
        <v>0</v>
      </c>
      <c r="CU21" s="4">
        <f t="shared" si="31"/>
        <v>0</v>
      </c>
      <c r="CV21" s="11">
        <f>IFERROR(AVERAGEIF('Pemetaan Variant'!$A$5:$A$32,$B21,'Pemetaan Variant'!$AV$5:$AV$32),"n/a")</f>
        <v>10500</v>
      </c>
      <c r="CW21" s="12">
        <f>IFERROR(IF(ISNUMBER(CV21),(CV21-AVERAGEIF('Pemetaan Variant'!$A$5:$A$32,$B21,'Pemetaan Variant'!$J$5:$J$32))/AVERAGEIF('Pemetaan Variant'!$A$5:$A$32,$B21,'Pemetaan Variant'!$J$5:$J$32)*100,"n/a"),"n/a")</f>
        <v>0</v>
      </c>
      <c r="CX21" s="4">
        <f t="shared" si="32"/>
        <v>0</v>
      </c>
      <c r="CY21" s="11">
        <f>IFERROR(AVERAGEIF('Pemetaan Variant'!$A$5:$A$32,$B21,'Pemetaan Variant'!$AW$5:$AW$32),"n/a")</f>
        <v>0</v>
      </c>
      <c r="CZ21" s="12">
        <f>IFERROR(IF(ISNUMBER(CY21),(CY21-AVERAGEIF('Pemetaan Variant'!$A$5:$A$32,$B21,'Pemetaan Variant'!$K$5:$K$32))/AVERAGEIF('Pemetaan Variant'!$A$5:$A$32,$B21,'Pemetaan Variant'!$K$5:$K$32)*100,"n/a"),"n/a")</f>
        <v>-100</v>
      </c>
      <c r="DA21" s="4">
        <f t="shared" si="33"/>
        <v>-18.4613466503293</v>
      </c>
      <c r="DB21" s="11">
        <f>IFERROR(AVERAGEIF('Pemetaan Variant'!$A$5:$A$32,$B21,'Pemetaan Variant'!$AX$5:$AX$32),"n/a")</f>
        <v>0</v>
      </c>
      <c r="DC21" s="12">
        <f>IFERROR(IF(ISNUMBER(DB21),(DB21-AVERAGEIF('Pemetaan Variant'!$A$5:$A$32,$B21,'Pemetaan Variant'!$K$5:$K$32))/AVERAGEIF('Pemetaan Variant'!$A$5:$A$32,$B21,'Pemetaan Variant'!$K$5:$K$32)*100,"n/a"),"n/a")</f>
        <v>-100</v>
      </c>
      <c r="DD21" s="4">
        <f t="shared" si="34"/>
        <v>-18.4613466503293</v>
      </c>
      <c r="DE21" s="11">
        <f>IFERROR(AVERAGEIF('Pemetaan Variant'!$A$5:$A$32,$B21,'Pemetaan Variant'!$AY$5:$AY$32),"n/a")</f>
        <v>0</v>
      </c>
      <c r="DF21" s="12">
        <f>IFERROR(IF(ISNUMBER(DE21),(DE21-AVERAGEIF('Pemetaan Variant'!$A$5:$A$32,$B21,'Pemetaan Variant'!$K$5:$K$32))/AVERAGEIF('Pemetaan Variant'!$A$5:$A$32,$B21,'Pemetaan Variant'!$K$5:$K$32)*100,"n/a"),"n/a")</f>
        <v>-100</v>
      </c>
      <c r="DG21" s="4">
        <f t="shared" si="35"/>
        <v>-18.4613466503293</v>
      </c>
      <c r="DH21" s="11">
        <f>IFERROR(AVERAGEIF('Pemetaan Variant'!$A$5:$A$32,$B21,'Pemetaan Variant'!$AZ$5:$AZ$32),"n/a")</f>
        <v>0</v>
      </c>
      <c r="DI21" s="12">
        <f>IFERROR(IF(ISNUMBER(DH21),(DH21-AVERAGEIF('Pemetaan Variant'!$A$5:$A$32,$B21,'Pemetaan Variant'!$K$5:$K$32))/AVERAGEIF('Pemetaan Variant'!$A$5:$A$32,$B21,'Pemetaan Variant'!$K$5:$K$32)*100,"n/a"),"n/a")</f>
        <v>-100</v>
      </c>
      <c r="DJ21" s="4">
        <f t="shared" si="36"/>
        <v>-18.4613466503293</v>
      </c>
      <c r="DK21" s="11" t="str">
        <f>IFERROR(AVERAGEIF('Pemetaan Variant'!$A$5:$A$32,$B21,'Pemetaan Variant'!$BA$5:$BA$32),"n/a")</f>
        <v>n/a</v>
      </c>
      <c r="DL21" s="12" t="str">
        <f>IFERROR(IF(ISNUMBER(DK21),(DK21-AVERAGEIF('Pemetaan Variant'!$A$5:$A$32,$B21,'Pemetaan Variant'!$L$5:$L$32))/AVERAGEIF('Pemetaan Variant'!$A$5:$A$32,$B21,'Pemetaan Variant'!$L$5:$L$32)*100,"n/a"),"n/a")</f>
        <v>n/a</v>
      </c>
      <c r="DM21" s="4" t="str">
        <f t="shared" si="37"/>
        <v>n/a</v>
      </c>
      <c r="DN21" s="11" t="str">
        <f>IFERROR(AVERAGEIF('Pemetaan Variant'!$A$5:$A$32,$B21,'Pemetaan Variant'!$BB$5:$BB$32),"n/a")</f>
        <v>n/a</v>
      </c>
      <c r="DO21" s="12" t="str">
        <f>IFERROR(IF(ISNUMBER(DN21),(DN21-AVERAGEIF('Pemetaan Variant'!$A$5:$A$32,$B21,'Pemetaan Variant'!$L$5:$L$32))/AVERAGEIF('Pemetaan Variant'!$A$5:$A$32,$B21,'Pemetaan Variant'!$L$5:$L$32)*100,"n/a"),"n/a")</f>
        <v>n/a</v>
      </c>
      <c r="DP21" s="4" t="str">
        <f t="shared" si="38"/>
        <v>n/a</v>
      </c>
      <c r="DQ21" s="11" t="str">
        <f>IFERROR(AVERAGEIF('Pemetaan Variant'!$A$5:$A$32,$B21,'Pemetaan Variant'!$BC$5:$BC$32),"n/a")</f>
        <v>n/a</v>
      </c>
      <c r="DR21" s="12" t="str">
        <f>IFERROR(IF(ISNUMBER(DQ21),(DQ21-AVERAGEIF('Pemetaan Variant'!$A$5:$A$32,$B21,'Pemetaan Variant'!$L$5:$L$32))/AVERAGEIF('Pemetaan Variant'!$A$5:$A$32,$B21,'Pemetaan Variant'!$L$5:$L$32)*100,"n/a"),"n/a")</f>
        <v>n/a</v>
      </c>
      <c r="DS21" s="4" t="str">
        <f t="shared" si="39"/>
        <v>n/a</v>
      </c>
      <c r="DT21" s="11" t="str">
        <f>IFERROR(AVERAGEIF('Pemetaan Variant'!$A$5:$A$32,$B21,'Pemetaan Variant'!$BD$5:$BD$32),"n/a")</f>
        <v>n/a</v>
      </c>
      <c r="DU21" s="12" t="str">
        <f>IFERROR(IF(ISNUMBER(DT21),(DT21-AVERAGEIF('Pemetaan Variant'!$A$5:$A$32,$B21,'Pemetaan Variant'!$L$5:$L$32))/AVERAGEIF('Pemetaan Variant'!$A$5:$A$32,$B21,'Pemetaan Variant'!$L$5:$L$32)*100,"n/a"),"n/a")</f>
        <v>n/a</v>
      </c>
      <c r="DV21" s="4" t="str">
        <f t="shared" si="40"/>
        <v>n/a</v>
      </c>
      <c r="DW21" s="11" t="str">
        <f>IFERROR(AVERAGEIF('Pemetaan Variant'!$A$5:$A$32,$B21,'Pemetaan Variant'!$BE$5:$BE$32),"n/a")</f>
        <v>n/a</v>
      </c>
      <c r="DX21" s="12" t="str">
        <f>IFERROR(IF(ISNUMBER(DW21),(DW21-AVERAGEIF('Pemetaan Variant'!$A$5:$A$32,$B21,'Pemetaan Variant'!$M$5:$M$32))/AVERAGEIF('Pemetaan Variant'!$A$5:$A$32,$B21,'Pemetaan Variant'!$M$5:$M$32)*100,"n/a"),"n/a")</f>
        <v>n/a</v>
      </c>
      <c r="DY21" s="4" t="str">
        <f t="shared" si="41"/>
        <v>n/a</v>
      </c>
      <c r="DZ21" s="11" t="str">
        <f>IFERROR(AVERAGEIF('Pemetaan Variant'!$A$5:$A$32,$B21,'Pemetaan Variant'!$BF$5:$BF$32),"n/a")</f>
        <v>n/a</v>
      </c>
      <c r="EA21" s="12" t="str">
        <f>IFERROR(IF(ISNUMBER(DZ21),(DZ21-AVERAGEIF('Pemetaan Variant'!$A$5:$A$32,$B21,'Pemetaan Variant'!$M$5:$M$32))/AVERAGEIF('Pemetaan Variant'!$A$5:$A$32,$B21,'Pemetaan Variant'!$M$5:$M$32)*100,"n/a"),"n/a")</f>
        <v>n/a</v>
      </c>
      <c r="EB21" s="4" t="str">
        <f t="shared" si="42"/>
        <v>n/a</v>
      </c>
      <c r="EC21" s="11" t="str">
        <f>IFERROR(AVERAGEIF('Pemetaan Variant'!$A$5:$A$32,$B21,'Pemetaan Variant'!$BG$5:$BG$32),"n/a")</f>
        <v>n/a</v>
      </c>
      <c r="ED21" s="12" t="str">
        <f>IFERROR(IF(ISNUMBER(EC21),(EC21-AVERAGEIF('Pemetaan Variant'!$A$5:$A$32,$B21,'Pemetaan Variant'!$M$5:$M$32))/AVERAGEIF('Pemetaan Variant'!$A$5:$A$32,$B21,'Pemetaan Variant'!$M$5:$M$32)*100,"n/a"),"n/a")</f>
        <v>n/a</v>
      </c>
      <c r="EE21" s="4" t="str">
        <f t="shared" si="43"/>
        <v>n/a</v>
      </c>
      <c r="EF21" s="11" t="str">
        <f>IFERROR(AVERAGEIF('Pemetaan Variant'!$A$5:$A$32,$B21,'Pemetaan Variant'!$BH$5:$BH$32),"n/a")</f>
        <v>n/a</v>
      </c>
      <c r="EG21" s="12" t="str">
        <f>IFERROR(IF(ISNUMBER(EF21),(EF21-AVERAGEIF('Pemetaan Variant'!$A$5:$A$32,$B21,'Pemetaan Variant'!$M$5:$M$32))/AVERAGEIF('Pemetaan Variant'!$A$5:$A$32,$B21,'Pemetaan Variant'!$M$5:$M$32)*100,"n/a"),"n/a")</f>
        <v>n/a</v>
      </c>
      <c r="EH21" s="4" t="str">
        <f t="shared" si="44"/>
        <v>n/a</v>
      </c>
      <c r="EI21" s="11" t="str">
        <f>IFERROR(AVERAGEIF('Pemetaan Variant'!$A$5:$A$32,$B21,'Pemetaan Variant'!$BI$5:$BI$32),"n/a")</f>
        <v>n/a</v>
      </c>
      <c r="EJ21" s="12" t="str">
        <f>IFERROR(IF(ISNUMBER(EI21),(EI21-AVERAGEIF('Pemetaan Variant'!$A$5:$A$32,$B21,'Pemetaan Variant'!$M$5:$M$32))/AVERAGEIF('Pemetaan Variant'!$A$5:$A$32,$B21,'Pemetaan Variant'!$M$5:$M$32)*100,"n/a"),"n/a")</f>
        <v>n/a</v>
      </c>
      <c r="EK21" s="4" t="str">
        <f t="shared" si="45"/>
        <v>n/a</v>
      </c>
      <c r="EL21" s="11" t="str">
        <f>IFERROR(AVERAGEIF('Pemetaan Variant'!$A$5:$A$32,$B21,'Pemetaan Variant'!$BJ$5:$BJ$32),"n/a")</f>
        <v>n/a</v>
      </c>
      <c r="EM21" s="12" t="str">
        <f>IFERROR(IF(ISNUMBER(EL21),(EL21-AVERAGEIF('Pemetaan Variant'!$A$5:$A$32,$B21,'Pemetaan Variant'!$N$5:$N$32))/AVERAGEIF('Pemetaan Variant'!$A$5:$A$32,$B21,'Pemetaan Variant'!$N$5:$N$32)*100,"n/a"),"n/a")</f>
        <v>n/a</v>
      </c>
      <c r="EN21" s="4" t="str">
        <f t="shared" si="46"/>
        <v>n/a</v>
      </c>
      <c r="EO21" s="11" t="str">
        <f>IFERROR(AVERAGEIF('Pemetaan Variant'!$A$5:$A$32,$B21,'Pemetaan Variant'!$BK$5:$BK$32),"n/a")</f>
        <v>n/a</v>
      </c>
      <c r="EP21" s="12" t="str">
        <f>IFERROR(IF(ISNUMBER(EO21),(EO21-AVERAGEIF('Pemetaan Variant'!$A$5:$A$32,$B21,'Pemetaan Variant'!$N$5:$N$32))/AVERAGEIF('Pemetaan Variant'!$A$5:$A$32,$B21,'Pemetaan Variant'!$N$5:$N$32)*100,"n/a"),"n/a")</f>
        <v>n/a</v>
      </c>
      <c r="EQ21" s="4" t="str">
        <f t="shared" si="47"/>
        <v>n/a</v>
      </c>
      <c r="ER21" s="11" t="str">
        <f>IFERROR(AVERAGEIF('Pemetaan Variant'!$A$5:$A$32,$B21,'Pemetaan Variant'!$BL$5:$BL$32),"n/a")</f>
        <v>n/a</v>
      </c>
      <c r="ES21" s="12" t="str">
        <f>IFERROR(IF(ISNUMBER(ER21),(ER21-AVERAGEIF('Pemetaan Variant'!$A$5:$A$32,$B21,'Pemetaan Variant'!$N$5:$N$32))/AVERAGEIF('Pemetaan Variant'!$A$5:$A$32,$B21,'Pemetaan Variant'!$N$5:$N$32)*100,"n/a"),"n/a")</f>
        <v>n/a</v>
      </c>
      <c r="ET21" s="4" t="str">
        <f t="shared" si="48"/>
        <v>n/a</v>
      </c>
      <c r="EU21" s="11" t="str">
        <f>IFERROR(AVERAGEIF('Pemetaan Variant'!$A$5:$A$32,$B21,'Pemetaan Variant'!$BM$5:$BM$32),"n/a")</f>
        <v>n/a</v>
      </c>
      <c r="EV21" s="12" t="str">
        <f>IFERROR(IF(ISNUMBER(EU21),(EU21-AVERAGEIF('Pemetaan Variant'!$A$5:$A$32,$B21,'Pemetaan Variant'!$N$5:$N$32))/AVERAGEIF('Pemetaan Variant'!$A$5:$A$32,$B21,'Pemetaan Variant'!$N$5:$N$32)*100,"n/a"),"n/a")</f>
        <v>n/a</v>
      </c>
      <c r="EW21" s="4" t="str">
        <f t="shared" si="49"/>
        <v>n/a</v>
      </c>
      <c r="EX21" s="11" t="str">
        <f>IFERROR(AVERAGEIF('Pemetaan Variant'!$A$5:$A$32,$B21,'Pemetaan Variant'!$BN$5:$BN$32),"n/a")</f>
        <v>n/a</v>
      </c>
      <c r="EY21" s="12" t="str">
        <f>IFERROR(IF(ISNUMBER(EX21),(EX21-AVERAGEIF('Pemetaan Variant'!$A$5:$A$32,$B21,'Pemetaan Variant'!$O$5:$O$32))/AVERAGEIF('Pemetaan Variant'!$A$5:$A$32,$B21,'Pemetaan Variant'!$O$5:$O$32)*100,"n/a"),"n/a")</f>
        <v>n/a</v>
      </c>
      <c r="EZ21" s="4" t="str">
        <f t="shared" si="50"/>
        <v>n/a</v>
      </c>
      <c r="FA21" s="11" t="str">
        <f>IFERROR(AVERAGEIF('Pemetaan Variant'!$A$5:$A$32,$B21,'Pemetaan Variant'!$BO$5:$BO$32),"n/a")</f>
        <v>n/a</v>
      </c>
      <c r="FB21" s="12" t="str">
        <f>IFERROR(IF(ISNUMBER(FA21),(FA21-AVERAGEIF('Pemetaan Variant'!$A$5:$A$32,$B21,'Pemetaan Variant'!$O$5:$O$32))/AVERAGEIF('Pemetaan Variant'!$A$5:$A$32,$B21,'Pemetaan Variant'!$O$5:$O$32)*100,"n/a"),"n/a")</f>
        <v>n/a</v>
      </c>
      <c r="FC21" s="4" t="str">
        <f t="shared" si="51"/>
        <v>n/a</v>
      </c>
      <c r="FD21" s="11" t="str">
        <f>IFERROR(AVERAGEIF('Pemetaan Variant'!$A$5:$A$32,$B21,'Pemetaan Variant'!$BP$5:$BP$32),"n/a")</f>
        <v>n/a</v>
      </c>
      <c r="FE21" s="12" t="str">
        <f>IFERROR(IF(ISNUMBER(FD21),(FD21-AVERAGEIF('Pemetaan Variant'!$A$5:$A$32,$B21,'Pemetaan Variant'!$O$5:$O$32))/AVERAGEIF('Pemetaan Variant'!$A$5:$A$32,$B21,'Pemetaan Variant'!$O$5:$O$32)*100,"n/a"),"n/a")</f>
        <v>n/a</v>
      </c>
      <c r="FF21" s="4" t="str">
        <f t="shared" si="52"/>
        <v>n/a</v>
      </c>
      <c r="FG21" s="11" t="str">
        <f>IFERROR(AVERAGEIF('Pemetaan Variant'!$A$5:$A$32,$B21,'Pemetaan Variant'!$BQ$5:$BQ$32),"n/a")</f>
        <v>n/a</v>
      </c>
      <c r="FH21" s="12" t="str">
        <f>IFERROR(IF(ISNUMBER(FG21),(FG21-AVERAGEIF('Pemetaan Variant'!$A$5:$A$32,$B21,'Pemetaan Variant'!$O$5:$O$32))/AVERAGEIF('Pemetaan Variant'!$A$5:$A$32,$B21,'Pemetaan Variant'!$O$5:$O$32)*100,"n/a"),"n/a")</f>
        <v>n/a</v>
      </c>
      <c r="FI21" s="4" t="str">
        <f t="shared" si="53"/>
        <v>n/a</v>
      </c>
      <c r="FJ21" s="11" t="str">
        <f>IFERROR(AVERAGEIF('Pemetaan Variant'!$A$5:$A$32,$B21,'Pemetaan Variant'!$BR$5:$BR$32),"n/a")</f>
        <v>n/a</v>
      </c>
      <c r="FK21" s="12" t="str">
        <f>IFERROR(IF(ISNUMBER(FJ21),(FJ21-AVERAGEIF('Pemetaan Variant'!$A$5:$A$32,$B21,'Pemetaan Variant'!$O$5:$O$32))/AVERAGEIF('Pemetaan Variant'!$A$5:$A$32,$B21,'Pemetaan Variant'!$O$5:$O$32)*100,"n/a"),"n/a")</f>
        <v>n/a</v>
      </c>
      <c r="FL21" s="4" t="str">
        <f t="shared" si="54"/>
        <v>n/a</v>
      </c>
      <c r="FM21" s="13" t="s">
        <v>143</v>
      </c>
      <c r="FO21" s="9">
        <f t="shared" si="55"/>
        <v>0</v>
      </c>
      <c r="FP21" s="9">
        <f t="shared" si="56"/>
        <v>0</v>
      </c>
      <c r="FQ21" s="9">
        <f t="shared" si="57"/>
        <v>0</v>
      </c>
      <c r="FR21" s="9">
        <f t="shared" si="58"/>
        <v>0</v>
      </c>
      <c r="FS21" s="9">
        <f t="shared" si="59"/>
        <v>0</v>
      </c>
      <c r="FT21" s="9">
        <f t="shared" si="60"/>
        <v>0</v>
      </c>
      <c r="FU21" s="9">
        <f t="shared" si="61"/>
        <v>0</v>
      </c>
      <c r="FV21" s="9">
        <f t="shared" si="62"/>
        <v>0</v>
      </c>
      <c r="FW21" s="9">
        <f t="shared" si="63"/>
        <v>0</v>
      </c>
      <c r="FX21" s="9">
        <f t="shared" si="64"/>
        <v>0</v>
      </c>
      <c r="FY21" s="9">
        <f t="shared" si="65"/>
        <v>0</v>
      </c>
      <c r="FZ21" s="9">
        <f t="shared" si="66"/>
        <v>0</v>
      </c>
      <c r="GA21" s="9">
        <f t="shared" si="67"/>
        <v>0</v>
      </c>
      <c r="GB21" s="9">
        <f t="shared" si="68"/>
        <v>0</v>
      </c>
      <c r="GC21" s="9">
        <f t="shared" si="69"/>
        <v>0</v>
      </c>
      <c r="GD21" s="9">
        <f t="shared" si="70"/>
        <v>0</v>
      </c>
      <c r="GE21" s="9">
        <f t="shared" si="71"/>
        <v>0</v>
      </c>
      <c r="GF21" s="9">
        <f t="shared" si="72"/>
        <v>0</v>
      </c>
      <c r="GG21" s="9">
        <f t="shared" si="73"/>
        <v>0</v>
      </c>
      <c r="GH21" s="9">
        <f t="shared" si="74"/>
        <v>0</v>
      </c>
      <c r="GI21" s="9">
        <f t="shared" si="75"/>
        <v>0</v>
      </c>
      <c r="GJ21" s="9">
        <f t="shared" si="76"/>
        <v>0</v>
      </c>
      <c r="GK21" s="9">
        <f t="shared" si="77"/>
        <v>0</v>
      </c>
      <c r="GL21" s="9">
        <f t="shared" si="78"/>
        <v>0</v>
      </c>
      <c r="GM21" s="9">
        <f t="shared" si="79"/>
        <v>0</v>
      </c>
      <c r="GN21" s="9">
        <f t="shared" si="80"/>
        <v>0</v>
      </c>
      <c r="GO21" s="9">
        <f t="shared" si="81"/>
        <v>0</v>
      </c>
      <c r="GP21" s="9">
        <f t="shared" si="82"/>
        <v>0</v>
      </c>
      <c r="GQ21" s="9">
        <f t="shared" si="83"/>
        <v>0</v>
      </c>
      <c r="GR21" s="9">
        <f t="shared" si="84"/>
        <v>0</v>
      </c>
      <c r="GS21" s="9">
        <f t="shared" si="85"/>
        <v>0</v>
      </c>
      <c r="GT21" s="9">
        <f t="shared" si="86"/>
        <v>0</v>
      </c>
      <c r="GU21" s="9">
        <f t="shared" si="87"/>
        <v>0</v>
      </c>
      <c r="GV21" s="9">
        <f t="shared" si="88"/>
        <v>18.4613466503293</v>
      </c>
      <c r="GW21" s="9">
        <f t="shared" si="89"/>
        <v>18.4613466503293</v>
      </c>
      <c r="GX21" s="9">
        <f t="shared" si="90"/>
        <v>18.4613466503293</v>
      </c>
      <c r="GY21" s="9">
        <f t="shared" si="91"/>
        <v>18.4613466503293</v>
      </c>
      <c r="GZ21" s="9">
        <f t="shared" si="92"/>
        <v>0</v>
      </c>
      <c r="HA21" s="9">
        <f t="shared" si="93"/>
        <v>0</v>
      </c>
      <c r="HB21" s="9">
        <f t="shared" si="94"/>
        <v>0</v>
      </c>
      <c r="HC21" s="9">
        <f t="shared" si="95"/>
        <v>0</v>
      </c>
      <c r="HD21" s="9">
        <f t="shared" si="96"/>
        <v>0</v>
      </c>
      <c r="HE21" s="9">
        <f t="shared" si="97"/>
        <v>0</v>
      </c>
      <c r="HF21" s="9">
        <f t="shared" si="98"/>
        <v>0</v>
      </c>
      <c r="HG21" s="9">
        <f t="shared" si="99"/>
        <v>0</v>
      </c>
      <c r="HH21" s="9">
        <f t="shared" si="100"/>
        <v>0</v>
      </c>
      <c r="HI21" s="9">
        <f t="shared" si="101"/>
        <v>0</v>
      </c>
      <c r="HJ21" s="9">
        <f t="shared" si="102"/>
        <v>0</v>
      </c>
      <c r="HK21" s="9">
        <f t="shared" si="103"/>
        <v>0</v>
      </c>
      <c r="HL21" s="9">
        <f t="shared" si="104"/>
        <v>0</v>
      </c>
      <c r="HM21" s="9">
        <f t="shared" si="105"/>
        <v>0</v>
      </c>
      <c r="HN21" s="9">
        <f t="shared" si="106"/>
        <v>0</v>
      </c>
      <c r="HO21" s="9">
        <f t="shared" si="107"/>
        <v>0</v>
      </c>
      <c r="HP21" s="9">
        <f t="shared" si="108"/>
        <v>0</v>
      </c>
      <c r="HQ21" s="9">
        <f t="shared" si="109"/>
        <v>0</v>
      </c>
    </row>
    <row r="22" spans="1:225" x14ac:dyDescent="0.35">
      <c r="A22" s="3">
        <v>17</v>
      </c>
      <c r="B22" s="3" t="s">
        <v>144</v>
      </c>
      <c r="C22" s="10">
        <f>'P0Q0 Dasar 2022'!F21</f>
        <v>1.10208839376634E-2</v>
      </c>
      <c r="D22" s="11">
        <f>IFERROR(AVERAGEIF('Pemetaan Variant'!$A$5:$A$32,$B22,'Pemetaan Variant'!$P$5:$P$32),"n/a")</f>
        <v>34000</v>
      </c>
      <c r="E22" s="12">
        <f>IFERROR(IF(ISNUMBER(D22),(D22-AVERAGEIF('Pemetaan Variant'!$A$5:$A$32,$B22,'Pemetaan Variant'!$D$5:$D$32))/AVERAGEIF('Pemetaan Variant'!$A$5:$A$32,$B22,'Pemetaan Variant'!$D$5:$D$32)*100,"n/a"),"n/a")</f>
        <v>42.823803967327898</v>
      </c>
      <c r="F22" s="4">
        <f t="shared" si="0"/>
        <v>0.47195617329317024</v>
      </c>
      <c r="G22" s="11">
        <f>IFERROR(AVERAGEIF('Pemetaan Variant'!$A$5:$A$32,$B22,'Pemetaan Variant'!$Q$5:$Q$32),"n/a")</f>
        <v>34000</v>
      </c>
      <c r="H22" s="12">
        <f>IFERROR(IF(ISNUMBER(G22),(G22-AVERAGEIF('Pemetaan Variant'!$A$5:$A$32,$B22,'Pemetaan Variant'!$D$5:$D$32))/AVERAGEIF('Pemetaan Variant'!$A$5:$A$32,$B22,'Pemetaan Variant'!$D$5:$D$32)*100,"n/a"),"n/a")</f>
        <v>42.823803967327898</v>
      </c>
      <c r="I22" s="4">
        <f t="shared" si="1"/>
        <v>0.47195617329317024</v>
      </c>
      <c r="J22" s="11">
        <f>IFERROR(AVERAGEIF('Pemetaan Variant'!$A$5:$A$32,$B22,'Pemetaan Variant'!$R$5:$R$32),"n/a")</f>
        <v>34000</v>
      </c>
      <c r="K22" s="12">
        <f>IFERROR(IF(ISNUMBER(J22),(J22-AVERAGEIF('Pemetaan Variant'!$A$5:$A$32,$B22,'Pemetaan Variant'!$D$5:$D$32))/AVERAGEIF('Pemetaan Variant'!$A$5:$A$32,$B22,'Pemetaan Variant'!$D$5:$D$32)*100,"n/a"),"n/a")</f>
        <v>42.823803967327898</v>
      </c>
      <c r="L22" s="4">
        <f t="shared" si="2"/>
        <v>0.47195617329317024</v>
      </c>
      <c r="M22" s="11">
        <f>IFERROR(AVERAGEIF('Pemetaan Variant'!$A$5:$A$32,$B22,'Pemetaan Variant'!$S$5:$S$32),"n/a")</f>
        <v>34100</v>
      </c>
      <c r="N22" s="12">
        <f>IFERROR(IF(ISNUMBER(M22),(M22-AVERAGEIF('Pemetaan Variant'!$A$5:$A$32,$B22,'Pemetaan Variant'!$D$5:$D$32))/AVERAGEIF('Pemetaan Variant'!$A$5:$A$32,$B22,'Pemetaan Variant'!$D$5:$D$32)*100,"n/a"),"n/a")</f>
        <v>43.243873978996504</v>
      </c>
      <c r="O22" s="4">
        <f t="shared" si="3"/>
        <v>0.47658571613746287</v>
      </c>
      <c r="P22" s="11">
        <f>IFERROR(AVERAGEIF('Pemetaan Variant'!$A$5:$A$32,$B22,'Pemetaan Variant'!$T$5:$T$32),"n/a")</f>
        <v>36000</v>
      </c>
      <c r="Q22" s="12">
        <f>IFERROR(IF(ISNUMBER(P22),(P22-AVERAGEIF('Pemetaan Variant'!$A$5:$A$32,$B22,'Pemetaan Variant'!$D$5:$D$32))/AVERAGEIF('Pemetaan Variant'!$A$5:$A$32,$B22,'Pemetaan Variant'!$D$5:$D$32)*100,"n/a"),"n/a")</f>
        <v>51.225204200700126</v>
      </c>
      <c r="R22" s="4">
        <f t="shared" si="4"/>
        <v>0.56454703017902375</v>
      </c>
      <c r="S22" s="11">
        <f>IFERROR(AVERAGEIF('Pemetaan Variant'!$A$5:$A$32,$B22,'Pemetaan Variant'!$U$5:$U$32),"n/a")</f>
        <v>36000</v>
      </c>
      <c r="T22" s="12">
        <f>IFERROR(IF(ISNUMBER(S22),(S22-AVERAGEIF('Pemetaan Variant'!$A$5:$A$32,$B22,'Pemetaan Variant'!$E$5:$E$32))/AVERAGEIF('Pemetaan Variant'!$A$5:$A$32,$B22,'Pemetaan Variant'!$E$5:$E$32)*100,"n/a"),"n/a")</f>
        <v>5.1498847040737825</v>
      </c>
      <c r="U22" s="4">
        <f t="shared" si="5"/>
        <v>5.6756281615945182E-2</v>
      </c>
      <c r="V22" s="11">
        <f>IFERROR(AVERAGEIF('Pemetaan Variant'!$A$5:$A$32,$B22,'Pemetaan Variant'!$V$5:$V$32),"n/a")</f>
        <v>36000</v>
      </c>
      <c r="W22" s="12">
        <f>IFERROR(IF(ISNUMBER(V22),(V22-AVERAGEIF('Pemetaan Variant'!$A$5:$A$32,$B22,'Pemetaan Variant'!$E$5:$E$32))/AVERAGEIF('Pemetaan Variant'!$A$5:$A$32,$B22,'Pemetaan Variant'!$E$5:$E$32)*100,"n/a"),"n/a")</f>
        <v>5.1498847040737825</v>
      </c>
      <c r="X22" s="4">
        <f t="shared" si="6"/>
        <v>5.6756281615945182E-2</v>
      </c>
      <c r="Y22" s="11">
        <f>IFERROR(AVERAGEIF('Pemetaan Variant'!$A$5:$A$32,$B22,'Pemetaan Variant'!$W$5:$W$32),"n/a")</f>
        <v>35800</v>
      </c>
      <c r="Z22" s="12">
        <f>IFERROR(IF(ISNUMBER(Y22),(Y22-AVERAGEIF('Pemetaan Variant'!$A$5:$A$32,$B22,'Pemetaan Variant'!$E$5:$E$32))/AVERAGEIF('Pemetaan Variant'!$A$5:$A$32,$B22,'Pemetaan Variant'!$E$5:$E$32)*100,"n/a"),"n/a")</f>
        <v>4.5657186779400396</v>
      </c>
      <c r="AA22" s="4">
        <f t="shared" si="7"/>
        <v>5.0318255641599162E-2</v>
      </c>
      <c r="AB22" s="11">
        <f>IFERROR(AVERAGEIF('Pemetaan Variant'!$A$5:$A$32,$B22,'Pemetaan Variant'!$X$5:$X$32),"n/a")</f>
        <v>36000</v>
      </c>
      <c r="AC22" s="12">
        <f>IFERROR(IF(ISNUMBER(AB22),(AB22-AVERAGEIF('Pemetaan Variant'!$A$5:$A$32,$B22,'Pemetaan Variant'!$E$5:$E$32))/AVERAGEIF('Pemetaan Variant'!$A$5:$A$32,$B22,'Pemetaan Variant'!$E$5:$E$32)*100,"n/a"),"n/a")</f>
        <v>5.1498847040737825</v>
      </c>
      <c r="AD22" s="4">
        <f t="shared" si="8"/>
        <v>5.6756281615945182E-2</v>
      </c>
      <c r="AE22" s="11">
        <f>IFERROR(AVERAGEIF('Pemetaan Variant'!$A$5:$A$32,$B22,'Pemetaan Variant'!$Y$5:$Y$32),"n/a")</f>
        <v>31200</v>
      </c>
      <c r="AF22" s="12">
        <f>IFERROR(IF(ISNUMBER(AE22),(AE22-AVERAGEIF('Pemetaan Variant'!$A$5:$A$32,$B22,'Pemetaan Variant'!$F$5:$F$32))/AVERAGEIF('Pemetaan Variant'!$A$5:$A$32,$B22,'Pemetaan Variant'!$F$5:$F$32)*100,"n/a"),"n/a")</f>
        <v>-13.206442166910692</v>
      </c>
      <c r="AG22" s="4">
        <f t="shared" si="9"/>
        <v>-0.14554666635098668</v>
      </c>
      <c r="AH22" s="11">
        <f>IFERROR(AVERAGEIF('Pemetaan Variant'!$A$5:$A$32,$B22,'Pemetaan Variant'!$Z$5:$Z$32),"n/a")</f>
        <v>30000</v>
      </c>
      <c r="AI22" s="12">
        <f>IFERROR(IF(ISNUMBER(AH22),(AH22-AVERAGEIF('Pemetaan Variant'!$A$5:$A$32,$B22,'Pemetaan Variant'!$F$5:$F$32))/AVERAGEIF('Pemetaan Variant'!$A$5:$A$32,$B22,'Pemetaan Variant'!$F$5:$F$32)*100,"n/a"),"n/a")</f>
        <v>-16.54465592972182</v>
      </c>
      <c r="AJ22" s="4">
        <f t="shared" si="10"/>
        <v>-0.18233673279003873</v>
      </c>
      <c r="AK22" s="11">
        <f>IFERROR(AVERAGEIF('Pemetaan Variant'!$A$5:$A$32,$B22,'Pemetaan Variant'!$AA$5:$AA$32),"n/a")</f>
        <v>31200</v>
      </c>
      <c r="AL22" s="12">
        <f>IFERROR(IF(ISNUMBER(AK22),(AK22-AVERAGEIF('Pemetaan Variant'!$A$5:$A$32,$B22,'Pemetaan Variant'!$F$5:$F$32))/AVERAGEIF('Pemetaan Variant'!$A$5:$A$32,$B22,'Pemetaan Variant'!$F$5:$F$32)*100,"n/a"),"n/a")</f>
        <v>-13.206442166910692</v>
      </c>
      <c r="AM22" s="4">
        <f t="shared" si="11"/>
        <v>-0.14554666635098668</v>
      </c>
      <c r="AN22" s="11">
        <f>IFERROR(AVERAGEIF('Pemetaan Variant'!$A$5:$A$32,$B22,'Pemetaan Variant'!$AB$5:$AB$32),"n/a")</f>
        <v>32750</v>
      </c>
      <c r="AO22" s="12">
        <f>IFERROR(IF(ISNUMBER(AN22),(AN22-AVERAGEIF('Pemetaan Variant'!$A$5:$A$32,$B22,'Pemetaan Variant'!$F$5:$F$32))/AVERAGEIF('Pemetaan Variant'!$A$5:$A$32,$B22,'Pemetaan Variant'!$F$5:$F$32)*100,"n/a"),"n/a")</f>
        <v>-8.8945827232796546</v>
      </c>
      <c r="AP22" s="4">
        <f t="shared" si="12"/>
        <v>-9.8026163867211136E-2</v>
      </c>
      <c r="AQ22" s="11" t="str">
        <f>IFERROR(AVERAGEIF('Pemetaan Variant'!$A$5:$A$32,$B22,'Pemetaan Variant'!$AC$5:$AC$32),"n/a")</f>
        <v>n/a</v>
      </c>
      <c r="AR22" s="12" t="str">
        <f>IFERROR(IF(ISNUMBER(AQ22),(AQ22-AVERAGEIF('Pemetaan Variant'!$A$5:$A$32,$B22,'Pemetaan Variant'!$F$5:$F$32))/AVERAGEIF('Pemetaan Variant'!$A$5:$A$32,$B22,'Pemetaan Variant'!$F$5:$F$32)*100,"n/a"),"n/a")</f>
        <v>n/a</v>
      </c>
      <c r="AS22" s="4" t="str">
        <f t="shared" si="13"/>
        <v>n/a</v>
      </c>
      <c r="AT22" s="11" t="str">
        <f>IFERROR(AVERAGEIF('Pemetaan Variant'!$A$5:$A$32,$B22,'Pemetaan Variant'!$AD$5:$AD$32),"n/a")</f>
        <v>n/a</v>
      </c>
      <c r="AU22" s="12" t="str">
        <f>IFERROR(IF(ISNUMBER(AT22),(AT22-AVERAGEIF('Pemetaan Variant'!$A$5:$A$32,$B22,'Pemetaan Variant'!$G$5:$G$32))/AVERAGEIF('Pemetaan Variant'!$A$5:$A$32,$B22,'Pemetaan Variant'!$G$5:$G$32)*100,"n/a"),"n/a")</f>
        <v>n/a</v>
      </c>
      <c r="AV22" s="4" t="str">
        <f t="shared" si="14"/>
        <v>n/a</v>
      </c>
      <c r="AW22" s="11">
        <f>IFERROR(AVERAGEIF('Pemetaan Variant'!$A$5:$A$32,$B22,'Pemetaan Variant'!$AE$5:$AE$32),"n/a")</f>
        <v>40000</v>
      </c>
      <c r="AX22" s="12">
        <f>IFERROR(IF(ISNUMBER(AW22),(AW22-AVERAGEIF('Pemetaan Variant'!$A$5:$A$32,$B22,'Pemetaan Variant'!$G$5:$G$32))/AVERAGEIF('Pemetaan Variant'!$A$5:$A$32,$B22,'Pemetaan Variant'!$G$5:$G$32)*100,"n/a"),"n/a")</f>
        <v>28.161888701517707</v>
      </c>
      <c r="AY22" s="4">
        <f t="shared" si="15"/>
        <v>0.31036890684482088</v>
      </c>
      <c r="AZ22" s="11">
        <f>IFERROR(AVERAGEIF('Pemetaan Variant'!$A$5:$A$32,$B22,'Pemetaan Variant'!$AF$5:$AF$32),"n/a")</f>
        <v>36875</v>
      </c>
      <c r="BA22" s="12">
        <f>IFERROR(IF(ISNUMBER(AZ22),(AZ22-AVERAGEIF('Pemetaan Variant'!$A$5:$A$32,$B22,'Pemetaan Variant'!$G$5:$G$32))/AVERAGEIF('Pemetaan Variant'!$A$5:$A$32,$B22,'Pemetaan Variant'!$G$5:$G$32)*100,"n/a"),"n/a")</f>
        <v>18.149241146711638</v>
      </c>
      <c r="BB22" s="4">
        <f t="shared" si="16"/>
        <v>0.20002068023457398</v>
      </c>
      <c r="BC22" s="11">
        <f>IFERROR(AVERAGEIF('Pemetaan Variant'!$A$5:$A$32,$B22,'Pemetaan Variant'!$AG$5:$AG$32),"n/a")</f>
        <v>32500</v>
      </c>
      <c r="BD22" s="12">
        <f>IFERROR(IF(ISNUMBER(BC22),(BC22-AVERAGEIF('Pemetaan Variant'!$A$5:$A$32,$B22,'Pemetaan Variant'!$G$5:$G$32))/AVERAGEIF('Pemetaan Variant'!$A$5:$A$32,$B22,'Pemetaan Variant'!$G$5:$G$32)*100,"n/a"),"n/a")</f>
        <v>4.1315345699831374</v>
      </c>
      <c r="BE22" s="4">
        <f t="shared" si="17"/>
        <v>4.553316298022822E-2</v>
      </c>
      <c r="BF22" s="11">
        <f>IFERROR(AVERAGEIF('Pemetaan Variant'!$A$5:$A$32,$B22,'Pemetaan Variant'!$AH$5:$AH$32),"n/a")</f>
        <v>25166.666666666664</v>
      </c>
      <c r="BG22" s="12">
        <f>IFERROR(IF(ISNUMBER(BF22),(BF22-AVERAGEIF('Pemetaan Variant'!$A$5:$A$32,$B22,'Pemetaan Variant'!$G$5:$G$32))/AVERAGEIF('Pemetaan Variant'!$A$5:$A$32,$B22,'Pemetaan Variant'!$G$5:$G$32)*100,"n/a"),"n/a")</f>
        <v>-19.364811691961783</v>
      </c>
      <c r="BH22" s="4">
        <f t="shared" si="18"/>
        <v>-0.21341734213181804</v>
      </c>
      <c r="BI22" s="11">
        <f>IFERROR(AVERAGEIF('Pemetaan Variant'!$A$5:$A$32,$B22,'Pemetaan Variant'!$AI$5:$AI$32),"n/a")</f>
        <v>25000</v>
      </c>
      <c r="BJ22" s="12">
        <f>IFERROR(IF(ISNUMBER(BI22),(BI22-AVERAGEIF('Pemetaan Variant'!$A$5:$A$32,$B22,'Pemetaan Variant'!$H$5:$H$32))/AVERAGEIF('Pemetaan Variant'!$A$5:$A$32,$B22,'Pemetaan Variant'!$H$5:$H$32)*100,"n/a"),"n/a")</f>
        <v>-26.672777268560953</v>
      </c>
      <c r="BK22" s="4">
        <f t="shared" si="19"/>
        <v>-0.29395758257195687</v>
      </c>
      <c r="BL22" s="11">
        <f>IFERROR(AVERAGEIF('Pemetaan Variant'!$A$5:$A$32,$B22,'Pemetaan Variant'!$AJ$5:$AJ$32),"n/a")</f>
        <v>26200</v>
      </c>
      <c r="BM22" s="12">
        <f>IFERROR(IF(ISNUMBER(BL22),(BL22-AVERAGEIF('Pemetaan Variant'!$A$5:$A$32,$B22,'Pemetaan Variant'!$H$5:$H$32))/AVERAGEIF('Pemetaan Variant'!$A$5:$A$32,$B22,'Pemetaan Variant'!$H$5:$H$32)*100,"n/a"),"n/a")</f>
        <v>-23.153070577451878</v>
      </c>
      <c r="BN22" s="4">
        <f t="shared" si="20"/>
        <v>-0.25516730363462647</v>
      </c>
      <c r="BO22" s="11">
        <f>IFERROR(AVERAGEIF('Pemetaan Variant'!$A$5:$A$32,$B22,'Pemetaan Variant'!$AK$5:$AK$32),"n/a")</f>
        <v>24000</v>
      </c>
      <c r="BP22" s="12">
        <f>IFERROR(IF(ISNUMBER(BO22),(BO22-AVERAGEIF('Pemetaan Variant'!$A$5:$A$32,$B22,'Pemetaan Variant'!$H$5:$H$32))/AVERAGEIF('Pemetaan Variant'!$A$5:$A$32,$B22,'Pemetaan Variant'!$H$5:$H$32)*100,"n/a"),"n/a")</f>
        <v>-29.605866177818513</v>
      </c>
      <c r="BQ22" s="4">
        <f t="shared" si="21"/>
        <v>-0.32628281501973216</v>
      </c>
      <c r="BR22" s="11">
        <f>IFERROR(AVERAGEIF('Pemetaan Variant'!$A$5:$A$32,$B22,'Pemetaan Variant'!$AL$5:$AL$32),"n/a")</f>
        <v>25400</v>
      </c>
      <c r="BS22" s="12">
        <f>IFERROR(IF(ISNUMBER(BR22),(BR22-AVERAGEIF('Pemetaan Variant'!$A$5:$A$32,$B22,'Pemetaan Variant'!$H$5:$H$32))/AVERAGEIF('Pemetaan Variant'!$A$5:$A$32,$B22,'Pemetaan Variant'!$H$5:$H$32)*100,"n/a"),"n/a")</f>
        <v>-25.499541704857933</v>
      </c>
      <c r="BT22" s="4">
        <f t="shared" si="22"/>
        <v>-0.28102748959284679</v>
      </c>
      <c r="BU22" s="11">
        <f>IFERROR(AVERAGEIF('Pemetaan Variant'!$A$5:$A$32,$B22,'Pemetaan Variant'!$AM$5:$AM$32),"n/a")</f>
        <v>26666.666666666668</v>
      </c>
      <c r="BV22" s="12">
        <f>IFERROR(IF(ISNUMBER(BU22),(BU22-AVERAGEIF('Pemetaan Variant'!$A$5:$A$32,$B22,'Pemetaan Variant'!$H$5:$H$32))/AVERAGEIF('Pemetaan Variant'!$A$5:$A$32,$B22,'Pemetaan Variant'!$H$5:$H$32)*100,"n/a"),"n/a")</f>
        <v>-21.78429575313168</v>
      </c>
      <c r="BW22" s="4">
        <f t="shared" si="23"/>
        <v>-0.24008219515899795</v>
      </c>
      <c r="BX22" s="11">
        <f>IFERROR(AVERAGEIF('Pemetaan Variant'!$A$5:$A$32,$B22,'Pemetaan Variant'!$AN$5:$AN$32),"n/a")</f>
        <v>34000</v>
      </c>
      <c r="BY22" s="12">
        <f>IFERROR(IF(ISNUMBER(BX22),(BX22-AVERAGEIF('Pemetaan Variant'!$A$5:$A$32,$B22,'Pemetaan Variant'!$I$5:$I$32))/AVERAGEIF('Pemetaan Variant'!$A$5:$A$32,$B22,'Pemetaan Variant'!$I$5:$I$32)*100,"n/a"),"n/a")</f>
        <v>32.873563218390807</v>
      </c>
      <c r="BZ22" s="4">
        <f t="shared" si="24"/>
        <v>0.36229572484732558</v>
      </c>
      <c r="CA22" s="11">
        <f>IFERROR(AVERAGEIF('Pemetaan Variant'!$A$5:$A$32,$B22,'Pemetaan Variant'!$AO$5:$AO$32),"n/a")</f>
        <v>28000</v>
      </c>
      <c r="CB22" s="12">
        <f>IFERROR(IF(ISNUMBER(CA22),(CA22-AVERAGEIF('Pemetaan Variant'!$A$5:$A$32,$B22,'Pemetaan Variant'!$I$5:$I$32))/AVERAGEIF('Pemetaan Variant'!$A$5:$A$32,$B22,'Pemetaan Variant'!$I$5:$I$32)*100,"n/a"),"n/a")</f>
        <v>9.4252873563218404</v>
      </c>
      <c r="CC22" s="4">
        <f t="shared" si="25"/>
        <v>0.10387499803314931</v>
      </c>
      <c r="CD22" s="11">
        <f>IFERROR(AVERAGEIF('Pemetaan Variant'!$A$5:$A$32,$B22,'Pemetaan Variant'!$AP$5:$AP$32),"n/a")</f>
        <v>20200</v>
      </c>
      <c r="CE22" s="12">
        <f>IFERROR(IF(ISNUMBER(CD22),(CD22-AVERAGEIF('Pemetaan Variant'!$A$5:$A$32,$B22,'Pemetaan Variant'!$I$5:$I$32))/AVERAGEIF('Pemetaan Variant'!$A$5:$A$32,$B22,'Pemetaan Variant'!$I$5:$I$32)*100,"n/a"),"n/a")</f>
        <v>-21.057471264367816</v>
      </c>
      <c r="CF22" s="4">
        <f t="shared" si="26"/>
        <v>-0.23207194682527987</v>
      </c>
      <c r="CG22" s="11">
        <f>IFERROR(AVERAGEIF('Pemetaan Variant'!$A$5:$A$32,$B22,'Pemetaan Variant'!$AQ$5:$AQ$32),"n/a")</f>
        <v>21000</v>
      </c>
      <c r="CH22" s="12">
        <f>IFERROR(IF(ISNUMBER(CG22),(CG22-AVERAGEIF('Pemetaan Variant'!$A$5:$A$32,$B22,'Pemetaan Variant'!$I$5:$I$32))/AVERAGEIF('Pemetaan Variant'!$A$5:$A$32,$B22,'Pemetaan Variant'!$I$5:$I$32)*100,"n/a"),"n/a")</f>
        <v>-17.931034482758619</v>
      </c>
      <c r="CI22" s="4">
        <f t="shared" si="27"/>
        <v>-0.19761584991672301</v>
      </c>
      <c r="CJ22" s="11">
        <f>IFERROR(AVERAGEIF('Pemetaan Variant'!$A$5:$A$32,$B22,'Pemetaan Variant'!$AR$5:$AR$32),"n/a")</f>
        <v>22750</v>
      </c>
      <c r="CK22" s="12">
        <f>IFERROR(IF(ISNUMBER(CJ22),(CJ22-AVERAGEIF('Pemetaan Variant'!$A$5:$A$32,$B22,'Pemetaan Variant'!$J$5:$J$32))/AVERAGEIF('Pemetaan Variant'!$A$5:$A$32,$B22,'Pemetaan Variant'!$J$5:$J$32)*100,"n/a"),"n/a")</f>
        <v>-10.681293302540421</v>
      </c>
      <c r="CL22" s="4">
        <f t="shared" si="28"/>
        <v>-0.11771729379143939</v>
      </c>
      <c r="CM22" s="11">
        <f>IFERROR(AVERAGEIF('Pemetaan Variant'!$A$5:$A$32,$B22,'Pemetaan Variant'!$AS$5:$AS$32),"n/a")</f>
        <v>23900</v>
      </c>
      <c r="CN22" s="12">
        <f>IFERROR(IF(ISNUMBER(CM22),(CM22-AVERAGEIF('Pemetaan Variant'!$A$5:$A$32,$B22,'Pemetaan Variant'!$J$5:$J$32))/AVERAGEIF('Pemetaan Variant'!$A$5:$A$32,$B22,'Pemetaan Variant'!$J$5:$J$32)*100,"n/a"),"n/a")</f>
        <v>-6.1662817551963096</v>
      </c>
      <c r="CO22" s="4">
        <f t="shared" si="29"/>
        <v>-6.7957875550949884E-2</v>
      </c>
      <c r="CP22" s="11">
        <f>IFERROR(AVERAGEIF('Pemetaan Variant'!$A$5:$A$32,$B22,'Pemetaan Variant'!$AT$5:$AT$32),"n/a")</f>
        <v>23100</v>
      </c>
      <c r="CQ22" s="12">
        <f>IFERROR(IF(ISNUMBER(CP22),(CP22-AVERAGEIF('Pemetaan Variant'!$A$5:$A$32,$B22,'Pemetaan Variant'!$J$5:$J$32))/AVERAGEIF('Pemetaan Variant'!$A$5:$A$32,$B22,'Pemetaan Variant'!$J$5:$J$32)*100,"n/a"),"n/a")</f>
        <v>-9.3071593533487338</v>
      </c>
      <c r="CR22" s="4">
        <f t="shared" si="30"/>
        <v>-0.10257312302259475</v>
      </c>
      <c r="CS22" s="11">
        <f>IFERROR(AVERAGEIF('Pemetaan Variant'!$A$5:$A$32,$B22,'Pemetaan Variant'!$AU$5:$AU$32),"n/a")</f>
        <v>24500</v>
      </c>
      <c r="CT22" s="12">
        <f>IFERROR(IF(ISNUMBER(CS22),(CS22-AVERAGEIF('Pemetaan Variant'!$A$5:$A$32,$B22,'Pemetaan Variant'!$J$5:$J$32))/AVERAGEIF('Pemetaan Variant'!$A$5:$A$32,$B22,'Pemetaan Variant'!$J$5:$J$32)*100,"n/a"),"n/a")</f>
        <v>-3.8106235565819908</v>
      </c>
      <c r="CU22" s="4">
        <f t="shared" si="31"/>
        <v>-4.1996439947216239E-2</v>
      </c>
      <c r="CV22" s="11">
        <f>IFERROR(AVERAGEIF('Pemetaan Variant'!$A$5:$A$32,$B22,'Pemetaan Variant'!$AV$5:$AV$32),"n/a")</f>
        <v>24500</v>
      </c>
      <c r="CW22" s="12">
        <f>IFERROR(IF(ISNUMBER(CV22),(CV22-AVERAGEIF('Pemetaan Variant'!$A$5:$A$32,$B22,'Pemetaan Variant'!$J$5:$J$32))/AVERAGEIF('Pemetaan Variant'!$A$5:$A$32,$B22,'Pemetaan Variant'!$J$5:$J$32)*100,"n/a"),"n/a")</f>
        <v>-3.8106235565819908</v>
      </c>
      <c r="CX22" s="4">
        <f t="shared" si="32"/>
        <v>-4.1996439947216239E-2</v>
      </c>
      <c r="CY22" s="11">
        <f>IFERROR(AVERAGEIF('Pemetaan Variant'!$A$5:$A$32,$B22,'Pemetaan Variant'!$AW$5:$AW$32),"n/a")</f>
        <v>0</v>
      </c>
      <c r="CZ22" s="12">
        <f>IFERROR(IF(ISNUMBER(CY22),(CY22-AVERAGEIF('Pemetaan Variant'!$A$5:$A$32,$B22,'Pemetaan Variant'!$K$5:$K$32))/AVERAGEIF('Pemetaan Variant'!$A$5:$A$32,$B22,'Pemetaan Variant'!$K$5:$K$32)*100,"n/a"),"n/a")</f>
        <v>-100</v>
      </c>
      <c r="DA22" s="4">
        <f t="shared" si="33"/>
        <v>-1.1020883937663402</v>
      </c>
      <c r="DB22" s="11">
        <f>IFERROR(AVERAGEIF('Pemetaan Variant'!$A$5:$A$32,$B22,'Pemetaan Variant'!$AX$5:$AX$32),"n/a")</f>
        <v>0</v>
      </c>
      <c r="DC22" s="12">
        <f>IFERROR(IF(ISNUMBER(DB22),(DB22-AVERAGEIF('Pemetaan Variant'!$A$5:$A$32,$B22,'Pemetaan Variant'!$K$5:$K$32))/AVERAGEIF('Pemetaan Variant'!$A$5:$A$32,$B22,'Pemetaan Variant'!$K$5:$K$32)*100,"n/a"),"n/a")</f>
        <v>-100</v>
      </c>
      <c r="DD22" s="4">
        <f t="shared" si="34"/>
        <v>-1.1020883937663402</v>
      </c>
      <c r="DE22" s="11">
        <f>IFERROR(AVERAGEIF('Pemetaan Variant'!$A$5:$A$32,$B22,'Pemetaan Variant'!$AY$5:$AY$32),"n/a")</f>
        <v>0</v>
      </c>
      <c r="DF22" s="12">
        <f>IFERROR(IF(ISNUMBER(DE22),(DE22-AVERAGEIF('Pemetaan Variant'!$A$5:$A$32,$B22,'Pemetaan Variant'!$K$5:$K$32))/AVERAGEIF('Pemetaan Variant'!$A$5:$A$32,$B22,'Pemetaan Variant'!$K$5:$K$32)*100,"n/a"),"n/a")</f>
        <v>-100</v>
      </c>
      <c r="DG22" s="4">
        <f t="shared" si="35"/>
        <v>-1.1020883937663402</v>
      </c>
      <c r="DH22" s="11">
        <f>IFERROR(AVERAGEIF('Pemetaan Variant'!$A$5:$A$32,$B22,'Pemetaan Variant'!$AZ$5:$AZ$32),"n/a")</f>
        <v>0</v>
      </c>
      <c r="DI22" s="12">
        <f>IFERROR(IF(ISNUMBER(DH22),(DH22-AVERAGEIF('Pemetaan Variant'!$A$5:$A$32,$B22,'Pemetaan Variant'!$K$5:$K$32))/AVERAGEIF('Pemetaan Variant'!$A$5:$A$32,$B22,'Pemetaan Variant'!$K$5:$K$32)*100,"n/a"),"n/a")</f>
        <v>-100</v>
      </c>
      <c r="DJ22" s="4">
        <f t="shared" si="36"/>
        <v>-1.1020883937663402</v>
      </c>
      <c r="DK22" s="11" t="str">
        <f>IFERROR(AVERAGEIF('Pemetaan Variant'!$A$5:$A$32,$B22,'Pemetaan Variant'!$BA$5:$BA$32),"n/a")</f>
        <v>n/a</v>
      </c>
      <c r="DL22" s="12" t="str">
        <f>IFERROR(IF(ISNUMBER(DK22),(DK22-AVERAGEIF('Pemetaan Variant'!$A$5:$A$32,$B22,'Pemetaan Variant'!$L$5:$L$32))/AVERAGEIF('Pemetaan Variant'!$A$5:$A$32,$B22,'Pemetaan Variant'!$L$5:$L$32)*100,"n/a"),"n/a")</f>
        <v>n/a</v>
      </c>
      <c r="DM22" s="4" t="str">
        <f t="shared" si="37"/>
        <v>n/a</v>
      </c>
      <c r="DN22" s="11" t="str">
        <f>IFERROR(AVERAGEIF('Pemetaan Variant'!$A$5:$A$32,$B22,'Pemetaan Variant'!$BB$5:$BB$32),"n/a")</f>
        <v>n/a</v>
      </c>
      <c r="DO22" s="12" t="str">
        <f>IFERROR(IF(ISNUMBER(DN22),(DN22-AVERAGEIF('Pemetaan Variant'!$A$5:$A$32,$B22,'Pemetaan Variant'!$L$5:$L$32))/AVERAGEIF('Pemetaan Variant'!$A$5:$A$32,$B22,'Pemetaan Variant'!$L$5:$L$32)*100,"n/a"),"n/a")</f>
        <v>n/a</v>
      </c>
      <c r="DP22" s="4" t="str">
        <f t="shared" si="38"/>
        <v>n/a</v>
      </c>
      <c r="DQ22" s="11" t="str">
        <f>IFERROR(AVERAGEIF('Pemetaan Variant'!$A$5:$A$32,$B22,'Pemetaan Variant'!$BC$5:$BC$32),"n/a")</f>
        <v>n/a</v>
      </c>
      <c r="DR22" s="12" t="str">
        <f>IFERROR(IF(ISNUMBER(DQ22),(DQ22-AVERAGEIF('Pemetaan Variant'!$A$5:$A$32,$B22,'Pemetaan Variant'!$L$5:$L$32))/AVERAGEIF('Pemetaan Variant'!$A$5:$A$32,$B22,'Pemetaan Variant'!$L$5:$L$32)*100,"n/a"),"n/a")</f>
        <v>n/a</v>
      </c>
      <c r="DS22" s="4" t="str">
        <f t="shared" si="39"/>
        <v>n/a</v>
      </c>
      <c r="DT22" s="11" t="str">
        <f>IFERROR(AVERAGEIF('Pemetaan Variant'!$A$5:$A$32,$B22,'Pemetaan Variant'!$BD$5:$BD$32),"n/a")</f>
        <v>n/a</v>
      </c>
      <c r="DU22" s="12" t="str">
        <f>IFERROR(IF(ISNUMBER(DT22),(DT22-AVERAGEIF('Pemetaan Variant'!$A$5:$A$32,$B22,'Pemetaan Variant'!$L$5:$L$32))/AVERAGEIF('Pemetaan Variant'!$A$5:$A$32,$B22,'Pemetaan Variant'!$L$5:$L$32)*100,"n/a"),"n/a")</f>
        <v>n/a</v>
      </c>
      <c r="DV22" s="4" t="str">
        <f t="shared" si="40"/>
        <v>n/a</v>
      </c>
      <c r="DW22" s="11" t="str">
        <f>IFERROR(AVERAGEIF('Pemetaan Variant'!$A$5:$A$32,$B22,'Pemetaan Variant'!$BE$5:$BE$32),"n/a")</f>
        <v>n/a</v>
      </c>
      <c r="DX22" s="12" t="str">
        <f>IFERROR(IF(ISNUMBER(DW22),(DW22-AVERAGEIF('Pemetaan Variant'!$A$5:$A$32,$B22,'Pemetaan Variant'!$M$5:$M$32))/AVERAGEIF('Pemetaan Variant'!$A$5:$A$32,$B22,'Pemetaan Variant'!$M$5:$M$32)*100,"n/a"),"n/a")</f>
        <v>n/a</v>
      </c>
      <c r="DY22" s="4" t="str">
        <f t="shared" si="41"/>
        <v>n/a</v>
      </c>
      <c r="DZ22" s="11" t="str">
        <f>IFERROR(AVERAGEIF('Pemetaan Variant'!$A$5:$A$32,$B22,'Pemetaan Variant'!$BF$5:$BF$32),"n/a")</f>
        <v>n/a</v>
      </c>
      <c r="EA22" s="12" t="str">
        <f>IFERROR(IF(ISNUMBER(DZ22),(DZ22-AVERAGEIF('Pemetaan Variant'!$A$5:$A$32,$B22,'Pemetaan Variant'!$M$5:$M$32))/AVERAGEIF('Pemetaan Variant'!$A$5:$A$32,$B22,'Pemetaan Variant'!$M$5:$M$32)*100,"n/a"),"n/a")</f>
        <v>n/a</v>
      </c>
      <c r="EB22" s="4" t="str">
        <f t="shared" si="42"/>
        <v>n/a</v>
      </c>
      <c r="EC22" s="11" t="str">
        <f>IFERROR(AVERAGEIF('Pemetaan Variant'!$A$5:$A$32,$B22,'Pemetaan Variant'!$BG$5:$BG$32),"n/a")</f>
        <v>n/a</v>
      </c>
      <c r="ED22" s="12" t="str">
        <f>IFERROR(IF(ISNUMBER(EC22),(EC22-AVERAGEIF('Pemetaan Variant'!$A$5:$A$32,$B22,'Pemetaan Variant'!$M$5:$M$32))/AVERAGEIF('Pemetaan Variant'!$A$5:$A$32,$B22,'Pemetaan Variant'!$M$5:$M$32)*100,"n/a"),"n/a")</f>
        <v>n/a</v>
      </c>
      <c r="EE22" s="4" t="str">
        <f t="shared" si="43"/>
        <v>n/a</v>
      </c>
      <c r="EF22" s="11" t="str">
        <f>IFERROR(AVERAGEIF('Pemetaan Variant'!$A$5:$A$32,$B22,'Pemetaan Variant'!$BH$5:$BH$32),"n/a")</f>
        <v>n/a</v>
      </c>
      <c r="EG22" s="12" t="str">
        <f>IFERROR(IF(ISNUMBER(EF22),(EF22-AVERAGEIF('Pemetaan Variant'!$A$5:$A$32,$B22,'Pemetaan Variant'!$M$5:$M$32))/AVERAGEIF('Pemetaan Variant'!$A$5:$A$32,$B22,'Pemetaan Variant'!$M$5:$M$32)*100,"n/a"),"n/a")</f>
        <v>n/a</v>
      </c>
      <c r="EH22" s="4" t="str">
        <f t="shared" si="44"/>
        <v>n/a</v>
      </c>
      <c r="EI22" s="11" t="str">
        <f>IFERROR(AVERAGEIF('Pemetaan Variant'!$A$5:$A$32,$B22,'Pemetaan Variant'!$BI$5:$BI$32),"n/a")</f>
        <v>n/a</v>
      </c>
      <c r="EJ22" s="12" t="str">
        <f>IFERROR(IF(ISNUMBER(EI22),(EI22-AVERAGEIF('Pemetaan Variant'!$A$5:$A$32,$B22,'Pemetaan Variant'!$M$5:$M$32))/AVERAGEIF('Pemetaan Variant'!$A$5:$A$32,$B22,'Pemetaan Variant'!$M$5:$M$32)*100,"n/a"),"n/a")</f>
        <v>n/a</v>
      </c>
      <c r="EK22" s="4" t="str">
        <f t="shared" si="45"/>
        <v>n/a</v>
      </c>
      <c r="EL22" s="11" t="str">
        <f>IFERROR(AVERAGEIF('Pemetaan Variant'!$A$5:$A$32,$B22,'Pemetaan Variant'!$BJ$5:$BJ$32),"n/a")</f>
        <v>n/a</v>
      </c>
      <c r="EM22" s="12" t="str">
        <f>IFERROR(IF(ISNUMBER(EL22),(EL22-AVERAGEIF('Pemetaan Variant'!$A$5:$A$32,$B22,'Pemetaan Variant'!$N$5:$N$32))/AVERAGEIF('Pemetaan Variant'!$A$5:$A$32,$B22,'Pemetaan Variant'!$N$5:$N$32)*100,"n/a"),"n/a")</f>
        <v>n/a</v>
      </c>
      <c r="EN22" s="4" t="str">
        <f t="shared" si="46"/>
        <v>n/a</v>
      </c>
      <c r="EO22" s="11" t="str">
        <f>IFERROR(AVERAGEIF('Pemetaan Variant'!$A$5:$A$32,$B22,'Pemetaan Variant'!$BK$5:$BK$32),"n/a")</f>
        <v>n/a</v>
      </c>
      <c r="EP22" s="12" t="str">
        <f>IFERROR(IF(ISNUMBER(EO22),(EO22-AVERAGEIF('Pemetaan Variant'!$A$5:$A$32,$B22,'Pemetaan Variant'!$N$5:$N$32))/AVERAGEIF('Pemetaan Variant'!$A$5:$A$32,$B22,'Pemetaan Variant'!$N$5:$N$32)*100,"n/a"),"n/a")</f>
        <v>n/a</v>
      </c>
      <c r="EQ22" s="4" t="str">
        <f t="shared" si="47"/>
        <v>n/a</v>
      </c>
      <c r="ER22" s="11" t="str">
        <f>IFERROR(AVERAGEIF('Pemetaan Variant'!$A$5:$A$32,$B22,'Pemetaan Variant'!$BL$5:$BL$32),"n/a")</f>
        <v>n/a</v>
      </c>
      <c r="ES22" s="12" t="str">
        <f>IFERROR(IF(ISNUMBER(ER22),(ER22-AVERAGEIF('Pemetaan Variant'!$A$5:$A$32,$B22,'Pemetaan Variant'!$N$5:$N$32))/AVERAGEIF('Pemetaan Variant'!$A$5:$A$32,$B22,'Pemetaan Variant'!$N$5:$N$32)*100,"n/a"),"n/a")</f>
        <v>n/a</v>
      </c>
      <c r="ET22" s="4" t="str">
        <f t="shared" si="48"/>
        <v>n/a</v>
      </c>
      <c r="EU22" s="11" t="str">
        <f>IFERROR(AVERAGEIF('Pemetaan Variant'!$A$5:$A$32,$B22,'Pemetaan Variant'!$BM$5:$BM$32),"n/a")</f>
        <v>n/a</v>
      </c>
      <c r="EV22" s="12" t="str">
        <f>IFERROR(IF(ISNUMBER(EU22),(EU22-AVERAGEIF('Pemetaan Variant'!$A$5:$A$32,$B22,'Pemetaan Variant'!$N$5:$N$32))/AVERAGEIF('Pemetaan Variant'!$A$5:$A$32,$B22,'Pemetaan Variant'!$N$5:$N$32)*100,"n/a"),"n/a")</f>
        <v>n/a</v>
      </c>
      <c r="EW22" s="4" t="str">
        <f t="shared" si="49"/>
        <v>n/a</v>
      </c>
      <c r="EX22" s="11" t="str">
        <f>IFERROR(AVERAGEIF('Pemetaan Variant'!$A$5:$A$32,$B22,'Pemetaan Variant'!$BN$5:$BN$32),"n/a")</f>
        <v>n/a</v>
      </c>
      <c r="EY22" s="12" t="str">
        <f>IFERROR(IF(ISNUMBER(EX22),(EX22-AVERAGEIF('Pemetaan Variant'!$A$5:$A$32,$B22,'Pemetaan Variant'!$O$5:$O$32))/AVERAGEIF('Pemetaan Variant'!$A$5:$A$32,$B22,'Pemetaan Variant'!$O$5:$O$32)*100,"n/a"),"n/a")</f>
        <v>n/a</v>
      </c>
      <c r="EZ22" s="4" t="str">
        <f t="shared" si="50"/>
        <v>n/a</v>
      </c>
      <c r="FA22" s="11" t="str">
        <f>IFERROR(AVERAGEIF('Pemetaan Variant'!$A$5:$A$32,$B22,'Pemetaan Variant'!$BO$5:$BO$32),"n/a")</f>
        <v>n/a</v>
      </c>
      <c r="FB22" s="12" t="str">
        <f>IFERROR(IF(ISNUMBER(FA22),(FA22-AVERAGEIF('Pemetaan Variant'!$A$5:$A$32,$B22,'Pemetaan Variant'!$O$5:$O$32))/AVERAGEIF('Pemetaan Variant'!$A$5:$A$32,$B22,'Pemetaan Variant'!$O$5:$O$32)*100,"n/a"),"n/a")</f>
        <v>n/a</v>
      </c>
      <c r="FC22" s="4" t="str">
        <f t="shared" si="51"/>
        <v>n/a</v>
      </c>
      <c r="FD22" s="11" t="str">
        <f>IFERROR(AVERAGEIF('Pemetaan Variant'!$A$5:$A$32,$B22,'Pemetaan Variant'!$BP$5:$BP$32),"n/a")</f>
        <v>n/a</v>
      </c>
      <c r="FE22" s="12" t="str">
        <f>IFERROR(IF(ISNUMBER(FD22),(FD22-AVERAGEIF('Pemetaan Variant'!$A$5:$A$32,$B22,'Pemetaan Variant'!$O$5:$O$32))/AVERAGEIF('Pemetaan Variant'!$A$5:$A$32,$B22,'Pemetaan Variant'!$O$5:$O$32)*100,"n/a"),"n/a")</f>
        <v>n/a</v>
      </c>
      <c r="FF22" s="4" t="str">
        <f t="shared" si="52"/>
        <v>n/a</v>
      </c>
      <c r="FG22" s="11" t="str">
        <f>IFERROR(AVERAGEIF('Pemetaan Variant'!$A$5:$A$32,$B22,'Pemetaan Variant'!$BQ$5:$BQ$32),"n/a")</f>
        <v>n/a</v>
      </c>
      <c r="FH22" s="12" t="str">
        <f>IFERROR(IF(ISNUMBER(FG22),(FG22-AVERAGEIF('Pemetaan Variant'!$A$5:$A$32,$B22,'Pemetaan Variant'!$O$5:$O$32))/AVERAGEIF('Pemetaan Variant'!$A$5:$A$32,$B22,'Pemetaan Variant'!$O$5:$O$32)*100,"n/a"),"n/a")</f>
        <v>n/a</v>
      </c>
      <c r="FI22" s="4" t="str">
        <f t="shared" si="53"/>
        <v>n/a</v>
      </c>
      <c r="FJ22" s="11" t="str">
        <f>IFERROR(AVERAGEIF('Pemetaan Variant'!$A$5:$A$32,$B22,'Pemetaan Variant'!$BR$5:$BR$32),"n/a")</f>
        <v>n/a</v>
      </c>
      <c r="FK22" s="12" t="str">
        <f>IFERROR(IF(ISNUMBER(FJ22),(FJ22-AVERAGEIF('Pemetaan Variant'!$A$5:$A$32,$B22,'Pemetaan Variant'!$O$5:$O$32))/AVERAGEIF('Pemetaan Variant'!$A$5:$A$32,$B22,'Pemetaan Variant'!$O$5:$O$32)*100,"n/a"),"n/a")</f>
        <v>n/a</v>
      </c>
      <c r="FL22" s="4" t="str">
        <f t="shared" si="54"/>
        <v>n/a</v>
      </c>
      <c r="FM22" s="13"/>
      <c r="FO22" s="9">
        <f t="shared" si="55"/>
        <v>0.47195617329317024</v>
      </c>
      <c r="FP22" s="9">
        <f t="shared" si="56"/>
        <v>0.47195617329317024</v>
      </c>
      <c r="FQ22" s="9">
        <f t="shared" si="57"/>
        <v>0.47195617329317024</v>
      </c>
      <c r="FR22" s="9">
        <f t="shared" si="58"/>
        <v>0.47658571613746287</v>
      </c>
      <c r="FS22" s="9">
        <f t="shared" si="59"/>
        <v>0.56454703017902375</v>
      </c>
      <c r="FT22" s="9">
        <f t="shared" si="60"/>
        <v>5.6756281615945182E-2</v>
      </c>
      <c r="FU22" s="9">
        <f t="shared" si="61"/>
        <v>5.6756281615945182E-2</v>
      </c>
      <c r="FV22" s="9">
        <f t="shared" si="62"/>
        <v>5.0318255641599162E-2</v>
      </c>
      <c r="FW22" s="9">
        <f t="shared" si="63"/>
        <v>5.6756281615945182E-2</v>
      </c>
      <c r="FX22" s="9">
        <f t="shared" si="64"/>
        <v>0.14554666635098668</v>
      </c>
      <c r="FY22" s="9">
        <f t="shared" si="65"/>
        <v>0.18233673279003873</v>
      </c>
      <c r="FZ22" s="9">
        <f t="shared" si="66"/>
        <v>0.14554666635098668</v>
      </c>
      <c r="GA22" s="9">
        <f t="shared" si="67"/>
        <v>9.8026163867211136E-2</v>
      </c>
      <c r="GB22" s="9">
        <f t="shared" si="68"/>
        <v>0</v>
      </c>
      <c r="GC22" s="9">
        <f t="shared" si="69"/>
        <v>0</v>
      </c>
      <c r="GD22" s="9">
        <f t="shared" si="70"/>
        <v>0.31036890684482088</v>
      </c>
      <c r="GE22" s="9">
        <f t="shared" si="71"/>
        <v>0.20002068023457398</v>
      </c>
      <c r="GF22" s="9">
        <f t="shared" si="72"/>
        <v>4.553316298022822E-2</v>
      </c>
      <c r="GG22" s="9">
        <f t="shared" si="73"/>
        <v>0.21341734213181804</v>
      </c>
      <c r="GH22" s="9">
        <f t="shared" si="74"/>
        <v>0.29395758257195687</v>
      </c>
      <c r="GI22" s="9">
        <f t="shared" si="75"/>
        <v>0.25516730363462647</v>
      </c>
      <c r="GJ22" s="9">
        <f t="shared" si="76"/>
        <v>0.32628281501973216</v>
      </c>
      <c r="GK22" s="9">
        <f t="shared" si="77"/>
        <v>0.28102748959284679</v>
      </c>
      <c r="GL22" s="9">
        <f t="shared" si="78"/>
        <v>0.24008219515899795</v>
      </c>
      <c r="GM22" s="9">
        <f t="shared" si="79"/>
        <v>0.36229572484732558</v>
      </c>
      <c r="GN22" s="9">
        <f t="shared" si="80"/>
        <v>0.10387499803314931</v>
      </c>
      <c r="GO22" s="9">
        <f t="shared" si="81"/>
        <v>0.23207194682527987</v>
      </c>
      <c r="GP22" s="9">
        <f t="shared" si="82"/>
        <v>0.19761584991672301</v>
      </c>
      <c r="GQ22" s="9">
        <f t="shared" si="83"/>
        <v>0.11771729379143939</v>
      </c>
      <c r="GR22" s="9">
        <f t="shared" si="84"/>
        <v>6.7957875550949884E-2</v>
      </c>
      <c r="GS22" s="9">
        <f t="shared" si="85"/>
        <v>0.10257312302259475</v>
      </c>
      <c r="GT22" s="9">
        <f t="shared" si="86"/>
        <v>4.1996439947216239E-2</v>
      </c>
      <c r="GU22" s="9">
        <f t="shared" si="87"/>
        <v>4.1996439947216239E-2</v>
      </c>
      <c r="GV22" s="9">
        <f t="shared" si="88"/>
        <v>1.1020883937663402</v>
      </c>
      <c r="GW22" s="9">
        <f t="shared" si="89"/>
        <v>1.1020883937663402</v>
      </c>
      <c r="GX22" s="9">
        <f t="shared" si="90"/>
        <v>1.1020883937663402</v>
      </c>
      <c r="GY22" s="9">
        <f t="shared" si="91"/>
        <v>1.1020883937663402</v>
      </c>
      <c r="GZ22" s="9">
        <f t="shared" si="92"/>
        <v>0</v>
      </c>
      <c r="HA22" s="9">
        <f t="shared" si="93"/>
        <v>0</v>
      </c>
      <c r="HB22" s="9">
        <f t="shared" si="94"/>
        <v>0</v>
      </c>
      <c r="HC22" s="9">
        <f t="shared" si="95"/>
        <v>0</v>
      </c>
      <c r="HD22" s="9">
        <f t="shared" si="96"/>
        <v>0</v>
      </c>
      <c r="HE22" s="9">
        <f t="shared" si="97"/>
        <v>0</v>
      </c>
      <c r="HF22" s="9">
        <f t="shared" si="98"/>
        <v>0</v>
      </c>
      <c r="HG22" s="9">
        <f t="shared" si="99"/>
        <v>0</v>
      </c>
      <c r="HH22" s="9">
        <f t="shared" si="100"/>
        <v>0</v>
      </c>
      <c r="HI22" s="9">
        <f t="shared" si="101"/>
        <v>0</v>
      </c>
      <c r="HJ22" s="9">
        <f t="shared" si="102"/>
        <v>0</v>
      </c>
      <c r="HK22" s="9">
        <f t="shared" si="103"/>
        <v>0</v>
      </c>
      <c r="HL22" s="9">
        <f t="shared" si="104"/>
        <v>0</v>
      </c>
      <c r="HM22" s="9">
        <f t="shared" si="105"/>
        <v>0</v>
      </c>
      <c r="HN22" s="9">
        <f t="shared" si="106"/>
        <v>0</v>
      </c>
      <c r="HO22" s="9">
        <f t="shared" si="107"/>
        <v>0</v>
      </c>
      <c r="HP22" s="9">
        <f t="shared" si="108"/>
        <v>0</v>
      </c>
      <c r="HQ22" s="9">
        <f t="shared" si="109"/>
        <v>0</v>
      </c>
    </row>
    <row r="23" spans="1:225" x14ac:dyDescent="0.35">
      <c r="A23" s="3">
        <v>18</v>
      </c>
      <c r="B23" s="3" t="s">
        <v>145</v>
      </c>
      <c r="C23" s="10">
        <f>'P0Q0 Dasar 2022'!F22</f>
        <v>5.98704213474298E-2</v>
      </c>
      <c r="D23" s="11">
        <f>IFERROR(AVERAGEIF('Pemetaan Variant'!$A$5:$A$32,$B23,'Pemetaan Variant'!$P$5:$P$32),"n/a")</f>
        <v>84333.333333333328</v>
      </c>
      <c r="E23" s="12">
        <f>IFERROR(IF(ISNUMBER(D23),(D23-AVERAGEIF('Pemetaan Variant'!$A$5:$A$32,$B23,'Pemetaan Variant'!$D$5:$D$32))/AVERAGEIF('Pemetaan Variant'!$A$5:$A$32,$B23,'Pemetaan Variant'!$D$5:$D$32)*100,"n/a"),"n/a")</f>
        <v>0</v>
      </c>
      <c r="F23" s="4">
        <f t="shared" si="0"/>
        <v>0</v>
      </c>
      <c r="G23" s="11">
        <f>IFERROR(AVERAGEIF('Pemetaan Variant'!$A$5:$A$32,$B23,'Pemetaan Variant'!$Q$5:$Q$32),"n/a")</f>
        <v>77666.666666666672</v>
      </c>
      <c r="H23" s="12">
        <f>IFERROR(IF(ISNUMBER(G23),(G23-AVERAGEIF('Pemetaan Variant'!$A$5:$A$32,$B23,'Pemetaan Variant'!$D$5:$D$32))/AVERAGEIF('Pemetaan Variant'!$A$5:$A$32,$B23,'Pemetaan Variant'!$D$5:$D$32)*100,"n/a"),"n/a")</f>
        <v>-7.9051383399209376</v>
      </c>
      <c r="I23" s="4">
        <f t="shared" si="1"/>
        <v>-0.47328396322078825</v>
      </c>
      <c r="J23" s="11">
        <f>IFERROR(AVERAGEIF('Pemetaan Variant'!$A$5:$A$32,$B23,'Pemetaan Variant'!$R$5:$R$32),"n/a")</f>
        <v>77666.666666666672</v>
      </c>
      <c r="K23" s="12">
        <f>IFERROR(IF(ISNUMBER(J23),(J23-AVERAGEIF('Pemetaan Variant'!$A$5:$A$32,$B23,'Pemetaan Variant'!$D$5:$D$32))/AVERAGEIF('Pemetaan Variant'!$A$5:$A$32,$B23,'Pemetaan Variant'!$D$5:$D$32)*100,"n/a"),"n/a")</f>
        <v>-7.9051383399209376</v>
      </c>
      <c r="L23" s="4">
        <f t="shared" si="2"/>
        <v>-0.47328396322078825</v>
      </c>
      <c r="M23" s="11">
        <f>IFERROR(AVERAGEIF('Pemetaan Variant'!$A$5:$A$32,$B23,'Pemetaan Variant'!$S$5:$S$32),"n/a")</f>
        <v>77666.666666666672</v>
      </c>
      <c r="N23" s="12">
        <f>IFERROR(IF(ISNUMBER(M23),(M23-AVERAGEIF('Pemetaan Variant'!$A$5:$A$32,$B23,'Pemetaan Variant'!$D$5:$D$32))/AVERAGEIF('Pemetaan Variant'!$A$5:$A$32,$B23,'Pemetaan Variant'!$D$5:$D$32)*100,"n/a"),"n/a")</f>
        <v>-7.9051383399209376</v>
      </c>
      <c r="O23" s="4">
        <f t="shared" si="3"/>
        <v>-0.47328396322078825</v>
      </c>
      <c r="P23" s="11">
        <f>IFERROR(AVERAGEIF('Pemetaan Variant'!$A$5:$A$32,$B23,'Pemetaan Variant'!$T$5:$T$32),"n/a")</f>
        <v>77666.666666666672</v>
      </c>
      <c r="Q23" s="12">
        <f>IFERROR(IF(ISNUMBER(P23),(P23-AVERAGEIF('Pemetaan Variant'!$A$5:$A$32,$B23,'Pemetaan Variant'!$D$5:$D$32))/AVERAGEIF('Pemetaan Variant'!$A$5:$A$32,$B23,'Pemetaan Variant'!$D$5:$D$32)*100,"n/a"),"n/a")</f>
        <v>-7.9051383399209376</v>
      </c>
      <c r="R23" s="4">
        <f t="shared" si="4"/>
        <v>-0.47328396322078825</v>
      </c>
      <c r="S23" s="11">
        <f>IFERROR(AVERAGEIF('Pemetaan Variant'!$A$5:$A$32,$B23,'Pemetaan Variant'!$U$5:$U$32),"n/a")</f>
        <v>77666.666666666672</v>
      </c>
      <c r="T23" s="12">
        <f>IFERROR(IF(ISNUMBER(S23),(S23-AVERAGEIF('Pemetaan Variant'!$A$5:$A$32,$B23,'Pemetaan Variant'!$E$5:$E$32))/AVERAGEIF('Pemetaan Variant'!$A$5:$A$32,$B23,'Pemetaan Variant'!$E$5:$E$32)*100,"n/a"),"n/a")</f>
        <v>-0.89545556301767126</v>
      </c>
      <c r="U23" s="4">
        <f t="shared" si="5"/>
        <v>-5.3611301855767957E-2</v>
      </c>
      <c r="V23" s="11">
        <f>IFERROR(AVERAGEIF('Pemetaan Variant'!$A$5:$A$32,$B23,'Pemetaan Variant'!$V$5:$V$32),"n/a")</f>
        <v>77666.666666666672</v>
      </c>
      <c r="W23" s="12">
        <f>IFERROR(IF(ISNUMBER(V23),(V23-AVERAGEIF('Pemetaan Variant'!$A$5:$A$32,$B23,'Pemetaan Variant'!$E$5:$E$32))/AVERAGEIF('Pemetaan Variant'!$A$5:$A$32,$B23,'Pemetaan Variant'!$E$5:$E$32)*100,"n/a"),"n/a")</f>
        <v>-0.89545556301767126</v>
      </c>
      <c r="X23" s="4">
        <f t="shared" si="6"/>
        <v>-5.3611301855767957E-2</v>
      </c>
      <c r="Y23" s="11">
        <f>IFERROR(AVERAGEIF('Pemetaan Variant'!$A$5:$A$32,$B23,'Pemetaan Variant'!$W$5:$W$32),"n/a")</f>
        <v>77666.666666666672</v>
      </c>
      <c r="Z23" s="12">
        <f>IFERROR(IF(ISNUMBER(Y23),(Y23-AVERAGEIF('Pemetaan Variant'!$A$5:$A$32,$B23,'Pemetaan Variant'!$E$5:$E$32))/AVERAGEIF('Pemetaan Variant'!$A$5:$A$32,$B23,'Pemetaan Variant'!$E$5:$E$32)*100,"n/a"),"n/a")</f>
        <v>-0.89545556301767126</v>
      </c>
      <c r="AA23" s="4">
        <f t="shared" si="7"/>
        <v>-5.3611301855767957E-2</v>
      </c>
      <c r="AB23" s="11">
        <f>IFERROR(AVERAGEIF('Pemetaan Variant'!$A$5:$A$32,$B23,'Pemetaan Variant'!$X$5:$X$32),"n/a")</f>
        <v>77666.666666666672</v>
      </c>
      <c r="AC23" s="12">
        <f>IFERROR(IF(ISNUMBER(AB23),(AB23-AVERAGEIF('Pemetaan Variant'!$A$5:$A$32,$B23,'Pemetaan Variant'!$E$5:$E$32))/AVERAGEIF('Pemetaan Variant'!$A$5:$A$32,$B23,'Pemetaan Variant'!$E$5:$E$32)*100,"n/a"),"n/a")</f>
        <v>-0.89545556301767126</v>
      </c>
      <c r="AD23" s="4">
        <f t="shared" si="8"/>
        <v>-5.3611301855767957E-2</v>
      </c>
      <c r="AE23" s="11">
        <f>IFERROR(AVERAGEIF('Pemetaan Variant'!$A$5:$A$32,$B23,'Pemetaan Variant'!$Y$5:$Y$32),"n/a")</f>
        <v>77666.666666666672</v>
      </c>
      <c r="AF23" s="12">
        <f>IFERROR(IF(ISNUMBER(AE23),(AE23-AVERAGEIF('Pemetaan Variant'!$A$5:$A$32,$B23,'Pemetaan Variant'!$F$5:$F$32))/AVERAGEIF('Pemetaan Variant'!$A$5:$A$32,$B23,'Pemetaan Variant'!$F$5:$F$32)*100,"n/a"),"n/a")</f>
        <v>0</v>
      </c>
      <c r="AG23" s="4">
        <f t="shared" si="9"/>
        <v>0</v>
      </c>
      <c r="AH23" s="11">
        <f>IFERROR(AVERAGEIF('Pemetaan Variant'!$A$5:$A$32,$B23,'Pemetaan Variant'!$Z$5:$Z$32),"n/a")</f>
        <v>77666.666666666672</v>
      </c>
      <c r="AI23" s="12">
        <f>IFERROR(IF(ISNUMBER(AH23),(AH23-AVERAGEIF('Pemetaan Variant'!$A$5:$A$32,$B23,'Pemetaan Variant'!$F$5:$F$32))/AVERAGEIF('Pemetaan Variant'!$A$5:$A$32,$B23,'Pemetaan Variant'!$F$5:$F$32)*100,"n/a"),"n/a")</f>
        <v>0</v>
      </c>
      <c r="AJ23" s="4">
        <f t="shared" si="10"/>
        <v>0</v>
      </c>
      <c r="AK23" s="11">
        <f>IFERROR(AVERAGEIF('Pemetaan Variant'!$A$5:$A$32,$B23,'Pemetaan Variant'!$AA$5:$AA$32),"n/a")</f>
        <v>77666.666666666672</v>
      </c>
      <c r="AL23" s="12">
        <f>IFERROR(IF(ISNUMBER(AK23),(AK23-AVERAGEIF('Pemetaan Variant'!$A$5:$A$32,$B23,'Pemetaan Variant'!$F$5:$F$32))/AVERAGEIF('Pemetaan Variant'!$A$5:$A$32,$B23,'Pemetaan Variant'!$F$5:$F$32)*100,"n/a"),"n/a")</f>
        <v>0</v>
      </c>
      <c r="AM23" s="4">
        <f t="shared" si="11"/>
        <v>0</v>
      </c>
      <c r="AN23" s="11">
        <f>IFERROR(AVERAGEIF('Pemetaan Variant'!$A$5:$A$32,$B23,'Pemetaan Variant'!$AB$5:$AB$32),"n/a")</f>
        <v>77583.333333333328</v>
      </c>
      <c r="AO23" s="12">
        <f>IFERROR(IF(ISNUMBER(AN23),(AN23-AVERAGEIF('Pemetaan Variant'!$A$5:$A$32,$B23,'Pemetaan Variant'!$F$5:$F$32))/AVERAGEIF('Pemetaan Variant'!$A$5:$A$32,$B23,'Pemetaan Variant'!$F$5:$F$32)*100,"n/a"),"n/a")</f>
        <v>-0.10729613733906829</v>
      </c>
      <c r="AP23" s="4">
        <f t="shared" si="12"/>
        <v>-6.4238649514417141E-3</v>
      </c>
      <c r="AQ23" s="11" t="str">
        <f>IFERROR(AVERAGEIF('Pemetaan Variant'!$A$5:$A$32,$B23,'Pemetaan Variant'!$AC$5:$AC$32),"n/a")</f>
        <v>n/a</v>
      </c>
      <c r="AR23" s="12" t="str">
        <f>IFERROR(IF(ISNUMBER(AQ23),(AQ23-AVERAGEIF('Pemetaan Variant'!$A$5:$A$32,$B23,'Pemetaan Variant'!$F$5:$F$32))/AVERAGEIF('Pemetaan Variant'!$A$5:$A$32,$B23,'Pemetaan Variant'!$F$5:$F$32)*100,"n/a"),"n/a")</f>
        <v>n/a</v>
      </c>
      <c r="AS23" s="4" t="str">
        <f t="shared" si="13"/>
        <v>n/a</v>
      </c>
      <c r="AT23" s="11" t="str">
        <f>IFERROR(AVERAGEIF('Pemetaan Variant'!$A$5:$A$32,$B23,'Pemetaan Variant'!$AD$5:$AD$32),"n/a")</f>
        <v>n/a</v>
      </c>
      <c r="AU23" s="12" t="str">
        <f>IFERROR(IF(ISNUMBER(AT23),(AT23-AVERAGEIF('Pemetaan Variant'!$A$5:$A$32,$B23,'Pemetaan Variant'!$G$5:$G$32))/AVERAGEIF('Pemetaan Variant'!$A$5:$A$32,$B23,'Pemetaan Variant'!$G$5:$G$32)*100,"n/a"),"n/a")</f>
        <v>n/a</v>
      </c>
      <c r="AV23" s="4" t="str">
        <f t="shared" si="14"/>
        <v>n/a</v>
      </c>
      <c r="AW23" s="11">
        <f>IFERROR(AVERAGEIF('Pemetaan Variant'!$A$5:$A$32,$B23,'Pemetaan Variant'!$AE$5:$AE$32),"n/a")</f>
        <v>77333.333333333328</v>
      </c>
      <c r="AX23" s="12">
        <f>IFERROR(IF(ISNUMBER(AW23),(AW23-AVERAGEIF('Pemetaan Variant'!$A$5:$A$32,$B23,'Pemetaan Variant'!$G$5:$G$32))/AVERAGEIF('Pemetaan Variant'!$A$5:$A$32,$B23,'Pemetaan Variant'!$G$5:$G$32)*100,"n/a"),"n/a")</f>
        <v>-0.40668775417985026</v>
      </c>
      <c r="AY23" s="4">
        <f t="shared" si="15"/>
        <v>-2.4348567199587591E-2</v>
      </c>
      <c r="AZ23" s="11">
        <f>IFERROR(AVERAGEIF('Pemetaan Variant'!$A$5:$A$32,$B23,'Pemetaan Variant'!$AF$5:$AF$32),"n/a")</f>
        <v>77333.333333333328</v>
      </c>
      <c r="BA23" s="12">
        <f>IFERROR(IF(ISNUMBER(AZ23),(AZ23-AVERAGEIF('Pemetaan Variant'!$A$5:$A$32,$B23,'Pemetaan Variant'!$G$5:$G$32))/AVERAGEIF('Pemetaan Variant'!$A$5:$A$32,$B23,'Pemetaan Variant'!$G$5:$G$32)*100,"n/a"),"n/a")</f>
        <v>-0.40668775417985026</v>
      </c>
      <c r="BB23" s="4">
        <f t="shared" si="16"/>
        <v>-2.4348567199587591E-2</v>
      </c>
      <c r="BC23" s="11">
        <f>IFERROR(AVERAGEIF('Pemetaan Variant'!$A$5:$A$32,$B23,'Pemetaan Variant'!$AG$5:$AG$32),"n/a")</f>
        <v>77333.333333333328</v>
      </c>
      <c r="BD23" s="12">
        <f>IFERROR(IF(ISNUMBER(BC23),(BC23-AVERAGEIF('Pemetaan Variant'!$A$5:$A$32,$B23,'Pemetaan Variant'!$G$5:$G$32))/AVERAGEIF('Pemetaan Variant'!$A$5:$A$32,$B23,'Pemetaan Variant'!$G$5:$G$32)*100,"n/a"),"n/a")</f>
        <v>-0.40668775417985026</v>
      </c>
      <c r="BE23" s="4">
        <f t="shared" si="17"/>
        <v>-2.4348567199587591E-2</v>
      </c>
      <c r="BF23" s="11">
        <f>IFERROR(AVERAGEIF('Pemetaan Variant'!$A$5:$A$32,$B23,'Pemetaan Variant'!$AH$5:$AH$32),"n/a")</f>
        <v>74333.333333333328</v>
      </c>
      <c r="BG23" s="12">
        <f>IFERROR(IF(ISNUMBER(BF23),(BF23-AVERAGEIF('Pemetaan Variant'!$A$5:$A$32,$B23,'Pemetaan Variant'!$G$5:$G$32))/AVERAGEIF('Pemetaan Variant'!$A$5:$A$32,$B23,'Pemetaan Variant'!$G$5:$G$32)*100,"n/a"),"n/a")</f>
        <v>-4.2702214188883909</v>
      </c>
      <c r="BH23" s="4">
        <f t="shared" si="18"/>
        <v>-0.25565995559566751</v>
      </c>
      <c r="BI23" s="11">
        <f>IFERROR(AVERAGEIF('Pemetaan Variant'!$A$5:$A$32,$B23,'Pemetaan Variant'!$AI$5:$AI$32),"n/a")</f>
        <v>71666.666666666672</v>
      </c>
      <c r="BJ23" s="12">
        <f>IFERROR(IF(ISNUMBER(BI23),(BI23-AVERAGEIF('Pemetaan Variant'!$A$5:$A$32,$B23,'Pemetaan Variant'!$H$5:$H$32))/AVERAGEIF('Pemetaan Variant'!$A$5:$A$32,$B23,'Pemetaan Variant'!$H$5:$H$32)*100,"n/a"),"n/a")</f>
        <v>-6.6485753052917111</v>
      </c>
      <c r="BK23" s="4">
        <f t="shared" si="19"/>
        <v>-0.39805300488793144</v>
      </c>
      <c r="BL23" s="11">
        <f>IFERROR(AVERAGEIF('Pemetaan Variant'!$A$5:$A$32,$B23,'Pemetaan Variant'!$AJ$5:$AJ$32),"n/a")</f>
        <v>71666.666666666672</v>
      </c>
      <c r="BM23" s="12">
        <f>IFERROR(IF(ISNUMBER(BL23),(BL23-AVERAGEIF('Pemetaan Variant'!$A$5:$A$32,$B23,'Pemetaan Variant'!$H$5:$H$32))/AVERAGEIF('Pemetaan Variant'!$A$5:$A$32,$B23,'Pemetaan Variant'!$H$5:$H$32)*100,"n/a"),"n/a")</f>
        <v>-6.6485753052917111</v>
      </c>
      <c r="BN23" s="4">
        <f t="shared" si="20"/>
        <v>-0.39805300488793144</v>
      </c>
      <c r="BO23" s="11">
        <f>IFERROR(AVERAGEIF('Pemetaan Variant'!$A$5:$A$32,$B23,'Pemetaan Variant'!$AK$5:$AK$32),"n/a")</f>
        <v>71666.666666666672</v>
      </c>
      <c r="BP23" s="12">
        <f>IFERROR(IF(ISNUMBER(BO23),(BO23-AVERAGEIF('Pemetaan Variant'!$A$5:$A$32,$B23,'Pemetaan Variant'!$H$5:$H$32))/AVERAGEIF('Pemetaan Variant'!$A$5:$A$32,$B23,'Pemetaan Variant'!$H$5:$H$32)*100,"n/a"),"n/a")</f>
        <v>-6.6485753052917111</v>
      </c>
      <c r="BQ23" s="4">
        <f t="shared" si="21"/>
        <v>-0.39805300488793144</v>
      </c>
      <c r="BR23" s="11">
        <f>IFERROR(AVERAGEIF('Pemetaan Variant'!$A$5:$A$32,$B23,'Pemetaan Variant'!$AL$5:$AL$32),"n/a")</f>
        <v>71666.666666666672</v>
      </c>
      <c r="BS23" s="12">
        <f>IFERROR(IF(ISNUMBER(BR23),(BR23-AVERAGEIF('Pemetaan Variant'!$A$5:$A$32,$B23,'Pemetaan Variant'!$H$5:$H$32))/AVERAGEIF('Pemetaan Variant'!$A$5:$A$32,$B23,'Pemetaan Variant'!$H$5:$H$32)*100,"n/a"),"n/a")</f>
        <v>-6.6485753052917111</v>
      </c>
      <c r="BT23" s="4">
        <f t="shared" si="22"/>
        <v>-0.39805300488793144</v>
      </c>
      <c r="BU23" s="11">
        <f>IFERROR(AVERAGEIF('Pemetaan Variant'!$A$5:$A$32,$B23,'Pemetaan Variant'!$AM$5:$AM$32),"n/a")</f>
        <v>72777.777777777781</v>
      </c>
      <c r="BV23" s="12">
        <f>IFERROR(IF(ISNUMBER(BU23),(BU23-AVERAGEIF('Pemetaan Variant'!$A$5:$A$32,$B23,'Pemetaan Variant'!$H$5:$H$32))/AVERAGEIF('Pemetaan Variant'!$A$5:$A$32,$B23,'Pemetaan Variant'!$H$5:$H$32)*100,"n/a"),"n/a")</f>
        <v>-5.2012663952962352</v>
      </c>
      <c r="BW23" s="4">
        <f t="shared" si="23"/>
        <v>-0.31140201062661299</v>
      </c>
      <c r="BX23" s="11">
        <f>IFERROR(AVERAGEIF('Pemetaan Variant'!$A$5:$A$32,$B23,'Pemetaan Variant'!$AN$5:$AN$32),"n/a")</f>
        <v>73333.333333333328</v>
      </c>
      <c r="BY23" s="12">
        <f>IFERROR(IF(ISNUMBER(BX23),(BX23-AVERAGEIF('Pemetaan Variant'!$A$5:$A$32,$B23,'Pemetaan Variant'!$I$5:$I$32))/AVERAGEIF('Pemetaan Variant'!$A$5:$A$32,$B23,'Pemetaan Variant'!$I$5:$I$32)*100,"n/a"),"n/a")</f>
        <v>2.046384720327413</v>
      </c>
      <c r="BZ23" s="4">
        <f t="shared" si="24"/>
        <v>0.12251791544494452</v>
      </c>
      <c r="CA23" s="11">
        <f>IFERROR(AVERAGEIF('Pemetaan Variant'!$A$5:$A$32,$B23,'Pemetaan Variant'!$AO$5:$AO$32),"n/a")</f>
        <v>70916.666666666672</v>
      </c>
      <c r="CB23" s="12">
        <f>IFERROR(IF(ISNUMBER(CA23),(CA23-AVERAGEIF('Pemetaan Variant'!$A$5:$A$32,$B23,'Pemetaan Variant'!$I$5:$I$32))/AVERAGEIF('Pemetaan Variant'!$A$5:$A$32,$B23,'Pemetaan Variant'!$I$5:$I$32)*100,"n/a"),"n/a")</f>
        <v>-1.3165075034106359</v>
      </c>
      <c r="CC23" s="4">
        <f t="shared" si="25"/>
        <v>-7.8819858936247642E-2</v>
      </c>
      <c r="CD23" s="11">
        <f>IFERROR(AVERAGEIF('Pemetaan Variant'!$A$5:$A$32,$B23,'Pemetaan Variant'!$AP$5:$AP$32),"n/a")</f>
        <v>68333.333333333328</v>
      </c>
      <c r="CE23" s="12">
        <f>IFERROR(IF(ISNUMBER(CD23),(CD23-AVERAGEIF('Pemetaan Variant'!$A$5:$A$32,$B23,'Pemetaan Variant'!$I$5:$I$32))/AVERAGEIF('Pemetaan Variant'!$A$5:$A$32,$B23,'Pemetaan Variant'!$I$5:$I$32)*100,"n/a"),"n/a")</f>
        <v>-4.9113233287858202</v>
      </c>
      <c r="CF23" s="4">
        <f t="shared" si="26"/>
        <v>-0.29404299706786857</v>
      </c>
      <c r="CG23" s="11">
        <f>IFERROR(AVERAGEIF('Pemetaan Variant'!$A$5:$A$32,$B23,'Pemetaan Variant'!$AQ$5:$AQ$32),"n/a")</f>
        <v>68333.333333333328</v>
      </c>
      <c r="CH23" s="12">
        <f>IFERROR(IF(ISNUMBER(CG23),(CG23-AVERAGEIF('Pemetaan Variant'!$A$5:$A$32,$B23,'Pemetaan Variant'!$I$5:$I$32))/AVERAGEIF('Pemetaan Variant'!$A$5:$A$32,$B23,'Pemetaan Variant'!$I$5:$I$32)*100,"n/a"),"n/a")</f>
        <v>-4.9113233287858202</v>
      </c>
      <c r="CI23" s="4">
        <f t="shared" si="27"/>
        <v>-0.29404299706786857</v>
      </c>
      <c r="CJ23" s="11">
        <f>IFERROR(AVERAGEIF('Pemetaan Variant'!$A$5:$A$32,$B23,'Pemetaan Variant'!$AR$5:$AR$32),"n/a")</f>
        <v>69166.666666666672</v>
      </c>
      <c r="CK23" s="12">
        <f>IFERROR(IF(ISNUMBER(CJ23),(CJ23-AVERAGEIF('Pemetaan Variant'!$A$5:$A$32,$B23,'Pemetaan Variant'!$J$5:$J$32))/AVERAGEIF('Pemetaan Variant'!$A$5:$A$32,$B23,'Pemetaan Variant'!$J$5:$J$32)*100,"n/a"),"n/a")</f>
        <v>-1.3562639821029145</v>
      </c>
      <c r="CL23" s="4">
        <f t="shared" si="28"/>
        <v>-8.1200096066844488E-2</v>
      </c>
      <c r="CM23" s="11">
        <f>IFERROR(AVERAGEIF('Pemetaan Variant'!$A$5:$A$32,$B23,'Pemetaan Variant'!$AS$5:$AS$32),"n/a")</f>
        <v>71666.666666666672</v>
      </c>
      <c r="CN23" s="12">
        <f>IFERROR(IF(ISNUMBER(CM23),(CM23-AVERAGEIF('Pemetaan Variant'!$A$5:$A$32,$B23,'Pemetaan Variant'!$J$5:$J$32))/AVERAGEIF('Pemetaan Variant'!$A$5:$A$32,$B23,'Pemetaan Variant'!$J$5:$J$32)*100,"n/a"),"n/a")</f>
        <v>2.2091722595078229</v>
      </c>
      <c r="CO23" s="4">
        <f t="shared" si="29"/>
        <v>0.13226407400578688</v>
      </c>
      <c r="CP23" s="11">
        <f>IFERROR(AVERAGEIF('Pemetaan Variant'!$A$5:$A$32,$B23,'Pemetaan Variant'!$AT$5:$AT$32),"n/a")</f>
        <v>70333.333333333328</v>
      </c>
      <c r="CQ23" s="12">
        <f>IFERROR(IF(ISNUMBER(CP23),(CP23-AVERAGEIF('Pemetaan Variant'!$A$5:$A$32,$B23,'Pemetaan Variant'!$J$5:$J$32))/AVERAGEIF('Pemetaan Variant'!$A$5:$A$32,$B23,'Pemetaan Variant'!$J$5:$J$32)*100,"n/a"),"n/a")</f>
        <v>0.30760626398208252</v>
      </c>
      <c r="CR23" s="4">
        <f t="shared" si="30"/>
        <v>1.8416516633716001E-2</v>
      </c>
      <c r="CS23" s="11">
        <f>IFERROR(AVERAGEIF('Pemetaan Variant'!$A$5:$A$32,$B23,'Pemetaan Variant'!$AU$5:$AU$32),"n/a")</f>
        <v>70000</v>
      </c>
      <c r="CT23" s="12">
        <f>IFERROR(IF(ISNUMBER(CS23),(CS23-AVERAGEIF('Pemetaan Variant'!$A$5:$A$32,$B23,'Pemetaan Variant'!$J$5:$J$32))/AVERAGEIF('Pemetaan Variant'!$A$5:$A$32,$B23,'Pemetaan Variant'!$J$5:$J$32)*100,"n/a"),"n/a")</f>
        <v>-0.16778523489934224</v>
      </c>
      <c r="CU23" s="4">
        <f t="shared" si="31"/>
        <v>-1.0045372709301104E-2</v>
      </c>
      <c r="CV23" s="11">
        <f>IFERROR(AVERAGEIF('Pemetaan Variant'!$A$5:$A$32,$B23,'Pemetaan Variant'!$AV$5:$AV$32),"n/a")</f>
        <v>69666.666666666672</v>
      </c>
      <c r="CW23" s="12">
        <f>IFERROR(IF(ISNUMBER(CV23),(CV23-AVERAGEIF('Pemetaan Variant'!$A$5:$A$32,$B23,'Pemetaan Variant'!$J$5:$J$32))/AVERAGEIF('Pemetaan Variant'!$A$5:$A$32,$B23,'Pemetaan Variant'!$J$5:$J$32)*100,"n/a"),"n/a")</f>
        <v>-0.64317673378076701</v>
      </c>
      <c r="CX23" s="4">
        <f t="shared" si="32"/>
        <v>-3.8507262052318206E-2</v>
      </c>
      <c r="CY23" s="11">
        <f>IFERROR(AVERAGEIF('Pemetaan Variant'!$A$5:$A$32,$B23,'Pemetaan Variant'!$AW$5:$AW$32),"n/a")</f>
        <v>0</v>
      </c>
      <c r="CZ23" s="12">
        <f>IFERROR(IF(ISNUMBER(CY23),(CY23-AVERAGEIF('Pemetaan Variant'!$A$5:$A$32,$B23,'Pemetaan Variant'!$K$5:$K$32))/AVERAGEIF('Pemetaan Variant'!$A$5:$A$32,$B23,'Pemetaan Variant'!$K$5:$K$32)*100,"n/a"),"n/a")</f>
        <v>-100</v>
      </c>
      <c r="DA23" s="4">
        <f t="shared" si="33"/>
        <v>-5.9870421347429801</v>
      </c>
      <c r="DB23" s="11">
        <f>IFERROR(AVERAGEIF('Pemetaan Variant'!$A$5:$A$32,$B23,'Pemetaan Variant'!$AX$5:$AX$32),"n/a")</f>
        <v>0</v>
      </c>
      <c r="DC23" s="12">
        <f>IFERROR(IF(ISNUMBER(DB23),(DB23-AVERAGEIF('Pemetaan Variant'!$A$5:$A$32,$B23,'Pemetaan Variant'!$K$5:$K$32))/AVERAGEIF('Pemetaan Variant'!$A$5:$A$32,$B23,'Pemetaan Variant'!$K$5:$K$32)*100,"n/a"),"n/a")</f>
        <v>-100</v>
      </c>
      <c r="DD23" s="4">
        <f t="shared" si="34"/>
        <v>-5.9870421347429801</v>
      </c>
      <c r="DE23" s="11">
        <f>IFERROR(AVERAGEIF('Pemetaan Variant'!$A$5:$A$32,$B23,'Pemetaan Variant'!$AY$5:$AY$32),"n/a")</f>
        <v>0</v>
      </c>
      <c r="DF23" s="12">
        <f>IFERROR(IF(ISNUMBER(DE23),(DE23-AVERAGEIF('Pemetaan Variant'!$A$5:$A$32,$B23,'Pemetaan Variant'!$K$5:$K$32))/AVERAGEIF('Pemetaan Variant'!$A$5:$A$32,$B23,'Pemetaan Variant'!$K$5:$K$32)*100,"n/a"),"n/a")</f>
        <v>-100</v>
      </c>
      <c r="DG23" s="4">
        <f t="shared" si="35"/>
        <v>-5.9870421347429801</v>
      </c>
      <c r="DH23" s="11">
        <f>IFERROR(AVERAGEIF('Pemetaan Variant'!$A$5:$A$32,$B23,'Pemetaan Variant'!$AZ$5:$AZ$32),"n/a")</f>
        <v>0</v>
      </c>
      <c r="DI23" s="12">
        <f>IFERROR(IF(ISNUMBER(DH23),(DH23-AVERAGEIF('Pemetaan Variant'!$A$5:$A$32,$B23,'Pemetaan Variant'!$K$5:$K$32))/AVERAGEIF('Pemetaan Variant'!$A$5:$A$32,$B23,'Pemetaan Variant'!$K$5:$K$32)*100,"n/a"),"n/a")</f>
        <v>-100</v>
      </c>
      <c r="DJ23" s="4">
        <f t="shared" si="36"/>
        <v>-5.9870421347429801</v>
      </c>
      <c r="DK23" s="11" t="str">
        <f>IFERROR(AVERAGEIF('Pemetaan Variant'!$A$5:$A$32,$B23,'Pemetaan Variant'!$BA$5:$BA$32),"n/a")</f>
        <v>n/a</v>
      </c>
      <c r="DL23" s="12" t="str">
        <f>IFERROR(IF(ISNUMBER(DK23),(DK23-AVERAGEIF('Pemetaan Variant'!$A$5:$A$32,$B23,'Pemetaan Variant'!$L$5:$L$32))/AVERAGEIF('Pemetaan Variant'!$A$5:$A$32,$B23,'Pemetaan Variant'!$L$5:$L$32)*100,"n/a"),"n/a")</f>
        <v>n/a</v>
      </c>
      <c r="DM23" s="4" t="str">
        <f t="shared" si="37"/>
        <v>n/a</v>
      </c>
      <c r="DN23" s="11" t="str">
        <f>IFERROR(AVERAGEIF('Pemetaan Variant'!$A$5:$A$32,$B23,'Pemetaan Variant'!$BB$5:$BB$32),"n/a")</f>
        <v>n/a</v>
      </c>
      <c r="DO23" s="12" t="str">
        <f>IFERROR(IF(ISNUMBER(DN23),(DN23-AVERAGEIF('Pemetaan Variant'!$A$5:$A$32,$B23,'Pemetaan Variant'!$L$5:$L$32))/AVERAGEIF('Pemetaan Variant'!$A$5:$A$32,$B23,'Pemetaan Variant'!$L$5:$L$32)*100,"n/a"),"n/a")</f>
        <v>n/a</v>
      </c>
      <c r="DP23" s="4" t="str">
        <f t="shared" si="38"/>
        <v>n/a</v>
      </c>
      <c r="DQ23" s="11" t="str">
        <f>IFERROR(AVERAGEIF('Pemetaan Variant'!$A$5:$A$32,$B23,'Pemetaan Variant'!$BC$5:$BC$32),"n/a")</f>
        <v>n/a</v>
      </c>
      <c r="DR23" s="12" t="str">
        <f>IFERROR(IF(ISNUMBER(DQ23),(DQ23-AVERAGEIF('Pemetaan Variant'!$A$5:$A$32,$B23,'Pemetaan Variant'!$L$5:$L$32))/AVERAGEIF('Pemetaan Variant'!$A$5:$A$32,$B23,'Pemetaan Variant'!$L$5:$L$32)*100,"n/a"),"n/a")</f>
        <v>n/a</v>
      </c>
      <c r="DS23" s="4" t="str">
        <f t="shared" si="39"/>
        <v>n/a</v>
      </c>
      <c r="DT23" s="11" t="str">
        <f>IFERROR(AVERAGEIF('Pemetaan Variant'!$A$5:$A$32,$B23,'Pemetaan Variant'!$BD$5:$BD$32),"n/a")</f>
        <v>n/a</v>
      </c>
      <c r="DU23" s="12" t="str">
        <f>IFERROR(IF(ISNUMBER(DT23),(DT23-AVERAGEIF('Pemetaan Variant'!$A$5:$A$32,$B23,'Pemetaan Variant'!$L$5:$L$32))/AVERAGEIF('Pemetaan Variant'!$A$5:$A$32,$B23,'Pemetaan Variant'!$L$5:$L$32)*100,"n/a"),"n/a")</f>
        <v>n/a</v>
      </c>
      <c r="DV23" s="4" t="str">
        <f t="shared" si="40"/>
        <v>n/a</v>
      </c>
      <c r="DW23" s="11" t="str">
        <f>IFERROR(AVERAGEIF('Pemetaan Variant'!$A$5:$A$32,$B23,'Pemetaan Variant'!$BE$5:$BE$32),"n/a")</f>
        <v>n/a</v>
      </c>
      <c r="DX23" s="12" t="str">
        <f>IFERROR(IF(ISNUMBER(DW23),(DW23-AVERAGEIF('Pemetaan Variant'!$A$5:$A$32,$B23,'Pemetaan Variant'!$M$5:$M$32))/AVERAGEIF('Pemetaan Variant'!$A$5:$A$32,$B23,'Pemetaan Variant'!$M$5:$M$32)*100,"n/a"),"n/a")</f>
        <v>n/a</v>
      </c>
      <c r="DY23" s="4" t="str">
        <f t="shared" si="41"/>
        <v>n/a</v>
      </c>
      <c r="DZ23" s="11" t="str">
        <f>IFERROR(AVERAGEIF('Pemetaan Variant'!$A$5:$A$32,$B23,'Pemetaan Variant'!$BF$5:$BF$32),"n/a")</f>
        <v>n/a</v>
      </c>
      <c r="EA23" s="12" t="str">
        <f>IFERROR(IF(ISNUMBER(DZ23),(DZ23-AVERAGEIF('Pemetaan Variant'!$A$5:$A$32,$B23,'Pemetaan Variant'!$M$5:$M$32))/AVERAGEIF('Pemetaan Variant'!$A$5:$A$32,$B23,'Pemetaan Variant'!$M$5:$M$32)*100,"n/a"),"n/a")</f>
        <v>n/a</v>
      </c>
      <c r="EB23" s="4" t="str">
        <f t="shared" si="42"/>
        <v>n/a</v>
      </c>
      <c r="EC23" s="11" t="str">
        <f>IFERROR(AVERAGEIF('Pemetaan Variant'!$A$5:$A$32,$B23,'Pemetaan Variant'!$BG$5:$BG$32),"n/a")</f>
        <v>n/a</v>
      </c>
      <c r="ED23" s="12" t="str">
        <f>IFERROR(IF(ISNUMBER(EC23),(EC23-AVERAGEIF('Pemetaan Variant'!$A$5:$A$32,$B23,'Pemetaan Variant'!$M$5:$M$32))/AVERAGEIF('Pemetaan Variant'!$A$5:$A$32,$B23,'Pemetaan Variant'!$M$5:$M$32)*100,"n/a"),"n/a")</f>
        <v>n/a</v>
      </c>
      <c r="EE23" s="4" t="str">
        <f t="shared" si="43"/>
        <v>n/a</v>
      </c>
      <c r="EF23" s="11" t="str">
        <f>IFERROR(AVERAGEIF('Pemetaan Variant'!$A$5:$A$32,$B23,'Pemetaan Variant'!$BH$5:$BH$32),"n/a")</f>
        <v>n/a</v>
      </c>
      <c r="EG23" s="12" t="str">
        <f>IFERROR(IF(ISNUMBER(EF23),(EF23-AVERAGEIF('Pemetaan Variant'!$A$5:$A$32,$B23,'Pemetaan Variant'!$M$5:$M$32))/AVERAGEIF('Pemetaan Variant'!$A$5:$A$32,$B23,'Pemetaan Variant'!$M$5:$M$32)*100,"n/a"),"n/a")</f>
        <v>n/a</v>
      </c>
      <c r="EH23" s="4" t="str">
        <f t="shared" si="44"/>
        <v>n/a</v>
      </c>
      <c r="EI23" s="11" t="str">
        <f>IFERROR(AVERAGEIF('Pemetaan Variant'!$A$5:$A$32,$B23,'Pemetaan Variant'!$BI$5:$BI$32),"n/a")</f>
        <v>n/a</v>
      </c>
      <c r="EJ23" s="12" t="str">
        <f>IFERROR(IF(ISNUMBER(EI23),(EI23-AVERAGEIF('Pemetaan Variant'!$A$5:$A$32,$B23,'Pemetaan Variant'!$M$5:$M$32))/AVERAGEIF('Pemetaan Variant'!$A$5:$A$32,$B23,'Pemetaan Variant'!$M$5:$M$32)*100,"n/a"),"n/a")</f>
        <v>n/a</v>
      </c>
      <c r="EK23" s="4" t="str">
        <f t="shared" si="45"/>
        <v>n/a</v>
      </c>
      <c r="EL23" s="11" t="str">
        <f>IFERROR(AVERAGEIF('Pemetaan Variant'!$A$5:$A$32,$B23,'Pemetaan Variant'!$BJ$5:$BJ$32),"n/a")</f>
        <v>n/a</v>
      </c>
      <c r="EM23" s="12" t="str">
        <f>IFERROR(IF(ISNUMBER(EL23),(EL23-AVERAGEIF('Pemetaan Variant'!$A$5:$A$32,$B23,'Pemetaan Variant'!$N$5:$N$32))/AVERAGEIF('Pemetaan Variant'!$A$5:$A$32,$B23,'Pemetaan Variant'!$N$5:$N$32)*100,"n/a"),"n/a")</f>
        <v>n/a</v>
      </c>
      <c r="EN23" s="4" t="str">
        <f t="shared" si="46"/>
        <v>n/a</v>
      </c>
      <c r="EO23" s="11" t="str">
        <f>IFERROR(AVERAGEIF('Pemetaan Variant'!$A$5:$A$32,$B23,'Pemetaan Variant'!$BK$5:$BK$32),"n/a")</f>
        <v>n/a</v>
      </c>
      <c r="EP23" s="12" t="str">
        <f>IFERROR(IF(ISNUMBER(EO23),(EO23-AVERAGEIF('Pemetaan Variant'!$A$5:$A$32,$B23,'Pemetaan Variant'!$N$5:$N$32))/AVERAGEIF('Pemetaan Variant'!$A$5:$A$32,$B23,'Pemetaan Variant'!$N$5:$N$32)*100,"n/a"),"n/a")</f>
        <v>n/a</v>
      </c>
      <c r="EQ23" s="4" t="str">
        <f t="shared" si="47"/>
        <v>n/a</v>
      </c>
      <c r="ER23" s="11" t="str">
        <f>IFERROR(AVERAGEIF('Pemetaan Variant'!$A$5:$A$32,$B23,'Pemetaan Variant'!$BL$5:$BL$32),"n/a")</f>
        <v>n/a</v>
      </c>
      <c r="ES23" s="12" t="str">
        <f>IFERROR(IF(ISNUMBER(ER23),(ER23-AVERAGEIF('Pemetaan Variant'!$A$5:$A$32,$B23,'Pemetaan Variant'!$N$5:$N$32))/AVERAGEIF('Pemetaan Variant'!$A$5:$A$32,$B23,'Pemetaan Variant'!$N$5:$N$32)*100,"n/a"),"n/a")</f>
        <v>n/a</v>
      </c>
      <c r="ET23" s="4" t="str">
        <f t="shared" si="48"/>
        <v>n/a</v>
      </c>
      <c r="EU23" s="11" t="str">
        <f>IFERROR(AVERAGEIF('Pemetaan Variant'!$A$5:$A$32,$B23,'Pemetaan Variant'!$BM$5:$BM$32),"n/a")</f>
        <v>n/a</v>
      </c>
      <c r="EV23" s="12" t="str">
        <f>IFERROR(IF(ISNUMBER(EU23),(EU23-AVERAGEIF('Pemetaan Variant'!$A$5:$A$32,$B23,'Pemetaan Variant'!$N$5:$N$32))/AVERAGEIF('Pemetaan Variant'!$A$5:$A$32,$B23,'Pemetaan Variant'!$N$5:$N$32)*100,"n/a"),"n/a")</f>
        <v>n/a</v>
      </c>
      <c r="EW23" s="4" t="str">
        <f t="shared" si="49"/>
        <v>n/a</v>
      </c>
      <c r="EX23" s="11" t="str">
        <f>IFERROR(AVERAGEIF('Pemetaan Variant'!$A$5:$A$32,$B23,'Pemetaan Variant'!$BN$5:$BN$32),"n/a")</f>
        <v>n/a</v>
      </c>
      <c r="EY23" s="12" t="str">
        <f>IFERROR(IF(ISNUMBER(EX23),(EX23-AVERAGEIF('Pemetaan Variant'!$A$5:$A$32,$B23,'Pemetaan Variant'!$O$5:$O$32))/AVERAGEIF('Pemetaan Variant'!$A$5:$A$32,$B23,'Pemetaan Variant'!$O$5:$O$32)*100,"n/a"),"n/a")</f>
        <v>n/a</v>
      </c>
      <c r="EZ23" s="4" t="str">
        <f t="shared" si="50"/>
        <v>n/a</v>
      </c>
      <c r="FA23" s="11" t="str">
        <f>IFERROR(AVERAGEIF('Pemetaan Variant'!$A$5:$A$32,$B23,'Pemetaan Variant'!$BO$5:$BO$32),"n/a")</f>
        <v>n/a</v>
      </c>
      <c r="FB23" s="12" t="str">
        <f>IFERROR(IF(ISNUMBER(FA23),(FA23-AVERAGEIF('Pemetaan Variant'!$A$5:$A$32,$B23,'Pemetaan Variant'!$O$5:$O$32))/AVERAGEIF('Pemetaan Variant'!$A$5:$A$32,$B23,'Pemetaan Variant'!$O$5:$O$32)*100,"n/a"),"n/a")</f>
        <v>n/a</v>
      </c>
      <c r="FC23" s="4" t="str">
        <f t="shared" si="51"/>
        <v>n/a</v>
      </c>
      <c r="FD23" s="11" t="str">
        <f>IFERROR(AVERAGEIF('Pemetaan Variant'!$A$5:$A$32,$B23,'Pemetaan Variant'!$BP$5:$BP$32),"n/a")</f>
        <v>n/a</v>
      </c>
      <c r="FE23" s="12" t="str">
        <f>IFERROR(IF(ISNUMBER(FD23),(FD23-AVERAGEIF('Pemetaan Variant'!$A$5:$A$32,$B23,'Pemetaan Variant'!$O$5:$O$32))/AVERAGEIF('Pemetaan Variant'!$A$5:$A$32,$B23,'Pemetaan Variant'!$O$5:$O$32)*100,"n/a"),"n/a")</f>
        <v>n/a</v>
      </c>
      <c r="FF23" s="4" t="str">
        <f t="shared" si="52"/>
        <v>n/a</v>
      </c>
      <c r="FG23" s="11" t="str">
        <f>IFERROR(AVERAGEIF('Pemetaan Variant'!$A$5:$A$32,$B23,'Pemetaan Variant'!$BQ$5:$BQ$32),"n/a")</f>
        <v>n/a</v>
      </c>
      <c r="FH23" s="12" t="str">
        <f>IFERROR(IF(ISNUMBER(FG23),(FG23-AVERAGEIF('Pemetaan Variant'!$A$5:$A$32,$B23,'Pemetaan Variant'!$O$5:$O$32))/AVERAGEIF('Pemetaan Variant'!$A$5:$A$32,$B23,'Pemetaan Variant'!$O$5:$O$32)*100,"n/a"),"n/a")</f>
        <v>n/a</v>
      </c>
      <c r="FI23" s="4" t="str">
        <f t="shared" si="53"/>
        <v>n/a</v>
      </c>
      <c r="FJ23" s="11" t="str">
        <f>IFERROR(AVERAGEIF('Pemetaan Variant'!$A$5:$A$32,$B23,'Pemetaan Variant'!$BR$5:$BR$32),"n/a")</f>
        <v>n/a</v>
      </c>
      <c r="FK23" s="12" t="str">
        <f>IFERROR(IF(ISNUMBER(FJ23),(FJ23-AVERAGEIF('Pemetaan Variant'!$A$5:$A$32,$B23,'Pemetaan Variant'!$O$5:$O$32))/AVERAGEIF('Pemetaan Variant'!$A$5:$A$32,$B23,'Pemetaan Variant'!$O$5:$O$32)*100,"n/a"),"n/a")</f>
        <v>n/a</v>
      </c>
      <c r="FL23" s="4" t="str">
        <f t="shared" si="54"/>
        <v>n/a</v>
      </c>
      <c r="FM23" s="13"/>
      <c r="FO23" s="9">
        <f t="shared" si="55"/>
        <v>0</v>
      </c>
      <c r="FP23" s="9">
        <f t="shared" si="56"/>
        <v>0.47328396322078825</v>
      </c>
      <c r="FQ23" s="9">
        <f t="shared" si="57"/>
        <v>0.47328396322078825</v>
      </c>
      <c r="FR23" s="9">
        <f t="shared" si="58"/>
        <v>0.47328396322078825</v>
      </c>
      <c r="FS23" s="9">
        <f t="shared" si="59"/>
        <v>0.47328396322078825</v>
      </c>
      <c r="FT23" s="9">
        <f t="shared" si="60"/>
        <v>5.3611301855767957E-2</v>
      </c>
      <c r="FU23" s="9">
        <f t="shared" si="61"/>
        <v>5.3611301855767957E-2</v>
      </c>
      <c r="FV23" s="9">
        <f t="shared" si="62"/>
        <v>5.3611301855767957E-2</v>
      </c>
      <c r="FW23" s="9">
        <f t="shared" si="63"/>
        <v>5.3611301855767957E-2</v>
      </c>
      <c r="FX23" s="9">
        <f t="shared" si="64"/>
        <v>0</v>
      </c>
      <c r="FY23" s="9">
        <f t="shared" si="65"/>
        <v>0</v>
      </c>
      <c r="FZ23" s="9">
        <f t="shared" si="66"/>
        <v>0</v>
      </c>
      <c r="GA23" s="9">
        <f t="shared" si="67"/>
        <v>6.4238649514417141E-3</v>
      </c>
      <c r="GB23" s="9">
        <f t="shared" si="68"/>
        <v>0</v>
      </c>
      <c r="GC23" s="9">
        <f t="shared" si="69"/>
        <v>0</v>
      </c>
      <c r="GD23" s="9">
        <f t="shared" si="70"/>
        <v>2.4348567199587591E-2</v>
      </c>
      <c r="GE23" s="9">
        <f t="shared" si="71"/>
        <v>2.4348567199587591E-2</v>
      </c>
      <c r="GF23" s="9">
        <f t="shared" si="72"/>
        <v>2.4348567199587591E-2</v>
      </c>
      <c r="GG23" s="9">
        <f t="shared" si="73"/>
        <v>0.25565995559566751</v>
      </c>
      <c r="GH23" s="9">
        <f t="shared" si="74"/>
        <v>0.39805300488793144</v>
      </c>
      <c r="GI23" s="9">
        <f t="shared" si="75"/>
        <v>0.39805300488793144</v>
      </c>
      <c r="GJ23" s="9">
        <f t="shared" si="76"/>
        <v>0.39805300488793144</v>
      </c>
      <c r="GK23" s="9">
        <f t="shared" si="77"/>
        <v>0.39805300488793144</v>
      </c>
      <c r="GL23" s="9">
        <f t="shared" si="78"/>
        <v>0.31140201062661299</v>
      </c>
      <c r="GM23" s="9">
        <f t="shared" si="79"/>
        <v>0.12251791544494452</v>
      </c>
      <c r="GN23" s="9">
        <f t="shared" si="80"/>
        <v>7.8819858936247642E-2</v>
      </c>
      <c r="GO23" s="9">
        <f t="shared" si="81"/>
        <v>0.29404299706786857</v>
      </c>
      <c r="GP23" s="9">
        <f t="shared" si="82"/>
        <v>0.29404299706786857</v>
      </c>
      <c r="GQ23" s="9">
        <f t="shared" si="83"/>
        <v>8.1200096066844488E-2</v>
      </c>
      <c r="GR23" s="9">
        <f t="shared" si="84"/>
        <v>0.13226407400578688</v>
      </c>
      <c r="GS23" s="9">
        <f t="shared" si="85"/>
        <v>1.8416516633716001E-2</v>
      </c>
      <c r="GT23" s="9">
        <f t="shared" si="86"/>
        <v>1.0045372709301104E-2</v>
      </c>
      <c r="GU23" s="9">
        <f t="shared" si="87"/>
        <v>3.8507262052318206E-2</v>
      </c>
      <c r="GV23" s="9">
        <f t="shared" si="88"/>
        <v>5.9870421347429801</v>
      </c>
      <c r="GW23" s="9">
        <f t="shared" si="89"/>
        <v>5.9870421347429801</v>
      </c>
      <c r="GX23" s="9">
        <f t="shared" si="90"/>
        <v>5.9870421347429801</v>
      </c>
      <c r="GY23" s="9">
        <f t="shared" si="91"/>
        <v>5.9870421347429801</v>
      </c>
      <c r="GZ23" s="9">
        <f t="shared" si="92"/>
        <v>0</v>
      </c>
      <c r="HA23" s="9">
        <f t="shared" si="93"/>
        <v>0</v>
      </c>
      <c r="HB23" s="9">
        <f t="shared" si="94"/>
        <v>0</v>
      </c>
      <c r="HC23" s="9">
        <f t="shared" si="95"/>
        <v>0</v>
      </c>
      <c r="HD23" s="9">
        <f t="shared" si="96"/>
        <v>0</v>
      </c>
      <c r="HE23" s="9">
        <f t="shared" si="97"/>
        <v>0</v>
      </c>
      <c r="HF23" s="9">
        <f t="shared" si="98"/>
        <v>0</v>
      </c>
      <c r="HG23" s="9">
        <f t="shared" si="99"/>
        <v>0</v>
      </c>
      <c r="HH23" s="9">
        <f t="shared" si="100"/>
        <v>0</v>
      </c>
      <c r="HI23" s="9">
        <f t="shared" si="101"/>
        <v>0</v>
      </c>
      <c r="HJ23" s="9">
        <f t="shared" si="102"/>
        <v>0</v>
      </c>
      <c r="HK23" s="9">
        <f t="shared" si="103"/>
        <v>0</v>
      </c>
      <c r="HL23" s="9">
        <f t="shared" si="104"/>
        <v>0</v>
      </c>
      <c r="HM23" s="9">
        <f t="shared" si="105"/>
        <v>0</v>
      </c>
      <c r="HN23" s="9">
        <f t="shared" si="106"/>
        <v>0</v>
      </c>
      <c r="HO23" s="9">
        <f t="shared" si="107"/>
        <v>0</v>
      </c>
      <c r="HP23" s="9">
        <f t="shared" si="108"/>
        <v>0</v>
      </c>
      <c r="HQ23" s="9">
        <f t="shared" si="109"/>
        <v>0</v>
      </c>
    </row>
    <row r="24" spans="1:225" x14ac:dyDescent="0.35">
      <c r="A24" s="3">
        <v>19</v>
      </c>
      <c r="B24" s="3" t="s">
        <v>146</v>
      </c>
      <c r="C24" s="10">
        <f>'P0Q0 Dasar 2022'!F23</f>
        <v>2.0282595222329398E-2</v>
      </c>
      <c r="D24" s="11">
        <f>IFERROR(AVERAGEIF('Pemetaan Variant'!$A$5:$A$32,$B24,'Pemetaan Variant'!$P$5:$P$32),"n/a")</f>
        <v>9000</v>
      </c>
      <c r="E24" s="12">
        <f>IFERROR(IF(ISNUMBER(D24),(D24-AVERAGEIF('Pemetaan Variant'!$A$5:$A$32,$B24,'Pemetaan Variant'!$D$5:$D$32))/AVERAGEIF('Pemetaan Variant'!$A$5:$A$32,$B24,'Pemetaan Variant'!$D$5:$D$32)*100,"n/a"),"n/a")</f>
        <v>0</v>
      </c>
      <c r="F24" s="4">
        <f t="shared" si="0"/>
        <v>0</v>
      </c>
      <c r="G24" s="11">
        <f>IFERROR(AVERAGEIF('Pemetaan Variant'!$A$5:$A$32,$B24,'Pemetaan Variant'!$Q$5:$Q$32),"n/a")</f>
        <v>9000</v>
      </c>
      <c r="H24" s="12">
        <f>IFERROR(IF(ISNUMBER(G24),(G24-AVERAGEIF('Pemetaan Variant'!$A$5:$A$32,$B24,'Pemetaan Variant'!$D$5:$D$32))/AVERAGEIF('Pemetaan Variant'!$A$5:$A$32,$B24,'Pemetaan Variant'!$D$5:$D$32)*100,"n/a"),"n/a")</f>
        <v>0</v>
      </c>
      <c r="I24" s="4">
        <f t="shared" si="1"/>
        <v>0</v>
      </c>
      <c r="J24" s="11">
        <f>IFERROR(AVERAGEIF('Pemetaan Variant'!$A$5:$A$32,$B24,'Pemetaan Variant'!$R$5:$R$32),"n/a")</f>
        <v>9000</v>
      </c>
      <c r="K24" s="12">
        <f>IFERROR(IF(ISNUMBER(J24),(J24-AVERAGEIF('Pemetaan Variant'!$A$5:$A$32,$B24,'Pemetaan Variant'!$D$5:$D$32))/AVERAGEIF('Pemetaan Variant'!$A$5:$A$32,$B24,'Pemetaan Variant'!$D$5:$D$32)*100,"n/a"),"n/a")</f>
        <v>0</v>
      </c>
      <c r="L24" s="4">
        <f t="shared" si="2"/>
        <v>0</v>
      </c>
      <c r="M24" s="11">
        <f>IFERROR(AVERAGEIF('Pemetaan Variant'!$A$5:$A$32,$B24,'Pemetaan Variant'!$S$5:$S$32),"n/a")</f>
        <v>9000</v>
      </c>
      <c r="N24" s="12">
        <f>IFERROR(IF(ISNUMBER(M24),(M24-AVERAGEIF('Pemetaan Variant'!$A$5:$A$32,$B24,'Pemetaan Variant'!$D$5:$D$32))/AVERAGEIF('Pemetaan Variant'!$A$5:$A$32,$B24,'Pemetaan Variant'!$D$5:$D$32)*100,"n/a"),"n/a")</f>
        <v>0</v>
      </c>
      <c r="O24" s="4">
        <f t="shared" si="3"/>
        <v>0</v>
      </c>
      <c r="P24" s="11">
        <f>IFERROR(AVERAGEIF('Pemetaan Variant'!$A$5:$A$32,$B24,'Pemetaan Variant'!$T$5:$T$32),"n/a")</f>
        <v>9000</v>
      </c>
      <c r="Q24" s="12">
        <f>IFERROR(IF(ISNUMBER(P24),(P24-AVERAGEIF('Pemetaan Variant'!$A$5:$A$32,$B24,'Pemetaan Variant'!$D$5:$D$32))/AVERAGEIF('Pemetaan Variant'!$A$5:$A$32,$B24,'Pemetaan Variant'!$D$5:$D$32)*100,"n/a"),"n/a")</f>
        <v>0</v>
      </c>
      <c r="R24" s="4">
        <f t="shared" si="4"/>
        <v>0</v>
      </c>
      <c r="S24" s="11">
        <f>IFERROR(AVERAGEIF('Pemetaan Variant'!$A$5:$A$32,$B24,'Pemetaan Variant'!$U$5:$U$32),"n/a")</f>
        <v>9000</v>
      </c>
      <c r="T24" s="12">
        <f>IFERROR(IF(ISNUMBER(S24),(S24-AVERAGEIF('Pemetaan Variant'!$A$5:$A$32,$B24,'Pemetaan Variant'!$E$5:$E$32))/AVERAGEIF('Pemetaan Variant'!$A$5:$A$32,$B24,'Pemetaan Variant'!$E$5:$E$32)*100,"n/a"),"n/a")</f>
        <v>0</v>
      </c>
      <c r="U24" s="4">
        <f t="shared" si="5"/>
        <v>0</v>
      </c>
      <c r="V24" s="11">
        <f>IFERROR(AVERAGEIF('Pemetaan Variant'!$A$5:$A$32,$B24,'Pemetaan Variant'!$V$5:$V$32),"n/a")</f>
        <v>9000</v>
      </c>
      <c r="W24" s="12">
        <f>IFERROR(IF(ISNUMBER(V24),(V24-AVERAGEIF('Pemetaan Variant'!$A$5:$A$32,$B24,'Pemetaan Variant'!$E$5:$E$32))/AVERAGEIF('Pemetaan Variant'!$A$5:$A$32,$B24,'Pemetaan Variant'!$E$5:$E$32)*100,"n/a"),"n/a")</f>
        <v>0</v>
      </c>
      <c r="X24" s="4">
        <f t="shared" si="6"/>
        <v>0</v>
      </c>
      <c r="Y24" s="11">
        <f>IFERROR(AVERAGEIF('Pemetaan Variant'!$A$5:$A$32,$B24,'Pemetaan Variant'!$W$5:$W$32),"n/a")</f>
        <v>9000</v>
      </c>
      <c r="Z24" s="12">
        <f>IFERROR(IF(ISNUMBER(Y24),(Y24-AVERAGEIF('Pemetaan Variant'!$A$5:$A$32,$B24,'Pemetaan Variant'!$E$5:$E$32))/AVERAGEIF('Pemetaan Variant'!$A$5:$A$32,$B24,'Pemetaan Variant'!$E$5:$E$32)*100,"n/a"),"n/a")</f>
        <v>0</v>
      </c>
      <c r="AA24" s="4">
        <f t="shared" si="7"/>
        <v>0</v>
      </c>
      <c r="AB24" s="11">
        <f>IFERROR(AVERAGEIF('Pemetaan Variant'!$A$5:$A$32,$B24,'Pemetaan Variant'!$X$5:$X$32),"n/a")</f>
        <v>9000</v>
      </c>
      <c r="AC24" s="12">
        <f>IFERROR(IF(ISNUMBER(AB24),(AB24-AVERAGEIF('Pemetaan Variant'!$A$5:$A$32,$B24,'Pemetaan Variant'!$E$5:$E$32))/AVERAGEIF('Pemetaan Variant'!$A$5:$A$32,$B24,'Pemetaan Variant'!$E$5:$E$32)*100,"n/a"),"n/a")</f>
        <v>0</v>
      </c>
      <c r="AD24" s="4">
        <f t="shared" si="8"/>
        <v>0</v>
      </c>
      <c r="AE24" s="11">
        <f>IFERROR(AVERAGEIF('Pemetaan Variant'!$A$5:$A$32,$B24,'Pemetaan Variant'!$Y$5:$Y$32),"n/a")</f>
        <v>9000</v>
      </c>
      <c r="AF24" s="12">
        <f>IFERROR(IF(ISNUMBER(AE24),(AE24-AVERAGEIF('Pemetaan Variant'!$A$5:$A$32,$B24,'Pemetaan Variant'!$F$5:$F$32))/AVERAGEIF('Pemetaan Variant'!$A$5:$A$32,$B24,'Pemetaan Variant'!$F$5:$F$32)*100,"n/a"),"n/a")</f>
        <v>0</v>
      </c>
      <c r="AG24" s="4">
        <f t="shared" si="9"/>
        <v>0</v>
      </c>
      <c r="AH24" s="11">
        <f>IFERROR(AVERAGEIF('Pemetaan Variant'!$A$5:$A$32,$B24,'Pemetaan Variant'!$Z$5:$Z$32),"n/a")</f>
        <v>9000</v>
      </c>
      <c r="AI24" s="12">
        <f>IFERROR(IF(ISNUMBER(AH24),(AH24-AVERAGEIF('Pemetaan Variant'!$A$5:$A$32,$B24,'Pemetaan Variant'!$F$5:$F$32))/AVERAGEIF('Pemetaan Variant'!$A$5:$A$32,$B24,'Pemetaan Variant'!$F$5:$F$32)*100,"n/a"),"n/a")</f>
        <v>0</v>
      </c>
      <c r="AJ24" s="4">
        <f t="shared" si="10"/>
        <v>0</v>
      </c>
      <c r="AK24" s="11">
        <f>IFERROR(AVERAGEIF('Pemetaan Variant'!$A$5:$A$32,$B24,'Pemetaan Variant'!$AA$5:$AA$32),"n/a")</f>
        <v>9000</v>
      </c>
      <c r="AL24" s="12">
        <f>IFERROR(IF(ISNUMBER(AK24),(AK24-AVERAGEIF('Pemetaan Variant'!$A$5:$A$32,$B24,'Pemetaan Variant'!$F$5:$F$32))/AVERAGEIF('Pemetaan Variant'!$A$5:$A$32,$B24,'Pemetaan Variant'!$F$5:$F$32)*100,"n/a"),"n/a")</f>
        <v>0</v>
      </c>
      <c r="AM24" s="4">
        <f t="shared" si="11"/>
        <v>0</v>
      </c>
      <c r="AN24" s="11">
        <f>IFERROR(AVERAGEIF('Pemetaan Variant'!$A$5:$A$32,$B24,'Pemetaan Variant'!$AB$5:$AB$32),"n/a")</f>
        <v>9000</v>
      </c>
      <c r="AO24" s="12">
        <f>IFERROR(IF(ISNUMBER(AN24),(AN24-AVERAGEIF('Pemetaan Variant'!$A$5:$A$32,$B24,'Pemetaan Variant'!$F$5:$F$32))/AVERAGEIF('Pemetaan Variant'!$A$5:$A$32,$B24,'Pemetaan Variant'!$F$5:$F$32)*100,"n/a"),"n/a")</f>
        <v>0</v>
      </c>
      <c r="AP24" s="4">
        <f t="shared" si="12"/>
        <v>0</v>
      </c>
      <c r="AQ24" s="11" t="str">
        <f>IFERROR(AVERAGEIF('Pemetaan Variant'!$A$5:$A$32,$B24,'Pemetaan Variant'!$AC$5:$AC$32),"n/a")</f>
        <v>n/a</v>
      </c>
      <c r="AR24" s="12" t="str">
        <f>IFERROR(IF(ISNUMBER(AQ24),(AQ24-AVERAGEIF('Pemetaan Variant'!$A$5:$A$32,$B24,'Pemetaan Variant'!$F$5:$F$32))/AVERAGEIF('Pemetaan Variant'!$A$5:$A$32,$B24,'Pemetaan Variant'!$F$5:$F$32)*100,"n/a"),"n/a")</f>
        <v>n/a</v>
      </c>
      <c r="AS24" s="4" t="str">
        <f t="shared" si="13"/>
        <v>n/a</v>
      </c>
      <c r="AT24" s="11" t="str">
        <f>IFERROR(AVERAGEIF('Pemetaan Variant'!$A$5:$A$32,$B24,'Pemetaan Variant'!$AD$5:$AD$32),"n/a")</f>
        <v>n/a</v>
      </c>
      <c r="AU24" s="12" t="str">
        <f>IFERROR(IF(ISNUMBER(AT24),(AT24-AVERAGEIF('Pemetaan Variant'!$A$5:$A$32,$B24,'Pemetaan Variant'!$G$5:$G$32))/AVERAGEIF('Pemetaan Variant'!$A$5:$A$32,$B24,'Pemetaan Variant'!$G$5:$G$32)*100,"n/a"),"n/a")</f>
        <v>n/a</v>
      </c>
      <c r="AV24" s="4" t="str">
        <f t="shared" si="14"/>
        <v>n/a</v>
      </c>
      <c r="AW24" s="11">
        <f>IFERROR(AVERAGEIF('Pemetaan Variant'!$A$5:$A$32,$B24,'Pemetaan Variant'!$AE$5:$AE$32),"n/a")</f>
        <v>9000</v>
      </c>
      <c r="AX24" s="12">
        <f>IFERROR(IF(ISNUMBER(AW24),(AW24-AVERAGEIF('Pemetaan Variant'!$A$5:$A$32,$B24,'Pemetaan Variant'!$G$5:$G$32))/AVERAGEIF('Pemetaan Variant'!$A$5:$A$32,$B24,'Pemetaan Variant'!$G$5:$G$32)*100,"n/a"),"n/a")</f>
        <v>0</v>
      </c>
      <c r="AY24" s="4">
        <f t="shared" si="15"/>
        <v>0</v>
      </c>
      <c r="AZ24" s="11">
        <f>IFERROR(AVERAGEIF('Pemetaan Variant'!$A$5:$A$32,$B24,'Pemetaan Variant'!$AF$5:$AF$32),"n/a")</f>
        <v>9000</v>
      </c>
      <c r="BA24" s="12">
        <f>IFERROR(IF(ISNUMBER(AZ24),(AZ24-AVERAGEIF('Pemetaan Variant'!$A$5:$A$32,$B24,'Pemetaan Variant'!$G$5:$G$32))/AVERAGEIF('Pemetaan Variant'!$A$5:$A$32,$B24,'Pemetaan Variant'!$G$5:$G$32)*100,"n/a"),"n/a")</f>
        <v>0</v>
      </c>
      <c r="BB24" s="4">
        <f t="shared" si="16"/>
        <v>0</v>
      </c>
      <c r="BC24" s="11">
        <f>IFERROR(AVERAGEIF('Pemetaan Variant'!$A$5:$A$32,$B24,'Pemetaan Variant'!$AG$5:$AG$32),"n/a")</f>
        <v>9000</v>
      </c>
      <c r="BD24" s="12">
        <f>IFERROR(IF(ISNUMBER(BC24),(BC24-AVERAGEIF('Pemetaan Variant'!$A$5:$A$32,$B24,'Pemetaan Variant'!$G$5:$G$32))/AVERAGEIF('Pemetaan Variant'!$A$5:$A$32,$B24,'Pemetaan Variant'!$G$5:$G$32)*100,"n/a"),"n/a")</f>
        <v>0</v>
      </c>
      <c r="BE24" s="4">
        <f t="shared" si="17"/>
        <v>0</v>
      </c>
      <c r="BF24" s="11">
        <f>IFERROR(AVERAGEIF('Pemetaan Variant'!$A$5:$A$32,$B24,'Pemetaan Variant'!$AH$5:$AH$32),"n/a")</f>
        <v>9000</v>
      </c>
      <c r="BG24" s="12">
        <f>IFERROR(IF(ISNUMBER(BF24),(BF24-AVERAGEIF('Pemetaan Variant'!$A$5:$A$32,$B24,'Pemetaan Variant'!$G$5:$G$32))/AVERAGEIF('Pemetaan Variant'!$A$5:$A$32,$B24,'Pemetaan Variant'!$G$5:$G$32)*100,"n/a"),"n/a")</f>
        <v>0</v>
      </c>
      <c r="BH24" s="4">
        <f t="shared" si="18"/>
        <v>0</v>
      </c>
      <c r="BI24" s="11">
        <f>IFERROR(AVERAGEIF('Pemetaan Variant'!$A$5:$A$32,$B24,'Pemetaan Variant'!$AI$5:$AI$32),"n/a")</f>
        <v>9000</v>
      </c>
      <c r="BJ24" s="12">
        <f>IFERROR(IF(ISNUMBER(BI24),(BI24-AVERAGEIF('Pemetaan Variant'!$A$5:$A$32,$B24,'Pemetaan Variant'!$H$5:$H$32))/AVERAGEIF('Pemetaan Variant'!$A$5:$A$32,$B24,'Pemetaan Variant'!$H$5:$H$32)*100,"n/a"),"n/a")</f>
        <v>0</v>
      </c>
      <c r="BK24" s="4">
        <f t="shared" si="19"/>
        <v>0</v>
      </c>
      <c r="BL24" s="11">
        <f>IFERROR(AVERAGEIF('Pemetaan Variant'!$A$5:$A$32,$B24,'Pemetaan Variant'!$AJ$5:$AJ$32),"n/a")</f>
        <v>9000</v>
      </c>
      <c r="BM24" s="12">
        <f>IFERROR(IF(ISNUMBER(BL24),(BL24-AVERAGEIF('Pemetaan Variant'!$A$5:$A$32,$B24,'Pemetaan Variant'!$H$5:$H$32))/AVERAGEIF('Pemetaan Variant'!$A$5:$A$32,$B24,'Pemetaan Variant'!$H$5:$H$32)*100,"n/a"),"n/a")</f>
        <v>0</v>
      </c>
      <c r="BN24" s="4">
        <f t="shared" si="20"/>
        <v>0</v>
      </c>
      <c r="BO24" s="11">
        <f>IFERROR(AVERAGEIF('Pemetaan Variant'!$A$5:$A$32,$B24,'Pemetaan Variant'!$AK$5:$AK$32),"n/a")</f>
        <v>9000</v>
      </c>
      <c r="BP24" s="12">
        <f>IFERROR(IF(ISNUMBER(BO24),(BO24-AVERAGEIF('Pemetaan Variant'!$A$5:$A$32,$B24,'Pemetaan Variant'!$H$5:$H$32))/AVERAGEIF('Pemetaan Variant'!$A$5:$A$32,$B24,'Pemetaan Variant'!$H$5:$H$32)*100,"n/a"),"n/a")</f>
        <v>0</v>
      </c>
      <c r="BQ24" s="4">
        <f t="shared" si="21"/>
        <v>0</v>
      </c>
      <c r="BR24" s="11">
        <f>IFERROR(AVERAGEIF('Pemetaan Variant'!$A$5:$A$32,$B24,'Pemetaan Variant'!$AL$5:$AL$32),"n/a")</f>
        <v>9000</v>
      </c>
      <c r="BS24" s="12">
        <f>IFERROR(IF(ISNUMBER(BR24),(BR24-AVERAGEIF('Pemetaan Variant'!$A$5:$A$32,$B24,'Pemetaan Variant'!$H$5:$H$32))/AVERAGEIF('Pemetaan Variant'!$A$5:$A$32,$B24,'Pemetaan Variant'!$H$5:$H$32)*100,"n/a"),"n/a")</f>
        <v>0</v>
      </c>
      <c r="BT24" s="4">
        <f t="shared" si="22"/>
        <v>0</v>
      </c>
      <c r="BU24" s="11">
        <f>IFERROR(AVERAGEIF('Pemetaan Variant'!$A$5:$A$32,$B24,'Pemetaan Variant'!$AM$5:$AM$32),"n/a")</f>
        <v>9000</v>
      </c>
      <c r="BV24" s="12">
        <f>IFERROR(IF(ISNUMBER(BU24),(BU24-AVERAGEIF('Pemetaan Variant'!$A$5:$A$32,$B24,'Pemetaan Variant'!$H$5:$H$32))/AVERAGEIF('Pemetaan Variant'!$A$5:$A$32,$B24,'Pemetaan Variant'!$H$5:$H$32)*100,"n/a"),"n/a")</f>
        <v>0</v>
      </c>
      <c r="BW24" s="4">
        <f t="shared" si="23"/>
        <v>0</v>
      </c>
      <c r="BX24" s="11">
        <f>IFERROR(AVERAGEIF('Pemetaan Variant'!$A$5:$A$32,$B24,'Pemetaan Variant'!$AN$5:$AN$32),"n/a")</f>
        <v>9000</v>
      </c>
      <c r="BY24" s="12">
        <f>IFERROR(IF(ISNUMBER(BX24),(BX24-AVERAGEIF('Pemetaan Variant'!$A$5:$A$32,$B24,'Pemetaan Variant'!$I$5:$I$32))/AVERAGEIF('Pemetaan Variant'!$A$5:$A$32,$B24,'Pemetaan Variant'!$I$5:$I$32)*100,"n/a"),"n/a")</f>
        <v>0</v>
      </c>
      <c r="BZ24" s="4">
        <f t="shared" si="24"/>
        <v>0</v>
      </c>
      <c r="CA24" s="11">
        <f>IFERROR(AVERAGEIF('Pemetaan Variant'!$A$5:$A$32,$B24,'Pemetaan Variant'!$AO$5:$AO$32),"n/a")</f>
        <v>8250</v>
      </c>
      <c r="CB24" s="12">
        <f>IFERROR(IF(ISNUMBER(CA24),(CA24-AVERAGEIF('Pemetaan Variant'!$A$5:$A$32,$B24,'Pemetaan Variant'!$I$5:$I$32))/AVERAGEIF('Pemetaan Variant'!$A$5:$A$32,$B24,'Pemetaan Variant'!$I$5:$I$32)*100,"n/a"),"n/a")</f>
        <v>-8.3333333333333321</v>
      </c>
      <c r="CC24" s="4">
        <f t="shared" si="25"/>
        <v>-0.16902162685274497</v>
      </c>
      <c r="CD24" s="11">
        <f>IFERROR(AVERAGEIF('Pemetaan Variant'!$A$5:$A$32,$B24,'Pemetaan Variant'!$AP$5:$AP$32),"n/a")</f>
        <v>8000</v>
      </c>
      <c r="CE24" s="12">
        <f>IFERROR(IF(ISNUMBER(CD24),(CD24-AVERAGEIF('Pemetaan Variant'!$A$5:$A$32,$B24,'Pemetaan Variant'!$I$5:$I$32))/AVERAGEIF('Pemetaan Variant'!$A$5:$A$32,$B24,'Pemetaan Variant'!$I$5:$I$32)*100,"n/a"),"n/a")</f>
        <v>-11.111111111111111</v>
      </c>
      <c r="CF24" s="4">
        <f t="shared" si="26"/>
        <v>-0.22536216913699331</v>
      </c>
      <c r="CG24" s="11">
        <f>IFERROR(AVERAGEIF('Pemetaan Variant'!$A$5:$A$32,$B24,'Pemetaan Variant'!$AQ$5:$AQ$32),"n/a")</f>
        <v>8000</v>
      </c>
      <c r="CH24" s="12">
        <f>IFERROR(IF(ISNUMBER(CG24),(CG24-AVERAGEIF('Pemetaan Variant'!$A$5:$A$32,$B24,'Pemetaan Variant'!$I$5:$I$32))/AVERAGEIF('Pemetaan Variant'!$A$5:$A$32,$B24,'Pemetaan Variant'!$I$5:$I$32)*100,"n/a"),"n/a")</f>
        <v>-11.111111111111111</v>
      </c>
      <c r="CI24" s="4">
        <f t="shared" si="27"/>
        <v>-0.22536216913699331</v>
      </c>
      <c r="CJ24" s="11">
        <f>IFERROR(AVERAGEIF('Pemetaan Variant'!$A$5:$A$32,$B24,'Pemetaan Variant'!$AR$5:$AR$32),"n/a")</f>
        <v>8000</v>
      </c>
      <c r="CK24" s="12">
        <f>IFERROR(IF(ISNUMBER(CJ24),(CJ24-AVERAGEIF('Pemetaan Variant'!$A$5:$A$32,$B24,'Pemetaan Variant'!$J$5:$J$32))/AVERAGEIF('Pemetaan Variant'!$A$5:$A$32,$B24,'Pemetaan Variant'!$J$5:$J$32)*100,"n/a"),"n/a")</f>
        <v>-3.5460992907801407</v>
      </c>
      <c r="CL24" s="4">
        <f t="shared" si="28"/>
        <v>-7.1924096533082946E-2</v>
      </c>
      <c r="CM24" s="11">
        <f>IFERROR(AVERAGEIF('Pemetaan Variant'!$A$5:$A$32,$B24,'Pemetaan Variant'!$AS$5:$AS$32),"n/a")</f>
        <v>8000</v>
      </c>
      <c r="CN24" s="12">
        <f>IFERROR(IF(ISNUMBER(CM24),(CM24-AVERAGEIF('Pemetaan Variant'!$A$5:$A$32,$B24,'Pemetaan Variant'!$J$5:$J$32))/AVERAGEIF('Pemetaan Variant'!$A$5:$A$32,$B24,'Pemetaan Variant'!$J$5:$J$32)*100,"n/a"),"n/a")</f>
        <v>-3.5460992907801407</v>
      </c>
      <c r="CO24" s="4">
        <f t="shared" si="29"/>
        <v>-7.1924096533082946E-2</v>
      </c>
      <c r="CP24" s="11">
        <f>IFERROR(AVERAGEIF('Pemetaan Variant'!$A$5:$A$32,$B24,'Pemetaan Variant'!$AT$5:$AT$32),"n/a")</f>
        <v>8000</v>
      </c>
      <c r="CQ24" s="12">
        <f>IFERROR(IF(ISNUMBER(CP24),(CP24-AVERAGEIF('Pemetaan Variant'!$A$5:$A$32,$B24,'Pemetaan Variant'!$J$5:$J$32))/AVERAGEIF('Pemetaan Variant'!$A$5:$A$32,$B24,'Pemetaan Variant'!$J$5:$J$32)*100,"n/a"),"n/a")</f>
        <v>-3.5460992907801407</v>
      </c>
      <c r="CR24" s="4">
        <f t="shared" si="30"/>
        <v>-7.1924096533082946E-2</v>
      </c>
      <c r="CS24" s="11">
        <f>IFERROR(AVERAGEIF('Pemetaan Variant'!$A$5:$A$32,$B24,'Pemetaan Variant'!$AU$5:$AU$32),"n/a")</f>
        <v>8000</v>
      </c>
      <c r="CT24" s="12">
        <f>IFERROR(IF(ISNUMBER(CS24),(CS24-AVERAGEIF('Pemetaan Variant'!$A$5:$A$32,$B24,'Pemetaan Variant'!$J$5:$J$32))/AVERAGEIF('Pemetaan Variant'!$A$5:$A$32,$B24,'Pemetaan Variant'!$J$5:$J$32)*100,"n/a"),"n/a")</f>
        <v>-3.5460992907801407</v>
      </c>
      <c r="CU24" s="4">
        <f t="shared" si="31"/>
        <v>-7.1924096533082946E-2</v>
      </c>
      <c r="CV24" s="11">
        <f>IFERROR(AVERAGEIF('Pemetaan Variant'!$A$5:$A$32,$B24,'Pemetaan Variant'!$AV$5:$AV$32),"n/a")</f>
        <v>8000</v>
      </c>
      <c r="CW24" s="12">
        <f>IFERROR(IF(ISNUMBER(CV24),(CV24-AVERAGEIF('Pemetaan Variant'!$A$5:$A$32,$B24,'Pemetaan Variant'!$J$5:$J$32))/AVERAGEIF('Pemetaan Variant'!$A$5:$A$32,$B24,'Pemetaan Variant'!$J$5:$J$32)*100,"n/a"),"n/a")</f>
        <v>-3.5460992907801407</v>
      </c>
      <c r="CX24" s="4">
        <f t="shared" si="32"/>
        <v>-7.1924096533082946E-2</v>
      </c>
      <c r="CY24" s="11">
        <f>IFERROR(AVERAGEIF('Pemetaan Variant'!$A$5:$A$32,$B24,'Pemetaan Variant'!$AW$5:$AW$32),"n/a")</f>
        <v>0</v>
      </c>
      <c r="CZ24" s="12">
        <f>IFERROR(IF(ISNUMBER(CY24),(CY24-AVERAGEIF('Pemetaan Variant'!$A$5:$A$32,$B24,'Pemetaan Variant'!$K$5:$K$32))/AVERAGEIF('Pemetaan Variant'!$A$5:$A$32,$B24,'Pemetaan Variant'!$K$5:$K$32)*100,"n/a"),"n/a")</f>
        <v>-100</v>
      </c>
      <c r="DA24" s="4">
        <f t="shared" si="33"/>
        <v>-2.0282595222329398</v>
      </c>
      <c r="DB24" s="11">
        <f>IFERROR(AVERAGEIF('Pemetaan Variant'!$A$5:$A$32,$B24,'Pemetaan Variant'!$AX$5:$AX$32),"n/a")</f>
        <v>0</v>
      </c>
      <c r="DC24" s="12">
        <f>IFERROR(IF(ISNUMBER(DB24),(DB24-AVERAGEIF('Pemetaan Variant'!$A$5:$A$32,$B24,'Pemetaan Variant'!$K$5:$K$32))/AVERAGEIF('Pemetaan Variant'!$A$5:$A$32,$B24,'Pemetaan Variant'!$K$5:$K$32)*100,"n/a"),"n/a")</f>
        <v>-100</v>
      </c>
      <c r="DD24" s="4">
        <f t="shared" si="34"/>
        <v>-2.0282595222329398</v>
      </c>
      <c r="DE24" s="11">
        <f>IFERROR(AVERAGEIF('Pemetaan Variant'!$A$5:$A$32,$B24,'Pemetaan Variant'!$AY$5:$AY$32),"n/a")</f>
        <v>0</v>
      </c>
      <c r="DF24" s="12">
        <f>IFERROR(IF(ISNUMBER(DE24),(DE24-AVERAGEIF('Pemetaan Variant'!$A$5:$A$32,$B24,'Pemetaan Variant'!$K$5:$K$32))/AVERAGEIF('Pemetaan Variant'!$A$5:$A$32,$B24,'Pemetaan Variant'!$K$5:$K$32)*100,"n/a"),"n/a")</f>
        <v>-100</v>
      </c>
      <c r="DG24" s="4">
        <f t="shared" si="35"/>
        <v>-2.0282595222329398</v>
      </c>
      <c r="DH24" s="11">
        <f>IFERROR(AVERAGEIF('Pemetaan Variant'!$A$5:$A$32,$B24,'Pemetaan Variant'!$AZ$5:$AZ$32),"n/a")</f>
        <v>0</v>
      </c>
      <c r="DI24" s="12">
        <f>IFERROR(IF(ISNUMBER(DH24),(DH24-AVERAGEIF('Pemetaan Variant'!$A$5:$A$32,$B24,'Pemetaan Variant'!$K$5:$K$32))/AVERAGEIF('Pemetaan Variant'!$A$5:$A$32,$B24,'Pemetaan Variant'!$K$5:$K$32)*100,"n/a"),"n/a")</f>
        <v>-100</v>
      </c>
      <c r="DJ24" s="4">
        <f t="shared" si="36"/>
        <v>-2.0282595222329398</v>
      </c>
      <c r="DK24" s="11" t="str">
        <f>IFERROR(AVERAGEIF('Pemetaan Variant'!$A$5:$A$32,$B24,'Pemetaan Variant'!$BA$5:$BA$32),"n/a")</f>
        <v>n/a</v>
      </c>
      <c r="DL24" s="12" t="str">
        <f>IFERROR(IF(ISNUMBER(DK24),(DK24-AVERAGEIF('Pemetaan Variant'!$A$5:$A$32,$B24,'Pemetaan Variant'!$L$5:$L$32))/AVERAGEIF('Pemetaan Variant'!$A$5:$A$32,$B24,'Pemetaan Variant'!$L$5:$L$32)*100,"n/a"),"n/a")</f>
        <v>n/a</v>
      </c>
      <c r="DM24" s="4" t="str">
        <f t="shared" si="37"/>
        <v>n/a</v>
      </c>
      <c r="DN24" s="11" t="str">
        <f>IFERROR(AVERAGEIF('Pemetaan Variant'!$A$5:$A$32,$B24,'Pemetaan Variant'!$BB$5:$BB$32),"n/a")</f>
        <v>n/a</v>
      </c>
      <c r="DO24" s="12" t="str">
        <f>IFERROR(IF(ISNUMBER(DN24),(DN24-AVERAGEIF('Pemetaan Variant'!$A$5:$A$32,$B24,'Pemetaan Variant'!$L$5:$L$32))/AVERAGEIF('Pemetaan Variant'!$A$5:$A$32,$B24,'Pemetaan Variant'!$L$5:$L$32)*100,"n/a"),"n/a")</f>
        <v>n/a</v>
      </c>
      <c r="DP24" s="4" t="str">
        <f t="shared" si="38"/>
        <v>n/a</v>
      </c>
      <c r="DQ24" s="11" t="str">
        <f>IFERROR(AVERAGEIF('Pemetaan Variant'!$A$5:$A$32,$B24,'Pemetaan Variant'!$BC$5:$BC$32),"n/a")</f>
        <v>n/a</v>
      </c>
      <c r="DR24" s="12" t="str">
        <f>IFERROR(IF(ISNUMBER(DQ24),(DQ24-AVERAGEIF('Pemetaan Variant'!$A$5:$A$32,$B24,'Pemetaan Variant'!$L$5:$L$32))/AVERAGEIF('Pemetaan Variant'!$A$5:$A$32,$B24,'Pemetaan Variant'!$L$5:$L$32)*100,"n/a"),"n/a")</f>
        <v>n/a</v>
      </c>
      <c r="DS24" s="4" t="str">
        <f t="shared" si="39"/>
        <v>n/a</v>
      </c>
      <c r="DT24" s="11" t="str">
        <f>IFERROR(AVERAGEIF('Pemetaan Variant'!$A$5:$A$32,$B24,'Pemetaan Variant'!$BD$5:$BD$32),"n/a")</f>
        <v>n/a</v>
      </c>
      <c r="DU24" s="12" t="str">
        <f>IFERROR(IF(ISNUMBER(DT24),(DT24-AVERAGEIF('Pemetaan Variant'!$A$5:$A$32,$B24,'Pemetaan Variant'!$L$5:$L$32))/AVERAGEIF('Pemetaan Variant'!$A$5:$A$32,$B24,'Pemetaan Variant'!$L$5:$L$32)*100,"n/a"),"n/a")</f>
        <v>n/a</v>
      </c>
      <c r="DV24" s="4" t="str">
        <f t="shared" si="40"/>
        <v>n/a</v>
      </c>
      <c r="DW24" s="11" t="str">
        <f>IFERROR(AVERAGEIF('Pemetaan Variant'!$A$5:$A$32,$B24,'Pemetaan Variant'!$BE$5:$BE$32),"n/a")</f>
        <v>n/a</v>
      </c>
      <c r="DX24" s="12" t="str">
        <f>IFERROR(IF(ISNUMBER(DW24),(DW24-AVERAGEIF('Pemetaan Variant'!$A$5:$A$32,$B24,'Pemetaan Variant'!$M$5:$M$32))/AVERAGEIF('Pemetaan Variant'!$A$5:$A$32,$B24,'Pemetaan Variant'!$M$5:$M$32)*100,"n/a"),"n/a")</f>
        <v>n/a</v>
      </c>
      <c r="DY24" s="4" t="str">
        <f t="shared" si="41"/>
        <v>n/a</v>
      </c>
      <c r="DZ24" s="11" t="str">
        <f>IFERROR(AVERAGEIF('Pemetaan Variant'!$A$5:$A$32,$B24,'Pemetaan Variant'!$BF$5:$BF$32),"n/a")</f>
        <v>n/a</v>
      </c>
      <c r="EA24" s="12" t="str">
        <f>IFERROR(IF(ISNUMBER(DZ24),(DZ24-AVERAGEIF('Pemetaan Variant'!$A$5:$A$32,$B24,'Pemetaan Variant'!$M$5:$M$32))/AVERAGEIF('Pemetaan Variant'!$A$5:$A$32,$B24,'Pemetaan Variant'!$M$5:$M$32)*100,"n/a"),"n/a")</f>
        <v>n/a</v>
      </c>
      <c r="EB24" s="4" t="str">
        <f t="shared" si="42"/>
        <v>n/a</v>
      </c>
      <c r="EC24" s="11" t="str">
        <f>IFERROR(AVERAGEIF('Pemetaan Variant'!$A$5:$A$32,$B24,'Pemetaan Variant'!$BG$5:$BG$32),"n/a")</f>
        <v>n/a</v>
      </c>
      <c r="ED24" s="12" t="str">
        <f>IFERROR(IF(ISNUMBER(EC24),(EC24-AVERAGEIF('Pemetaan Variant'!$A$5:$A$32,$B24,'Pemetaan Variant'!$M$5:$M$32))/AVERAGEIF('Pemetaan Variant'!$A$5:$A$32,$B24,'Pemetaan Variant'!$M$5:$M$32)*100,"n/a"),"n/a")</f>
        <v>n/a</v>
      </c>
      <c r="EE24" s="4" t="str">
        <f t="shared" si="43"/>
        <v>n/a</v>
      </c>
      <c r="EF24" s="11" t="str">
        <f>IFERROR(AVERAGEIF('Pemetaan Variant'!$A$5:$A$32,$B24,'Pemetaan Variant'!$BH$5:$BH$32),"n/a")</f>
        <v>n/a</v>
      </c>
      <c r="EG24" s="12" t="str">
        <f>IFERROR(IF(ISNUMBER(EF24),(EF24-AVERAGEIF('Pemetaan Variant'!$A$5:$A$32,$B24,'Pemetaan Variant'!$M$5:$M$32))/AVERAGEIF('Pemetaan Variant'!$A$5:$A$32,$B24,'Pemetaan Variant'!$M$5:$M$32)*100,"n/a"),"n/a")</f>
        <v>n/a</v>
      </c>
      <c r="EH24" s="4" t="str">
        <f t="shared" si="44"/>
        <v>n/a</v>
      </c>
      <c r="EI24" s="11" t="str">
        <f>IFERROR(AVERAGEIF('Pemetaan Variant'!$A$5:$A$32,$B24,'Pemetaan Variant'!$BI$5:$BI$32),"n/a")</f>
        <v>n/a</v>
      </c>
      <c r="EJ24" s="12" t="str">
        <f>IFERROR(IF(ISNUMBER(EI24),(EI24-AVERAGEIF('Pemetaan Variant'!$A$5:$A$32,$B24,'Pemetaan Variant'!$M$5:$M$32))/AVERAGEIF('Pemetaan Variant'!$A$5:$A$32,$B24,'Pemetaan Variant'!$M$5:$M$32)*100,"n/a"),"n/a")</f>
        <v>n/a</v>
      </c>
      <c r="EK24" s="4" t="str">
        <f t="shared" si="45"/>
        <v>n/a</v>
      </c>
      <c r="EL24" s="11" t="str">
        <f>IFERROR(AVERAGEIF('Pemetaan Variant'!$A$5:$A$32,$B24,'Pemetaan Variant'!$BJ$5:$BJ$32),"n/a")</f>
        <v>n/a</v>
      </c>
      <c r="EM24" s="12" t="str">
        <f>IFERROR(IF(ISNUMBER(EL24),(EL24-AVERAGEIF('Pemetaan Variant'!$A$5:$A$32,$B24,'Pemetaan Variant'!$N$5:$N$32))/AVERAGEIF('Pemetaan Variant'!$A$5:$A$32,$B24,'Pemetaan Variant'!$N$5:$N$32)*100,"n/a"),"n/a")</f>
        <v>n/a</v>
      </c>
      <c r="EN24" s="4" t="str">
        <f t="shared" si="46"/>
        <v>n/a</v>
      </c>
      <c r="EO24" s="11" t="str">
        <f>IFERROR(AVERAGEIF('Pemetaan Variant'!$A$5:$A$32,$B24,'Pemetaan Variant'!$BK$5:$BK$32),"n/a")</f>
        <v>n/a</v>
      </c>
      <c r="EP24" s="12" t="str">
        <f>IFERROR(IF(ISNUMBER(EO24),(EO24-AVERAGEIF('Pemetaan Variant'!$A$5:$A$32,$B24,'Pemetaan Variant'!$N$5:$N$32))/AVERAGEIF('Pemetaan Variant'!$A$5:$A$32,$B24,'Pemetaan Variant'!$N$5:$N$32)*100,"n/a"),"n/a")</f>
        <v>n/a</v>
      </c>
      <c r="EQ24" s="4" t="str">
        <f t="shared" si="47"/>
        <v>n/a</v>
      </c>
      <c r="ER24" s="11" t="str">
        <f>IFERROR(AVERAGEIF('Pemetaan Variant'!$A$5:$A$32,$B24,'Pemetaan Variant'!$BL$5:$BL$32),"n/a")</f>
        <v>n/a</v>
      </c>
      <c r="ES24" s="12" t="str">
        <f>IFERROR(IF(ISNUMBER(ER24),(ER24-AVERAGEIF('Pemetaan Variant'!$A$5:$A$32,$B24,'Pemetaan Variant'!$N$5:$N$32))/AVERAGEIF('Pemetaan Variant'!$A$5:$A$32,$B24,'Pemetaan Variant'!$N$5:$N$32)*100,"n/a"),"n/a")</f>
        <v>n/a</v>
      </c>
      <c r="ET24" s="4" t="str">
        <f t="shared" si="48"/>
        <v>n/a</v>
      </c>
      <c r="EU24" s="11" t="str">
        <f>IFERROR(AVERAGEIF('Pemetaan Variant'!$A$5:$A$32,$B24,'Pemetaan Variant'!$BM$5:$BM$32),"n/a")</f>
        <v>n/a</v>
      </c>
      <c r="EV24" s="12" t="str">
        <f>IFERROR(IF(ISNUMBER(EU24),(EU24-AVERAGEIF('Pemetaan Variant'!$A$5:$A$32,$B24,'Pemetaan Variant'!$N$5:$N$32))/AVERAGEIF('Pemetaan Variant'!$A$5:$A$32,$B24,'Pemetaan Variant'!$N$5:$N$32)*100,"n/a"),"n/a")</f>
        <v>n/a</v>
      </c>
      <c r="EW24" s="4" t="str">
        <f t="shared" si="49"/>
        <v>n/a</v>
      </c>
      <c r="EX24" s="11" t="str">
        <f>IFERROR(AVERAGEIF('Pemetaan Variant'!$A$5:$A$32,$B24,'Pemetaan Variant'!$BN$5:$BN$32),"n/a")</f>
        <v>n/a</v>
      </c>
      <c r="EY24" s="12" t="str">
        <f>IFERROR(IF(ISNUMBER(EX24),(EX24-AVERAGEIF('Pemetaan Variant'!$A$5:$A$32,$B24,'Pemetaan Variant'!$O$5:$O$32))/AVERAGEIF('Pemetaan Variant'!$A$5:$A$32,$B24,'Pemetaan Variant'!$O$5:$O$32)*100,"n/a"),"n/a")</f>
        <v>n/a</v>
      </c>
      <c r="EZ24" s="4" t="str">
        <f t="shared" si="50"/>
        <v>n/a</v>
      </c>
      <c r="FA24" s="11" t="str">
        <f>IFERROR(AVERAGEIF('Pemetaan Variant'!$A$5:$A$32,$B24,'Pemetaan Variant'!$BO$5:$BO$32),"n/a")</f>
        <v>n/a</v>
      </c>
      <c r="FB24" s="12" t="str">
        <f>IFERROR(IF(ISNUMBER(FA24),(FA24-AVERAGEIF('Pemetaan Variant'!$A$5:$A$32,$B24,'Pemetaan Variant'!$O$5:$O$32))/AVERAGEIF('Pemetaan Variant'!$A$5:$A$32,$B24,'Pemetaan Variant'!$O$5:$O$32)*100,"n/a"),"n/a")</f>
        <v>n/a</v>
      </c>
      <c r="FC24" s="4" t="str">
        <f t="shared" si="51"/>
        <v>n/a</v>
      </c>
      <c r="FD24" s="11" t="str">
        <f>IFERROR(AVERAGEIF('Pemetaan Variant'!$A$5:$A$32,$B24,'Pemetaan Variant'!$BP$5:$BP$32),"n/a")</f>
        <v>n/a</v>
      </c>
      <c r="FE24" s="12" t="str">
        <f>IFERROR(IF(ISNUMBER(FD24),(FD24-AVERAGEIF('Pemetaan Variant'!$A$5:$A$32,$B24,'Pemetaan Variant'!$O$5:$O$32))/AVERAGEIF('Pemetaan Variant'!$A$5:$A$32,$B24,'Pemetaan Variant'!$O$5:$O$32)*100,"n/a"),"n/a")</f>
        <v>n/a</v>
      </c>
      <c r="FF24" s="4" t="str">
        <f t="shared" si="52"/>
        <v>n/a</v>
      </c>
      <c r="FG24" s="11" t="str">
        <f>IFERROR(AVERAGEIF('Pemetaan Variant'!$A$5:$A$32,$B24,'Pemetaan Variant'!$BQ$5:$BQ$32),"n/a")</f>
        <v>n/a</v>
      </c>
      <c r="FH24" s="12" t="str">
        <f>IFERROR(IF(ISNUMBER(FG24),(FG24-AVERAGEIF('Pemetaan Variant'!$A$5:$A$32,$B24,'Pemetaan Variant'!$O$5:$O$32))/AVERAGEIF('Pemetaan Variant'!$A$5:$A$32,$B24,'Pemetaan Variant'!$O$5:$O$32)*100,"n/a"),"n/a")</f>
        <v>n/a</v>
      </c>
      <c r="FI24" s="4" t="str">
        <f t="shared" si="53"/>
        <v>n/a</v>
      </c>
      <c r="FJ24" s="11" t="str">
        <f>IFERROR(AVERAGEIF('Pemetaan Variant'!$A$5:$A$32,$B24,'Pemetaan Variant'!$BR$5:$BR$32),"n/a")</f>
        <v>n/a</v>
      </c>
      <c r="FK24" s="12" t="str">
        <f>IFERROR(IF(ISNUMBER(FJ24),(FJ24-AVERAGEIF('Pemetaan Variant'!$A$5:$A$32,$B24,'Pemetaan Variant'!$O$5:$O$32))/AVERAGEIF('Pemetaan Variant'!$A$5:$A$32,$B24,'Pemetaan Variant'!$O$5:$O$32)*100,"n/a"),"n/a")</f>
        <v>n/a</v>
      </c>
      <c r="FL24" s="4" t="str">
        <f t="shared" si="54"/>
        <v>n/a</v>
      </c>
      <c r="FM24" s="13"/>
      <c r="FO24" s="9">
        <f t="shared" si="55"/>
        <v>0</v>
      </c>
      <c r="FP24" s="9">
        <f t="shared" si="56"/>
        <v>0</v>
      </c>
      <c r="FQ24" s="9">
        <f t="shared" si="57"/>
        <v>0</v>
      </c>
      <c r="FR24" s="9">
        <f t="shared" si="58"/>
        <v>0</v>
      </c>
      <c r="FS24" s="9">
        <f t="shared" si="59"/>
        <v>0</v>
      </c>
      <c r="FT24" s="9">
        <f t="shared" si="60"/>
        <v>0</v>
      </c>
      <c r="FU24" s="9">
        <f t="shared" si="61"/>
        <v>0</v>
      </c>
      <c r="FV24" s="9">
        <f t="shared" si="62"/>
        <v>0</v>
      </c>
      <c r="FW24" s="9">
        <f t="shared" si="63"/>
        <v>0</v>
      </c>
      <c r="FX24" s="9">
        <f t="shared" si="64"/>
        <v>0</v>
      </c>
      <c r="FY24" s="9">
        <f t="shared" si="65"/>
        <v>0</v>
      </c>
      <c r="FZ24" s="9">
        <f t="shared" si="66"/>
        <v>0</v>
      </c>
      <c r="GA24" s="9">
        <f t="shared" si="67"/>
        <v>0</v>
      </c>
      <c r="GB24" s="9">
        <f t="shared" si="68"/>
        <v>0</v>
      </c>
      <c r="GC24" s="9">
        <f t="shared" si="69"/>
        <v>0</v>
      </c>
      <c r="GD24" s="9">
        <f t="shared" si="70"/>
        <v>0</v>
      </c>
      <c r="GE24" s="9">
        <f t="shared" si="71"/>
        <v>0</v>
      </c>
      <c r="GF24" s="9">
        <f t="shared" si="72"/>
        <v>0</v>
      </c>
      <c r="GG24" s="9">
        <f t="shared" si="73"/>
        <v>0</v>
      </c>
      <c r="GH24" s="9">
        <f t="shared" si="74"/>
        <v>0</v>
      </c>
      <c r="GI24" s="9">
        <f t="shared" si="75"/>
        <v>0</v>
      </c>
      <c r="GJ24" s="9">
        <f t="shared" si="76"/>
        <v>0</v>
      </c>
      <c r="GK24" s="9">
        <f t="shared" si="77"/>
        <v>0</v>
      </c>
      <c r="GL24" s="9">
        <f t="shared" si="78"/>
        <v>0</v>
      </c>
      <c r="GM24" s="9">
        <f t="shared" si="79"/>
        <v>0</v>
      </c>
      <c r="GN24" s="9">
        <f t="shared" si="80"/>
        <v>0.16902162685274497</v>
      </c>
      <c r="GO24" s="9">
        <f t="shared" si="81"/>
        <v>0.22536216913699331</v>
      </c>
      <c r="GP24" s="9">
        <f t="shared" si="82"/>
        <v>0.22536216913699331</v>
      </c>
      <c r="GQ24" s="9">
        <f t="shared" si="83"/>
        <v>7.1924096533082946E-2</v>
      </c>
      <c r="GR24" s="9">
        <f t="shared" si="84"/>
        <v>7.1924096533082946E-2</v>
      </c>
      <c r="GS24" s="9">
        <f t="shared" si="85"/>
        <v>7.1924096533082946E-2</v>
      </c>
      <c r="GT24" s="9">
        <f t="shared" si="86"/>
        <v>7.1924096533082946E-2</v>
      </c>
      <c r="GU24" s="9">
        <f t="shared" si="87"/>
        <v>7.1924096533082946E-2</v>
      </c>
      <c r="GV24" s="9">
        <f t="shared" si="88"/>
        <v>2.0282595222329398</v>
      </c>
      <c r="GW24" s="9">
        <f t="shared" si="89"/>
        <v>2.0282595222329398</v>
      </c>
      <c r="GX24" s="9">
        <f t="shared" si="90"/>
        <v>2.0282595222329398</v>
      </c>
      <c r="GY24" s="9">
        <f t="shared" si="91"/>
        <v>2.0282595222329398</v>
      </c>
      <c r="GZ24" s="9">
        <f t="shared" si="92"/>
        <v>0</v>
      </c>
      <c r="HA24" s="9">
        <f t="shared" si="93"/>
        <v>0</v>
      </c>
      <c r="HB24" s="9">
        <f t="shared" si="94"/>
        <v>0</v>
      </c>
      <c r="HC24" s="9">
        <f t="shared" si="95"/>
        <v>0</v>
      </c>
      <c r="HD24" s="9">
        <f t="shared" si="96"/>
        <v>0</v>
      </c>
      <c r="HE24" s="9">
        <f t="shared" si="97"/>
        <v>0</v>
      </c>
      <c r="HF24" s="9">
        <f t="shared" si="98"/>
        <v>0</v>
      </c>
      <c r="HG24" s="9">
        <f t="shared" si="99"/>
        <v>0</v>
      </c>
      <c r="HH24" s="9">
        <f t="shared" si="100"/>
        <v>0</v>
      </c>
      <c r="HI24" s="9">
        <f t="shared" si="101"/>
        <v>0</v>
      </c>
      <c r="HJ24" s="9">
        <f t="shared" si="102"/>
        <v>0</v>
      </c>
      <c r="HK24" s="9">
        <f t="shared" si="103"/>
        <v>0</v>
      </c>
      <c r="HL24" s="9">
        <f t="shared" si="104"/>
        <v>0</v>
      </c>
      <c r="HM24" s="9">
        <f t="shared" si="105"/>
        <v>0</v>
      </c>
      <c r="HN24" s="9">
        <f t="shared" si="106"/>
        <v>0</v>
      </c>
      <c r="HO24" s="9">
        <f t="shared" si="107"/>
        <v>0</v>
      </c>
      <c r="HP24" s="9">
        <f t="shared" si="108"/>
        <v>0</v>
      </c>
      <c r="HQ24" s="9">
        <f t="shared" si="109"/>
        <v>0</v>
      </c>
    </row>
    <row r="25" spans="1:225" x14ac:dyDescent="0.35">
      <c r="A25" s="3">
        <v>20</v>
      </c>
      <c r="B25" s="3" t="s">
        <v>147</v>
      </c>
      <c r="C25" s="10">
        <f>'P0Q0 Dasar 2022'!F24</f>
        <v>3.4177615717940098E-2</v>
      </c>
      <c r="D25" s="11">
        <f>IFERROR(AVERAGEIF('Pemetaan Variant'!$A$5:$A$32,$B25,'Pemetaan Variant'!$P$5:$P$32),"n/a")</f>
        <v>9000</v>
      </c>
      <c r="E25" s="12">
        <f>IFERROR(IF(ISNUMBER(D25),(D25-AVERAGEIF('Pemetaan Variant'!$A$5:$A$32,$B25,'Pemetaan Variant'!$D$5:$D$32))/AVERAGEIF('Pemetaan Variant'!$A$5:$A$32,$B25,'Pemetaan Variant'!$D$5:$D$32)*100,"n/a"),"n/a")</f>
        <v>0</v>
      </c>
      <c r="F25" s="4">
        <f t="shared" si="0"/>
        <v>0</v>
      </c>
      <c r="G25" s="11">
        <f>IFERROR(AVERAGEIF('Pemetaan Variant'!$A$5:$A$32,$B25,'Pemetaan Variant'!$Q$5:$Q$32),"n/a")</f>
        <v>9000</v>
      </c>
      <c r="H25" s="12">
        <f>IFERROR(IF(ISNUMBER(G25),(G25-AVERAGEIF('Pemetaan Variant'!$A$5:$A$32,$B25,'Pemetaan Variant'!$D$5:$D$32))/AVERAGEIF('Pemetaan Variant'!$A$5:$A$32,$B25,'Pemetaan Variant'!$D$5:$D$32)*100,"n/a"),"n/a")</f>
        <v>0</v>
      </c>
      <c r="I25" s="4">
        <f t="shared" si="1"/>
        <v>0</v>
      </c>
      <c r="J25" s="11">
        <f>IFERROR(AVERAGEIF('Pemetaan Variant'!$A$5:$A$32,$B25,'Pemetaan Variant'!$R$5:$R$32),"n/a")</f>
        <v>9000</v>
      </c>
      <c r="K25" s="12">
        <f>IFERROR(IF(ISNUMBER(J25),(J25-AVERAGEIF('Pemetaan Variant'!$A$5:$A$32,$B25,'Pemetaan Variant'!$D$5:$D$32))/AVERAGEIF('Pemetaan Variant'!$A$5:$A$32,$B25,'Pemetaan Variant'!$D$5:$D$32)*100,"n/a"),"n/a")</f>
        <v>0</v>
      </c>
      <c r="L25" s="4">
        <f t="shared" si="2"/>
        <v>0</v>
      </c>
      <c r="M25" s="11">
        <f>IFERROR(AVERAGEIF('Pemetaan Variant'!$A$5:$A$32,$B25,'Pemetaan Variant'!$S$5:$S$32),"n/a")</f>
        <v>9000</v>
      </c>
      <c r="N25" s="12">
        <f>IFERROR(IF(ISNUMBER(M25),(M25-AVERAGEIF('Pemetaan Variant'!$A$5:$A$32,$B25,'Pemetaan Variant'!$D$5:$D$32))/AVERAGEIF('Pemetaan Variant'!$A$5:$A$32,$B25,'Pemetaan Variant'!$D$5:$D$32)*100,"n/a"),"n/a")</f>
        <v>0</v>
      </c>
      <c r="O25" s="4">
        <f t="shared" si="3"/>
        <v>0</v>
      </c>
      <c r="P25" s="11">
        <f>IFERROR(AVERAGEIF('Pemetaan Variant'!$A$5:$A$32,$B25,'Pemetaan Variant'!$T$5:$T$32),"n/a")</f>
        <v>9000</v>
      </c>
      <c r="Q25" s="12">
        <f>IFERROR(IF(ISNUMBER(P25),(P25-AVERAGEIF('Pemetaan Variant'!$A$5:$A$32,$B25,'Pemetaan Variant'!$D$5:$D$32))/AVERAGEIF('Pemetaan Variant'!$A$5:$A$32,$B25,'Pemetaan Variant'!$D$5:$D$32)*100,"n/a"),"n/a")</f>
        <v>0</v>
      </c>
      <c r="R25" s="4">
        <f t="shared" si="4"/>
        <v>0</v>
      </c>
      <c r="S25" s="11">
        <f>IFERROR(AVERAGEIF('Pemetaan Variant'!$A$5:$A$32,$B25,'Pemetaan Variant'!$U$5:$U$32),"n/a")</f>
        <v>9000</v>
      </c>
      <c r="T25" s="12">
        <f>IFERROR(IF(ISNUMBER(S25),(S25-AVERAGEIF('Pemetaan Variant'!$A$5:$A$32,$B25,'Pemetaan Variant'!$E$5:$E$32))/AVERAGEIF('Pemetaan Variant'!$A$5:$A$32,$B25,'Pemetaan Variant'!$E$5:$E$32)*100,"n/a"),"n/a")</f>
        <v>0</v>
      </c>
      <c r="U25" s="4">
        <f t="shared" si="5"/>
        <v>0</v>
      </c>
      <c r="V25" s="11">
        <f>IFERROR(AVERAGEIF('Pemetaan Variant'!$A$5:$A$32,$B25,'Pemetaan Variant'!$V$5:$V$32),"n/a")</f>
        <v>9000</v>
      </c>
      <c r="W25" s="12">
        <f>IFERROR(IF(ISNUMBER(V25),(V25-AVERAGEIF('Pemetaan Variant'!$A$5:$A$32,$B25,'Pemetaan Variant'!$E$5:$E$32))/AVERAGEIF('Pemetaan Variant'!$A$5:$A$32,$B25,'Pemetaan Variant'!$E$5:$E$32)*100,"n/a"),"n/a")</f>
        <v>0</v>
      </c>
      <c r="X25" s="4">
        <f t="shared" si="6"/>
        <v>0</v>
      </c>
      <c r="Y25" s="11">
        <f>IFERROR(AVERAGEIF('Pemetaan Variant'!$A$5:$A$32,$B25,'Pemetaan Variant'!$W$5:$W$32),"n/a")</f>
        <v>9000</v>
      </c>
      <c r="Z25" s="12">
        <f>IFERROR(IF(ISNUMBER(Y25),(Y25-AVERAGEIF('Pemetaan Variant'!$A$5:$A$32,$B25,'Pemetaan Variant'!$E$5:$E$32))/AVERAGEIF('Pemetaan Variant'!$A$5:$A$32,$B25,'Pemetaan Variant'!$E$5:$E$32)*100,"n/a"),"n/a")</f>
        <v>0</v>
      </c>
      <c r="AA25" s="4">
        <f t="shared" si="7"/>
        <v>0</v>
      </c>
      <c r="AB25" s="11">
        <f>IFERROR(AVERAGEIF('Pemetaan Variant'!$A$5:$A$32,$B25,'Pemetaan Variant'!$X$5:$X$32),"n/a")</f>
        <v>9000</v>
      </c>
      <c r="AC25" s="12">
        <f>IFERROR(IF(ISNUMBER(AB25),(AB25-AVERAGEIF('Pemetaan Variant'!$A$5:$A$32,$B25,'Pemetaan Variant'!$E$5:$E$32))/AVERAGEIF('Pemetaan Variant'!$A$5:$A$32,$B25,'Pemetaan Variant'!$E$5:$E$32)*100,"n/a"),"n/a")</f>
        <v>0</v>
      </c>
      <c r="AD25" s="4">
        <f t="shared" si="8"/>
        <v>0</v>
      </c>
      <c r="AE25" s="11">
        <f>IFERROR(AVERAGEIF('Pemetaan Variant'!$A$5:$A$32,$B25,'Pemetaan Variant'!$Y$5:$Y$32),"n/a")</f>
        <v>9000</v>
      </c>
      <c r="AF25" s="12">
        <f>IFERROR(IF(ISNUMBER(AE25),(AE25-AVERAGEIF('Pemetaan Variant'!$A$5:$A$32,$B25,'Pemetaan Variant'!$F$5:$F$32))/AVERAGEIF('Pemetaan Variant'!$A$5:$A$32,$B25,'Pemetaan Variant'!$F$5:$F$32)*100,"n/a"),"n/a")</f>
        <v>0</v>
      </c>
      <c r="AG25" s="4">
        <f t="shared" si="9"/>
        <v>0</v>
      </c>
      <c r="AH25" s="11">
        <f>IFERROR(AVERAGEIF('Pemetaan Variant'!$A$5:$A$32,$B25,'Pemetaan Variant'!$Z$5:$Z$32),"n/a")</f>
        <v>9000</v>
      </c>
      <c r="AI25" s="12">
        <f>IFERROR(IF(ISNUMBER(AH25),(AH25-AVERAGEIF('Pemetaan Variant'!$A$5:$A$32,$B25,'Pemetaan Variant'!$F$5:$F$32))/AVERAGEIF('Pemetaan Variant'!$A$5:$A$32,$B25,'Pemetaan Variant'!$F$5:$F$32)*100,"n/a"),"n/a")</f>
        <v>0</v>
      </c>
      <c r="AJ25" s="4">
        <f t="shared" si="10"/>
        <v>0</v>
      </c>
      <c r="AK25" s="11">
        <f>IFERROR(AVERAGEIF('Pemetaan Variant'!$A$5:$A$32,$B25,'Pemetaan Variant'!$AA$5:$AA$32),"n/a")</f>
        <v>9000</v>
      </c>
      <c r="AL25" s="12">
        <f>IFERROR(IF(ISNUMBER(AK25),(AK25-AVERAGEIF('Pemetaan Variant'!$A$5:$A$32,$B25,'Pemetaan Variant'!$F$5:$F$32))/AVERAGEIF('Pemetaan Variant'!$A$5:$A$32,$B25,'Pemetaan Variant'!$F$5:$F$32)*100,"n/a"),"n/a")</f>
        <v>0</v>
      </c>
      <c r="AM25" s="4">
        <f t="shared" si="11"/>
        <v>0</v>
      </c>
      <c r="AN25" s="11">
        <f>IFERROR(AVERAGEIF('Pemetaan Variant'!$A$5:$A$32,$B25,'Pemetaan Variant'!$AB$5:$AB$32),"n/a")</f>
        <v>9000</v>
      </c>
      <c r="AO25" s="12">
        <f>IFERROR(IF(ISNUMBER(AN25),(AN25-AVERAGEIF('Pemetaan Variant'!$A$5:$A$32,$B25,'Pemetaan Variant'!$F$5:$F$32))/AVERAGEIF('Pemetaan Variant'!$A$5:$A$32,$B25,'Pemetaan Variant'!$F$5:$F$32)*100,"n/a"),"n/a")</f>
        <v>0</v>
      </c>
      <c r="AP25" s="4">
        <f t="shared" si="12"/>
        <v>0</v>
      </c>
      <c r="AQ25" s="11" t="str">
        <f>IFERROR(AVERAGEIF('Pemetaan Variant'!$A$5:$A$32,$B25,'Pemetaan Variant'!$AC$5:$AC$32),"n/a")</f>
        <v>n/a</v>
      </c>
      <c r="AR25" s="12" t="str">
        <f>IFERROR(IF(ISNUMBER(AQ25),(AQ25-AVERAGEIF('Pemetaan Variant'!$A$5:$A$32,$B25,'Pemetaan Variant'!$F$5:$F$32))/AVERAGEIF('Pemetaan Variant'!$A$5:$A$32,$B25,'Pemetaan Variant'!$F$5:$F$32)*100,"n/a"),"n/a")</f>
        <v>n/a</v>
      </c>
      <c r="AS25" s="4" t="str">
        <f t="shared" si="13"/>
        <v>n/a</v>
      </c>
      <c r="AT25" s="11" t="str">
        <f>IFERROR(AVERAGEIF('Pemetaan Variant'!$A$5:$A$32,$B25,'Pemetaan Variant'!$AD$5:$AD$32),"n/a")</f>
        <v>n/a</v>
      </c>
      <c r="AU25" s="12" t="str">
        <f>IFERROR(IF(ISNUMBER(AT25),(AT25-AVERAGEIF('Pemetaan Variant'!$A$5:$A$32,$B25,'Pemetaan Variant'!$G$5:$G$32))/AVERAGEIF('Pemetaan Variant'!$A$5:$A$32,$B25,'Pemetaan Variant'!$G$5:$G$32)*100,"n/a"),"n/a")</f>
        <v>n/a</v>
      </c>
      <c r="AV25" s="4" t="str">
        <f t="shared" si="14"/>
        <v>n/a</v>
      </c>
      <c r="AW25" s="11">
        <f>IFERROR(AVERAGEIF('Pemetaan Variant'!$A$5:$A$32,$B25,'Pemetaan Variant'!$AE$5:$AE$32),"n/a")</f>
        <v>9000</v>
      </c>
      <c r="AX25" s="12">
        <f>IFERROR(IF(ISNUMBER(AW25),(AW25-AVERAGEIF('Pemetaan Variant'!$A$5:$A$32,$B25,'Pemetaan Variant'!$G$5:$G$32))/AVERAGEIF('Pemetaan Variant'!$A$5:$A$32,$B25,'Pemetaan Variant'!$G$5:$G$32)*100,"n/a"),"n/a")</f>
        <v>0</v>
      </c>
      <c r="AY25" s="4">
        <f t="shared" si="15"/>
        <v>0</v>
      </c>
      <c r="AZ25" s="11">
        <f>IFERROR(AVERAGEIF('Pemetaan Variant'!$A$5:$A$32,$B25,'Pemetaan Variant'!$AF$5:$AF$32),"n/a")</f>
        <v>9000</v>
      </c>
      <c r="BA25" s="12">
        <f>IFERROR(IF(ISNUMBER(AZ25),(AZ25-AVERAGEIF('Pemetaan Variant'!$A$5:$A$32,$B25,'Pemetaan Variant'!$G$5:$G$32))/AVERAGEIF('Pemetaan Variant'!$A$5:$A$32,$B25,'Pemetaan Variant'!$G$5:$G$32)*100,"n/a"),"n/a")</f>
        <v>0</v>
      </c>
      <c r="BB25" s="4">
        <f t="shared" si="16"/>
        <v>0</v>
      </c>
      <c r="BC25" s="11">
        <f>IFERROR(AVERAGEIF('Pemetaan Variant'!$A$5:$A$32,$B25,'Pemetaan Variant'!$AG$5:$AG$32),"n/a")</f>
        <v>9000</v>
      </c>
      <c r="BD25" s="12">
        <f>IFERROR(IF(ISNUMBER(BC25),(BC25-AVERAGEIF('Pemetaan Variant'!$A$5:$A$32,$B25,'Pemetaan Variant'!$G$5:$G$32))/AVERAGEIF('Pemetaan Variant'!$A$5:$A$32,$B25,'Pemetaan Variant'!$G$5:$G$32)*100,"n/a"),"n/a")</f>
        <v>0</v>
      </c>
      <c r="BE25" s="4">
        <f t="shared" si="17"/>
        <v>0</v>
      </c>
      <c r="BF25" s="11">
        <f>IFERROR(AVERAGEIF('Pemetaan Variant'!$A$5:$A$32,$B25,'Pemetaan Variant'!$AH$5:$AH$32),"n/a")</f>
        <v>9000</v>
      </c>
      <c r="BG25" s="12">
        <f>IFERROR(IF(ISNUMBER(BF25),(BF25-AVERAGEIF('Pemetaan Variant'!$A$5:$A$32,$B25,'Pemetaan Variant'!$G$5:$G$32))/AVERAGEIF('Pemetaan Variant'!$A$5:$A$32,$B25,'Pemetaan Variant'!$G$5:$G$32)*100,"n/a"),"n/a")</f>
        <v>0</v>
      </c>
      <c r="BH25" s="4">
        <f t="shared" si="18"/>
        <v>0</v>
      </c>
      <c r="BI25" s="11">
        <f>IFERROR(AVERAGEIF('Pemetaan Variant'!$A$5:$A$32,$B25,'Pemetaan Variant'!$AI$5:$AI$32),"n/a")</f>
        <v>9000</v>
      </c>
      <c r="BJ25" s="12">
        <f>IFERROR(IF(ISNUMBER(BI25),(BI25-AVERAGEIF('Pemetaan Variant'!$A$5:$A$32,$B25,'Pemetaan Variant'!$H$5:$H$32))/AVERAGEIF('Pemetaan Variant'!$A$5:$A$32,$B25,'Pemetaan Variant'!$H$5:$H$32)*100,"n/a"),"n/a")</f>
        <v>0</v>
      </c>
      <c r="BK25" s="4">
        <f t="shared" si="19"/>
        <v>0</v>
      </c>
      <c r="BL25" s="11">
        <f>IFERROR(AVERAGEIF('Pemetaan Variant'!$A$5:$A$32,$B25,'Pemetaan Variant'!$AJ$5:$AJ$32),"n/a")</f>
        <v>9000</v>
      </c>
      <c r="BM25" s="12">
        <f>IFERROR(IF(ISNUMBER(BL25),(BL25-AVERAGEIF('Pemetaan Variant'!$A$5:$A$32,$B25,'Pemetaan Variant'!$H$5:$H$32))/AVERAGEIF('Pemetaan Variant'!$A$5:$A$32,$B25,'Pemetaan Variant'!$H$5:$H$32)*100,"n/a"),"n/a")</f>
        <v>0</v>
      </c>
      <c r="BN25" s="4">
        <f t="shared" si="20"/>
        <v>0</v>
      </c>
      <c r="BO25" s="11">
        <f>IFERROR(AVERAGEIF('Pemetaan Variant'!$A$5:$A$32,$B25,'Pemetaan Variant'!$AK$5:$AK$32),"n/a")</f>
        <v>9000</v>
      </c>
      <c r="BP25" s="12">
        <f>IFERROR(IF(ISNUMBER(BO25),(BO25-AVERAGEIF('Pemetaan Variant'!$A$5:$A$32,$B25,'Pemetaan Variant'!$H$5:$H$32))/AVERAGEIF('Pemetaan Variant'!$A$5:$A$32,$B25,'Pemetaan Variant'!$H$5:$H$32)*100,"n/a"),"n/a")</f>
        <v>0</v>
      </c>
      <c r="BQ25" s="4">
        <f t="shared" si="21"/>
        <v>0</v>
      </c>
      <c r="BR25" s="11">
        <f>IFERROR(AVERAGEIF('Pemetaan Variant'!$A$5:$A$32,$B25,'Pemetaan Variant'!$AL$5:$AL$32),"n/a")</f>
        <v>9000</v>
      </c>
      <c r="BS25" s="12">
        <f>IFERROR(IF(ISNUMBER(BR25),(BR25-AVERAGEIF('Pemetaan Variant'!$A$5:$A$32,$B25,'Pemetaan Variant'!$H$5:$H$32))/AVERAGEIF('Pemetaan Variant'!$A$5:$A$32,$B25,'Pemetaan Variant'!$H$5:$H$32)*100,"n/a"),"n/a")</f>
        <v>0</v>
      </c>
      <c r="BT25" s="4">
        <f t="shared" si="22"/>
        <v>0</v>
      </c>
      <c r="BU25" s="11">
        <f>IFERROR(AVERAGEIF('Pemetaan Variant'!$A$5:$A$32,$B25,'Pemetaan Variant'!$AM$5:$AM$32),"n/a")</f>
        <v>9000</v>
      </c>
      <c r="BV25" s="12">
        <f>IFERROR(IF(ISNUMBER(BU25),(BU25-AVERAGEIF('Pemetaan Variant'!$A$5:$A$32,$B25,'Pemetaan Variant'!$H$5:$H$32))/AVERAGEIF('Pemetaan Variant'!$A$5:$A$32,$B25,'Pemetaan Variant'!$H$5:$H$32)*100,"n/a"),"n/a")</f>
        <v>0</v>
      </c>
      <c r="BW25" s="4">
        <f t="shared" si="23"/>
        <v>0</v>
      </c>
      <c r="BX25" s="11">
        <f>IFERROR(AVERAGEIF('Pemetaan Variant'!$A$5:$A$32,$B25,'Pemetaan Variant'!$AN$5:$AN$32),"n/a")</f>
        <v>9000</v>
      </c>
      <c r="BY25" s="12">
        <f>IFERROR(IF(ISNUMBER(BX25),(BX25-AVERAGEIF('Pemetaan Variant'!$A$5:$A$32,$B25,'Pemetaan Variant'!$I$5:$I$32))/AVERAGEIF('Pemetaan Variant'!$A$5:$A$32,$B25,'Pemetaan Variant'!$I$5:$I$32)*100,"n/a"),"n/a")</f>
        <v>0</v>
      </c>
      <c r="BZ25" s="4">
        <f t="shared" si="24"/>
        <v>0</v>
      </c>
      <c r="CA25" s="11">
        <f>IFERROR(AVERAGEIF('Pemetaan Variant'!$A$5:$A$32,$B25,'Pemetaan Variant'!$AO$5:$AO$32),"n/a")</f>
        <v>9000</v>
      </c>
      <c r="CB25" s="12">
        <f>IFERROR(IF(ISNUMBER(CA25),(CA25-AVERAGEIF('Pemetaan Variant'!$A$5:$A$32,$B25,'Pemetaan Variant'!$I$5:$I$32))/AVERAGEIF('Pemetaan Variant'!$A$5:$A$32,$B25,'Pemetaan Variant'!$I$5:$I$32)*100,"n/a"),"n/a")</f>
        <v>0</v>
      </c>
      <c r="CC25" s="4">
        <f t="shared" si="25"/>
        <v>0</v>
      </c>
      <c r="CD25" s="11">
        <f>IFERROR(AVERAGEIF('Pemetaan Variant'!$A$5:$A$32,$B25,'Pemetaan Variant'!$AP$5:$AP$32),"n/a")</f>
        <v>9000</v>
      </c>
      <c r="CE25" s="12">
        <f>IFERROR(IF(ISNUMBER(CD25),(CD25-AVERAGEIF('Pemetaan Variant'!$A$5:$A$32,$B25,'Pemetaan Variant'!$I$5:$I$32))/AVERAGEIF('Pemetaan Variant'!$A$5:$A$32,$B25,'Pemetaan Variant'!$I$5:$I$32)*100,"n/a"),"n/a")</f>
        <v>0</v>
      </c>
      <c r="CF25" s="4">
        <f t="shared" si="26"/>
        <v>0</v>
      </c>
      <c r="CG25" s="11">
        <f>IFERROR(AVERAGEIF('Pemetaan Variant'!$A$5:$A$32,$B25,'Pemetaan Variant'!$AQ$5:$AQ$32),"n/a")</f>
        <v>9000</v>
      </c>
      <c r="CH25" s="12">
        <f>IFERROR(IF(ISNUMBER(CG25),(CG25-AVERAGEIF('Pemetaan Variant'!$A$5:$A$32,$B25,'Pemetaan Variant'!$I$5:$I$32))/AVERAGEIF('Pemetaan Variant'!$A$5:$A$32,$B25,'Pemetaan Variant'!$I$5:$I$32)*100,"n/a"),"n/a")</f>
        <v>0</v>
      </c>
      <c r="CI25" s="4">
        <f t="shared" si="27"/>
        <v>0</v>
      </c>
      <c r="CJ25" s="11">
        <f>IFERROR(AVERAGEIF('Pemetaan Variant'!$A$5:$A$32,$B25,'Pemetaan Variant'!$AR$5:$AR$32),"n/a")</f>
        <v>9000</v>
      </c>
      <c r="CK25" s="12">
        <f>IFERROR(IF(ISNUMBER(CJ25),(CJ25-AVERAGEIF('Pemetaan Variant'!$A$5:$A$32,$B25,'Pemetaan Variant'!$J$5:$J$32))/AVERAGEIF('Pemetaan Variant'!$A$5:$A$32,$B25,'Pemetaan Variant'!$J$5:$J$32)*100,"n/a"),"n/a")</f>
        <v>0</v>
      </c>
      <c r="CL25" s="4">
        <f t="shared" si="28"/>
        <v>0</v>
      </c>
      <c r="CM25" s="11">
        <f>IFERROR(AVERAGEIF('Pemetaan Variant'!$A$5:$A$32,$B25,'Pemetaan Variant'!$AS$5:$AS$32),"n/a")</f>
        <v>9000</v>
      </c>
      <c r="CN25" s="12">
        <f>IFERROR(IF(ISNUMBER(CM25),(CM25-AVERAGEIF('Pemetaan Variant'!$A$5:$A$32,$B25,'Pemetaan Variant'!$J$5:$J$32))/AVERAGEIF('Pemetaan Variant'!$A$5:$A$32,$B25,'Pemetaan Variant'!$J$5:$J$32)*100,"n/a"),"n/a")</f>
        <v>0</v>
      </c>
      <c r="CO25" s="4">
        <f t="shared" si="29"/>
        <v>0</v>
      </c>
      <c r="CP25" s="11">
        <f>IFERROR(AVERAGEIF('Pemetaan Variant'!$A$5:$A$32,$B25,'Pemetaan Variant'!$AT$5:$AT$32),"n/a")</f>
        <v>9000</v>
      </c>
      <c r="CQ25" s="12">
        <f>IFERROR(IF(ISNUMBER(CP25),(CP25-AVERAGEIF('Pemetaan Variant'!$A$5:$A$32,$B25,'Pemetaan Variant'!$J$5:$J$32))/AVERAGEIF('Pemetaan Variant'!$A$5:$A$32,$B25,'Pemetaan Variant'!$J$5:$J$32)*100,"n/a"),"n/a")</f>
        <v>0</v>
      </c>
      <c r="CR25" s="4">
        <f t="shared" si="30"/>
        <v>0</v>
      </c>
      <c r="CS25" s="11">
        <f>IFERROR(AVERAGEIF('Pemetaan Variant'!$A$5:$A$32,$B25,'Pemetaan Variant'!$AU$5:$AU$32),"n/a")</f>
        <v>9000</v>
      </c>
      <c r="CT25" s="12">
        <f>IFERROR(IF(ISNUMBER(CS25),(CS25-AVERAGEIF('Pemetaan Variant'!$A$5:$A$32,$B25,'Pemetaan Variant'!$J$5:$J$32))/AVERAGEIF('Pemetaan Variant'!$A$5:$A$32,$B25,'Pemetaan Variant'!$J$5:$J$32)*100,"n/a"),"n/a")</f>
        <v>0</v>
      </c>
      <c r="CU25" s="4">
        <f t="shared" si="31"/>
        <v>0</v>
      </c>
      <c r="CV25" s="11">
        <f>IFERROR(AVERAGEIF('Pemetaan Variant'!$A$5:$A$32,$B25,'Pemetaan Variant'!$AV$5:$AV$32),"n/a")</f>
        <v>9000</v>
      </c>
      <c r="CW25" s="12">
        <f>IFERROR(IF(ISNUMBER(CV25),(CV25-AVERAGEIF('Pemetaan Variant'!$A$5:$A$32,$B25,'Pemetaan Variant'!$J$5:$J$32))/AVERAGEIF('Pemetaan Variant'!$A$5:$A$32,$B25,'Pemetaan Variant'!$J$5:$J$32)*100,"n/a"),"n/a")</f>
        <v>0</v>
      </c>
      <c r="CX25" s="4">
        <f t="shared" si="32"/>
        <v>0</v>
      </c>
      <c r="CY25" s="11">
        <f>IFERROR(AVERAGEIF('Pemetaan Variant'!$A$5:$A$32,$B25,'Pemetaan Variant'!$AW$5:$AW$32),"n/a")</f>
        <v>0</v>
      </c>
      <c r="CZ25" s="12">
        <f>IFERROR(IF(ISNUMBER(CY25),(CY25-AVERAGEIF('Pemetaan Variant'!$A$5:$A$32,$B25,'Pemetaan Variant'!$K$5:$K$32))/AVERAGEIF('Pemetaan Variant'!$A$5:$A$32,$B25,'Pemetaan Variant'!$K$5:$K$32)*100,"n/a"),"n/a")</f>
        <v>-100</v>
      </c>
      <c r="DA25" s="4">
        <f t="shared" si="33"/>
        <v>-3.41776157179401</v>
      </c>
      <c r="DB25" s="11">
        <f>IFERROR(AVERAGEIF('Pemetaan Variant'!$A$5:$A$32,$B25,'Pemetaan Variant'!$AX$5:$AX$32),"n/a")</f>
        <v>0</v>
      </c>
      <c r="DC25" s="12">
        <f>IFERROR(IF(ISNUMBER(DB25),(DB25-AVERAGEIF('Pemetaan Variant'!$A$5:$A$32,$B25,'Pemetaan Variant'!$K$5:$K$32))/AVERAGEIF('Pemetaan Variant'!$A$5:$A$32,$B25,'Pemetaan Variant'!$K$5:$K$32)*100,"n/a"),"n/a")</f>
        <v>-100</v>
      </c>
      <c r="DD25" s="4">
        <f t="shared" si="34"/>
        <v>-3.41776157179401</v>
      </c>
      <c r="DE25" s="11">
        <f>IFERROR(AVERAGEIF('Pemetaan Variant'!$A$5:$A$32,$B25,'Pemetaan Variant'!$AY$5:$AY$32),"n/a")</f>
        <v>0</v>
      </c>
      <c r="DF25" s="12">
        <f>IFERROR(IF(ISNUMBER(DE25),(DE25-AVERAGEIF('Pemetaan Variant'!$A$5:$A$32,$B25,'Pemetaan Variant'!$K$5:$K$32))/AVERAGEIF('Pemetaan Variant'!$A$5:$A$32,$B25,'Pemetaan Variant'!$K$5:$K$32)*100,"n/a"),"n/a")</f>
        <v>-100</v>
      </c>
      <c r="DG25" s="4">
        <f t="shared" si="35"/>
        <v>-3.41776157179401</v>
      </c>
      <c r="DH25" s="11">
        <f>IFERROR(AVERAGEIF('Pemetaan Variant'!$A$5:$A$32,$B25,'Pemetaan Variant'!$AZ$5:$AZ$32),"n/a")</f>
        <v>0</v>
      </c>
      <c r="DI25" s="12">
        <f>IFERROR(IF(ISNUMBER(DH25),(DH25-AVERAGEIF('Pemetaan Variant'!$A$5:$A$32,$B25,'Pemetaan Variant'!$K$5:$K$32))/AVERAGEIF('Pemetaan Variant'!$A$5:$A$32,$B25,'Pemetaan Variant'!$K$5:$K$32)*100,"n/a"),"n/a")</f>
        <v>-100</v>
      </c>
      <c r="DJ25" s="4">
        <f t="shared" si="36"/>
        <v>-3.41776157179401</v>
      </c>
      <c r="DK25" s="11" t="str">
        <f>IFERROR(AVERAGEIF('Pemetaan Variant'!$A$5:$A$32,$B25,'Pemetaan Variant'!$BA$5:$BA$32),"n/a")</f>
        <v>n/a</v>
      </c>
      <c r="DL25" s="12" t="str">
        <f>IFERROR(IF(ISNUMBER(DK25),(DK25-AVERAGEIF('Pemetaan Variant'!$A$5:$A$32,$B25,'Pemetaan Variant'!$L$5:$L$32))/AVERAGEIF('Pemetaan Variant'!$A$5:$A$32,$B25,'Pemetaan Variant'!$L$5:$L$32)*100,"n/a"),"n/a")</f>
        <v>n/a</v>
      </c>
      <c r="DM25" s="4" t="str">
        <f t="shared" si="37"/>
        <v>n/a</v>
      </c>
      <c r="DN25" s="11" t="str">
        <f>IFERROR(AVERAGEIF('Pemetaan Variant'!$A$5:$A$32,$B25,'Pemetaan Variant'!$BB$5:$BB$32),"n/a")</f>
        <v>n/a</v>
      </c>
      <c r="DO25" s="12" t="str">
        <f>IFERROR(IF(ISNUMBER(DN25),(DN25-AVERAGEIF('Pemetaan Variant'!$A$5:$A$32,$B25,'Pemetaan Variant'!$L$5:$L$32))/AVERAGEIF('Pemetaan Variant'!$A$5:$A$32,$B25,'Pemetaan Variant'!$L$5:$L$32)*100,"n/a"),"n/a")</f>
        <v>n/a</v>
      </c>
      <c r="DP25" s="4" t="str">
        <f t="shared" si="38"/>
        <v>n/a</v>
      </c>
      <c r="DQ25" s="11" t="str">
        <f>IFERROR(AVERAGEIF('Pemetaan Variant'!$A$5:$A$32,$B25,'Pemetaan Variant'!$BC$5:$BC$32),"n/a")</f>
        <v>n/a</v>
      </c>
      <c r="DR25" s="12" t="str">
        <f>IFERROR(IF(ISNUMBER(DQ25),(DQ25-AVERAGEIF('Pemetaan Variant'!$A$5:$A$32,$B25,'Pemetaan Variant'!$L$5:$L$32))/AVERAGEIF('Pemetaan Variant'!$A$5:$A$32,$B25,'Pemetaan Variant'!$L$5:$L$32)*100,"n/a"),"n/a")</f>
        <v>n/a</v>
      </c>
      <c r="DS25" s="4" t="str">
        <f t="shared" si="39"/>
        <v>n/a</v>
      </c>
      <c r="DT25" s="11" t="str">
        <f>IFERROR(AVERAGEIF('Pemetaan Variant'!$A$5:$A$32,$B25,'Pemetaan Variant'!$BD$5:$BD$32),"n/a")</f>
        <v>n/a</v>
      </c>
      <c r="DU25" s="12" t="str">
        <f>IFERROR(IF(ISNUMBER(DT25),(DT25-AVERAGEIF('Pemetaan Variant'!$A$5:$A$32,$B25,'Pemetaan Variant'!$L$5:$L$32))/AVERAGEIF('Pemetaan Variant'!$A$5:$A$32,$B25,'Pemetaan Variant'!$L$5:$L$32)*100,"n/a"),"n/a")</f>
        <v>n/a</v>
      </c>
      <c r="DV25" s="4" t="str">
        <f t="shared" si="40"/>
        <v>n/a</v>
      </c>
      <c r="DW25" s="11" t="str">
        <f>IFERROR(AVERAGEIF('Pemetaan Variant'!$A$5:$A$32,$B25,'Pemetaan Variant'!$BE$5:$BE$32),"n/a")</f>
        <v>n/a</v>
      </c>
      <c r="DX25" s="12" t="str">
        <f>IFERROR(IF(ISNUMBER(DW25),(DW25-AVERAGEIF('Pemetaan Variant'!$A$5:$A$32,$B25,'Pemetaan Variant'!$M$5:$M$32))/AVERAGEIF('Pemetaan Variant'!$A$5:$A$32,$B25,'Pemetaan Variant'!$M$5:$M$32)*100,"n/a"),"n/a")</f>
        <v>n/a</v>
      </c>
      <c r="DY25" s="4" t="str">
        <f t="shared" si="41"/>
        <v>n/a</v>
      </c>
      <c r="DZ25" s="11" t="str">
        <f>IFERROR(AVERAGEIF('Pemetaan Variant'!$A$5:$A$32,$B25,'Pemetaan Variant'!$BF$5:$BF$32),"n/a")</f>
        <v>n/a</v>
      </c>
      <c r="EA25" s="12" t="str">
        <f>IFERROR(IF(ISNUMBER(DZ25),(DZ25-AVERAGEIF('Pemetaan Variant'!$A$5:$A$32,$B25,'Pemetaan Variant'!$M$5:$M$32))/AVERAGEIF('Pemetaan Variant'!$A$5:$A$32,$B25,'Pemetaan Variant'!$M$5:$M$32)*100,"n/a"),"n/a")</f>
        <v>n/a</v>
      </c>
      <c r="EB25" s="4" t="str">
        <f t="shared" si="42"/>
        <v>n/a</v>
      </c>
      <c r="EC25" s="11" t="str">
        <f>IFERROR(AVERAGEIF('Pemetaan Variant'!$A$5:$A$32,$B25,'Pemetaan Variant'!$BG$5:$BG$32),"n/a")</f>
        <v>n/a</v>
      </c>
      <c r="ED25" s="12" t="str">
        <f>IFERROR(IF(ISNUMBER(EC25),(EC25-AVERAGEIF('Pemetaan Variant'!$A$5:$A$32,$B25,'Pemetaan Variant'!$M$5:$M$32))/AVERAGEIF('Pemetaan Variant'!$A$5:$A$32,$B25,'Pemetaan Variant'!$M$5:$M$32)*100,"n/a"),"n/a")</f>
        <v>n/a</v>
      </c>
      <c r="EE25" s="4" t="str">
        <f t="shared" si="43"/>
        <v>n/a</v>
      </c>
      <c r="EF25" s="11" t="str">
        <f>IFERROR(AVERAGEIF('Pemetaan Variant'!$A$5:$A$32,$B25,'Pemetaan Variant'!$BH$5:$BH$32),"n/a")</f>
        <v>n/a</v>
      </c>
      <c r="EG25" s="12" t="str">
        <f>IFERROR(IF(ISNUMBER(EF25),(EF25-AVERAGEIF('Pemetaan Variant'!$A$5:$A$32,$B25,'Pemetaan Variant'!$M$5:$M$32))/AVERAGEIF('Pemetaan Variant'!$A$5:$A$32,$B25,'Pemetaan Variant'!$M$5:$M$32)*100,"n/a"),"n/a")</f>
        <v>n/a</v>
      </c>
      <c r="EH25" s="4" t="str">
        <f t="shared" si="44"/>
        <v>n/a</v>
      </c>
      <c r="EI25" s="11" t="str">
        <f>IFERROR(AVERAGEIF('Pemetaan Variant'!$A$5:$A$32,$B25,'Pemetaan Variant'!$BI$5:$BI$32),"n/a")</f>
        <v>n/a</v>
      </c>
      <c r="EJ25" s="12" t="str">
        <f>IFERROR(IF(ISNUMBER(EI25),(EI25-AVERAGEIF('Pemetaan Variant'!$A$5:$A$32,$B25,'Pemetaan Variant'!$M$5:$M$32))/AVERAGEIF('Pemetaan Variant'!$A$5:$A$32,$B25,'Pemetaan Variant'!$M$5:$M$32)*100,"n/a"),"n/a")</f>
        <v>n/a</v>
      </c>
      <c r="EK25" s="4" t="str">
        <f t="shared" si="45"/>
        <v>n/a</v>
      </c>
      <c r="EL25" s="11" t="str">
        <f>IFERROR(AVERAGEIF('Pemetaan Variant'!$A$5:$A$32,$B25,'Pemetaan Variant'!$BJ$5:$BJ$32),"n/a")</f>
        <v>n/a</v>
      </c>
      <c r="EM25" s="12" t="str">
        <f>IFERROR(IF(ISNUMBER(EL25),(EL25-AVERAGEIF('Pemetaan Variant'!$A$5:$A$32,$B25,'Pemetaan Variant'!$N$5:$N$32))/AVERAGEIF('Pemetaan Variant'!$A$5:$A$32,$B25,'Pemetaan Variant'!$N$5:$N$32)*100,"n/a"),"n/a")</f>
        <v>n/a</v>
      </c>
      <c r="EN25" s="4" t="str">
        <f t="shared" si="46"/>
        <v>n/a</v>
      </c>
      <c r="EO25" s="11" t="str">
        <f>IFERROR(AVERAGEIF('Pemetaan Variant'!$A$5:$A$32,$B25,'Pemetaan Variant'!$BK$5:$BK$32),"n/a")</f>
        <v>n/a</v>
      </c>
      <c r="EP25" s="12" t="str">
        <f>IFERROR(IF(ISNUMBER(EO25),(EO25-AVERAGEIF('Pemetaan Variant'!$A$5:$A$32,$B25,'Pemetaan Variant'!$N$5:$N$32))/AVERAGEIF('Pemetaan Variant'!$A$5:$A$32,$B25,'Pemetaan Variant'!$N$5:$N$32)*100,"n/a"),"n/a")</f>
        <v>n/a</v>
      </c>
      <c r="EQ25" s="4" t="str">
        <f t="shared" si="47"/>
        <v>n/a</v>
      </c>
      <c r="ER25" s="11" t="str">
        <f>IFERROR(AVERAGEIF('Pemetaan Variant'!$A$5:$A$32,$B25,'Pemetaan Variant'!$BL$5:$BL$32),"n/a")</f>
        <v>n/a</v>
      </c>
      <c r="ES25" s="12" t="str">
        <f>IFERROR(IF(ISNUMBER(ER25),(ER25-AVERAGEIF('Pemetaan Variant'!$A$5:$A$32,$B25,'Pemetaan Variant'!$N$5:$N$32))/AVERAGEIF('Pemetaan Variant'!$A$5:$A$32,$B25,'Pemetaan Variant'!$N$5:$N$32)*100,"n/a"),"n/a")</f>
        <v>n/a</v>
      </c>
      <c r="ET25" s="4" t="str">
        <f t="shared" si="48"/>
        <v>n/a</v>
      </c>
      <c r="EU25" s="11" t="str">
        <f>IFERROR(AVERAGEIF('Pemetaan Variant'!$A$5:$A$32,$B25,'Pemetaan Variant'!$BM$5:$BM$32),"n/a")</f>
        <v>n/a</v>
      </c>
      <c r="EV25" s="12" t="str">
        <f>IFERROR(IF(ISNUMBER(EU25),(EU25-AVERAGEIF('Pemetaan Variant'!$A$5:$A$32,$B25,'Pemetaan Variant'!$N$5:$N$32))/AVERAGEIF('Pemetaan Variant'!$A$5:$A$32,$B25,'Pemetaan Variant'!$N$5:$N$32)*100,"n/a"),"n/a")</f>
        <v>n/a</v>
      </c>
      <c r="EW25" s="4" t="str">
        <f t="shared" si="49"/>
        <v>n/a</v>
      </c>
      <c r="EX25" s="11" t="str">
        <f>IFERROR(AVERAGEIF('Pemetaan Variant'!$A$5:$A$32,$B25,'Pemetaan Variant'!$BN$5:$BN$32),"n/a")</f>
        <v>n/a</v>
      </c>
      <c r="EY25" s="12" t="str">
        <f>IFERROR(IF(ISNUMBER(EX25),(EX25-AVERAGEIF('Pemetaan Variant'!$A$5:$A$32,$B25,'Pemetaan Variant'!$O$5:$O$32))/AVERAGEIF('Pemetaan Variant'!$A$5:$A$32,$B25,'Pemetaan Variant'!$O$5:$O$32)*100,"n/a"),"n/a")</f>
        <v>n/a</v>
      </c>
      <c r="EZ25" s="4" t="str">
        <f t="shared" si="50"/>
        <v>n/a</v>
      </c>
      <c r="FA25" s="11" t="str">
        <f>IFERROR(AVERAGEIF('Pemetaan Variant'!$A$5:$A$32,$B25,'Pemetaan Variant'!$BO$5:$BO$32),"n/a")</f>
        <v>n/a</v>
      </c>
      <c r="FB25" s="12" t="str">
        <f>IFERROR(IF(ISNUMBER(FA25),(FA25-AVERAGEIF('Pemetaan Variant'!$A$5:$A$32,$B25,'Pemetaan Variant'!$O$5:$O$32))/AVERAGEIF('Pemetaan Variant'!$A$5:$A$32,$B25,'Pemetaan Variant'!$O$5:$O$32)*100,"n/a"),"n/a")</f>
        <v>n/a</v>
      </c>
      <c r="FC25" s="4" t="str">
        <f t="shared" si="51"/>
        <v>n/a</v>
      </c>
      <c r="FD25" s="11" t="str">
        <f>IFERROR(AVERAGEIF('Pemetaan Variant'!$A$5:$A$32,$B25,'Pemetaan Variant'!$BP$5:$BP$32),"n/a")</f>
        <v>n/a</v>
      </c>
      <c r="FE25" s="12" t="str">
        <f>IFERROR(IF(ISNUMBER(FD25),(FD25-AVERAGEIF('Pemetaan Variant'!$A$5:$A$32,$B25,'Pemetaan Variant'!$O$5:$O$32))/AVERAGEIF('Pemetaan Variant'!$A$5:$A$32,$B25,'Pemetaan Variant'!$O$5:$O$32)*100,"n/a"),"n/a")</f>
        <v>n/a</v>
      </c>
      <c r="FF25" s="4" t="str">
        <f t="shared" si="52"/>
        <v>n/a</v>
      </c>
      <c r="FG25" s="11" t="str">
        <f>IFERROR(AVERAGEIF('Pemetaan Variant'!$A$5:$A$32,$B25,'Pemetaan Variant'!$BQ$5:$BQ$32),"n/a")</f>
        <v>n/a</v>
      </c>
      <c r="FH25" s="12" t="str">
        <f>IFERROR(IF(ISNUMBER(FG25),(FG25-AVERAGEIF('Pemetaan Variant'!$A$5:$A$32,$B25,'Pemetaan Variant'!$O$5:$O$32))/AVERAGEIF('Pemetaan Variant'!$A$5:$A$32,$B25,'Pemetaan Variant'!$O$5:$O$32)*100,"n/a"),"n/a")</f>
        <v>n/a</v>
      </c>
      <c r="FI25" s="4" t="str">
        <f t="shared" si="53"/>
        <v>n/a</v>
      </c>
      <c r="FJ25" s="11" t="str">
        <f>IFERROR(AVERAGEIF('Pemetaan Variant'!$A$5:$A$32,$B25,'Pemetaan Variant'!$BR$5:$BR$32),"n/a")</f>
        <v>n/a</v>
      </c>
      <c r="FK25" s="12" t="str">
        <f>IFERROR(IF(ISNUMBER(FJ25),(FJ25-AVERAGEIF('Pemetaan Variant'!$A$5:$A$32,$B25,'Pemetaan Variant'!$O$5:$O$32))/AVERAGEIF('Pemetaan Variant'!$A$5:$A$32,$B25,'Pemetaan Variant'!$O$5:$O$32)*100,"n/a"),"n/a")</f>
        <v>n/a</v>
      </c>
      <c r="FL25" s="4" t="str">
        <f t="shared" si="54"/>
        <v>n/a</v>
      </c>
      <c r="FM25" s="13"/>
      <c r="FO25" s="9">
        <f t="shared" si="55"/>
        <v>0</v>
      </c>
      <c r="FP25" s="9">
        <f t="shared" si="56"/>
        <v>0</v>
      </c>
      <c r="FQ25" s="9">
        <f t="shared" si="57"/>
        <v>0</v>
      </c>
      <c r="FR25" s="9">
        <f t="shared" si="58"/>
        <v>0</v>
      </c>
      <c r="FS25" s="9">
        <f t="shared" si="59"/>
        <v>0</v>
      </c>
      <c r="FT25" s="9">
        <f t="shared" si="60"/>
        <v>0</v>
      </c>
      <c r="FU25" s="9">
        <f t="shared" si="61"/>
        <v>0</v>
      </c>
      <c r="FV25" s="9">
        <f t="shared" si="62"/>
        <v>0</v>
      </c>
      <c r="FW25" s="9">
        <f t="shared" si="63"/>
        <v>0</v>
      </c>
      <c r="FX25" s="9">
        <f t="shared" si="64"/>
        <v>0</v>
      </c>
      <c r="FY25" s="9">
        <f t="shared" si="65"/>
        <v>0</v>
      </c>
      <c r="FZ25" s="9">
        <f t="shared" si="66"/>
        <v>0</v>
      </c>
      <c r="GA25" s="9">
        <f t="shared" si="67"/>
        <v>0</v>
      </c>
      <c r="GB25" s="9">
        <f t="shared" si="68"/>
        <v>0</v>
      </c>
      <c r="GC25" s="9">
        <f t="shared" si="69"/>
        <v>0</v>
      </c>
      <c r="GD25" s="9">
        <f t="shared" si="70"/>
        <v>0</v>
      </c>
      <c r="GE25" s="9">
        <f t="shared" si="71"/>
        <v>0</v>
      </c>
      <c r="GF25" s="9">
        <f t="shared" si="72"/>
        <v>0</v>
      </c>
      <c r="GG25" s="9">
        <f t="shared" si="73"/>
        <v>0</v>
      </c>
      <c r="GH25" s="9">
        <f t="shared" si="74"/>
        <v>0</v>
      </c>
      <c r="GI25" s="9">
        <f t="shared" si="75"/>
        <v>0</v>
      </c>
      <c r="GJ25" s="9">
        <f t="shared" si="76"/>
        <v>0</v>
      </c>
      <c r="GK25" s="9">
        <f t="shared" si="77"/>
        <v>0</v>
      </c>
      <c r="GL25" s="9">
        <f t="shared" si="78"/>
        <v>0</v>
      </c>
      <c r="GM25" s="9">
        <f t="shared" si="79"/>
        <v>0</v>
      </c>
      <c r="GN25" s="9">
        <f t="shared" si="80"/>
        <v>0</v>
      </c>
      <c r="GO25" s="9">
        <f t="shared" si="81"/>
        <v>0</v>
      </c>
      <c r="GP25" s="9">
        <f t="shared" si="82"/>
        <v>0</v>
      </c>
      <c r="GQ25" s="9">
        <f t="shared" si="83"/>
        <v>0</v>
      </c>
      <c r="GR25" s="9">
        <f t="shared" si="84"/>
        <v>0</v>
      </c>
      <c r="GS25" s="9">
        <f t="shared" si="85"/>
        <v>0</v>
      </c>
      <c r="GT25" s="9">
        <f t="shared" si="86"/>
        <v>0</v>
      </c>
      <c r="GU25" s="9">
        <f t="shared" si="87"/>
        <v>0</v>
      </c>
      <c r="GV25" s="9">
        <f t="shared" si="88"/>
        <v>3.41776157179401</v>
      </c>
      <c r="GW25" s="9">
        <f t="shared" si="89"/>
        <v>3.41776157179401</v>
      </c>
      <c r="GX25" s="9">
        <f t="shared" si="90"/>
        <v>3.41776157179401</v>
      </c>
      <c r="GY25" s="9">
        <f t="shared" si="91"/>
        <v>3.41776157179401</v>
      </c>
      <c r="GZ25" s="9">
        <f t="shared" si="92"/>
        <v>0</v>
      </c>
      <c r="HA25" s="9">
        <f t="shared" si="93"/>
        <v>0</v>
      </c>
      <c r="HB25" s="9">
        <f t="shared" si="94"/>
        <v>0</v>
      </c>
      <c r="HC25" s="9">
        <f t="shared" si="95"/>
        <v>0</v>
      </c>
      <c r="HD25" s="9">
        <f t="shared" si="96"/>
        <v>0</v>
      </c>
      <c r="HE25" s="9">
        <f t="shared" si="97"/>
        <v>0</v>
      </c>
      <c r="HF25" s="9">
        <f t="shared" si="98"/>
        <v>0</v>
      </c>
      <c r="HG25" s="9">
        <f t="shared" si="99"/>
        <v>0</v>
      </c>
      <c r="HH25" s="9">
        <f t="shared" si="100"/>
        <v>0</v>
      </c>
      <c r="HI25" s="9">
        <f t="shared" si="101"/>
        <v>0</v>
      </c>
      <c r="HJ25" s="9">
        <f t="shared" si="102"/>
        <v>0</v>
      </c>
      <c r="HK25" s="9">
        <f t="shared" si="103"/>
        <v>0</v>
      </c>
      <c r="HL25" s="9">
        <f t="shared" si="104"/>
        <v>0</v>
      </c>
      <c r="HM25" s="9">
        <f t="shared" si="105"/>
        <v>0</v>
      </c>
      <c r="HN25" s="9">
        <f t="shared" si="106"/>
        <v>0</v>
      </c>
      <c r="HO25" s="9">
        <f t="shared" si="107"/>
        <v>0</v>
      </c>
      <c r="HP25" s="9">
        <f t="shared" si="108"/>
        <v>0</v>
      </c>
      <c r="HQ25" s="9">
        <f t="shared" si="109"/>
        <v>0</v>
      </c>
    </row>
    <row r="26" spans="1:225" x14ac:dyDescent="0.35">
      <c r="A26" s="14"/>
      <c r="B26" s="15" t="s">
        <v>148</v>
      </c>
      <c r="C26" s="14"/>
      <c r="D26" s="14"/>
      <c r="E26" s="14"/>
      <c r="F26" s="16">
        <f>IF(COUNT(F6:F25)=0,"Data tidak tersedia",SUM(F6:F25))</f>
        <v>1.1530139849890313</v>
      </c>
      <c r="G26" s="14"/>
      <c r="H26" s="14"/>
      <c r="I26" s="16">
        <f>IF(COUNT(I6:I25)=0,"Data tidak tersedia",SUM(I6:I25))</f>
        <v>0.15142596793834739</v>
      </c>
      <c r="J26" s="14"/>
      <c r="K26" s="14"/>
      <c r="L26" s="16">
        <f>IF(COUNT(L6:L25)=0,"Data tidak tersedia",SUM(L6:L25))</f>
        <v>-0.25084792924398852</v>
      </c>
      <c r="M26" s="14"/>
      <c r="N26" s="14"/>
      <c r="O26" s="16">
        <f>IF(COUNT(O6:O25)=0,"Data tidak tersedia",SUM(O6:O25))</f>
        <v>-0.30159398975557572</v>
      </c>
      <c r="P26" s="14"/>
      <c r="Q26" s="14"/>
      <c r="R26" s="16">
        <f>IF(COUNT(R6:R25)=0,"Data tidak tersedia",SUM(R6:R25))</f>
        <v>-0.10571837146977697</v>
      </c>
      <c r="S26" s="14"/>
      <c r="T26" s="14"/>
      <c r="U26" s="16">
        <f>IF(COUNT(U6:U25)=0,"Data tidak tersedia",SUM(U6:U25))</f>
        <v>-0.11346942587549752</v>
      </c>
      <c r="V26" s="14"/>
      <c r="W26" s="14"/>
      <c r="X26" s="16">
        <f>IF(COUNT(X6:X25)=0,"Data tidak tersedia",SUM(X6:X25))</f>
        <v>0.2535249453527898</v>
      </c>
      <c r="Y26" s="14"/>
      <c r="Z26" s="14"/>
      <c r="AA26" s="16">
        <f>IF(COUNT(AA6:AA25)=0,"Data tidak tersedia",SUM(AA6:AA25))</f>
        <v>0.56512699350189899</v>
      </c>
      <c r="AB26" s="14"/>
      <c r="AC26" s="14"/>
      <c r="AD26" s="16">
        <f>IF(COUNT(AD6:AD25)=0,"Data tidak tersedia",SUM(AD6:AD25))</f>
        <v>0.66673851962785413</v>
      </c>
      <c r="AE26" s="14"/>
      <c r="AF26" s="14"/>
      <c r="AG26" s="16">
        <f>IF(COUNT(AG6:AG25)=0,"Data tidak tersedia",SUM(AG6:AG25))</f>
        <v>-0.19664308760111171</v>
      </c>
      <c r="AH26" s="14"/>
      <c r="AI26" s="14"/>
      <c r="AJ26" s="16">
        <f>IF(COUNT(AJ6:AJ25)=0,"Data tidak tersedia",SUM(AJ6:AJ25))</f>
        <v>-0.49580175927155878</v>
      </c>
      <c r="AK26" s="14"/>
      <c r="AL26" s="14"/>
      <c r="AM26" s="16">
        <f>IF(COUNT(AM6:AM25)=0,"Data tidak tersedia",SUM(AM6:AM25))</f>
        <v>-0.38663971345566772</v>
      </c>
      <c r="AN26" s="14"/>
      <c r="AO26" s="14"/>
      <c r="AP26" s="16">
        <f>IF(COUNT(AP6:AP25)=0,"Data tidak tersedia",SUM(AP6:AP25))</f>
        <v>-0.18705727228308988</v>
      </c>
      <c r="AQ26" s="14"/>
      <c r="AR26" s="14"/>
      <c r="AS26" s="16" t="str">
        <f>IF(COUNT(AS6:AS25)=0,"Data tidak tersedia",SUM(AS6:AS25))</f>
        <v>Data tidak tersedia</v>
      </c>
      <c r="AT26" s="14"/>
      <c r="AU26" s="14"/>
      <c r="AV26" s="16" t="str">
        <f>IF(COUNT(AV6:AV25)=0,"Data tidak tersedia",SUM(AV6:AV25))</f>
        <v>Data tidak tersedia</v>
      </c>
      <c r="AW26" s="14"/>
      <c r="AX26" s="14"/>
      <c r="AY26" s="16">
        <f>IF(COUNT(AY6:AY25)=0,"Data tidak tersedia",SUM(AY6:AY25))</f>
        <v>1.3979463972709847</v>
      </c>
      <c r="AZ26" s="14"/>
      <c r="BA26" s="14"/>
      <c r="BB26" s="16">
        <f>IF(COUNT(BB6:BB25)=0,"Data tidak tersedia",SUM(BB6:BB25))</f>
        <v>0.15108690811807685</v>
      </c>
      <c r="BC26" s="14"/>
      <c r="BD26" s="14"/>
      <c r="BE26" s="16">
        <f>IF(COUNT(BE6:BE25)=0,"Data tidak tersedia",SUM(BE6:BE25))</f>
        <v>-0.73894568612045042</v>
      </c>
      <c r="BF26" s="14"/>
      <c r="BG26" s="14"/>
      <c r="BH26" s="16">
        <f>IF(COUNT(BH6:BH25)=0,"Data tidak tersedia",SUM(BH6:BH25))</f>
        <v>-2.9422083707634115</v>
      </c>
      <c r="BI26" s="14"/>
      <c r="BJ26" s="14"/>
      <c r="BK26" s="16">
        <f>IF(COUNT(BK6:BK25)=0,"Data tidak tersedia",SUM(BK6:BK25))</f>
        <v>-2.7846872776417957</v>
      </c>
      <c r="BL26" s="14"/>
      <c r="BM26" s="14"/>
      <c r="BN26" s="16">
        <f>IF(COUNT(BN6:BN25)=0,"Data tidak tersedia",SUM(BN6:BN25))</f>
        <v>-2.6192920369874297</v>
      </c>
      <c r="BO26" s="14"/>
      <c r="BP26" s="14"/>
      <c r="BQ26" s="16">
        <f>IF(COUNT(BQ6:BQ25)=0,"Data tidak tersedia",SUM(BQ6:BQ25))</f>
        <v>-2.6757647826570863</v>
      </c>
      <c r="BR26" s="14"/>
      <c r="BS26" s="14"/>
      <c r="BT26" s="16">
        <f>IF(COUNT(BT6:BT25)=0,"Data tidak tersedia",SUM(BT6:BT25))</f>
        <v>-2.6305094572302008</v>
      </c>
      <c r="BU26" s="14"/>
      <c r="BV26" s="14"/>
      <c r="BW26" s="16">
        <f>IF(COUNT(BW6:BW25)=0,"Data tidak tersedia",SUM(BW6:BW25))</f>
        <v>-2.1536787855374193</v>
      </c>
      <c r="BX26" s="14"/>
      <c r="BY26" s="14"/>
      <c r="BZ26" s="16">
        <f>IF(COUNT(BZ6:BZ25)=0,"Data tidak tersedia",SUM(BZ6:BZ25))</f>
        <v>2.1033152300334943</v>
      </c>
      <c r="CA26" s="14"/>
      <c r="CB26" s="14"/>
      <c r="CC26" s="16">
        <f>IF(COUNT(CC6:CC25)=0,"Data tidak tersedia",SUM(CC6:CC25))</f>
        <v>-6.6809020422701468E-2</v>
      </c>
      <c r="CD26" s="14"/>
      <c r="CE26" s="14"/>
      <c r="CF26" s="16">
        <f>IF(COUNT(CF6:CF25)=0,"Data tidak tersedia",SUM(CF6:CF25))</f>
        <v>-2.6092597655702159</v>
      </c>
      <c r="CG26" s="14"/>
      <c r="CH26" s="14"/>
      <c r="CI26" s="16">
        <f>IF(COUNT(CI6:CI25)=0,"Data tidak tersedia",SUM(CI6:CI25))</f>
        <v>-2.1984711702121564</v>
      </c>
      <c r="CJ26" s="14"/>
      <c r="CK26" s="14"/>
      <c r="CL26" s="16">
        <f>IF(COUNT(CL6:CL25)=0,"Data tidak tersedia",SUM(CL6:CL25))</f>
        <v>-0.41679671985782191</v>
      </c>
      <c r="CM26" s="14"/>
      <c r="CN26" s="14"/>
      <c r="CO26" s="16">
        <f>IF(COUNT(CO6:CO25)=0,"Data tidak tersedia",SUM(CO6:CO25))</f>
        <v>1.4606367053740379</v>
      </c>
      <c r="CP26" s="14"/>
      <c r="CQ26" s="14"/>
      <c r="CR26" s="16">
        <f>IF(COUNT(CR6:CR25)=0,"Data tidak tersedia",SUM(CR6:CR25))</f>
        <v>1.0420114081359162</v>
      </c>
      <c r="CS26" s="14"/>
      <c r="CT26" s="14"/>
      <c r="CU26" s="16">
        <f>IF(COUNT(CU6:CU25)=0,"Data tidak tersedia",SUM(CU6:CU25))</f>
        <v>2.1075933185867433</v>
      </c>
      <c r="CV26" s="14"/>
      <c r="CW26" s="14"/>
      <c r="CX26" s="16">
        <f>IF(COUNT(CX6:CX25)=0,"Data tidak tersedia",SUM(CX6:CX25))</f>
        <v>1.6725605587016106</v>
      </c>
      <c r="CY26" s="14"/>
      <c r="CZ26" s="14"/>
      <c r="DA26" s="16">
        <f>IF(COUNT(DA6:DA25)=0,"Data tidak tersedia",SUM(DA6:DA25))</f>
        <v>-99.999999999999943</v>
      </c>
      <c r="DB26" s="14"/>
      <c r="DC26" s="14"/>
      <c r="DD26" s="16">
        <f>IF(COUNT(DD6:DD25)=0,"Data tidak tersedia",SUM(DD6:DD25))</f>
        <v>-99.999999999999943</v>
      </c>
      <c r="DE26" s="14"/>
      <c r="DF26" s="14"/>
      <c r="DG26" s="16">
        <f>IF(COUNT(DG6:DG25)=0,"Data tidak tersedia",SUM(DG6:DG25))</f>
        <v>-99.999999999999943</v>
      </c>
      <c r="DH26" s="14"/>
      <c r="DI26" s="14"/>
      <c r="DJ26" s="16">
        <f>IF(COUNT(DJ6:DJ25)=0,"Data tidak tersedia",SUM(DJ6:DJ25))</f>
        <v>-99.999999999999943</v>
      </c>
      <c r="DK26" s="14"/>
      <c r="DL26" s="14"/>
      <c r="DM26" s="16" t="str">
        <f>IF(COUNT(DM6:DM25)=0,"Data tidak tersedia",SUM(DM6:DM25))</f>
        <v>Data tidak tersedia</v>
      </c>
      <c r="DN26" s="14"/>
      <c r="DO26" s="14"/>
      <c r="DP26" s="16" t="str">
        <f>IF(COUNT(DP6:DP25)=0,"Data tidak tersedia",SUM(DP6:DP25))</f>
        <v>Data tidak tersedia</v>
      </c>
      <c r="DQ26" s="14"/>
      <c r="DR26" s="14"/>
      <c r="DS26" s="16" t="str">
        <f>IF(COUNT(DS6:DS25)=0,"Data tidak tersedia",SUM(DS6:DS25))</f>
        <v>Data tidak tersedia</v>
      </c>
      <c r="DT26" s="14"/>
      <c r="DU26" s="14"/>
      <c r="DV26" s="16" t="str">
        <f>IF(COUNT(DV6:DV25)=0,"Data tidak tersedia",SUM(DV6:DV25))</f>
        <v>Data tidak tersedia</v>
      </c>
      <c r="DW26" s="14"/>
      <c r="DX26" s="14"/>
      <c r="DY26" s="16" t="str">
        <f>IF(COUNT(DY6:DY25)=0,"Data tidak tersedia",SUM(DY6:DY25))</f>
        <v>Data tidak tersedia</v>
      </c>
      <c r="DZ26" s="14"/>
      <c r="EA26" s="14"/>
      <c r="EB26" s="16" t="str">
        <f>IF(COUNT(EB6:EB25)=0,"Data tidak tersedia",SUM(EB6:EB25))</f>
        <v>Data tidak tersedia</v>
      </c>
      <c r="EC26" s="14"/>
      <c r="ED26" s="14"/>
      <c r="EE26" s="16" t="str">
        <f>IF(COUNT(EE6:EE25)=0,"Data tidak tersedia",SUM(EE6:EE25))</f>
        <v>Data tidak tersedia</v>
      </c>
      <c r="EF26" s="14"/>
      <c r="EG26" s="14"/>
      <c r="EH26" s="16" t="str">
        <f>IF(COUNT(EH6:EH25)=0,"Data tidak tersedia",SUM(EH6:EH25))</f>
        <v>Data tidak tersedia</v>
      </c>
      <c r="EI26" s="14"/>
      <c r="EJ26" s="14"/>
      <c r="EK26" s="16" t="str">
        <f>IF(COUNT(EK6:EK25)=0,"Data tidak tersedia",SUM(EK6:EK25))</f>
        <v>Data tidak tersedia</v>
      </c>
      <c r="EL26" s="14"/>
      <c r="EM26" s="14"/>
      <c r="EN26" s="16" t="str">
        <f>IF(COUNT(EN6:EN25)=0,"Data tidak tersedia",SUM(EN6:EN25))</f>
        <v>Data tidak tersedia</v>
      </c>
      <c r="EO26" s="14"/>
      <c r="EP26" s="14"/>
      <c r="EQ26" s="16" t="str">
        <f>IF(COUNT(EQ6:EQ25)=0,"Data tidak tersedia",SUM(EQ6:EQ25))</f>
        <v>Data tidak tersedia</v>
      </c>
      <c r="ER26" s="14"/>
      <c r="ES26" s="14"/>
      <c r="ET26" s="16" t="str">
        <f>IF(COUNT(ET6:ET25)=0,"Data tidak tersedia",SUM(ET6:ET25))</f>
        <v>Data tidak tersedia</v>
      </c>
      <c r="EU26" s="14"/>
      <c r="EV26" s="14"/>
      <c r="EW26" s="16" t="str">
        <f>IF(COUNT(EW6:EW25)=0,"Data tidak tersedia",SUM(EW6:EW25))</f>
        <v>Data tidak tersedia</v>
      </c>
      <c r="EX26" s="14"/>
      <c r="EY26" s="14"/>
      <c r="EZ26" s="16" t="str">
        <f>IF(COUNT(EZ6:EZ25)=0,"Data tidak tersedia",SUM(EZ6:EZ25))</f>
        <v>Data tidak tersedia</v>
      </c>
      <c r="FA26" s="14"/>
      <c r="FB26" s="14"/>
      <c r="FC26" s="16" t="str">
        <f>IF(COUNT(FC6:FC25)=0,"Data tidak tersedia",SUM(FC6:FC25))</f>
        <v>Data tidak tersedia</v>
      </c>
      <c r="FD26" s="14"/>
      <c r="FE26" s="14"/>
      <c r="FF26" s="16" t="str">
        <f>IF(COUNT(FF6:FF25)=0,"Data tidak tersedia",SUM(FF6:FF25))</f>
        <v>Data tidak tersedia</v>
      </c>
      <c r="FG26" s="14"/>
      <c r="FH26" s="14"/>
      <c r="FI26" s="16" t="str">
        <f>IF(COUNT(FI6:FI25)=0,"Data tidak tersedia",SUM(FI6:FI25))</f>
        <v>Data tidak tersedia</v>
      </c>
      <c r="FJ26" s="14"/>
      <c r="FK26" s="14"/>
      <c r="FL26" s="16" t="str">
        <f>IF(COUNT(FL6:FL25)=0,"Data tidak tersedia",SUM(FL6:FL25))</f>
        <v>Data tidak tersedia</v>
      </c>
      <c r="FM26" s="14"/>
    </row>
  </sheetData>
  <mergeCells count="55">
    <mergeCell ref="D4:F4"/>
    <mergeCell ref="G4:I4"/>
    <mergeCell ref="J4:L4"/>
    <mergeCell ref="M4:O4"/>
    <mergeCell ref="P4:R4"/>
    <mergeCell ref="S4:U4"/>
    <mergeCell ref="V4:X4"/>
    <mergeCell ref="Y4:AA4"/>
    <mergeCell ref="AB4:AD4"/>
    <mergeCell ref="AE4:AG4"/>
    <mergeCell ref="AH4:AJ4"/>
    <mergeCell ref="AK4:AM4"/>
    <mergeCell ref="AN4:AP4"/>
    <mergeCell ref="AQ4:AS4"/>
    <mergeCell ref="AT4:AV4"/>
    <mergeCell ref="AW4:AY4"/>
    <mergeCell ref="AZ4:BB4"/>
    <mergeCell ref="BC4:BE4"/>
    <mergeCell ref="BF4:BH4"/>
    <mergeCell ref="BI4:BK4"/>
    <mergeCell ref="BL4:BN4"/>
    <mergeCell ref="BO4:BQ4"/>
    <mergeCell ref="BR4:BT4"/>
    <mergeCell ref="BU4:BW4"/>
    <mergeCell ref="BX4:BZ4"/>
    <mergeCell ref="CA4:CC4"/>
    <mergeCell ref="CD4:CF4"/>
    <mergeCell ref="CG4:CI4"/>
    <mergeCell ref="CJ4:CL4"/>
    <mergeCell ref="CM4:CO4"/>
    <mergeCell ref="CP4:CR4"/>
    <mergeCell ref="CS4:CU4"/>
    <mergeCell ref="CV4:CX4"/>
    <mergeCell ref="CY4:DA4"/>
    <mergeCell ref="DB4:DD4"/>
    <mergeCell ref="DE4:DG4"/>
    <mergeCell ref="DH4:DJ4"/>
    <mergeCell ref="DK4:DM4"/>
    <mergeCell ref="DN4:DP4"/>
    <mergeCell ref="DQ4:DS4"/>
    <mergeCell ref="DT4:DV4"/>
    <mergeCell ref="DW4:DY4"/>
    <mergeCell ref="DZ4:EB4"/>
    <mergeCell ref="EC4:EE4"/>
    <mergeCell ref="EF4:EH4"/>
    <mergeCell ref="EI4:EK4"/>
    <mergeCell ref="EL4:EN4"/>
    <mergeCell ref="EO4:EQ4"/>
    <mergeCell ref="ER4:ET4"/>
    <mergeCell ref="EU4:EW4"/>
    <mergeCell ref="EX4:EZ4"/>
    <mergeCell ref="FA4:FC4"/>
    <mergeCell ref="FD4:FF4"/>
    <mergeCell ref="FG4:FI4"/>
    <mergeCell ref="FJ4:FL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2"/>
  <sheetViews>
    <sheetView showGridLines="0" tabSelected="1" zoomScaleNormal="100" workbookViewId="0">
      <pane ySplit="3" topLeftCell="A30" activePane="bottomLeft" state="frozen"/>
      <selection pane="bottomLeft" activeCell="I7" sqref="I7"/>
    </sheetView>
  </sheetViews>
  <sheetFormatPr defaultColWidth="8.6328125" defaultRowHeight="14.5" x14ac:dyDescent="0.35"/>
  <cols>
    <col min="1" max="1" width="12" customWidth="1"/>
    <col min="2" max="2" width="32" customWidth="1"/>
    <col min="3" max="3" width="13" customWidth="1"/>
    <col min="4" max="4" width="20" customWidth="1"/>
    <col min="5" max="5" width="15" customWidth="1"/>
    <col min="6" max="6" width="26" customWidth="1"/>
  </cols>
  <sheetData>
    <row r="1" spans="1:6" ht="16.5" x14ac:dyDescent="0.35">
      <c r="A1" s="30" t="s">
        <v>449</v>
      </c>
      <c r="B1" s="30"/>
      <c r="C1" s="30"/>
      <c r="D1" s="30"/>
      <c r="E1" s="30"/>
      <c r="F1" s="30"/>
    </row>
    <row r="2" spans="1:6" x14ac:dyDescent="0.35">
      <c r="A2" s="6" t="s">
        <v>149</v>
      </c>
    </row>
    <row r="4" spans="1:6" x14ac:dyDescent="0.35">
      <c r="A4" s="32" t="s">
        <v>450</v>
      </c>
      <c r="B4" s="32"/>
      <c r="C4" s="32"/>
      <c r="D4" s="32"/>
      <c r="E4" s="32"/>
      <c r="F4" s="32"/>
    </row>
    <row r="5" spans="1:6" x14ac:dyDescent="0.35">
      <c r="A5" s="8" t="s">
        <v>150</v>
      </c>
      <c r="B5" s="8" t="s">
        <v>151</v>
      </c>
      <c r="C5" s="8" t="s">
        <v>63</v>
      </c>
      <c r="D5" s="8" t="s">
        <v>152</v>
      </c>
      <c r="E5" s="8" t="s">
        <v>153</v>
      </c>
      <c r="F5" s="8" t="s">
        <v>154</v>
      </c>
    </row>
    <row r="6" spans="1:6" x14ac:dyDescent="0.35">
      <c r="A6" s="3">
        <v>1</v>
      </c>
      <c r="B6" s="5" t="str">
        <f>IFERROR(INDEX('Perhitungan IPH Mingguan 2026'!$B$6:$B$25,MATCH(LARGE('Perhitungan IPH Mingguan 2026'!$FO$6:$FO$25,1),'Perhitungan IPH Mingguan 2026'!$FO$6:$FO$25,0)),"-")</f>
        <v>cabai rawit 01173013</v>
      </c>
      <c r="C6" s="17">
        <f>IFERROR(INDEX('Perhitungan IPH Mingguan 2026'!$C$6:$C$25,MATCH(LARGE('Perhitungan IPH Mingguan 2026'!$FO$6:$FO$25,1),'Perhitungan IPH Mingguan 2026'!$FO$6:$FO$25,0)),"")</f>
        <v>1.7701732362870599E-2</v>
      </c>
      <c r="D6" s="12">
        <f>IFERROR(INDEX('Perhitungan IPH Mingguan 2026'!$E$6:$E$25,MATCH(LARGE('Perhitungan IPH Mingguan 2026'!$FO$6:$FO$25,1),'Perhitungan IPH Mingguan 2026'!$FO$6:$FO$25,0)),"")</f>
        <v>44.385026737967905</v>
      </c>
      <c r="E6" s="4">
        <f>IFERROR(INDEX('Perhitungan IPH Mingguan 2026'!$F$6:$F$25,MATCH(LARGE('Perhitungan IPH Mingguan 2026'!$FO$6:$FO$25,1),'Perhitungan IPH Mingguan 2026'!$FO$6:$FO$25,0)),"")</f>
        <v>0.78569186423436332</v>
      </c>
      <c r="F6" s="18" t="str">
        <f>IF(ISNUMBER(E6),IF(E6&gt;0,"Penyumbang KENAIKAN IPH","Penyumbang PENURUNAN IPH"),"-")</f>
        <v>Penyumbang KENAIKAN IPH</v>
      </c>
    </row>
    <row r="7" spans="1:6" x14ac:dyDescent="0.35">
      <c r="A7" s="3">
        <v>2</v>
      </c>
      <c r="B7" s="5" t="str">
        <f>IFERROR(INDEX('Perhitungan IPH Mingguan 2026'!$B$6:$B$25,MATCH(LARGE('Perhitungan IPH Mingguan 2026'!$FO$6:$FO$25,2),'Perhitungan IPH Mingguan 2026'!$FO$6:$FO$25,0)),"-")</f>
        <v>cabai merah 01173012</v>
      </c>
      <c r="C7" s="17">
        <f>IFERROR(INDEX('Perhitungan IPH Mingguan 2026'!$C$6:$C$25,MATCH(LARGE('Perhitungan IPH Mingguan 2026'!$FO$6:$FO$25,2),'Perhitungan IPH Mingguan 2026'!$FO$6:$FO$25,0)),"")</f>
        <v>1.10208839376634E-2</v>
      </c>
      <c r="D7" s="12">
        <f>IFERROR(INDEX('Perhitungan IPH Mingguan 2026'!$E$6:$E$25,MATCH(LARGE('Perhitungan IPH Mingguan 2026'!$FO$6:$FO$25,2),'Perhitungan IPH Mingguan 2026'!$FO$6:$FO$25,0)),"")</f>
        <v>42.823803967327898</v>
      </c>
      <c r="E7" s="4">
        <f>IFERROR(INDEX('Perhitungan IPH Mingguan 2026'!$F$6:$F$25,MATCH(LARGE('Perhitungan IPH Mingguan 2026'!$FO$6:$FO$25,2),'Perhitungan IPH Mingguan 2026'!$FO$6:$FO$25,0)),"")</f>
        <v>0.47195617329317024</v>
      </c>
      <c r="F7" s="18" t="str">
        <f>IF(ISNUMBER(E7),IF(E7&gt;0,"Penyumbang KENAIKAN IPH","Penyumbang PENURUNAN IPH"),"-")</f>
        <v>Penyumbang KENAIKAN IPH</v>
      </c>
    </row>
    <row r="8" spans="1:6" x14ac:dyDescent="0.35">
      <c r="A8" s="3">
        <v>3</v>
      </c>
      <c r="B8" s="5" t="str">
        <f>IFERROR(INDEX('Perhitungan IPH Mingguan 2026'!$B$6:$B$25,MATCH(LARGE('Perhitungan IPH Mingguan 2026'!$FO$6:$FO$25,3),'Perhitungan IPH Mingguan 2026'!$FO$6:$FO$25,0)),"-")</f>
        <v>bawang merah 1174006</v>
      </c>
      <c r="C8" s="17">
        <f>IFERROR(INDEX('Perhitungan IPH Mingguan 2026'!$C$6:$C$25,MATCH(LARGE('Perhitungan IPH Mingguan 2026'!$FO$6:$FO$25,3),'Perhitungan IPH Mingguan 2026'!$FO$6:$FO$25,0)),"")</f>
        <v>1.94434650422287E-2</v>
      </c>
      <c r="D8" s="12">
        <f>IFERROR(INDEX('Perhitungan IPH Mingguan 2026'!$E$6:$E$25,MATCH(LARGE('Perhitungan IPH Mingguan 2026'!$FO$6:$FO$25,3),'Perhitungan IPH Mingguan 2026'!$FO$6:$FO$25,0)),"")</f>
        <v>-12.727272727272727</v>
      </c>
      <c r="E8" s="4">
        <f>IFERROR(INDEX('Perhitungan IPH Mingguan 2026'!$F$6:$F$25,MATCH(LARGE('Perhitungan IPH Mingguan 2026'!$FO$6:$FO$25,3),'Perhitungan IPH Mingguan 2026'!$FO$6:$FO$25,0)),"")</f>
        <v>-0.247462282355638</v>
      </c>
      <c r="F8" s="18" t="str">
        <f>IF(ISNUMBER(E8),IF(E8&gt;0,"Penyumbang KENAIKAN IPH","Penyumbang PENURUNAN IPH"),"-")</f>
        <v>Penyumbang PENURUNAN IPH</v>
      </c>
    </row>
    <row r="9" spans="1:6" x14ac:dyDescent="0.35">
      <c r="A9" s="3">
        <v>4</v>
      </c>
      <c r="B9" s="5" t="str">
        <f>IFERROR(INDEX('Perhitungan IPH Mingguan 2026'!$B$6:$B$25,MATCH(LARGE('Perhitungan IPH Mingguan 2026'!$FO$6:$FO$25,4),'Perhitungan IPH Mingguan 2026'!$FO$6:$FO$25,0)),"-")</f>
        <v>daging ayam ras 1124003</v>
      </c>
      <c r="C9" s="17">
        <f>IFERROR(INDEX('Perhitungan IPH Mingguan 2026'!$C$6:$C$25,MATCH(LARGE('Perhitungan IPH Mingguan 2026'!$FO$6:$FO$25,4),'Perhitungan IPH Mingguan 2026'!$FO$6:$FO$25,0)),"")</f>
        <v>4.7910777785027697E-2</v>
      </c>
      <c r="D9" s="12">
        <f>IFERROR(INDEX('Perhitungan IPH Mingguan 2026'!$E$6:$E$25,MATCH(LARGE('Perhitungan IPH Mingguan 2026'!$FO$6:$FO$25,4),'Perhitungan IPH Mingguan 2026'!$FO$6:$FO$25,0)),"")</f>
        <v>3.3043478260869543</v>
      </c>
      <c r="E9" s="4">
        <f>IFERROR(INDEX('Perhitungan IPH Mingguan 2026'!$F$6:$F$25,MATCH(LARGE('Perhitungan IPH Mingguan 2026'!$FO$6:$FO$25,4),'Perhitungan IPH Mingguan 2026'!$FO$6:$FO$25,0)),"")</f>
        <v>0.15831387442009143</v>
      </c>
      <c r="F9" s="18" t="str">
        <f>IF(ISNUMBER(E9),IF(E9&gt;0,"Penyumbang KENAIKAN IPH","Penyumbang PENURUNAN IPH"),"-")</f>
        <v>Penyumbang KENAIKAN IPH</v>
      </c>
    </row>
    <row r="10" spans="1:6" x14ac:dyDescent="0.35">
      <c r="A10" s="3">
        <v>5</v>
      </c>
      <c r="B10" s="5" t="str">
        <f>IFERROR(INDEX('Perhitungan IPH Mingguan 2026'!$B$6:$B$25,MATCH(LARGE('Perhitungan IPH Mingguan 2026'!$FO$6:$FO$25,5),'Perhitungan IPH Mingguan 2026'!$FO$6:$FO$25,0)),"-")</f>
        <v>bawang putih 01174007</v>
      </c>
      <c r="C10" s="17">
        <f>IFERROR(INDEX('Perhitungan IPH Mingguan 2026'!$C$6:$C$25,MATCH(LARGE('Perhitungan IPH Mingguan 2026'!$FO$6:$FO$25,5),'Perhitungan IPH Mingguan 2026'!$FO$6:$FO$25,0)),"")</f>
        <v>1.28006139283175E-2</v>
      </c>
      <c r="D10" s="12">
        <f>IFERROR(INDEX('Perhitungan IPH Mingguan 2026'!$E$6:$E$25,MATCH(LARGE('Perhitungan IPH Mingguan 2026'!$FO$6:$FO$25,5),'Perhitungan IPH Mingguan 2026'!$FO$6:$FO$25,0)),"")</f>
        <v>-2.1886792452830166</v>
      </c>
      <c r="E10" s="4">
        <f>IFERROR(INDEX('Perhitungan IPH Mingguan 2026'!$F$6:$F$25,MATCH(LARGE('Perhitungan IPH Mingguan 2026'!$FO$6:$FO$25,5),'Perhitungan IPH Mingguan 2026'!$FO$6:$FO$25,0)),"")</f>
        <v>-2.8016438031789215E-2</v>
      </c>
      <c r="F10" s="18" t="str">
        <f>IF(ISNUMBER(E10),IF(E10&gt;0,"Penyumbang KENAIKAN IPH","Penyumbang PENURUNAN IPH"),"-")</f>
        <v>Penyumbang PENURUNAN IPH</v>
      </c>
    </row>
    <row r="12" spans="1:6" x14ac:dyDescent="0.35">
      <c r="A12" s="32" t="s">
        <v>451</v>
      </c>
      <c r="B12" s="32"/>
      <c r="C12" s="32"/>
      <c r="D12" s="32"/>
      <c r="E12" s="32"/>
      <c r="F12" s="32"/>
    </row>
    <row r="13" spans="1:6" x14ac:dyDescent="0.35">
      <c r="A13" s="8" t="s">
        <v>150</v>
      </c>
      <c r="B13" s="8" t="s">
        <v>151</v>
      </c>
      <c r="C13" s="8" t="s">
        <v>63</v>
      </c>
      <c r="D13" s="8" t="s">
        <v>152</v>
      </c>
      <c r="E13" s="8" t="s">
        <v>153</v>
      </c>
      <c r="F13" s="8" t="s">
        <v>154</v>
      </c>
    </row>
    <row r="14" spans="1:6" x14ac:dyDescent="0.35">
      <c r="A14" s="3">
        <v>1</v>
      </c>
      <c r="B14" s="5" t="str">
        <f>IFERROR(INDEX('Perhitungan IPH Mingguan 2026'!$B$6:$B$25,MATCH(LARGE('Perhitungan IPH Mingguan 2026'!$FP$6:$FP$25,1),'Perhitungan IPH Mingguan 2026'!$FP$6:$FP$25,0)),"-")</f>
        <v>cabai rawit 01173013</v>
      </c>
      <c r="C14" s="17">
        <f>IFERROR(INDEX('Perhitungan IPH Mingguan 2026'!$C$6:$C$25,MATCH(LARGE('Perhitungan IPH Mingguan 2026'!$FP$6:$FP$25,1),'Perhitungan IPH Mingguan 2026'!$FP$6:$FP$25,0)),"")</f>
        <v>1.7701732362870599E-2</v>
      </c>
      <c r="D14" s="12">
        <f>IFERROR(INDEX('Perhitungan IPH Mingguan 2026'!$H$6:$H$25,MATCH(LARGE('Perhitungan IPH Mingguan 2026'!$FP$6:$FP$25,1),'Perhitungan IPH Mingguan 2026'!$FP$6:$FP$25,0)),"")</f>
        <v>50.80213903743315</v>
      </c>
      <c r="E14" s="4">
        <f>IFERROR(INDEX('Perhitungan IPH Mingguan 2026'!$I$6:$I$25,MATCH(LARGE('Perhitungan IPH Mingguan 2026'!$FP$6:$FP$25,1),'Perhitungan IPH Mingguan 2026'!$FP$6:$FP$25,0)),"")</f>
        <v>0.89928586870198224</v>
      </c>
      <c r="F14" s="18" t="str">
        <f>IF(ISNUMBER(E14),IF(E14&gt;0,"Penyumbang KENAIKAN IPH","Penyumbang PENURUNAN IPH"),"-")</f>
        <v>Penyumbang KENAIKAN IPH</v>
      </c>
    </row>
    <row r="15" spans="1:6" x14ac:dyDescent="0.35">
      <c r="A15" s="3">
        <v>2</v>
      </c>
      <c r="B15" s="5" t="str">
        <f>IFERROR(INDEX('Perhitungan IPH Mingguan 2026'!$B$6:$B$25,MATCH(LARGE('Perhitungan IPH Mingguan 2026'!$FP$6:$FP$25,2),'Perhitungan IPH Mingguan 2026'!$FP$6:$FP$25,0)),"-")</f>
        <v>daging sapi 01121001</v>
      </c>
      <c r="C15" s="17">
        <f>IFERROR(INDEX('Perhitungan IPH Mingguan 2026'!$C$6:$C$25,MATCH(LARGE('Perhitungan IPH Mingguan 2026'!$FP$6:$FP$25,2),'Perhitungan IPH Mingguan 2026'!$FP$6:$FP$25,0)),"")</f>
        <v>5.98704213474298E-2</v>
      </c>
      <c r="D15" s="12">
        <f>IFERROR(INDEX('Perhitungan IPH Mingguan 2026'!$H$6:$H$25,MATCH(LARGE('Perhitungan IPH Mingguan 2026'!$FP$6:$FP$25,2),'Perhitungan IPH Mingguan 2026'!$FP$6:$FP$25,0)),"")</f>
        <v>-7.9051383399209376</v>
      </c>
      <c r="E15" s="4">
        <f>IFERROR(INDEX('Perhitungan IPH Mingguan 2026'!$I$6:$I$25,MATCH(LARGE('Perhitungan IPH Mingguan 2026'!$FP$6:$FP$25,2),'Perhitungan IPH Mingguan 2026'!$FP$6:$FP$25,0)),"")</f>
        <v>-0.47328396322078825</v>
      </c>
      <c r="F15" s="18" t="str">
        <f>IF(ISNUMBER(E15),IF(E15&gt;0,"Penyumbang KENAIKAN IPH","Penyumbang PENURUNAN IPH"),"-")</f>
        <v>Penyumbang PENURUNAN IPH</v>
      </c>
    </row>
    <row r="16" spans="1:6" x14ac:dyDescent="0.35">
      <c r="A16" s="3">
        <v>3</v>
      </c>
      <c r="B16" s="5" t="str">
        <f>IFERROR(INDEX('Perhitungan IPH Mingguan 2026'!$B$6:$B$25,MATCH(LARGE('Perhitungan IPH Mingguan 2026'!$FP$6:$FP$25,3),'Perhitungan IPH Mingguan 2026'!$FP$6:$FP$25,0)),"-")</f>
        <v>cabai merah 01173012</v>
      </c>
      <c r="C16" s="17">
        <f>IFERROR(INDEX('Perhitungan IPH Mingguan 2026'!$C$6:$C$25,MATCH(LARGE('Perhitungan IPH Mingguan 2026'!$FP$6:$FP$25,3),'Perhitungan IPH Mingguan 2026'!$FP$6:$FP$25,0)),"")</f>
        <v>1.10208839376634E-2</v>
      </c>
      <c r="D16" s="12">
        <f>IFERROR(INDEX('Perhitungan IPH Mingguan 2026'!$H$6:$H$25,MATCH(LARGE('Perhitungan IPH Mingguan 2026'!$FP$6:$FP$25,3),'Perhitungan IPH Mingguan 2026'!$FP$6:$FP$25,0)),"")</f>
        <v>42.823803967327898</v>
      </c>
      <c r="E16" s="4">
        <f>IFERROR(INDEX('Perhitungan IPH Mingguan 2026'!$I$6:$I$25,MATCH(LARGE('Perhitungan IPH Mingguan 2026'!$FP$6:$FP$25,3),'Perhitungan IPH Mingguan 2026'!$FP$6:$FP$25,0)),"")</f>
        <v>0.47195617329317024</v>
      </c>
      <c r="F16" s="18" t="str">
        <f>IF(ISNUMBER(E16),IF(E16&gt;0,"Penyumbang KENAIKAN IPH","Penyumbang PENURUNAN IPH"),"-")</f>
        <v>Penyumbang KENAIKAN IPH</v>
      </c>
    </row>
    <row r="17" spans="1:6" x14ac:dyDescent="0.35">
      <c r="A17" s="3">
        <v>4</v>
      </c>
      <c r="B17" s="5" t="str">
        <f>IFERROR(INDEX('Perhitungan IPH Mingguan 2026'!$B$6:$B$25,MATCH(LARGE('Perhitungan IPH Mingguan 2026'!$FP$6:$FP$25,4),'Perhitungan IPH Mingguan 2026'!$FP$6:$FP$25,0)),"-")</f>
        <v>daging ayam ras 1124003</v>
      </c>
      <c r="C17" s="17">
        <f>IFERROR(INDEX('Perhitungan IPH Mingguan 2026'!$C$6:$C$25,MATCH(LARGE('Perhitungan IPH Mingguan 2026'!$FP$6:$FP$25,4),'Perhitungan IPH Mingguan 2026'!$FP$6:$FP$25,0)),"")</f>
        <v>4.7910777785027697E-2</v>
      </c>
      <c r="D17" s="12">
        <f>IFERROR(INDEX('Perhitungan IPH Mingguan 2026'!$H$6:$H$25,MATCH(LARGE('Perhitungan IPH Mingguan 2026'!$FP$6:$FP$25,4),'Perhitungan IPH Mingguan 2026'!$FP$6:$FP$25,0)),"")</f>
        <v>-6.7130434782608717</v>
      </c>
      <c r="E17" s="4">
        <f>IFERROR(INDEX('Perhitungan IPH Mingguan 2026'!$I$6:$I$25,MATCH(LARGE('Perhitungan IPH Mingguan 2026'!$FP$6:$FP$25,4),'Perhitungan IPH Mingguan 2026'!$FP$6:$FP$25,0)),"")</f>
        <v>-0.32162713434818602</v>
      </c>
      <c r="F17" s="18" t="str">
        <f>IF(ISNUMBER(E17),IF(E17&gt;0,"Penyumbang KENAIKAN IPH","Penyumbang PENURUNAN IPH"),"-")</f>
        <v>Penyumbang PENURUNAN IPH</v>
      </c>
    </row>
    <row r="18" spans="1:6" x14ac:dyDescent="0.35">
      <c r="A18" s="3">
        <v>5</v>
      </c>
      <c r="B18" s="5" t="str">
        <f>IFERROR(INDEX('Perhitungan IPH Mingguan 2026'!$B$6:$B$25,MATCH(LARGE('Perhitungan IPH Mingguan 2026'!$FP$6:$FP$25,5),'Perhitungan IPH Mingguan 2026'!$FP$6:$FP$25,0)),"-")</f>
        <v>bawang merah 1174006</v>
      </c>
      <c r="C18" s="17">
        <f>IFERROR(INDEX('Perhitungan IPH Mingguan 2026'!$C$6:$C$25,MATCH(LARGE('Perhitungan IPH Mingguan 2026'!$FP$6:$FP$25,5),'Perhitungan IPH Mingguan 2026'!$FP$6:$FP$25,0)),"")</f>
        <v>1.94434650422287E-2</v>
      </c>
      <c r="D18" s="12">
        <f>IFERROR(INDEX('Perhitungan IPH Mingguan 2026'!$H$6:$H$25,MATCH(LARGE('Perhitungan IPH Mingguan 2026'!$FP$6:$FP$25,5),'Perhitungan IPH Mingguan 2026'!$FP$6:$FP$25,0)),"")</f>
        <v>-12.727272727272727</v>
      </c>
      <c r="E18" s="4">
        <f>IFERROR(INDEX('Perhitungan IPH Mingguan 2026'!$I$6:$I$25,MATCH(LARGE('Perhitungan IPH Mingguan 2026'!$FP$6:$FP$25,5),'Perhitungan IPH Mingguan 2026'!$FP$6:$FP$25,0)),"")</f>
        <v>-0.247462282355638</v>
      </c>
      <c r="F18" s="18" t="str">
        <f>IF(ISNUMBER(E18),IF(E18&gt;0,"Penyumbang KENAIKAN IPH","Penyumbang PENURUNAN IPH"),"-")</f>
        <v>Penyumbang PENURUNAN IPH</v>
      </c>
    </row>
    <row r="20" spans="1:6" x14ac:dyDescent="0.35">
      <c r="A20" s="32" t="s">
        <v>452</v>
      </c>
      <c r="B20" s="32"/>
      <c r="C20" s="32"/>
      <c r="D20" s="32"/>
      <c r="E20" s="32"/>
      <c r="F20" s="32"/>
    </row>
    <row r="21" spans="1:6" x14ac:dyDescent="0.35">
      <c r="A21" s="8" t="s">
        <v>150</v>
      </c>
      <c r="B21" s="8" t="s">
        <v>151</v>
      </c>
      <c r="C21" s="8" t="s">
        <v>63</v>
      </c>
      <c r="D21" s="8" t="s">
        <v>152</v>
      </c>
      <c r="E21" s="8" t="s">
        <v>153</v>
      </c>
      <c r="F21" s="8" t="s">
        <v>154</v>
      </c>
    </row>
    <row r="22" spans="1:6" x14ac:dyDescent="0.35">
      <c r="A22" s="3">
        <v>1</v>
      </c>
      <c r="B22" s="5" t="str">
        <f>IFERROR(INDEX('Perhitungan IPH Mingguan 2026'!$B$6:$B$25,MATCH(LARGE('Perhitungan IPH Mingguan 2026'!$FQ$6:$FQ$25,1),'Perhitungan IPH Mingguan 2026'!$FQ$6:$FQ$25,0)),"-")</f>
        <v>cabai rawit 01173013</v>
      </c>
      <c r="C22" s="17">
        <f>IFERROR(INDEX('Perhitungan IPH Mingguan 2026'!$C$6:$C$25,MATCH(LARGE('Perhitungan IPH Mingguan 2026'!$FQ$6:$FQ$25,1),'Perhitungan IPH Mingguan 2026'!$FQ$6:$FQ$25,0)),"")</f>
        <v>1.7701732362870599E-2</v>
      </c>
      <c r="D22" s="12">
        <f>IFERROR(INDEX('Perhitungan IPH Mingguan 2026'!$K$6:$K$25,MATCH(LARGE('Perhitungan IPH Mingguan 2026'!$FQ$6:$FQ$25,1),'Perhitungan IPH Mingguan 2026'!$FQ$6:$FQ$25,0)),"")</f>
        <v>49.518716577540104</v>
      </c>
      <c r="E22" s="4">
        <f>IFERROR(INDEX('Perhitungan IPH Mingguan 2026'!$L$6:$L$25,MATCH(LARGE('Perhitungan IPH Mingguan 2026'!$FQ$6:$FQ$25,1),'Perhitungan IPH Mingguan 2026'!$FQ$6:$FQ$25,0)),"")</f>
        <v>0.8765670678084585</v>
      </c>
      <c r="F22" s="18" t="str">
        <f>IF(ISNUMBER(E22),IF(E22&gt;0,"Penyumbang KENAIKAN IPH","Penyumbang PENURUNAN IPH"),"-")</f>
        <v>Penyumbang KENAIKAN IPH</v>
      </c>
    </row>
    <row r="23" spans="1:6" x14ac:dyDescent="0.35">
      <c r="A23" s="3">
        <v>2</v>
      </c>
      <c r="B23" s="5" t="str">
        <f>IFERROR(INDEX('Perhitungan IPH Mingguan 2026'!$B$6:$B$25,MATCH(LARGE('Perhitungan IPH Mingguan 2026'!$FQ$6:$FQ$25,2),'Perhitungan IPH Mingguan 2026'!$FQ$6:$FQ$25,0)),"-")</f>
        <v>daging sapi 01121001</v>
      </c>
      <c r="C23" s="17">
        <f>IFERROR(INDEX('Perhitungan IPH Mingguan 2026'!$C$6:$C$25,MATCH(LARGE('Perhitungan IPH Mingguan 2026'!$FQ$6:$FQ$25,2),'Perhitungan IPH Mingguan 2026'!$FQ$6:$FQ$25,0)),"")</f>
        <v>5.98704213474298E-2</v>
      </c>
      <c r="D23" s="12">
        <f>IFERROR(INDEX('Perhitungan IPH Mingguan 2026'!$K$6:$K$25,MATCH(LARGE('Perhitungan IPH Mingguan 2026'!$FQ$6:$FQ$25,2),'Perhitungan IPH Mingguan 2026'!$FQ$6:$FQ$25,0)),"")</f>
        <v>-7.9051383399209376</v>
      </c>
      <c r="E23" s="4">
        <f>IFERROR(INDEX('Perhitungan IPH Mingguan 2026'!$L$6:$L$25,MATCH(LARGE('Perhitungan IPH Mingguan 2026'!$FQ$6:$FQ$25,2),'Perhitungan IPH Mingguan 2026'!$FQ$6:$FQ$25,0)),"")</f>
        <v>-0.47328396322078825</v>
      </c>
      <c r="F23" s="18" t="str">
        <f>IF(ISNUMBER(E23),IF(E23&gt;0,"Penyumbang KENAIKAN IPH","Penyumbang PENURUNAN IPH"),"-")</f>
        <v>Penyumbang PENURUNAN IPH</v>
      </c>
    </row>
    <row r="24" spans="1:6" x14ac:dyDescent="0.35">
      <c r="A24" s="3">
        <v>3</v>
      </c>
      <c r="B24" s="5" t="str">
        <f>IFERROR(INDEX('Perhitungan IPH Mingguan 2026'!$B$6:$B$25,MATCH(LARGE('Perhitungan IPH Mingguan 2026'!$FQ$6:$FQ$25,3),'Perhitungan IPH Mingguan 2026'!$FQ$6:$FQ$25,0)),"-")</f>
        <v>cabai merah 01173012</v>
      </c>
      <c r="C24" s="17">
        <f>IFERROR(INDEX('Perhitungan IPH Mingguan 2026'!$C$6:$C$25,MATCH(LARGE('Perhitungan IPH Mingguan 2026'!$FQ$6:$FQ$25,3),'Perhitungan IPH Mingguan 2026'!$FQ$6:$FQ$25,0)),"")</f>
        <v>1.10208839376634E-2</v>
      </c>
      <c r="D24" s="12">
        <f>IFERROR(INDEX('Perhitungan IPH Mingguan 2026'!$K$6:$K$25,MATCH(LARGE('Perhitungan IPH Mingguan 2026'!$FQ$6:$FQ$25,3),'Perhitungan IPH Mingguan 2026'!$FQ$6:$FQ$25,0)),"")</f>
        <v>42.823803967327898</v>
      </c>
      <c r="E24" s="4">
        <f>IFERROR(INDEX('Perhitungan IPH Mingguan 2026'!$L$6:$L$25,MATCH(LARGE('Perhitungan IPH Mingguan 2026'!$FQ$6:$FQ$25,3),'Perhitungan IPH Mingguan 2026'!$FQ$6:$FQ$25,0)),"")</f>
        <v>0.47195617329317024</v>
      </c>
      <c r="F24" s="18" t="str">
        <f>IF(ISNUMBER(E24),IF(E24&gt;0,"Penyumbang KENAIKAN IPH","Penyumbang PENURUNAN IPH"),"-")</f>
        <v>Penyumbang KENAIKAN IPH</v>
      </c>
    </row>
    <row r="25" spans="1:6" x14ac:dyDescent="0.35">
      <c r="A25" s="3">
        <v>4</v>
      </c>
      <c r="B25" s="5" t="str">
        <f>IFERROR(INDEX('Perhitungan IPH Mingguan 2026'!$B$6:$B$25,MATCH(LARGE('Perhitungan IPH Mingguan 2026'!$FQ$6:$FQ$25,4),'Perhitungan IPH Mingguan 2026'!$FQ$6:$FQ$25,0)),"-")</f>
        <v>daging ayam ras 1124003</v>
      </c>
      <c r="C25" s="17">
        <f>IFERROR(INDEX('Perhitungan IPH Mingguan 2026'!$C$6:$C$25,MATCH(LARGE('Perhitungan IPH Mingguan 2026'!$FQ$6:$FQ$25,4),'Perhitungan IPH Mingguan 2026'!$FQ$6:$FQ$25,0)),"")</f>
        <v>4.7910777785027697E-2</v>
      </c>
      <c r="D25" s="12">
        <f>IFERROR(INDEX('Perhitungan IPH Mingguan 2026'!$K$6:$K$25,MATCH(LARGE('Perhitungan IPH Mingguan 2026'!$FQ$6:$FQ$25,4),'Perhitungan IPH Mingguan 2026'!$FQ$6:$FQ$25,0)),"")</f>
        <v>-9.2173913043478279</v>
      </c>
      <c r="E25" s="4">
        <f>IFERROR(INDEX('Perhitungan IPH Mingguan 2026'!$L$6:$L$25,MATCH(LARGE('Perhitungan IPH Mingguan 2026'!$FQ$6:$FQ$25,4),'Perhitungan IPH Mingguan 2026'!$FQ$6:$FQ$25,0)),"")</f>
        <v>-0.44161238654025536</v>
      </c>
      <c r="F25" s="18" t="str">
        <f>IF(ISNUMBER(E25),IF(E25&gt;0,"Penyumbang KENAIKAN IPH","Penyumbang PENURUNAN IPH"),"-")</f>
        <v>Penyumbang PENURUNAN IPH</v>
      </c>
    </row>
    <row r="26" spans="1:6" x14ac:dyDescent="0.35">
      <c r="A26" s="3">
        <v>5</v>
      </c>
      <c r="B26" s="5" t="str">
        <f>IFERROR(INDEX('Perhitungan IPH Mingguan 2026'!$B$6:$B$25,MATCH(LARGE('Perhitungan IPH Mingguan 2026'!$FQ$6:$FQ$25,5),'Perhitungan IPH Mingguan 2026'!$FQ$6:$FQ$25,0)),"-")</f>
        <v>telur ayam ras 01147002</v>
      </c>
      <c r="C26" s="17">
        <f>IFERROR(INDEX('Perhitungan IPH Mingguan 2026'!$C$6:$C$25,MATCH(LARGE('Perhitungan IPH Mingguan 2026'!$FQ$6:$FQ$25,5),'Perhitungan IPH Mingguan 2026'!$FQ$6:$FQ$25,0)),"")</f>
        <v>2.9877791079459301E-2</v>
      </c>
      <c r="D26" s="12">
        <f>IFERROR(INDEX('Perhitungan IPH Mingguan 2026'!$K$6:$K$25,MATCH(LARGE('Perhitungan IPH Mingguan 2026'!$FQ$6:$FQ$25,5),'Perhitungan IPH Mingguan 2026'!$FQ$6:$FQ$25,0)),"")</f>
        <v>-11.775700934579438</v>
      </c>
      <c r="E26" s="4">
        <f>IFERROR(INDEX('Perhitungan IPH Mingguan 2026'!$L$6:$L$25,MATCH(LARGE('Perhitungan IPH Mingguan 2026'!$FQ$6:$FQ$25,5),'Perhitungan IPH Mingguan 2026'!$FQ$6:$FQ$25,0)),"")</f>
        <v>-0.35183193233755811</v>
      </c>
      <c r="F26" s="18" t="str">
        <f>IF(ISNUMBER(E26),IF(E26&gt;0,"Penyumbang KENAIKAN IPH","Penyumbang PENURUNAN IPH"),"-")</f>
        <v>Penyumbang PENURUNAN IPH</v>
      </c>
    </row>
    <row r="28" spans="1:6" x14ac:dyDescent="0.35">
      <c r="A28" s="32" t="s">
        <v>453</v>
      </c>
      <c r="B28" s="32"/>
      <c r="C28" s="32"/>
      <c r="D28" s="32"/>
      <c r="E28" s="32"/>
      <c r="F28" s="32"/>
    </row>
    <row r="29" spans="1:6" x14ac:dyDescent="0.35">
      <c r="A29" s="8" t="s">
        <v>150</v>
      </c>
      <c r="B29" s="8" t="s">
        <v>151</v>
      </c>
      <c r="C29" s="8" t="s">
        <v>63</v>
      </c>
      <c r="D29" s="8" t="s">
        <v>152</v>
      </c>
      <c r="E29" s="8" t="s">
        <v>153</v>
      </c>
      <c r="F29" s="8" t="s">
        <v>154</v>
      </c>
    </row>
    <row r="30" spans="1:6" x14ac:dyDescent="0.35">
      <c r="A30" s="3">
        <v>1</v>
      </c>
      <c r="B30" s="5" t="str">
        <f>IFERROR(INDEX('Perhitungan IPH Mingguan 2026'!$B$6:$B$25,MATCH(LARGE('Perhitungan IPH Mingguan 2026'!$FR$6:$FR$25,1),'Perhitungan IPH Mingguan 2026'!$FR$6:$FR$25,0)),"-")</f>
        <v>cabai rawit 01173013</v>
      </c>
      <c r="C30" s="17">
        <f>IFERROR(INDEX('Perhitungan IPH Mingguan 2026'!$C$6:$C$25,MATCH(LARGE('Perhitungan IPH Mingguan 2026'!$FR$6:$FR$25,1),'Perhitungan IPH Mingguan 2026'!$FR$6:$FR$25,0)),"")</f>
        <v>1.7701732362870599E-2</v>
      </c>
      <c r="D30" s="12">
        <f>IFERROR(INDEX('Perhitungan IPH Mingguan 2026'!$N$6:$N$25,MATCH(LARGE('Perhitungan IPH Mingguan 2026'!$FR$6:$FR$25,1),'Perhitungan IPH Mingguan 2026'!$FR$6:$FR$25,0)),"")</f>
        <v>44.705882352941174</v>
      </c>
      <c r="E30" s="4">
        <f>IFERROR(INDEX('Perhitungan IPH Mingguan 2026'!$O$6:$O$25,MATCH(LARGE('Perhitungan IPH Mingguan 2026'!$FR$6:$FR$25,1),'Perhitungan IPH Mingguan 2026'!$FR$6:$FR$25,0)),"")</f>
        <v>0.79137156445774437</v>
      </c>
      <c r="F30" s="18" t="str">
        <f>IF(ISNUMBER(E30),IF(E30&gt;0,"Penyumbang KENAIKAN IPH","Penyumbang PENURUNAN IPH"),"-")</f>
        <v>Penyumbang KENAIKAN IPH</v>
      </c>
    </row>
    <row r="31" spans="1:6" x14ac:dyDescent="0.35">
      <c r="A31" s="3">
        <v>2</v>
      </c>
      <c r="B31" s="5" t="str">
        <f>IFERROR(INDEX('Perhitungan IPH Mingguan 2026'!$B$6:$B$25,MATCH(LARGE('Perhitungan IPH Mingguan 2026'!$FR$6:$FR$25,2),'Perhitungan IPH Mingguan 2026'!$FR$6:$FR$25,0)),"-")</f>
        <v>cabai merah 01173012</v>
      </c>
      <c r="C31" s="17">
        <f>IFERROR(INDEX('Perhitungan IPH Mingguan 2026'!$C$6:$C$25,MATCH(LARGE('Perhitungan IPH Mingguan 2026'!$FR$6:$FR$25,2),'Perhitungan IPH Mingguan 2026'!$FR$6:$FR$25,0)),"")</f>
        <v>1.10208839376634E-2</v>
      </c>
      <c r="D31" s="12">
        <f>IFERROR(INDEX('Perhitungan IPH Mingguan 2026'!$N$6:$N$25,MATCH(LARGE('Perhitungan IPH Mingguan 2026'!$FR$6:$FR$25,2),'Perhitungan IPH Mingguan 2026'!$FR$6:$FR$25,0)),"")</f>
        <v>43.243873978996504</v>
      </c>
      <c r="E31" s="4">
        <f>IFERROR(INDEX('Perhitungan IPH Mingguan 2026'!$O$6:$O$25,MATCH(LARGE('Perhitungan IPH Mingguan 2026'!$FR$6:$FR$25,2),'Perhitungan IPH Mingguan 2026'!$FR$6:$FR$25,0)),"")</f>
        <v>0.47658571613746287</v>
      </c>
      <c r="F31" s="18" t="str">
        <f>IF(ISNUMBER(E31),IF(E31&gt;0,"Penyumbang KENAIKAN IPH","Penyumbang PENURUNAN IPH"),"-")</f>
        <v>Penyumbang KENAIKAN IPH</v>
      </c>
    </row>
    <row r="32" spans="1:6" x14ac:dyDescent="0.35">
      <c r="A32" s="3">
        <v>3</v>
      </c>
      <c r="B32" s="5" t="str">
        <f>IFERROR(INDEX('Perhitungan IPH Mingguan 2026'!$B$6:$B$25,MATCH(LARGE('Perhitungan IPH Mingguan 2026'!$FR$6:$FR$25,3),'Perhitungan IPH Mingguan 2026'!$FR$6:$FR$25,0)),"-")</f>
        <v>daging sapi 01121001</v>
      </c>
      <c r="C32" s="17">
        <f>IFERROR(INDEX('Perhitungan IPH Mingguan 2026'!$C$6:$C$25,MATCH(LARGE('Perhitungan IPH Mingguan 2026'!$FR$6:$FR$25,3),'Perhitungan IPH Mingguan 2026'!$FR$6:$FR$25,0)),"")</f>
        <v>5.98704213474298E-2</v>
      </c>
      <c r="D32" s="12">
        <f>IFERROR(INDEX('Perhitungan IPH Mingguan 2026'!$N$6:$N$25,MATCH(LARGE('Perhitungan IPH Mingguan 2026'!$FR$6:$FR$25,3),'Perhitungan IPH Mingguan 2026'!$FR$6:$FR$25,0)),"")</f>
        <v>-7.9051383399209376</v>
      </c>
      <c r="E32" s="4">
        <f>IFERROR(INDEX('Perhitungan IPH Mingguan 2026'!$O$6:$O$25,MATCH(LARGE('Perhitungan IPH Mingguan 2026'!$FR$6:$FR$25,3),'Perhitungan IPH Mingguan 2026'!$FR$6:$FR$25,0)),"")</f>
        <v>-0.47328396322078825</v>
      </c>
      <c r="F32" s="18" t="str">
        <f>IF(ISNUMBER(E32),IF(E32&gt;0,"Penyumbang KENAIKAN IPH","Penyumbang PENURUNAN IPH"),"-")</f>
        <v>Penyumbang PENURUNAN IPH</v>
      </c>
    </row>
    <row r="33" spans="1:6" x14ac:dyDescent="0.35">
      <c r="A33" s="3">
        <v>4</v>
      </c>
      <c r="B33" s="5" t="str">
        <f>IFERROR(INDEX('Perhitungan IPH Mingguan 2026'!$B$6:$B$25,MATCH(LARGE('Perhitungan IPH Mingguan 2026'!$FR$6:$FR$25,4),'Perhitungan IPH Mingguan 2026'!$FR$6:$FR$25,0)),"-")</f>
        <v>daging ayam ras 1124003</v>
      </c>
      <c r="C33" s="17">
        <f>IFERROR(INDEX('Perhitungan IPH Mingguan 2026'!$C$6:$C$25,MATCH(LARGE('Perhitungan IPH Mingguan 2026'!$FR$6:$FR$25,4),'Perhitungan IPH Mingguan 2026'!$FR$6:$FR$25,0)),"")</f>
        <v>4.7910777785027697E-2</v>
      </c>
      <c r="D33" s="12">
        <f>IFERROR(INDEX('Perhitungan IPH Mingguan 2026'!$N$6:$N$25,MATCH(LARGE('Perhitungan IPH Mingguan 2026'!$FR$6:$FR$25,4),'Perhitungan IPH Mingguan 2026'!$FR$6:$FR$25,0)),"")</f>
        <v>-9.2173913043478279</v>
      </c>
      <c r="E33" s="4">
        <f>IFERROR(INDEX('Perhitungan IPH Mingguan 2026'!$O$6:$O$25,MATCH(LARGE('Perhitungan IPH Mingguan 2026'!$FR$6:$FR$25,4),'Perhitungan IPH Mingguan 2026'!$FR$6:$FR$25,0)),"")</f>
        <v>-0.44161238654025536</v>
      </c>
      <c r="F33" s="18" t="str">
        <f>IF(ISNUMBER(E33),IF(E33&gt;0,"Penyumbang KENAIKAN IPH","Penyumbang PENURUNAN IPH"),"-")</f>
        <v>Penyumbang PENURUNAN IPH</v>
      </c>
    </row>
    <row r="34" spans="1:6" x14ac:dyDescent="0.35">
      <c r="A34" s="3">
        <v>5</v>
      </c>
      <c r="B34" s="5" t="str">
        <f>IFERROR(INDEX('Perhitungan IPH Mingguan 2026'!$B$6:$B$25,MATCH(LARGE('Perhitungan IPH Mingguan 2026'!$FR$6:$FR$25,5),'Perhitungan IPH Mingguan 2026'!$FR$6:$FR$25,0)),"-")</f>
        <v>bawang merah 1174006</v>
      </c>
      <c r="C34" s="17">
        <f>IFERROR(INDEX('Perhitungan IPH Mingguan 2026'!$C$6:$C$25,MATCH(LARGE('Perhitungan IPH Mingguan 2026'!$FR$6:$FR$25,5),'Perhitungan IPH Mingguan 2026'!$FR$6:$FR$25,0)),"")</f>
        <v>1.94434650422287E-2</v>
      </c>
      <c r="D34" s="12">
        <f>IFERROR(INDEX('Perhitungan IPH Mingguan 2026'!$N$6:$N$25,MATCH(LARGE('Perhitungan IPH Mingguan 2026'!$FR$6:$FR$25,5),'Perhitungan IPH Mingguan 2026'!$FR$6:$FR$25,0)),"")</f>
        <v>-16.363636363636363</v>
      </c>
      <c r="E34" s="4">
        <f>IFERROR(INDEX('Perhitungan IPH Mingguan 2026'!$O$6:$O$25,MATCH(LARGE('Perhitungan IPH Mingguan 2026'!$FR$6:$FR$25,5),'Perhitungan IPH Mingguan 2026'!$FR$6:$FR$25,0)),"")</f>
        <v>-0.318165791600106</v>
      </c>
      <c r="F34" s="18" t="str">
        <f>IF(ISNUMBER(E34),IF(E34&gt;0,"Penyumbang KENAIKAN IPH","Penyumbang PENURUNAN IPH"),"-")</f>
        <v>Penyumbang PENURUNAN IPH</v>
      </c>
    </row>
    <row r="36" spans="1:6" x14ac:dyDescent="0.35">
      <c r="A36" s="32" t="s">
        <v>454</v>
      </c>
      <c r="B36" s="32"/>
      <c r="C36" s="32"/>
      <c r="D36" s="32"/>
      <c r="E36" s="32"/>
      <c r="F36" s="32"/>
    </row>
    <row r="37" spans="1:6" x14ac:dyDescent="0.35">
      <c r="A37" s="8" t="s">
        <v>150</v>
      </c>
      <c r="B37" s="8" t="s">
        <v>151</v>
      </c>
      <c r="C37" s="8" t="s">
        <v>63</v>
      </c>
      <c r="D37" s="8" t="s">
        <v>152</v>
      </c>
      <c r="E37" s="8" t="s">
        <v>153</v>
      </c>
      <c r="F37" s="8" t="s">
        <v>154</v>
      </c>
    </row>
    <row r="38" spans="1:6" x14ac:dyDescent="0.35">
      <c r="A38" s="3">
        <v>1</v>
      </c>
      <c r="B38" s="5" t="str">
        <f>IFERROR(INDEX('Perhitungan IPH Mingguan 2026'!$B$6:$B$25,MATCH(LARGE('Perhitungan IPH Mingguan 2026'!$FS$6:$FS$25,1),'Perhitungan IPH Mingguan 2026'!$FS$6:$FS$25,0)),"-")</f>
        <v>cabai rawit 01173013</v>
      </c>
      <c r="C38" s="17">
        <f>IFERROR(INDEX('Perhitungan IPH Mingguan 2026'!$C$6:$C$25,MATCH(LARGE('Perhitungan IPH Mingguan 2026'!$FS$6:$FS$25,1),'Perhitungan IPH Mingguan 2026'!$FS$6:$FS$25,0)),"")</f>
        <v>1.7701732362870599E-2</v>
      </c>
      <c r="D38" s="12">
        <f>IFERROR(INDEX('Perhitungan IPH Mingguan 2026'!$Q$6:$Q$25,MATCH(LARGE('Perhitungan IPH Mingguan 2026'!$FS$6:$FS$25,1),'Perhitungan IPH Mingguan 2026'!$FS$6:$FS$25,0)),"")</f>
        <v>50.80213903743315</v>
      </c>
      <c r="E38" s="4">
        <f>IFERROR(INDEX('Perhitungan IPH Mingguan 2026'!$R$6:$R$25,MATCH(LARGE('Perhitungan IPH Mingguan 2026'!$FS$6:$FS$25,1),'Perhitungan IPH Mingguan 2026'!$FS$6:$FS$25,0)),"")</f>
        <v>0.89928586870198224</v>
      </c>
      <c r="F38" s="18" t="str">
        <f>IF(ISNUMBER(E38),IF(E38&gt;0,"Penyumbang KENAIKAN IPH","Penyumbang PENURUNAN IPH"),"-")</f>
        <v>Penyumbang KENAIKAN IPH</v>
      </c>
    </row>
    <row r="39" spans="1:6" x14ac:dyDescent="0.35">
      <c r="A39" s="3">
        <v>2</v>
      </c>
      <c r="B39" s="5" t="str">
        <f>IFERROR(INDEX('Perhitungan IPH Mingguan 2026'!$B$6:$B$25,MATCH(LARGE('Perhitungan IPH Mingguan 2026'!$FS$6:$FS$25,2),'Perhitungan IPH Mingguan 2026'!$FS$6:$FS$25,0)),"-")</f>
        <v>cabai merah 01173012</v>
      </c>
      <c r="C39" s="17">
        <f>IFERROR(INDEX('Perhitungan IPH Mingguan 2026'!$C$6:$C$25,MATCH(LARGE('Perhitungan IPH Mingguan 2026'!$FS$6:$FS$25,2),'Perhitungan IPH Mingguan 2026'!$FS$6:$FS$25,0)),"")</f>
        <v>1.10208839376634E-2</v>
      </c>
      <c r="D39" s="12">
        <f>IFERROR(INDEX('Perhitungan IPH Mingguan 2026'!$Q$6:$Q$25,MATCH(LARGE('Perhitungan IPH Mingguan 2026'!$FS$6:$FS$25,2),'Perhitungan IPH Mingguan 2026'!$FS$6:$FS$25,0)),"")</f>
        <v>51.225204200700126</v>
      </c>
      <c r="E39" s="4">
        <f>IFERROR(INDEX('Perhitungan IPH Mingguan 2026'!$R$6:$R$25,MATCH(LARGE('Perhitungan IPH Mingguan 2026'!$FS$6:$FS$25,2),'Perhitungan IPH Mingguan 2026'!$FS$6:$FS$25,0)),"")</f>
        <v>0.56454703017902375</v>
      </c>
      <c r="F39" s="18" t="str">
        <f>IF(ISNUMBER(E39),IF(E39&gt;0,"Penyumbang KENAIKAN IPH","Penyumbang PENURUNAN IPH"),"-")</f>
        <v>Penyumbang KENAIKAN IPH</v>
      </c>
    </row>
    <row r="40" spans="1:6" x14ac:dyDescent="0.35">
      <c r="A40" s="3">
        <v>3</v>
      </c>
      <c r="B40" s="5" t="str">
        <f>IFERROR(INDEX('Perhitungan IPH Mingguan 2026'!$B$6:$B$25,MATCH(LARGE('Perhitungan IPH Mingguan 2026'!$FS$6:$FS$25,3),'Perhitungan IPH Mingguan 2026'!$FS$6:$FS$25,0)),"-")</f>
        <v>daging sapi 01121001</v>
      </c>
      <c r="C40" s="17">
        <f>IFERROR(INDEX('Perhitungan IPH Mingguan 2026'!$C$6:$C$25,MATCH(LARGE('Perhitungan IPH Mingguan 2026'!$FS$6:$FS$25,3),'Perhitungan IPH Mingguan 2026'!$FS$6:$FS$25,0)),"")</f>
        <v>5.98704213474298E-2</v>
      </c>
      <c r="D40" s="12">
        <f>IFERROR(INDEX('Perhitungan IPH Mingguan 2026'!$Q$6:$Q$25,MATCH(LARGE('Perhitungan IPH Mingguan 2026'!$FS$6:$FS$25,3),'Perhitungan IPH Mingguan 2026'!$FS$6:$FS$25,0)),"")</f>
        <v>-7.9051383399209376</v>
      </c>
      <c r="E40" s="4">
        <f>IFERROR(INDEX('Perhitungan IPH Mingguan 2026'!$R$6:$R$25,MATCH(LARGE('Perhitungan IPH Mingguan 2026'!$FS$6:$FS$25,3),'Perhitungan IPH Mingguan 2026'!$FS$6:$FS$25,0)),"")</f>
        <v>-0.47328396322078825</v>
      </c>
      <c r="F40" s="18" t="str">
        <f>IF(ISNUMBER(E40),IF(E40&gt;0,"Penyumbang KENAIKAN IPH","Penyumbang PENURUNAN IPH"),"-")</f>
        <v>Penyumbang PENURUNAN IPH</v>
      </c>
    </row>
    <row r="41" spans="1:6" x14ac:dyDescent="0.35">
      <c r="A41" s="3">
        <v>4</v>
      </c>
      <c r="B41" s="5" t="str">
        <f>IFERROR(INDEX('Perhitungan IPH Mingguan 2026'!$B$6:$B$25,MATCH(LARGE('Perhitungan IPH Mingguan 2026'!$FS$6:$FS$25,4),'Perhitungan IPH Mingguan 2026'!$FS$6:$FS$25,0)),"-")</f>
        <v>daging ayam ras 1124003</v>
      </c>
      <c r="C41" s="17">
        <f>IFERROR(INDEX('Perhitungan IPH Mingguan 2026'!$C$6:$C$25,MATCH(LARGE('Perhitungan IPH Mingguan 2026'!$FS$6:$FS$25,4),'Perhitungan IPH Mingguan 2026'!$FS$6:$FS$25,0)),"")</f>
        <v>4.7910777785027697E-2</v>
      </c>
      <c r="D41" s="12">
        <f>IFERROR(INDEX('Perhitungan IPH Mingguan 2026'!$Q$6:$Q$25,MATCH(LARGE('Perhitungan IPH Mingguan 2026'!$FS$6:$FS$25,4),'Perhitungan IPH Mingguan 2026'!$FS$6:$FS$25,0)),"")</f>
        <v>-9.2173913043478279</v>
      </c>
      <c r="E41" s="4">
        <f>IFERROR(INDEX('Perhitungan IPH Mingguan 2026'!$R$6:$R$25,MATCH(LARGE('Perhitungan IPH Mingguan 2026'!$FS$6:$FS$25,4),'Perhitungan IPH Mingguan 2026'!$FS$6:$FS$25,0)),"")</f>
        <v>-0.44161238654025536</v>
      </c>
      <c r="F41" s="18" t="str">
        <f>IF(ISNUMBER(E41),IF(E41&gt;0,"Penyumbang KENAIKAN IPH","Penyumbang PENURUNAN IPH"),"-")</f>
        <v>Penyumbang PENURUNAN IPH</v>
      </c>
    </row>
    <row r="42" spans="1:6" x14ac:dyDescent="0.35">
      <c r="A42" s="3">
        <v>5</v>
      </c>
      <c r="B42" s="5" t="str">
        <f>IFERROR(INDEX('Perhitungan IPH Mingguan 2026'!$B$6:$B$25,MATCH(LARGE('Perhitungan IPH Mingguan 2026'!$FS$6:$FS$25,5),'Perhitungan IPH Mingguan 2026'!$FS$6:$FS$25,0)),"-")</f>
        <v>bawang merah 1174006</v>
      </c>
      <c r="C42" s="17">
        <f>IFERROR(INDEX('Perhitungan IPH Mingguan 2026'!$C$6:$C$25,MATCH(LARGE('Perhitungan IPH Mingguan 2026'!$FS$6:$FS$25,5),'Perhitungan IPH Mingguan 2026'!$FS$6:$FS$25,0)),"")</f>
        <v>1.94434650422287E-2</v>
      </c>
      <c r="D42" s="12">
        <f>IFERROR(INDEX('Perhitungan IPH Mingguan 2026'!$Q$6:$Q$25,MATCH(LARGE('Perhitungan IPH Mingguan 2026'!$FS$6:$FS$25,5),'Perhitungan IPH Mingguan 2026'!$FS$6:$FS$25,0)),"")</f>
        <v>-16.363636363636363</v>
      </c>
      <c r="E42" s="4">
        <f>IFERROR(INDEX('Perhitungan IPH Mingguan 2026'!$R$6:$R$25,MATCH(LARGE('Perhitungan IPH Mingguan 2026'!$FS$6:$FS$25,5),'Perhitungan IPH Mingguan 2026'!$FS$6:$FS$25,0)),"")</f>
        <v>-0.318165791600106</v>
      </c>
      <c r="F42" s="18" t="str">
        <f>IF(ISNUMBER(E42),IF(E42&gt;0,"Penyumbang KENAIKAN IPH","Penyumbang PENURUNAN IPH"),"-")</f>
        <v>Penyumbang PENURUNAN IPH</v>
      </c>
    </row>
    <row r="44" spans="1:6" x14ac:dyDescent="0.35">
      <c r="A44" s="32" t="s">
        <v>455</v>
      </c>
      <c r="B44" s="32"/>
      <c r="C44" s="32"/>
      <c r="D44" s="32"/>
      <c r="E44" s="32"/>
      <c r="F44" s="32"/>
    </row>
    <row r="45" spans="1:6" x14ac:dyDescent="0.35">
      <c r="A45" s="8" t="s">
        <v>150</v>
      </c>
      <c r="B45" s="8" t="s">
        <v>151</v>
      </c>
      <c r="C45" s="8" t="s">
        <v>63</v>
      </c>
      <c r="D45" s="8" t="s">
        <v>152</v>
      </c>
      <c r="E45" s="8" t="s">
        <v>153</v>
      </c>
      <c r="F45" s="8" t="s">
        <v>154</v>
      </c>
    </row>
    <row r="46" spans="1:6" x14ac:dyDescent="0.35">
      <c r="A46" s="3">
        <v>1</v>
      </c>
      <c r="B46" s="5" t="str">
        <f>IFERROR(INDEX('Perhitungan IPH Mingguan 2026'!$B$6:$B$25,MATCH(LARGE('Perhitungan IPH Mingguan 2026'!$FT$6:$FT$25,1),'Perhitungan IPH Mingguan 2026'!$FT$6:$FT$25,0)),"-")</f>
        <v>daging ayam ras 1124003</v>
      </c>
      <c r="C46" s="17">
        <f>IFERROR(INDEX('Perhitungan IPH Mingguan 2026'!$C$6:$C$25,MATCH(LARGE('Perhitungan IPH Mingguan 2026'!$FT$6:$FT$25,1),'Perhitungan IPH Mingguan 2026'!$FT$6:$FT$25,0)),"")</f>
        <v>4.7910777785027697E-2</v>
      </c>
      <c r="D46" s="12">
        <f>IFERROR(INDEX('Perhitungan IPH Mingguan 2026'!$T$6:$T$25,MATCH(LARGE('Perhitungan IPH Mingguan 2026'!$FT$6:$FT$25,1),'Perhitungan IPH Mingguan 2026'!$FT$6:$FT$25,0)),"")</f>
        <v>-2.1314387211367638</v>
      </c>
      <c r="E46" s="4">
        <f>IFERROR(INDEX('Perhitungan IPH Mingguan 2026'!$U$6:$U$25,MATCH(LARGE('Perhitungan IPH Mingguan 2026'!$FT$6:$FT$25,1),'Perhitungan IPH Mingguan 2026'!$FT$6:$FT$25,0)),"")</f>
        <v>-0.10211888693078711</v>
      </c>
      <c r="F46" s="18" t="str">
        <f>IF(ISNUMBER(E46),IF(E46&gt;0,"Penyumbang KENAIKAN IPH","Penyumbang PENURUNAN IPH"),"-")</f>
        <v>Penyumbang PENURUNAN IPH</v>
      </c>
    </row>
    <row r="47" spans="1:6" x14ac:dyDescent="0.35">
      <c r="A47" s="3">
        <v>2</v>
      </c>
      <c r="B47" s="5" t="str">
        <f>IFERROR(INDEX('Perhitungan IPH Mingguan 2026'!$B$6:$B$25,MATCH(LARGE('Perhitungan IPH Mingguan 2026'!$FT$6:$FT$25,2),'Perhitungan IPH Mingguan 2026'!$FT$6:$FT$25,0)),"-")</f>
        <v>cabai merah 01173012</v>
      </c>
      <c r="C47" s="17">
        <f>IFERROR(INDEX('Perhitungan IPH Mingguan 2026'!$C$6:$C$25,MATCH(LARGE('Perhitungan IPH Mingguan 2026'!$FT$6:$FT$25,2),'Perhitungan IPH Mingguan 2026'!$FT$6:$FT$25,0)),"")</f>
        <v>1.10208839376634E-2</v>
      </c>
      <c r="D47" s="12">
        <f>IFERROR(INDEX('Perhitungan IPH Mingguan 2026'!$T$6:$T$25,MATCH(LARGE('Perhitungan IPH Mingguan 2026'!$FT$6:$FT$25,2),'Perhitungan IPH Mingguan 2026'!$FT$6:$FT$25,0)),"")</f>
        <v>5.1498847040737825</v>
      </c>
      <c r="E47" s="4">
        <f>IFERROR(INDEX('Perhitungan IPH Mingguan 2026'!$U$6:$U$25,MATCH(LARGE('Perhitungan IPH Mingguan 2026'!$FT$6:$FT$25,2),'Perhitungan IPH Mingguan 2026'!$FT$6:$FT$25,0)),"")</f>
        <v>5.6756281615945182E-2</v>
      </c>
      <c r="F47" s="18" t="str">
        <f>IF(ISNUMBER(E47),IF(E47&gt;0,"Penyumbang KENAIKAN IPH","Penyumbang PENURUNAN IPH"),"-")</f>
        <v>Penyumbang KENAIKAN IPH</v>
      </c>
    </row>
    <row r="48" spans="1:6" x14ac:dyDescent="0.35">
      <c r="A48" s="3">
        <v>3</v>
      </c>
      <c r="B48" s="5" t="str">
        <f>IFERROR(INDEX('Perhitungan IPH Mingguan 2026'!$B$6:$B$25,MATCH(LARGE('Perhitungan IPH Mingguan 2026'!$FT$6:$FT$25,3),'Perhitungan IPH Mingguan 2026'!$FT$6:$FT$25,0)),"-")</f>
        <v>daging sapi 01121001</v>
      </c>
      <c r="C48" s="17">
        <f>IFERROR(INDEX('Perhitungan IPH Mingguan 2026'!$C$6:$C$25,MATCH(LARGE('Perhitungan IPH Mingguan 2026'!$FT$6:$FT$25,3),'Perhitungan IPH Mingguan 2026'!$FT$6:$FT$25,0)),"")</f>
        <v>5.98704213474298E-2</v>
      </c>
      <c r="D48" s="12">
        <f>IFERROR(INDEX('Perhitungan IPH Mingguan 2026'!$T$6:$T$25,MATCH(LARGE('Perhitungan IPH Mingguan 2026'!$FT$6:$FT$25,3),'Perhitungan IPH Mingguan 2026'!$FT$6:$FT$25,0)),"")</f>
        <v>-0.89545556301767126</v>
      </c>
      <c r="E48" s="4">
        <f>IFERROR(INDEX('Perhitungan IPH Mingguan 2026'!$U$6:$U$25,MATCH(LARGE('Perhitungan IPH Mingguan 2026'!$FT$6:$FT$25,3),'Perhitungan IPH Mingguan 2026'!$FT$6:$FT$25,0)),"")</f>
        <v>-5.3611301855767957E-2</v>
      </c>
      <c r="F48" s="18" t="str">
        <f>IF(ISNUMBER(E48),IF(E48&gt;0,"Penyumbang KENAIKAN IPH","Penyumbang PENURUNAN IPH"),"-")</f>
        <v>Penyumbang PENURUNAN IPH</v>
      </c>
    </row>
    <row r="49" spans="1:6" x14ac:dyDescent="0.35">
      <c r="A49" s="3">
        <v>4</v>
      </c>
      <c r="B49" s="5" t="str">
        <f>IFERROR(INDEX('Perhitungan IPH Mingguan 2026'!$B$6:$B$25,MATCH(LARGE('Perhitungan IPH Mingguan 2026'!$FT$6:$FT$25,4),'Perhitungan IPH Mingguan 2026'!$FT$6:$FT$25,0)),"-")</f>
        <v>bawang merah 1174006</v>
      </c>
      <c r="C49" s="17">
        <f>IFERROR(INDEX('Perhitungan IPH Mingguan 2026'!$C$6:$C$25,MATCH(LARGE('Perhitungan IPH Mingguan 2026'!$FT$6:$FT$25,4),'Perhitungan IPH Mingguan 2026'!$FT$6:$FT$25,0)),"")</f>
        <v>1.94434650422287E-2</v>
      </c>
      <c r="D49" s="12">
        <f>IFERROR(INDEX('Perhitungan IPH Mingguan 2026'!$T$6:$T$25,MATCH(LARGE('Perhitungan IPH Mingguan 2026'!$FT$6:$FT$25,4),'Perhitungan IPH Mingguan 2026'!$FT$6:$FT$25,0)),"")</f>
        <v>-2.0378619153674786</v>
      </c>
      <c r="E49" s="4">
        <f>IFERROR(INDEX('Perhitungan IPH Mingguan 2026'!$U$6:$U$25,MATCH(LARGE('Perhitungan IPH Mingguan 2026'!$FT$6:$FT$25,4),'Perhitungan IPH Mingguan 2026'!$FT$6:$FT$25,0)),"")</f>
        <v>-3.9623096912336793E-2</v>
      </c>
      <c r="F49" s="18" t="str">
        <f>IF(ISNUMBER(E49),IF(E49&gt;0,"Penyumbang KENAIKAN IPH","Penyumbang PENURUNAN IPH"),"-")</f>
        <v>Penyumbang PENURUNAN IPH</v>
      </c>
    </row>
    <row r="50" spans="1:6" x14ac:dyDescent="0.35">
      <c r="A50" s="3">
        <v>5</v>
      </c>
      <c r="B50" s="5" t="str">
        <f>IFERROR(INDEX('Perhitungan IPH Mingguan 2026'!$B$6:$B$25,MATCH(LARGE('Perhitungan IPH Mingguan 2026'!$FT$6:$FT$25,5),'Perhitungan IPH Mingguan 2026'!$FT$6:$FT$25,0)),"-")</f>
        <v>ikan kembung 01131028</v>
      </c>
      <c r="C50" s="17">
        <f>IFERROR(INDEX('Perhitungan IPH Mingguan 2026'!$C$6:$C$25,MATCH(LARGE('Perhitungan IPH Mingguan 2026'!$FT$6:$FT$25,5),'Perhitungan IPH Mingguan 2026'!$FT$6:$FT$25,0)),"")</f>
        <v>2.0771540916134899E-2</v>
      </c>
      <c r="D50" s="12">
        <f>IFERROR(INDEX('Perhitungan IPH Mingguan 2026'!$T$6:$T$25,MATCH(LARGE('Perhitungan IPH Mingguan 2026'!$FT$6:$FT$25,5),'Perhitungan IPH Mingguan 2026'!$FT$6:$FT$25,0)),"")</f>
        <v>1.8376722817764133</v>
      </c>
      <c r="E50" s="4">
        <f>IFERROR(INDEX('Perhitungan IPH Mingguan 2026'!$U$6:$U$25,MATCH(LARGE('Perhitungan IPH Mingguan 2026'!$FT$6:$FT$25,5),'Perhitungan IPH Mingguan 2026'!$FT$6:$FT$25,0)),"")</f>
        <v>3.8171284991365746E-2</v>
      </c>
      <c r="F50" s="18" t="str">
        <f>IF(ISNUMBER(E50),IF(E50&gt;0,"Penyumbang KENAIKAN IPH","Penyumbang PENURUNAN IPH"),"-")</f>
        <v>Penyumbang KENAIKAN IPH</v>
      </c>
    </row>
    <row r="52" spans="1:6" x14ac:dyDescent="0.35">
      <c r="A52" s="32" t="s">
        <v>456</v>
      </c>
      <c r="B52" s="32"/>
      <c r="C52" s="32"/>
      <c r="D52" s="32"/>
      <c r="E52" s="32"/>
      <c r="F52" s="32"/>
    </row>
    <row r="53" spans="1:6" x14ac:dyDescent="0.35">
      <c r="A53" s="8" t="s">
        <v>150</v>
      </c>
      <c r="B53" s="8" t="s">
        <v>151</v>
      </c>
      <c r="C53" s="8" t="s">
        <v>63</v>
      </c>
      <c r="D53" s="8" t="s">
        <v>152</v>
      </c>
      <c r="E53" s="8" t="s">
        <v>153</v>
      </c>
      <c r="F53" s="8" t="s">
        <v>154</v>
      </c>
    </row>
    <row r="54" spans="1:6" x14ac:dyDescent="0.35">
      <c r="A54" s="3">
        <v>1</v>
      </c>
      <c r="B54" s="5" t="str">
        <f>IFERROR(INDEX('Perhitungan IPH Mingguan 2026'!$B$6:$B$25,MATCH(LARGE('Perhitungan IPH Mingguan 2026'!$FU$6:$FU$25,1),'Perhitungan IPH Mingguan 2026'!$FU$6:$FU$25,0)),"-")</f>
        <v>daging ayam ras 1124003</v>
      </c>
      <c r="C54" s="17">
        <f>IFERROR(INDEX('Perhitungan IPH Mingguan 2026'!$C$6:$C$25,MATCH(LARGE('Perhitungan IPH Mingguan 2026'!$FU$6:$FU$25,1),'Perhitungan IPH Mingguan 2026'!$FU$6:$FU$25,0)),"")</f>
        <v>4.7910777785027697E-2</v>
      </c>
      <c r="D54" s="12">
        <f>IFERROR(INDEX('Perhitungan IPH Mingguan 2026'!$W$6:$W$25,MATCH(LARGE('Perhitungan IPH Mingguan 2026'!$FU$6:$FU$25,1),'Perhitungan IPH Mingguan 2026'!$FU$6:$FU$25,0)),"")</f>
        <v>1.2433392539964516</v>
      </c>
      <c r="E54" s="4">
        <f>IFERROR(INDEX('Perhitungan IPH Mingguan 2026'!$X$6:$X$25,MATCH(LARGE('Perhitungan IPH Mingguan 2026'!$FU$6:$FU$25,1),'Perhitungan IPH Mingguan 2026'!$FU$6:$FU$25,0)),"")</f>
        <v>5.9569350709626101E-2</v>
      </c>
      <c r="F54" s="18" t="str">
        <f>IF(ISNUMBER(E54),IF(E54&gt;0,"Penyumbang KENAIKAN IPH","Penyumbang PENURUNAN IPH"),"-")</f>
        <v>Penyumbang KENAIKAN IPH</v>
      </c>
    </row>
    <row r="55" spans="1:6" x14ac:dyDescent="0.35">
      <c r="A55" s="3">
        <v>2</v>
      </c>
      <c r="B55" s="5" t="str">
        <f>IFERROR(INDEX('Perhitungan IPH Mingguan 2026'!$B$6:$B$25,MATCH(LARGE('Perhitungan IPH Mingguan 2026'!$FU$6:$FU$25,2),'Perhitungan IPH Mingguan 2026'!$FU$6:$FU$25,0)),"-")</f>
        <v>cabai merah 01173012</v>
      </c>
      <c r="C55" s="17">
        <f>IFERROR(INDEX('Perhitungan IPH Mingguan 2026'!$C$6:$C$25,MATCH(LARGE('Perhitungan IPH Mingguan 2026'!$FU$6:$FU$25,2),'Perhitungan IPH Mingguan 2026'!$FU$6:$FU$25,0)),"")</f>
        <v>1.10208839376634E-2</v>
      </c>
      <c r="D55" s="12">
        <f>IFERROR(INDEX('Perhitungan IPH Mingguan 2026'!$W$6:$W$25,MATCH(LARGE('Perhitungan IPH Mingguan 2026'!$FU$6:$FU$25,2),'Perhitungan IPH Mingguan 2026'!$FU$6:$FU$25,0)),"")</f>
        <v>5.1498847040737825</v>
      </c>
      <c r="E55" s="4">
        <f>IFERROR(INDEX('Perhitungan IPH Mingguan 2026'!$X$6:$X$25,MATCH(LARGE('Perhitungan IPH Mingguan 2026'!$FU$6:$FU$25,2),'Perhitungan IPH Mingguan 2026'!$FU$6:$FU$25,0)),"")</f>
        <v>5.6756281615945182E-2</v>
      </c>
      <c r="F55" s="18" t="str">
        <f>IF(ISNUMBER(E55),IF(E55&gt;0,"Penyumbang KENAIKAN IPH","Penyumbang PENURUNAN IPH"),"-")</f>
        <v>Penyumbang KENAIKAN IPH</v>
      </c>
    </row>
    <row r="56" spans="1:6" x14ac:dyDescent="0.35">
      <c r="A56" s="3">
        <v>3</v>
      </c>
      <c r="B56" s="5" t="str">
        <f>IFERROR(INDEX('Perhitungan IPH Mingguan 2026'!$B$6:$B$25,MATCH(LARGE('Perhitungan IPH Mingguan 2026'!$FU$6:$FU$25,3),'Perhitungan IPH Mingguan 2026'!$FU$6:$FU$25,0)),"-")</f>
        <v>daging sapi 01121001</v>
      </c>
      <c r="C56" s="17">
        <f>IFERROR(INDEX('Perhitungan IPH Mingguan 2026'!$C$6:$C$25,MATCH(LARGE('Perhitungan IPH Mingguan 2026'!$FU$6:$FU$25,3),'Perhitungan IPH Mingguan 2026'!$FU$6:$FU$25,0)),"")</f>
        <v>5.98704213474298E-2</v>
      </c>
      <c r="D56" s="12">
        <f>IFERROR(INDEX('Perhitungan IPH Mingguan 2026'!$W$6:$W$25,MATCH(LARGE('Perhitungan IPH Mingguan 2026'!$FU$6:$FU$25,3),'Perhitungan IPH Mingguan 2026'!$FU$6:$FU$25,0)),"")</f>
        <v>-0.89545556301767126</v>
      </c>
      <c r="E56" s="4">
        <f>IFERROR(INDEX('Perhitungan IPH Mingguan 2026'!$X$6:$X$25,MATCH(LARGE('Perhitungan IPH Mingguan 2026'!$FU$6:$FU$25,3),'Perhitungan IPH Mingguan 2026'!$FU$6:$FU$25,0)),"")</f>
        <v>-5.3611301855767957E-2</v>
      </c>
      <c r="F56" s="18" t="str">
        <f>IF(ISNUMBER(E56),IF(E56&gt;0,"Penyumbang KENAIKAN IPH","Penyumbang PENURUNAN IPH"),"-")</f>
        <v>Penyumbang PENURUNAN IPH</v>
      </c>
    </row>
    <row r="57" spans="1:6" x14ac:dyDescent="0.35">
      <c r="A57" s="3">
        <v>4</v>
      </c>
      <c r="B57" s="5" t="str">
        <f>IFERROR(INDEX('Perhitungan IPH Mingguan 2026'!$B$6:$B$25,MATCH(LARGE('Perhitungan IPH Mingguan 2026'!$FU$6:$FU$25,4),'Perhitungan IPH Mingguan 2026'!$FU$6:$FU$25,0)),"-")</f>
        <v>minyak goreng 01154001/4</v>
      </c>
      <c r="C57" s="17">
        <f>IFERROR(INDEX('Perhitungan IPH Mingguan 2026'!$C$6:$C$25,MATCH(LARGE('Perhitungan IPH Mingguan 2026'!$FU$6:$FU$25,4),'Perhitungan IPH Mingguan 2026'!$FU$6:$FU$25,0)),"")</f>
        <v>4.5176622985638501E-2</v>
      </c>
      <c r="D57" s="12">
        <f>IFERROR(INDEX('Perhitungan IPH Mingguan 2026'!$W$6:$W$25,MATCH(LARGE('Perhitungan IPH Mingguan 2026'!$FU$6:$FU$25,4),'Perhitungan IPH Mingguan 2026'!$FU$6:$FU$25,0)),"")</f>
        <v>1.0256410256410331</v>
      </c>
      <c r="E57" s="4">
        <f>IFERROR(INDEX('Perhitungan IPH Mingguan 2026'!$X$6:$X$25,MATCH(LARGE('Perhitungan IPH Mingguan 2026'!$FU$6:$FU$25,4),'Perhitungan IPH Mingguan 2026'!$FU$6:$FU$25,0)),"")</f>
        <v>4.6334997933988542E-2</v>
      </c>
      <c r="F57" s="18" t="str">
        <f>IF(ISNUMBER(E57),IF(E57&gt;0,"Penyumbang KENAIKAN IPH","Penyumbang PENURUNAN IPH"),"-")</f>
        <v>Penyumbang KENAIKAN IPH</v>
      </c>
    </row>
    <row r="58" spans="1:6" x14ac:dyDescent="0.35">
      <c r="A58" s="3">
        <v>5</v>
      </c>
      <c r="B58" s="5" t="str">
        <f>IFERROR(INDEX('Perhitungan IPH Mingguan 2026'!$B$6:$B$25,MATCH(LARGE('Perhitungan IPH Mingguan 2026'!$FU$6:$FU$25,5),'Perhitungan IPH Mingguan 2026'!$FU$6:$FU$25,0)),"-")</f>
        <v>telur ayam ras 01147002</v>
      </c>
      <c r="C58" s="17">
        <f>IFERROR(INDEX('Perhitungan IPH Mingguan 2026'!$C$6:$C$25,MATCH(LARGE('Perhitungan IPH Mingguan 2026'!$FU$6:$FU$25,5),'Perhitungan IPH Mingguan 2026'!$FU$6:$FU$25,0)),"")</f>
        <v>2.9877791079459301E-2</v>
      </c>
      <c r="D58" s="12">
        <f>IFERROR(INDEX('Perhitungan IPH Mingguan 2026'!$W$6:$W$25,MATCH(LARGE('Perhitungan IPH Mingguan 2026'!$FU$6:$FU$25,5),'Perhitungan IPH Mingguan 2026'!$FU$6:$FU$25,0)),"")</f>
        <v>1.3598326359832575</v>
      </c>
      <c r="E58" s="4">
        <f>IFERROR(INDEX('Perhitungan IPH Mingguan 2026'!$X$6:$X$25,MATCH(LARGE('Perhitungan IPH Mingguan 2026'!$FU$6:$FU$25,5),'Perhitungan IPH Mingguan 2026'!$FU$6:$FU$25,0)),"")</f>
        <v>4.0628795400938202E-2</v>
      </c>
      <c r="F58" s="18" t="str">
        <f>IF(ISNUMBER(E58),IF(E58&gt;0,"Penyumbang KENAIKAN IPH","Penyumbang PENURUNAN IPH"),"-")</f>
        <v>Penyumbang KENAIKAN IPH</v>
      </c>
    </row>
    <row r="60" spans="1:6" x14ac:dyDescent="0.35">
      <c r="A60" s="32" t="s">
        <v>457</v>
      </c>
      <c r="B60" s="32"/>
      <c r="C60" s="32"/>
      <c r="D60" s="32"/>
      <c r="E60" s="32"/>
      <c r="F60" s="32"/>
    </row>
    <row r="61" spans="1:6" x14ac:dyDescent="0.35">
      <c r="A61" s="8" t="s">
        <v>150</v>
      </c>
      <c r="B61" s="8" t="s">
        <v>151</v>
      </c>
      <c r="C61" s="8" t="s">
        <v>63</v>
      </c>
      <c r="D61" s="8" t="s">
        <v>152</v>
      </c>
      <c r="E61" s="8" t="s">
        <v>153</v>
      </c>
      <c r="F61" s="8" t="s">
        <v>154</v>
      </c>
    </row>
    <row r="62" spans="1:6" x14ac:dyDescent="0.35">
      <c r="A62" s="3">
        <v>1</v>
      </c>
      <c r="B62" s="5" t="str">
        <f>IFERROR(INDEX('Perhitungan IPH Mingguan 2026'!$B$6:$B$25,MATCH(LARGE('Perhitungan IPH Mingguan 2026'!$FV$6:$FV$25,1),'Perhitungan IPH Mingguan 2026'!$FV$6:$FV$25,0)),"-")</f>
        <v>daging ayam ras 1124003</v>
      </c>
      <c r="C62" s="17">
        <f>IFERROR(INDEX('Perhitungan IPH Mingguan 2026'!$C$6:$C$25,MATCH(LARGE('Perhitungan IPH Mingguan 2026'!$FV$6:$FV$25,1),'Perhitungan IPH Mingguan 2026'!$FV$6:$FV$25,0)),"")</f>
        <v>4.7910777785027697E-2</v>
      </c>
      <c r="D62" s="12">
        <f>IFERROR(INDEX('Perhitungan IPH Mingguan 2026'!$Z$6:$Z$25,MATCH(LARGE('Perhitungan IPH Mingguan 2026'!$FV$6:$FV$25,1),'Perhitungan IPH Mingguan 2026'!$FV$6:$FV$25,0)),"")</f>
        <v>3.9431616341030233</v>
      </c>
      <c r="E62" s="4">
        <f>IFERROR(INDEX('Perhitungan IPH Mingguan 2026'!$AA$6:$AA$25,MATCH(LARGE('Perhitungan IPH Mingguan 2026'!$FV$6:$FV$25,1),'Perhitungan IPH Mingguan 2026'!$FV$6:$FV$25,0)),"")</f>
        <v>0.18891994082195665</v>
      </c>
      <c r="F62" s="18" t="str">
        <f>IF(ISNUMBER(E62),IF(E62&gt;0,"Penyumbang KENAIKAN IPH","Penyumbang PENURUNAN IPH"),"-")</f>
        <v>Penyumbang KENAIKAN IPH</v>
      </c>
    </row>
    <row r="63" spans="1:6" x14ac:dyDescent="0.35">
      <c r="A63" s="3">
        <v>2</v>
      </c>
      <c r="B63" s="5" t="str">
        <f>IFERROR(INDEX('Perhitungan IPH Mingguan 2026'!$B$6:$B$25,MATCH(LARGE('Perhitungan IPH Mingguan 2026'!$FV$6:$FV$25,2),'Perhitungan IPH Mingguan 2026'!$FV$6:$FV$25,0)),"-")</f>
        <v>cabai rawit 01173013</v>
      </c>
      <c r="C63" s="17">
        <f>IFERROR(INDEX('Perhitungan IPH Mingguan 2026'!$C$6:$C$25,MATCH(LARGE('Perhitungan IPH Mingguan 2026'!$FV$6:$FV$25,2),'Perhitungan IPH Mingguan 2026'!$FV$6:$FV$25,0)),"")</f>
        <v>1.7701732362870599E-2</v>
      </c>
      <c r="D63" s="12">
        <f>IFERROR(INDEX('Perhitungan IPH Mingguan 2026'!$Z$6:$Z$25,MATCH(LARGE('Perhitungan IPH Mingguan 2026'!$FV$6:$FV$25,2),'Perhitungan IPH Mingguan 2026'!$FV$6:$FV$25,0)),"")</f>
        <v>7.3960113960114038</v>
      </c>
      <c r="E63" s="4">
        <f>IFERROR(INDEX('Perhitungan IPH Mingguan 2026'!$AA$6:$AA$25,MATCH(LARGE('Perhitungan IPH Mingguan 2026'!$FV$6:$FV$25,2),'Perhitungan IPH Mingguan 2026'!$FV$6:$FV$25,0)),"")</f>
        <v>0.13092221428493483</v>
      </c>
      <c r="F63" s="18" t="str">
        <f>IF(ISNUMBER(E63),IF(E63&gt;0,"Penyumbang KENAIKAN IPH","Penyumbang PENURUNAN IPH"),"-")</f>
        <v>Penyumbang KENAIKAN IPH</v>
      </c>
    </row>
    <row r="64" spans="1:6" x14ac:dyDescent="0.35">
      <c r="A64" s="3">
        <v>3</v>
      </c>
      <c r="B64" s="5" t="str">
        <f>IFERROR(INDEX('Perhitungan IPH Mingguan 2026'!$B$6:$B$25,MATCH(LARGE('Perhitungan IPH Mingguan 2026'!$FV$6:$FV$25,3),'Perhitungan IPH Mingguan 2026'!$FV$6:$FV$25,0)),"-")</f>
        <v>telur ayam ras 01147002</v>
      </c>
      <c r="C64" s="17">
        <f>IFERROR(INDEX('Perhitungan IPH Mingguan 2026'!$C$6:$C$25,MATCH(LARGE('Perhitungan IPH Mingguan 2026'!$FV$6:$FV$25,3),'Perhitungan IPH Mingguan 2026'!$FV$6:$FV$25,0)),"")</f>
        <v>2.9877791079459301E-2</v>
      </c>
      <c r="D64" s="12">
        <f>IFERROR(INDEX('Perhitungan IPH Mingguan 2026'!$Z$6:$Z$25,MATCH(LARGE('Perhitungan IPH Mingguan 2026'!$FV$6:$FV$25,3),'Perhitungan IPH Mingguan 2026'!$FV$6:$FV$25,0)),"")</f>
        <v>3.7447698744769808</v>
      </c>
      <c r="E64" s="4">
        <f>IFERROR(INDEX('Perhitungan IPH Mingguan 2026'!$AA$6:$AA$25,MATCH(LARGE('Perhitungan IPH Mingguan 2026'!$FV$6:$FV$25,3),'Perhitungan IPH Mingguan 2026'!$FV$6:$FV$25,0)),"")</f>
        <v>0.11188545195027627</v>
      </c>
      <c r="F64" s="18" t="str">
        <f>IF(ISNUMBER(E64),IF(E64&gt;0,"Penyumbang KENAIKAN IPH","Penyumbang PENURUNAN IPH"),"-")</f>
        <v>Penyumbang KENAIKAN IPH</v>
      </c>
    </row>
    <row r="65" spans="1:6" x14ac:dyDescent="0.35">
      <c r="A65" s="3">
        <v>4</v>
      </c>
      <c r="B65" s="5" t="str">
        <f>IFERROR(INDEX('Perhitungan IPH Mingguan 2026'!$B$6:$B$25,MATCH(LARGE('Perhitungan IPH Mingguan 2026'!$FV$6:$FV$25,4),'Perhitungan IPH Mingguan 2026'!$FV$6:$FV$25,0)),"-")</f>
        <v>daging sapi 01121001</v>
      </c>
      <c r="C65" s="17">
        <f>IFERROR(INDEX('Perhitungan IPH Mingguan 2026'!$C$6:$C$25,MATCH(LARGE('Perhitungan IPH Mingguan 2026'!$FV$6:$FV$25,4),'Perhitungan IPH Mingguan 2026'!$FV$6:$FV$25,0)),"")</f>
        <v>5.98704213474298E-2</v>
      </c>
      <c r="D65" s="12">
        <f>IFERROR(INDEX('Perhitungan IPH Mingguan 2026'!$Z$6:$Z$25,MATCH(LARGE('Perhitungan IPH Mingguan 2026'!$FV$6:$FV$25,4),'Perhitungan IPH Mingguan 2026'!$FV$6:$FV$25,0)),"")</f>
        <v>-0.89545556301767126</v>
      </c>
      <c r="E65" s="4">
        <f>IFERROR(INDEX('Perhitungan IPH Mingguan 2026'!$AA$6:$AA$25,MATCH(LARGE('Perhitungan IPH Mingguan 2026'!$FV$6:$FV$25,4),'Perhitungan IPH Mingguan 2026'!$FV$6:$FV$25,0)),"")</f>
        <v>-5.3611301855767957E-2</v>
      </c>
      <c r="F65" s="18" t="str">
        <f>IF(ISNUMBER(E65),IF(E65&gt;0,"Penyumbang KENAIKAN IPH","Penyumbang PENURUNAN IPH"),"-")</f>
        <v>Penyumbang PENURUNAN IPH</v>
      </c>
    </row>
    <row r="66" spans="1:6" x14ac:dyDescent="0.35">
      <c r="A66" s="3">
        <v>5</v>
      </c>
      <c r="B66" s="5" t="str">
        <f>IFERROR(INDEX('Perhitungan IPH Mingguan 2026'!$B$6:$B$25,MATCH(LARGE('Perhitungan IPH Mingguan 2026'!$FV$6:$FV$25,5),'Perhitungan IPH Mingguan 2026'!$FV$6:$FV$25,0)),"-")</f>
        <v>cabai merah 01173012</v>
      </c>
      <c r="C66" s="17">
        <f>IFERROR(INDEX('Perhitungan IPH Mingguan 2026'!$C$6:$C$25,MATCH(LARGE('Perhitungan IPH Mingguan 2026'!$FV$6:$FV$25,5),'Perhitungan IPH Mingguan 2026'!$FV$6:$FV$25,0)),"")</f>
        <v>1.10208839376634E-2</v>
      </c>
      <c r="D66" s="12">
        <f>IFERROR(INDEX('Perhitungan IPH Mingguan 2026'!$Z$6:$Z$25,MATCH(LARGE('Perhitungan IPH Mingguan 2026'!$FV$6:$FV$25,5),'Perhitungan IPH Mingguan 2026'!$FV$6:$FV$25,0)),"")</f>
        <v>4.5657186779400396</v>
      </c>
      <c r="E66" s="4">
        <f>IFERROR(INDEX('Perhitungan IPH Mingguan 2026'!$AA$6:$AA$25,MATCH(LARGE('Perhitungan IPH Mingguan 2026'!$FV$6:$FV$25,5),'Perhitungan IPH Mingguan 2026'!$FV$6:$FV$25,0)),"")</f>
        <v>5.0318255641599162E-2</v>
      </c>
      <c r="F66" s="18" t="str">
        <f>IF(ISNUMBER(E66),IF(E66&gt;0,"Penyumbang KENAIKAN IPH","Penyumbang PENURUNAN IPH"),"-")</f>
        <v>Penyumbang KENAIKAN IPH</v>
      </c>
    </row>
    <row r="68" spans="1:6" x14ac:dyDescent="0.35">
      <c r="A68" s="32" t="s">
        <v>458</v>
      </c>
      <c r="B68" s="32"/>
      <c r="C68" s="32"/>
      <c r="D68" s="32"/>
      <c r="E68" s="32"/>
      <c r="F68" s="32"/>
    </row>
    <row r="69" spans="1:6" x14ac:dyDescent="0.35">
      <c r="A69" s="8" t="s">
        <v>150</v>
      </c>
      <c r="B69" s="8" t="s">
        <v>151</v>
      </c>
      <c r="C69" s="8" t="s">
        <v>63</v>
      </c>
      <c r="D69" s="8" t="s">
        <v>152</v>
      </c>
      <c r="E69" s="8" t="s">
        <v>153</v>
      </c>
      <c r="F69" s="8" t="s">
        <v>154</v>
      </c>
    </row>
    <row r="70" spans="1:6" x14ac:dyDescent="0.35">
      <c r="A70" s="3">
        <v>1</v>
      </c>
      <c r="B70" s="5" t="str">
        <f>IFERROR(INDEX('Perhitungan IPH Mingguan 2026'!$B$6:$B$25,MATCH(LARGE('Perhitungan IPH Mingguan 2026'!$FW$6:$FW$25,1),'Perhitungan IPH Mingguan 2026'!$FW$6:$FW$25,0)),"-")</f>
        <v>daging ayam ras 1124003</v>
      </c>
      <c r="C70" s="17">
        <f>IFERROR(INDEX('Perhitungan IPH Mingguan 2026'!$C$6:$C$25,MATCH(LARGE('Perhitungan IPH Mingguan 2026'!$FW$6:$FW$25,1),'Perhitungan IPH Mingguan 2026'!$FW$6:$FW$25,0)),"")</f>
        <v>4.7910777785027697E-2</v>
      </c>
      <c r="D70" s="12">
        <f>IFERROR(INDEX('Perhitungan IPH Mingguan 2026'!$AC$6:$AC$25,MATCH(LARGE('Perhitungan IPH Mingguan 2026'!$FW$6:$FW$25,1),'Perhitungan IPH Mingguan 2026'!$FW$6:$FW$25,0)),"")</f>
        <v>4.618117229129667</v>
      </c>
      <c r="E70" s="4">
        <f>IFERROR(INDEX('Perhitungan IPH Mingguan 2026'!$AD$6:$AD$25,MATCH(LARGE('Perhitungan IPH Mingguan 2026'!$FW$6:$FW$25,1),'Perhitungan IPH Mingguan 2026'!$FW$6:$FW$25,0)),"")</f>
        <v>0.22125758835003931</v>
      </c>
      <c r="F70" s="18" t="str">
        <f>IF(ISNUMBER(E70),IF(E70&gt;0,"Penyumbang KENAIKAN IPH","Penyumbang PENURUNAN IPH"),"-")</f>
        <v>Penyumbang KENAIKAN IPH</v>
      </c>
    </row>
    <row r="71" spans="1:6" x14ac:dyDescent="0.35">
      <c r="A71" s="3">
        <v>2</v>
      </c>
      <c r="B71" s="5" t="str">
        <f>IFERROR(INDEX('Perhitungan IPH Mingguan 2026'!$B$6:$B$25,MATCH(LARGE('Perhitungan IPH Mingguan 2026'!$FW$6:$FW$25,2),'Perhitungan IPH Mingguan 2026'!$FW$6:$FW$25,0)),"-")</f>
        <v>telur ayam ras 01147002</v>
      </c>
      <c r="C71" s="17">
        <f>IFERROR(INDEX('Perhitungan IPH Mingguan 2026'!$C$6:$C$25,MATCH(LARGE('Perhitungan IPH Mingguan 2026'!$FW$6:$FW$25,2),'Perhitungan IPH Mingguan 2026'!$FW$6:$FW$25,0)),"")</f>
        <v>2.9877791079459301E-2</v>
      </c>
      <c r="D71" s="12">
        <f>IFERROR(INDEX('Perhitungan IPH Mingguan 2026'!$AC$6:$AC$25,MATCH(LARGE('Perhitungan IPH Mingguan 2026'!$FW$6:$FW$25,2),'Perhitungan IPH Mingguan 2026'!$FW$6:$FW$25,0)),"")</f>
        <v>5.3347280334727971</v>
      </c>
      <c r="E71" s="4">
        <f>IFERROR(INDEX('Perhitungan IPH Mingguan 2026'!$AD$6:$AD$25,MATCH(LARGE('Perhitungan IPH Mingguan 2026'!$FW$6:$FW$25,2),'Perhitungan IPH Mingguan 2026'!$FW$6:$FW$25,0)),"")</f>
        <v>0.159389889649835</v>
      </c>
      <c r="F71" s="18" t="str">
        <f>IF(ISNUMBER(E71),IF(E71&gt;0,"Penyumbang KENAIKAN IPH","Penyumbang PENURUNAN IPH"),"-")</f>
        <v>Penyumbang KENAIKAN IPH</v>
      </c>
    </row>
    <row r="72" spans="1:6" x14ac:dyDescent="0.35">
      <c r="A72" s="3">
        <v>3</v>
      </c>
      <c r="B72" s="5" t="str">
        <f>IFERROR(INDEX('Perhitungan IPH Mingguan 2026'!$B$6:$B$25,MATCH(LARGE('Perhitungan IPH Mingguan 2026'!$FW$6:$FW$25,3),'Perhitungan IPH Mingguan 2026'!$FW$6:$FW$25,0)),"-")</f>
        <v>cabai rawit 01173013</v>
      </c>
      <c r="C72" s="17">
        <f>IFERROR(INDEX('Perhitungan IPH Mingguan 2026'!$C$6:$C$25,MATCH(LARGE('Perhitungan IPH Mingguan 2026'!$FW$6:$FW$25,3),'Perhitungan IPH Mingguan 2026'!$FW$6:$FW$25,0)),"")</f>
        <v>1.7701732362870599E-2</v>
      </c>
      <c r="D72" s="12">
        <f>IFERROR(INDEX('Perhitungan IPH Mingguan 2026'!$AC$6:$AC$25,MATCH(LARGE('Perhitungan IPH Mingguan 2026'!$FW$6:$FW$25,3),'Perhitungan IPH Mingguan 2026'!$FW$6:$FW$25,0)),"")</f>
        <v>8.2621082621082707</v>
      </c>
      <c r="E72" s="4">
        <f>IFERROR(INDEX('Perhitungan IPH Mingguan 2026'!$AD$6:$AD$25,MATCH(LARGE('Perhitungan IPH Mingguan 2026'!$FW$6:$FW$25,3),'Perhitungan IPH Mingguan 2026'!$FW$6:$FW$25,0)),"")</f>
        <v>0.14625362920890253</v>
      </c>
      <c r="F72" s="18" t="str">
        <f>IF(ISNUMBER(E72),IF(E72&gt;0,"Penyumbang KENAIKAN IPH","Penyumbang PENURUNAN IPH"),"-")</f>
        <v>Penyumbang KENAIKAN IPH</v>
      </c>
    </row>
    <row r="73" spans="1:6" x14ac:dyDescent="0.35">
      <c r="A73" s="3">
        <v>4</v>
      </c>
      <c r="B73" s="5" t="str">
        <f>IFERROR(INDEX('Perhitungan IPH Mingguan 2026'!$B$6:$B$25,MATCH(LARGE('Perhitungan IPH Mingguan 2026'!$FW$6:$FW$25,4),'Perhitungan IPH Mingguan 2026'!$FW$6:$FW$25,0)),"-")</f>
        <v>cabai merah 01173012</v>
      </c>
      <c r="C73" s="17">
        <f>IFERROR(INDEX('Perhitungan IPH Mingguan 2026'!$C$6:$C$25,MATCH(LARGE('Perhitungan IPH Mingguan 2026'!$FW$6:$FW$25,4),'Perhitungan IPH Mingguan 2026'!$FW$6:$FW$25,0)),"")</f>
        <v>1.10208839376634E-2</v>
      </c>
      <c r="D73" s="12">
        <f>IFERROR(INDEX('Perhitungan IPH Mingguan 2026'!$AC$6:$AC$25,MATCH(LARGE('Perhitungan IPH Mingguan 2026'!$FW$6:$FW$25,4),'Perhitungan IPH Mingguan 2026'!$FW$6:$FW$25,0)),"")</f>
        <v>5.1498847040737825</v>
      </c>
      <c r="E73" s="4">
        <f>IFERROR(INDEX('Perhitungan IPH Mingguan 2026'!$AD$6:$AD$25,MATCH(LARGE('Perhitungan IPH Mingguan 2026'!$FW$6:$FW$25,4),'Perhitungan IPH Mingguan 2026'!$FW$6:$FW$25,0)),"")</f>
        <v>5.6756281615945182E-2</v>
      </c>
      <c r="F73" s="18" t="str">
        <f>IF(ISNUMBER(E73),IF(E73&gt;0,"Penyumbang KENAIKAN IPH","Penyumbang PENURUNAN IPH"),"-")</f>
        <v>Penyumbang KENAIKAN IPH</v>
      </c>
    </row>
    <row r="74" spans="1:6" x14ac:dyDescent="0.35">
      <c r="A74" s="3">
        <v>5</v>
      </c>
      <c r="B74" s="5" t="str">
        <f>IFERROR(INDEX('Perhitungan IPH Mingguan 2026'!$B$6:$B$25,MATCH(LARGE('Perhitungan IPH Mingguan 2026'!$FW$6:$FW$25,5),'Perhitungan IPH Mingguan 2026'!$FW$6:$FW$25,0)),"-")</f>
        <v>daging sapi 01121001</v>
      </c>
      <c r="C74" s="17">
        <f>IFERROR(INDEX('Perhitungan IPH Mingguan 2026'!$C$6:$C$25,MATCH(LARGE('Perhitungan IPH Mingguan 2026'!$FW$6:$FW$25,5),'Perhitungan IPH Mingguan 2026'!$FW$6:$FW$25,0)),"")</f>
        <v>5.98704213474298E-2</v>
      </c>
      <c r="D74" s="12">
        <f>IFERROR(INDEX('Perhitungan IPH Mingguan 2026'!$AC$6:$AC$25,MATCH(LARGE('Perhitungan IPH Mingguan 2026'!$FW$6:$FW$25,5),'Perhitungan IPH Mingguan 2026'!$FW$6:$FW$25,0)),"")</f>
        <v>-0.89545556301767126</v>
      </c>
      <c r="E74" s="4">
        <f>IFERROR(INDEX('Perhitungan IPH Mingguan 2026'!$AD$6:$AD$25,MATCH(LARGE('Perhitungan IPH Mingguan 2026'!$FW$6:$FW$25,5),'Perhitungan IPH Mingguan 2026'!$FW$6:$FW$25,0)),"")</f>
        <v>-5.3611301855767957E-2</v>
      </c>
      <c r="F74" s="18" t="str">
        <f>IF(ISNUMBER(E74),IF(E74&gt;0,"Penyumbang KENAIKAN IPH","Penyumbang PENURUNAN IPH"),"-")</f>
        <v>Penyumbang PENURUNAN IPH</v>
      </c>
    </row>
    <row r="76" spans="1:6" x14ac:dyDescent="0.35">
      <c r="A76" s="32" t="s">
        <v>459</v>
      </c>
      <c r="B76" s="32"/>
      <c r="C76" s="32"/>
      <c r="D76" s="32"/>
      <c r="E76" s="32"/>
      <c r="F76" s="32"/>
    </row>
    <row r="77" spans="1:6" x14ac:dyDescent="0.35">
      <c r="A77" s="8" t="s">
        <v>150</v>
      </c>
      <c r="B77" s="8" t="s">
        <v>151</v>
      </c>
      <c r="C77" s="8" t="s">
        <v>63</v>
      </c>
      <c r="D77" s="8" t="s">
        <v>152</v>
      </c>
      <c r="E77" s="8" t="s">
        <v>153</v>
      </c>
      <c r="F77" s="8" t="s">
        <v>154</v>
      </c>
    </row>
    <row r="78" spans="1:6" x14ac:dyDescent="0.35">
      <c r="A78" s="3">
        <v>1</v>
      </c>
      <c r="B78" s="5" t="str">
        <f>IFERROR(INDEX('Perhitungan IPH Mingguan 2026'!$B$6:$B$25,MATCH(LARGE('Perhitungan IPH Mingguan 2026'!$FX$6:$FX$25,1),'Perhitungan IPH Mingguan 2026'!$FX$6:$FX$25,0)),"-")</f>
        <v>cabai merah 01173012</v>
      </c>
      <c r="C78" s="17">
        <f>IFERROR(INDEX('Perhitungan IPH Mingguan 2026'!$C$6:$C$25,MATCH(LARGE('Perhitungan IPH Mingguan 2026'!$FX$6:$FX$25,1),'Perhitungan IPH Mingguan 2026'!$FX$6:$FX$25,0)),"")</f>
        <v>1.10208839376634E-2</v>
      </c>
      <c r="D78" s="12">
        <f>IFERROR(INDEX('Perhitungan IPH Mingguan 2026'!$AF$6:$AF$25,MATCH(LARGE('Perhitungan IPH Mingguan 2026'!$FX$6:$FX$25,1),'Perhitungan IPH Mingguan 2026'!$FX$6:$FX$25,0)),"")</f>
        <v>-13.206442166910692</v>
      </c>
      <c r="E78" s="4">
        <f>IFERROR(INDEX('Perhitungan IPH Mingguan 2026'!$AG$6:$AG$25,MATCH(LARGE('Perhitungan IPH Mingguan 2026'!$FX$6:$FX$25,1),'Perhitungan IPH Mingguan 2026'!$FX$6:$FX$25,0)),"")</f>
        <v>-0.14554666635098668</v>
      </c>
      <c r="F78" s="18" t="str">
        <f>IF(ISNUMBER(E78),IF(E78&gt;0,"Penyumbang KENAIKAN IPH","Penyumbang PENURUNAN IPH"),"-")</f>
        <v>Penyumbang PENURUNAN IPH</v>
      </c>
    </row>
    <row r="79" spans="1:6" x14ac:dyDescent="0.35">
      <c r="A79" s="3">
        <v>2</v>
      </c>
      <c r="B79" s="5" t="str">
        <f>IFERROR(INDEX('Perhitungan IPH Mingguan 2026'!$B$6:$B$25,MATCH(LARGE('Perhitungan IPH Mingguan 2026'!$FX$6:$FX$25,2),'Perhitungan IPH Mingguan 2026'!$FX$6:$FX$25,0)),"-")</f>
        <v>udang lobster 01132004</v>
      </c>
      <c r="C79" s="17">
        <f>IFERROR(INDEX('Perhitungan IPH Mingguan 2026'!$C$6:$C$25,MATCH(LARGE('Perhitungan IPH Mingguan 2026'!$FX$6:$FX$25,2),'Perhitungan IPH Mingguan 2026'!$FX$6:$FX$25,0)),"")</f>
        <v>3.7010754321023603E-2</v>
      </c>
      <c r="D79" s="12">
        <f>IFERROR(INDEX('Perhitungan IPH Mingguan 2026'!$AF$6:$AF$25,MATCH(LARGE('Perhitungan IPH Mingguan 2026'!$FX$6:$FX$25,2),'Perhitungan IPH Mingguan 2026'!$FX$6:$FX$25,0)),"")</f>
        <v>-2.6470588235294117</v>
      </c>
      <c r="E79" s="4">
        <f>IFERROR(INDEX('Perhitungan IPH Mingguan 2026'!$AG$6:$AG$25,MATCH(LARGE('Perhitungan IPH Mingguan 2026'!$FX$6:$FX$25,2),'Perhitungan IPH Mingguan 2026'!$FX$6:$FX$25,0)),"")</f>
        <v>-9.7969643790944833E-2</v>
      </c>
      <c r="F79" s="18" t="str">
        <f>IF(ISNUMBER(E79),IF(E79&gt;0,"Penyumbang KENAIKAN IPH","Penyumbang PENURUNAN IPH"),"-")</f>
        <v>Penyumbang PENURUNAN IPH</v>
      </c>
    </row>
    <row r="80" spans="1:6" x14ac:dyDescent="0.35">
      <c r="A80" s="3">
        <v>3</v>
      </c>
      <c r="B80" s="5" t="str">
        <f>IFERROR(INDEX('Perhitungan IPH Mingguan 2026'!$B$6:$B$25,MATCH(LARGE('Perhitungan IPH Mingguan 2026'!$FX$6:$FX$25,3),'Perhitungan IPH Mingguan 2026'!$FX$6:$FX$25,0)),"-")</f>
        <v>cabai rawit 01173013</v>
      </c>
      <c r="C80" s="17">
        <f>IFERROR(INDEX('Perhitungan IPH Mingguan 2026'!$C$6:$C$25,MATCH(LARGE('Perhitungan IPH Mingguan 2026'!$FX$6:$FX$25,3),'Perhitungan IPH Mingguan 2026'!$FX$6:$FX$25,0)),"")</f>
        <v>1.7701732362870599E-2</v>
      </c>
      <c r="D80" s="12">
        <f>IFERROR(INDEX('Perhitungan IPH Mingguan 2026'!$AF$6:$AF$25,MATCH(LARGE('Perhitungan IPH Mingguan 2026'!$FX$6:$FX$25,3),'Perhitungan IPH Mingguan 2026'!$FX$6:$FX$25,0)),"")</f>
        <v>-4.7930283224400929</v>
      </c>
      <c r="E80" s="4">
        <f>IFERROR(INDEX('Perhitungan IPH Mingguan 2026'!$AG$6:$AG$25,MATCH(LARGE('Perhitungan IPH Mingguan 2026'!$FX$6:$FX$25,3),'Perhitungan IPH Mingguan 2026'!$FX$6:$FX$25,0)),"")</f>
        <v>-8.4844904571493171E-2</v>
      </c>
      <c r="F80" s="18" t="str">
        <f>IF(ISNUMBER(E80),IF(E80&gt;0,"Penyumbang KENAIKAN IPH","Penyumbang PENURUNAN IPH"),"-")</f>
        <v>Penyumbang PENURUNAN IPH</v>
      </c>
    </row>
    <row r="81" spans="1:6" x14ac:dyDescent="0.35">
      <c r="A81" s="3">
        <v>4</v>
      </c>
      <c r="B81" s="5" t="str">
        <f>IFERROR(INDEX('Perhitungan IPH Mingguan 2026'!$B$6:$B$25,MATCH(LARGE('Perhitungan IPH Mingguan 2026'!$FX$6:$FX$25,4),'Perhitungan IPH Mingguan 2026'!$FX$6:$FX$25,0)),"-")</f>
        <v>daging ayam ras 1124003</v>
      </c>
      <c r="C81" s="17">
        <f>IFERROR(INDEX('Perhitungan IPH Mingguan 2026'!$C$6:$C$25,MATCH(LARGE('Perhitungan IPH Mingguan 2026'!$FX$6:$FX$25,4),'Perhitungan IPH Mingguan 2026'!$FX$6:$FX$25,0)),"")</f>
        <v>4.7910777785027697E-2</v>
      </c>
      <c r="D81" s="12">
        <f>IFERROR(INDEX('Perhitungan IPH Mingguan 2026'!$AF$6:$AF$25,MATCH(LARGE('Perhitungan IPH Mingguan 2026'!$FX$6:$FX$25,4),'Perhitungan IPH Mingguan 2026'!$FX$6:$FX$25,0)),"")</f>
        <v>1.4659685863874294</v>
      </c>
      <c r="E81" s="4">
        <f>IFERROR(INDEX('Perhitungan IPH Mingguan 2026'!$AG$6:$AG$25,MATCH(LARGE('Perhitungan IPH Mingguan 2026'!$FX$6:$FX$25,4),'Perhitungan IPH Mingguan 2026'!$FX$6:$FX$25,0)),"")</f>
        <v>7.0235695182239308E-2</v>
      </c>
      <c r="F81" s="18" t="str">
        <f>IF(ISNUMBER(E81),IF(E81&gt;0,"Penyumbang KENAIKAN IPH","Penyumbang PENURUNAN IPH"),"-")</f>
        <v>Penyumbang KENAIKAN IPH</v>
      </c>
    </row>
    <row r="82" spans="1:6" x14ac:dyDescent="0.35">
      <c r="A82" s="3">
        <v>5</v>
      </c>
      <c r="B82" s="5" t="str">
        <f>IFERROR(INDEX('Perhitungan IPH Mingguan 2026'!$B$6:$B$25,MATCH(LARGE('Perhitungan IPH Mingguan 2026'!$FX$6:$FX$25,5),'Perhitungan IPH Mingguan 2026'!$FX$6:$FX$25,0)),"-")</f>
        <v>telur ayam ras 01147002</v>
      </c>
      <c r="C82" s="17">
        <f>IFERROR(INDEX('Perhitungan IPH Mingguan 2026'!$C$6:$C$25,MATCH(LARGE('Perhitungan IPH Mingguan 2026'!$FX$6:$FX$25,5),'Perhitungan IPH Mingguan 2026'!$FX$6:$FX$25,0)),"")</f>
        <v>2.9877791079459301E-2</v>
      </c>
      <c r="D82" s="12">
        <f>IFERROR(INDEX('Perhitungan IPH Mingguan 2026'!$AF$6:$AF$25,MATCH(LARGE('Perhitungan IPH Mingguan 2026'!$FX$6:$FX$25,5),'Perhitungan IPH Mingguan 2026'!$FX$6:$FX$25,0)),"")</f>
        <v>1.5148413510747201</v>
      </c>
      <c r="E82" s="4">
        <f>IFERROR(INDEX('Perhitungan IPH Mingguan 2026'!$AG$6:$AG$25,MATCH(LARGE('Perhitungan IPH Mingguan 2026'!$FX$6:$FX$25,5),'Perhitungan IPH Mingguan 2026'!$FX$6:$FX$25,0)),"")</f>
        <v>4.5260113405936345E-2</v>
      </c>
      <c r="F82" s="18" t="str">
        <f>IF(ISNUMBER(E82),IF(E82&gt;0,"Penyumbang KENAIKAN IPH","Penyumbang PENURUNAN IPH"),"-")</f>
        <v>Penyumbang KENAIKAN IPH</v>
      </c>
    </row>
    <row r="84" spans="1:6" x14ac:dyDescent="0.35">
      <c r="A84" s="32" t="s">
        <v>460</v>
      </c>
      <c r="B84" s="32"/>
      <c r="C84" s="32"/>
      <c r="D84" s="32"/>
      <c r="E84" s="32"/>
      <c r="F84" s="32"/>
    </row>
    <row r="85" spans="1:6" x14ac:dyDescent="0.35">
      <c r="A85" s="8" t="s">
        <v>150</v>
      </c>
      <c r="B85" s="8" t="s">
        <v>151</v>
      </c>
      <c r="C85" s="8" t="s">
        <v>63</v>
      </c>
      <c r="D85" s="8" t="s">
        <v>152</v>
      </c>
      <c r="E85" s="8" t="s">
        <v>153</v>
      </c>
      <c r="F85" s="8" t="s">
        <v>154</v>
      </c>
    </row>
    <row r="86" spans="1:6" x14ac:dyDescent="0.35">
      <c r="A86" s="3">
        <v>1</v>
      </c>
      <c r="B86" s="5" t="str">
        <f>IFERROR(INDEX('Perhitungan IPH Mingguan 2026'!$B$6:$B$25,MATCH(LARGE('Perhitungan IPH Mingguan 2026'!$FY$6:$FY$25,1),'Perhitungan IPH Mingguan 2026'!$FY$6:$FY$25,0)),"-")</f>
        <v>cabai merah 01173012</v>
      </c>
      <c r="C86" s="17">
        <f>IFERROR(INDEX('Perhitungan IPH Mingguan 2026'!$C$6:$C$25,MATCH(LARGE('Perhitungan IPH Mingguan 2026'!$FY$6:$FY$25,1),'Perhitungan IPH Mingguan 2026'!$FY$6:$FY$25,0)),"")</f>
        <v>1.10208839376634E-2</v>
      </c>
      <c r="D86" s="12">
        <f>IFERROR(INDEX('Perhitungan IPH Mingguan 2026'!$AI$6:$AI$25,MATCH(LARGE('Perhitungan IPH Mingguan 2026'!$FY$6:$FY$25,1),'Perhitungan IPH Mingguan 2026'!$FY$6:$FY$25,0)),"")</f>
        <v>-16.54465592972182</v>
      </c>
      <c r="E86" s="4">
        <f>IFERROR(INDEX('Perhitungan IPH Mingguan 2026'!$AJ$6:$AJ$25,MATCH(LARGE('Perhitungan IPH Mingguan 2026'!$FY$6:$FY$25,1),'Perhitungan IPH Mingguan 2026'!$FY$6:$FY$25,0)),"")</f>
        <v>-0.18233673279003873</v>
      </c>
      <c r="F86" s="18" t="str">
        <f>IF(ISNUMBER(E86),IF(E86&gt;0,"Penyumbang KENAIKAN IPH","Penyumbang PENURUNAN IPH"),"-")</f>
        <v>Penyumbang PENURUNAN IPH</v>
      </c>
    </row>
    <row r="87" spans="1:6" x14ac:dyDescent="0.35">
      <c r="A87" s="3">
        <v>2</v>
      </c>
      <c r="B87" s="5" t="str">
        <f>IFERROR(INDEX('Perhitungan IPH Mingguan 2026'!$B$6:$B$25,MATCH(LARGE('Perhitungan IPH Mingguan 2026'!$FY$6:$FY$25,2),'Perhitungan IPH Mingguan 2026'!$FY$6:$FY$25,0)),"-")</f>
        <v>udang lobster 01132004</v>
      </c>
      <c r="C87" s="17">
        <f>IFERROR(INDEX('Perhitungan IPH Mingguan 2026'!$C$6:$C$25,MATCH(LARGE('Perhitungan IPH Mingguan 2026'!$FY$6:$FY$25,2),'Perhitungan IPH Mingguan 2026'!$FY$6:$FY$25,0)),"")</f>
        <v>3.7010754321023603E-2</v>
      </c>
      <c r="D87" s="12">
        <f>IFERROR(INDEX('Perhitungan IPH Mingguan 2026'!$AI$6:$AI$25,MATCH(LARGE('Perhitungan IPH Mingguan 2026'!$FY$6:$FY$25,2),'Perhitungan IPH Mingguan 2026'!$FY$6:$FY$25,0)),"")</f>
        <v>-4.4117647058823533</v>
      </c>
      <c r="E87" s="4">
        <f>IFERROR(INDEX('Perhitungan IPH Mingguan 2026'!$AJ$6:$AJ$25,MATCH(LARGE('Perhitungan IPH Mingguan 2026'!$FY$6:$FY$25,2),'Perhitungan IPH Mingguan 2026'!$FY$6:$FY$25,0)),"")</f>
        <v>-0.16328273965157472</v>
      </c>
      <c r="F87" s="18" t="str">
        <f>IF(ISNUMBER(E87),IF(E87&gt;0,"Penyumbang KENAIKAN IPH","Penyumbang PENURUNAN IPH"),"-")</f>
        <v>Penyumbang PENURUNAN IPH</v>
      </c>
    </row>
    <row r="88" spans="1:6" x14ac:dyDescent="0.35">
      <c r="A88" s="3">
        <v>3</v>
      </c>
      <c r="B88" s="5" t="str">
        <f>IFERROR(INDEX('Perhitungan IPH Mingguan 2026'!$B$6:$B$25,MATCH(LARGE('Perhitungan IPH Mingguan 2026'!$FY$6:$FY$25,3),'Perhitungan IPH Mingguan 2026'!$FY$6:$FY$25,0)),"-")</f>
        <v>cabai rawit 01173013</v>
      </c>
      <c r="C88" s="17">
        <f>IFERROR(INDEX('Perhitungan IPH Mingguan 2026'!$C$6:$C$25,MATCH(LARGE('Perhitungan IPH Mingguan 2026'!$FY$6:$FY$25,3),'Perhitungan IPH Mingguan 2026'!$FY$6:$FY$25,0)),"")</f>
        <v>1.7701732362870599E-2</v>
      </c>
      <c r="D88" s="12">
        <f>IFERROR(INDEX('Perhitungan IPH Mingguan 2026'!$AI$6:$AI$25,MATCH(LARGE('Perhitungan IPH Mingguan 2026'!$FY$6:$FY$25,3),'Perhitungan IPH Mingguan 2026'!$FY$6:$FY$25,0)),"")</f>
        <v>-6.8627450980392215</v>
      </c>
      <c r="E88" s="4">
        <f>IFERROR(INDEX('Perhitungan IPH Mingguan 2026'!$AJ$6:$AJ$25,MATCH(LARGE('Perhitungan IPH Mingguan 2026'!$FY$6:$FY$25,3),'Perhitungan IPH Mingguan 2026'!$FY$6:$FY$25,0)),"")</f>
        <v>-0.12148247700009245</v>
      </c>
      <c r="F88" s="18" t="str">
        <f>IF(ISNUMBER(E88),IF(E88&gt;0,"Penyumbang KENAIKAN IPH","Penyumbang PENURUNAN IPH"),"-")</f>
        <v>Penyumbang PENURUNAN IPH</v>
      </c>
    </row>
    <row r="89" spans="1:6" x14ac:dyDescent="0.35">
      <c r="A89" s="3">
        <v>4</v>
      </c>
      <c r="B89" s="5" t="str">
        <f>IFERROR(INDEX('Perhitungan IPH Mingguan 2026'!$B$6:$B$25,MATCH(LARGE('Perhitungan IPH Mingguan 2026'!$FY$6:$FY$25,4),'Perhitungan IPH Mingguan 2026'!$FY$6:$FY$25,0)),"-")</f>
        <v>daging ayam ras 1124003</v>
      </c>
      <c r="C89" s="17">
        <f>IFERROR(INDEX('Perhitungan IPH Mingguan 2026'!$C$6:$C$25,MATCH(LARGE('Perhitungan IPH Mingguan 2026'!$FY$6:$FY$25,4),'Perhitungan IPH Mingguan 2026'!$FY$6:$FY$25,0)),"")</f>
        <v>4.7910777785027697E-2</v>
      </c>
      <c r="D89" s="12">
        <f>IFERROR(INDEX('Perhitungan IPH Mingguan 2026'!$AI$6:$AI$25,MATCH(LARGE('Perhitungan IPH Mingguan 2026'!$FY$6:$FY$25,4),'Perhitungan IPH Mingguan 2026'!$FY$6:$FY$25,0)),"")</f>
        <v>-0.52356020942408887</v>
      </c>
      <c r="E89" s="4">
        <f>IFERROR(INDEX('Perhitungan IPH Mingguan 2026'!$AJ$6:$AJ$25,MATCH(LARGE('Perhitungan IPH Mingguan 2026'!$FY$6:$FY$25,4),'Perhitungan IPH Mingguan 2026'!$FY$6:$FY$25,0)),"")</f>
        <v>-2.5084176850800086E-2</v>
      </c>
      <c r="F89" s="18" t="str">
        <f>IF(ISNUMBER(E89),IF(E89&gt;0,"Penyumbang KENAIKAN IPH","Penyumbang PENURUNAN IPH"),"-")</f>
        <v>Penyumbang PENURUNAN IPH</v>
      </c>
    </row>
    <row r="90" spans="1:6" x14ac:dyDescent="0.35">
      <c r="A90" s="3">
        <v>5</v>
      </c>
      <c r="B90" s="5" t="str">
        <f>IFERROR(INDEX('Perhitungan IPH Mingguan 2026'!$B$6:$B$25,MATCH(LARGE('Perhitungan IPH Mingguan 2026'!$FY$6:$FY$25,5),'Perhitungan IPH Mingguan 2026'!$FY$6:$FY$25,0)),"-")</f>
        <v>bawang putih 01174007</v>
      </c>
      <c r="C90" s="17">
        <f>IFERROR(INDEX('Perhitungan IPH Mingguan 2026'!$C$6:$C$25,MATCH(LARGE('Perhitungan IPH Mingguan 2026'!$FY$6:$FY$25,5),'Perhitungan IPH Mingguan 2026'!$FY$6:$FY$25,0)),"")</f>
        <v>1.28006139283175E-2</v>
      </c>
      <c r="D90" s="12">
        <f>IFERROR(INDEX('Perhitungan IPH Mingguan 2026'!$AI$6:$AI$25,MATCH(LARGE('Perhitungan IPH Mingguan 2026'!$FY$6:$FY$25,5),'Perhitungan IPH Mingguan 2026'!$FY$6:$FY$25,0)),"")</f>
        <v>-1.6534867002156621</v>
      </c>
      <c r="E90" s="4">
        <f>IFERROR(INDEX('Perhitungan IPH Mingguan 2026'!$AJ$6:$AJ$25,MATCH(LARGE('Perhitungan IPH Mingguan 2026'!$FY$6:$FY$25,5),'Perhitungan IPH Mingguan 2026'!$FY$6:$FY$25,0)),"")</f>
        <v>-2.1165644885068346E-2</v>
      </c>
      <c r="F90" s="18" t="str">
        <f>IF(ISNUMBER(E90),IF(E90&gt;0,"Penyumbang KENAIKAN IPH","Penyumbang PENURUNAN IPH"),"-")</f>
        <v>Penyumbang PENURUNAN IPH</v>
      </c>
    </row>
    <row r="92" spans="1:6" x14ac:dyDescent="0.35">
      <c r="A92" s="32" t="s">
        <v>461</v>
      </c>
      <c r="B92" s="32"/>
      <c r="C92" s="32"/>
      <c r="D92" s="32"/>
      <c r="E92" s="32"/>
      <c r="F92" s="32"/>
    </row>
    <row r="93" spans="1:6" x14ac:dyDescent="0.35">
      <c r="A93" s="8" t="s">
        <v>150</v>
      </c>
      <c r="B93" s="8" t="s">
        <v>151</v>
      </c>
      <c r="C93" s="8" t="s">
        <v>63</v>
      </c>
      <c r="D93" s="8" t="s">
        <v>152</v>
      </c>
      <c r="E93" s="8" t="s">
        <v>153</v>
      </c>
      <c r="F93" s="8" t="s">
        <v>154</v>
      </c>
    </row>
    <row r="94" spans="1:6" x14ac:dyDescent="0.35">
      <c r="A94" s="3">
        <v>1</v>
      </c>
      <c r="B94" s="5" t="str">
        <f>IFERROR(INDEX('Perhitungan IPH Mingguan 2026'!$B$6:$B$25,MATCH(LARGE('Perhitungan IPH Mingguan 2026'!$FZ$6:$FZ$25,1),'Perhitungan IPH Mingguan 2026'!$FZ$6:$FZ$25,0)),"-")</f>
        <v>udang lobster 01132004</v>
      </c>
      <c r="C94" s="17">
        <f>IFERROR(INDEX('Perhitungan IPH Mingguan 2026'!$C$6:$C$25,MATCH(LARGE('Perhitungan IPH Mingguan 2026'!$FZ$6:$FZ$25,1),'Perhitungan IPH Mingguan 2026'!$FZ$6:$FZ$25,0)),"")</f>
        <v>3.7010754321023603E-2</v>
      </c>
      <c r="D94" s="12">
        <f>IFERROR(INDEX('Perhitungan IPH Mingguan 2026'!$AL$6:$AL$25,MATCH(LARGE('Perhitungan IPH Mingguan 2026'!$FZ$6:$FZ$25,1),'Perhitungan IPH Mingguan 2026'!$FZ$6:$FZ$25,0)),"")</f>
        <v>-4.4117647058823533</v>
      </c>
      <c r="E94" s="4">
        <f>IFERROR(INDEX('Perhitungan IPH Mingguan 2026'!$AM$6:$AM$25,MATCH(LARGE('Perhitungan IPH Mingguan 2026'!$FZ$6:$FZ$25,1),'Perhitungan IPH Mingguan 2026'!$FZ$6:$FZ$25,0)),"")</f>
        <v>-0.16328273965157472</v>
      </c>
      <c r="F94" s="18" t="str">
        <f>IF(ISNUMBER(E94),IF(E94&gt;0,"Penyumbang KENAIKAN IPH","Penyumbang PENURUNAN IPH"),"-")</f>
        <v>Penyumbang PENURUNAN IPH</v>
      </c>
    </row>
    <row r="95" spans="1:6" x14ac:dyDescent="0.35">
      <c r="A95" s="3">
        <v>2</v>
      </c>
      <c r="B95" s="5" t="str">
        <f>IFERROR(INDEX('Perhitungan IPH Mingguan 2026'!$B$6:$B$25,MATCH(LARGE('Perhitungan IPH Mingguan 2026'!$FZ$6:$FZ$25,2),'Perhitungan IPH Mingguan 2026'!$FZ$6:$FZ$25,0)),"-")</f>
        <v>cabai merah 01173012</v>
      </c>
      <c r="C95" s="17">
        <f>IFERROR(INDEX('Perhitungan IPH Mingguan 2026'!$C$6:$C$25,MATCH(LARGE('Perhitungan IPH Mingguan 2026'!$FZ$6:$FZ$25,2),'Perhitungan IPH Mingguan 2026'!$FZ$6:$FZ$25,0)),"")</f>
        <v>1.10208839376634E-2</v>
      </c>
      <c r="D95" s="12">
        <f>IFERROR(INDEX('Perhitungan IPH Mingguan 2026'!$AL$6:$AL$25,MATCH(LARGE('Perhitungan IPH Mingguan 2026'!$FZ$6:$FZ$25,2),'Perhitungan IPH Mingguan 2026'!$FZ$6:$FZ$25,0)),"")</f>
        <v>-13.206442166910692</v>
      </c>
      <c r="E95" s="4">
        <f>IFERROR(INDEX('Perhitungan IPH Mingguan 2026'!$AM$6:$AM$25,MATCH(LARGE('Perhitungan IPH Mingguan 2026'!$FZ$6:$FZ$25,2),'Perhitungan IPH Mingguan 2026'!$FZ$6:$FZ$25,0)),"")</f>
        <v>-0.14554666635098668</v>
      </c>
      <c r="F95" s="18" t="str">
        <f>IF(ISNUMBER(E95),IF(E95&gt;0,"Penyumbang KENAIKAN IPH","Penyumbang PENURUNAN IPH"),"-")</f>
        <v>Penyumbang PENURUNAN IPH</v>
      </c>
    </row>
    <row r="96" spans="1:6" x14ac:dyDescent="0.35">
      <c r="A96" s="3">
        <v>3</v>
      </c>
      <c r="B96" s="5" t="str">
        <f>IFERROR(INDEX('Perhitungan IPH Mingguan 2026'!$B$6:$B$25,MATCH(LARGE('Perhitungan IPH Mingguan 2026'!$FZ$6:$FZ$25,3),'Perhitungan IPH Mingguan 2026'!$FZ$6:$FZ$25,0)),"-")</f>
        <v>bawang merah 1174006</v>
      </c>
      <c r="C96" s="17">
        <f>IFERROR(INDEX('Perhitungan IPH Mingguan 2026'!$C$6:$C$25,MATCH(LARGE('Perhitungan IPH Mingguan 2026'!$FZ$6:$FZ$25,3),'Perhitungan IPH Mingguan 2026'!$FZ$6:$FZ$25,0)),"")</f>
        <v>1.94434650422287E-2</v>
      </c>
      <c r="D96" s="12">
        <f>IFERROR(INDEX('Perhitungan IPH Mingguan 2026'!$AL$6:$AL$25,MATCH(LARGE('Perhitungan IPH Mingguan 2026'!$FZ$6:$FZ$25,3),'Perhitungan IPH Mingguan 2026'!$FZ$6:$FZ$25,0)),"")</f>
        <v>5.9878251245157763</v>
      </c>
      <c r="E96" s="4">
        <f>IFERROR(INDEX('Perhitungan IPH Mingguan 2026'!$AM$6:$AM$25,MATCH(LARGE('Perhitungan IPH Mingguan 2026'!$FZ$6:$FZ$25,3),'Perhitungan IPH Mingguan 2026'!$FZ$6:$FZ$25,0)),"")</f>
        <v>0.11642406848750121</v>
      </c>
      <c r="F96" s="18" t="str">
        <f>IF(ISNUMBER(E96),IF(E96&gt;0,"Penyumbang KENAIKAN IPH","Penyumbang PENURUNAN IPH"),"-")</f>
        <v>Penyumbang KENAIKAN IPH</v>
      </c>
    </row>
    <row r="97" spans="1:6" x14ac:dyDescent="0.35">
      <c r="A97" s="3">
        <v>4</v>
      </c>
      <c r="B97" s="5" t="str">
        <f>IFERROR(INDEX('Perhitungan IPH Mingguan 2026'!$B$6:$B$25,MATCH(LARGE('Perhitungan IPH Mingguan 2026'!$FZ$6:$FZ$25,4),'Perhitungan IPH Mingguan 2026'!$FZ$6:$FZ$25,0)),"-")</f>
        <v>telur ayam ras 01147002</v>
      </c>
      <c r="C97" s="17">
        <f>IFERROR(INDEX('Perhitungan IPH Mingguan 2026'!$C$6:$C$25,MATCH(LARGE('Perhitungan IPH Mingguan 2026'!$FZ$6:$FZ$25,4),'Perhitungan IPH Mingguan 2026'!$FZ$6:$FZ$25,0)),"")</f>
        <v>2.9877791079459301E-2</v>
      </c>
      <c r="D97" s="12">
        <f>IFERROR(INDEX('Perhitungan IPH Mingguan 2026'!$AL$6:$AL$25,MATCH(LARGE('Perhitungan IPH Mingguan 2026'!$FZ$6:$FZ$25,4),'Perhitungan IPH Mingguan 2026'!$FZ$6:$FZ$25,0)),"")</f>
        <v>-2.7635619242579312</v>
      </c>
      <c r="E97" s="4">
        <f>IFERROR(INDEX('Perhitungan IPH Mingguan 2026'!$AM$6:$AM$25,MATCH(LARGE('Perhitungan IPH Mingguan 2026'!$FZ$6:$FZ$25,4),'Perhitungan IPH Mingguan 2026'!$FZ$6:$FZ$25,0)),"")</f>
        <v>-8.2569125808127003E-2</v>
      </c>
      <c r="F97" s="18" t="str">
        <f>IF(ISNUMBER(E97),IF(E97&gt;0,"Penyumbang KENAIKAN IPH","Penyumbang PENURUNAN IPH"),"-")</f>
        <v>Penyumbang PENURUNAN IPH</v>
      </c>
    </row>
    <row r="98" spans="1:6" x14ac:dyDescent="0.35">
      <c r="A98" s="3">
        <v>5</v>
      </c>
      <c r="B98" s="5" t="str">
        <f>IFERROR(INDEX('Perhitungan IPH Mingguan 2026'!$B$6:$B$25,MATCH(LARGE('Perhitungan IPH Mingguan 2026'!$FZ$6:$FZ$25,5),'Perhitungan IPH Mingguan 2026'!$FZ$6:$FZ$25,0)),"-")</f>
        <v>cabai rawit 01173013</v>
      </c>
      <c r="C98" s="17">
        <f>IFERROR(INDEX('Perhitungan IPH Mingguan 2026'!$C$6:$C$25,MATCH(LARGE('Perhitungan IPH Mingguan 2026'!$FZ$6:$FZ$25,5),'Perhitungan IPH Mingguan 2026'!$FZ$6:$FZ$25,0)),"")</f>
        <v>1.7701732362870599E-2</v>
      </c>
      <c r="D98" s="12">
        <f>IFERROR(INDEX('Perhitungan IPH Mingguan 2026'!$AL$6:$AL$25,MATCH(LARGE('Perhitungan IPH Mingguan 2026'!$FZ$6:$FZ$25,5),'Perhitungan IPH Mingguan 2026'!$FZ$6:$FZ$25,0)),"")</f>
        <v>-4.3790849673202672</v>
      </c>
      <c r="E98" s="4">
        <f>IFERROR(INDEX('Perhitungan IPH Mingguan 2026'!$AM$6:$AM$25,MATCH(LARGE('Perhitungan IPH Mingguan 2026'!$FZ$6:$FZ$25,5),'Perhitungan IPH Mingguan 2026'!$FZ$6:$FZ$25,0)),"")</f>
        <v>-7.7517390085773311E-2</v>
      </c>
      <c r="F98" s="18" t="str">
        <f>IF(ISNUMBER(E98),IF(E98&gt;0,"Penyumbang KENAIKAN IPH","Penyumbang PENURUNAN IPH"),"-")</f>
        <v>Penyumbang PENURUNAN IPH</v>
      </c>
    </row>
    <row r="100" spans="1:6" x14ac:dyDescent="0.35">
      <c r="A100" s="32" t="s">
        <v>462</v>
      </c>
      <c r="B100" s="32"/>
      <c r="C100" s="32"/>
      <c r="D100" s="32"/>
      <c r="E100" s="32"/>
      <c r="F100" s="32"/>
    </row>
    <row r="101" spans="1:6" x14ac:dyDescent="0.35">
      <c r="A101" s="8" t="s">
        <v>150</v>
      </c>
      <c r="B101" s="8" t="s">
        <v>151</v>
      </c>
      <c r="C101" s="8" t="s">
        <v>63</v>
      </c>
      <c r="D101" s="8" t="s">
        <v>152</v>
      </c>
      <c r="E101" s="8" t="s">
        <v>153</v>
      </c>
      <c r="F101" s="8" t="s">
        <v>154</v>
      </c>
    </row>
    <row r="102" spans="1:6" x14ac:dyDescent="0.35">
      <c r="A102" s="3">
        <v>1</v>
      </c>
      <c r="B102" s="5" t="str">
        <f>IFERROR(INDEX('Perhitungan IPH Mingguan 2026'!$B$6:$B$25,MATCH(LARGE('Perhitungan IPH Mingguan 2026'!$GA$6:$GA$25,1),'Perhitungan IPH Mingguan 2026'!$GA$6:$GA$25,0)),"-")</f>
        <v>bawang merah 1174006</v>
      </c>
      <c r="C102" s="17">
        <f>IFERROR(INDEX('Perhitungan IPH Mingguan 2026'!$C$6:$C$25,MATCH(LARGE('Perhitungan IPH Mingguan 2026'!$GA$6:$GA$25,1),'Perhitungan IPH Mingguan 2026'!$GA$6:$GA$25,0)),"")</f>
        <v>1.94434650422287E-2</v>
      </c>
      <c r="D102" s="12">
        <f>IFERROR(INDEX('Perhitungan IPH Mingguan 2026'!$AO$6:$AO$25,MATCH(LARGE('Perhitungan IPH Mingguan 2026'!$GA$6:$GA$25,1),'Perhitungan IPH Mingguan 2026'!$GA$6:$GA$25,0)),"")</f>
        <v>13.558384061981188</v>
      </c>
      <c r="E102" s="4">
        <f>IFERROR(INDEX('Perhitungan IPH Mingguan 2026'!$AP$6:$AP$25,MATCH(LARGE('Perhitungan IPH Mingguan 2026'!$GA$6:$GA$25,1),'Perhitungan IPH Mingguan 2026'!$GA$6:$GA$25,0)),"")</f>
        <v>0.26362196653824199</v>
      </c>
      <c r="F102" s="18" t="str">
        <f>IF(ISNUMBER(E102),IF(E102&gt;0,"Penyumbang KENAIKAN IPH","Penyumbang PENURUNAN IPH"),"-")</f>
        <v>Penyumbang KENAIKAN IPH</v>
      </c>
    </row>
    <row r="103" spans="1:6" x14ac:dyDescent="0.35">
      <c r="A103" s="3">
        <v>2</v>
      </c>
      <c r="B103" s="5" t="str">
        <f>IFERROR(INDEX('Perhitungan IPH Mingguan 2026'!$B$6:$B$25,MATCH(LARGE('Perhitungan IPH Mingguan 2026'!$GA$6:$GA$25,2),'Perhitungan IPH Mingguan 2026'!$GA$6:$GA$25,0)),"-")</f>
        <v>udang lobster 01132004</v>
      </c>
      <c r="C103" s="17">
        <f>IFERROR(INDEX('Perhitungan IPH Mingguan 2026'!$C$6:$C$25,MATCH(LARGE('Perhitungan IPH Mingguan 2026'!$GA$6:$GA$25,2),'Perhitungan IPH Mingguan 2026'!$GA$6:$GA$25,0)),"")</f>
        <v>3.7010754321023603E-2</v>
      </c>
      <c r="D103" s="12">
        <f>IFERROR(INDEX('Perhitungan IPH Mingguan 2026'!$AO$6:$AO$25,MATCH(LARGE('Perhitungan IPH Mingguan 2026'!$GA$6:$GA$25,2),'Perhitungan IPH Mingguan 2026'!$GA$6:$GA$25,0)),"")</f>
        <v>-4.4117647058823533</v>
      </c>
      <c r="E103" s="4">
        <f>IFERROR(INDEX('Perhitungan IPH Mingguan 2026'!$AP$6:$AP$25,MATCH(LARGE('Perhitungan IPH Mingguan 2026'!$GA$6:$GA$25,2),'Perhitungan IPH Mingguan 2026'!$GA$6:$GA$25,0)),"")</f>
        <v>-0.16328273965157472</v>
      </c>
      <c r="F103" s="18" t="str">
        <f>IF(ISNUMBER(E103),IF(E103&gt;0,"Penyumbang KENAIKAN IPH","Penyumbang PENURUNAN IPH"),"-")</f>
        <v>Penyumbang PENURUNAN IPH</v>
      </c>
    </row>
    <row r="104" spans="1:6" x14ac:dyDescent="0.35">
      <c r="A104" s="3">
        <v>3</v>
      </c>
      <c r="B104" s="5" t="str">
        <f>IFERROR(INDEX('Perhitungan IPH Mingguan 2026'!$B$6:$B$25,MATCH(LARGE('Perhitungan IPH Mingguan 2026'!$GA$6:$GA$25,3),'Perhitungan IPH Mingguan 2026'!$GA$6:$GA$25,0)),"-")</f>
        <v>cabai merah 01173012</v>
      </c>
      <c r="C104" s="17">
        <f>IFERROR(INDEX('Perhitungan IPH Mingguan 2026'!$C$6:$C$25,MATCH(LARGE('Perhitungan IPH Mingguan 2026'!$GA$6:$GA$25,3),'Perhitungan IPH Mingguan 2026'!$GA$6:$GA$25,0)),"")</f>
        <v>1.10208839376634E-2</v>
      </c>
      <c r="D104" s="12">
        <f>IFERROR(INDEX('Perhitungan IPH Mingguan 2026'!$AO$6:$AO$25,MATCH(LARGE('Perhitungan IPH Mingguan 2026'!$GA$6:$GA$25,3),'Perhitungan IPH Mingguan 2026'!$GA$6:$GA$25,0)),"")</f>
        <v>-8.8945827232796546</v>
      </c>
      <c r="E104" s="4">
        <f>IFERROR(INDEX('Perhitungan IPH Mingguan 2026'!$AP$6:$AP$25,MATCH(LARGE('Perhitungan IPH Mingguan 2026'!$GA$6:$GA$25,3),'Perhitungan IPH Mingguan 2026'!$GA$6:$GA$25,0)),"")</f>
        <v>-9.8026163867211136E-2</v>
      </c>
      <c r="F104" s="18" t="str">
        <f>IF(ISNUMBER(E104),IF(E104&gt;0,"Penyumbang KENAIKAN IPH","Penyumbang PENURUNAN IPH"),"-")</f>
        <v>Penyumbang PENURUNAN IPH</v>
      </c>
    </row>
    <row r="105" spans="1:6" x14ac:dyDescent="0.35">
      <c r="A105" s="3">
        <v>4</v>
      </c>
      <c r="B105" s="5" t="str">
        <f>IFERROR(INDEX('Perhitungan IPH Mingguan 2026'!$B$6:$B$25,MATCH(LARGE('Perhitungan IPH Mingguan 2026'!$GA$6:$GA$25,4),'Perhitungan IPH Mingguan 2026'!$GA$6:$GA$25,0)),"-")</f>
        <v>telur ayam ras 01147002</v>
      </c>
      <c r="C105" s="17">
        <f>IFERROR(INDEX('Perhitungan IPH Mingguan 2026'!$C$6:$C$25,MATCH(LARGE('Perhitungan IPH Mingguan 2026'!$GA$6:$GA$25,4),'Perhitungan IPH Mingguan 2026'!$GA$6:$GA$25,0)),"")</f>
        <v>2.9877791079459301E-2</v>
      </c>
      <c r="D105" s="12">
        <f>IFERROR(INDEX('Perhitungan IPH Mingguan 2026'!$AO$6:$AO$25,MATCH(LARGE('Perhitungan IPH Mingguan 2026'!$GA$6:$GA$25,4),'Perhitungan IPH Mingguan 2026'!$GA$6:$GA$25,0)),"")</f>
        <v>-3.2497441146366413</v>
      </c>
      <c r="E105" s="4">
        <f>IFERROR(INDEX('Perhitungan IPH Mingguan 2026'!$AP$6:$AP$25,MATCH(LARGE('Perhitungan IPH Mingguan 2026'!$GA$6:$GA$25,4),'Perhitungan IPH Mingguan 2026'!$GA$6:$GA$25,0)),"")</f>
        <v>-9.7095175718815999E-2</v>
      </c>
      <c r="F105" s="18" t="str">
        <f>IF(ISNUMBER(E105),IF(E105&gt;0,"Penyumbang KENAIKAN IPH","Penyumbang PENURUNAN IPH"),"-")</f>
        <v>Penyumbang PENURUNAN IPH</v>
      </c>
    </row>
    <row r="106" spans="1:6" x14ac:dyDescent="0.35">
      <c r="A106" s="3">
        <v>5</v>
      </c>
      <c r="B106" s="5" t="str">
        <f>IFERROR(INDEX('Perhitungan IPH Mingguan 2026'!$B$6:$B$25,MATCH(LARGE('Perhitungan IPH Mingguan 2026'!$GA$6:$GA$25,5),'Perhitungan IPH Mingguan 2026'!$GA$6:$GA$25,0)),"-")</f>
        <v>daging ayam ras 1124003</v>
      </c>
      <c r="C106" s="17">
        <f>IFERROR(INDEX('Perhitungan IPH Mingguan 2026'!$C$6:$C$25,MATCH(LARGE('Perhitungan IPH Mingguan 2026'!$GA$6:$GA$25,5),'Perhitungan IPH Mingguan 2026'!$GA$6:$GA$25,0)),"")</f>
        <v>4.7910777785027697E-2</v>
      </c>
      <c r="D106" s="12">
        <f>IFERROR(INDEX('Perhitungan IPH Mingguan 2026'!$AO$6:$AO$25,MATCH(LARGE('Perhitungan IPH Mingguan 2026'!$GA$6:$GA$25,5),'Perhitungan IPH Mingguan 2026'!$GA$6:$GA$25,0)),"")</f>
        <v>-1.3525305410122213</v>
      </c>
      <c r="E106" s="4">
        <f>IFERROR(INDEX('Perhitungan IPH Mingguan 2026'!$AP$6:$AP$25,MATCH(LARGE('Perhitungan IPH Mingguan 2026'!$GA$6:$GA$25,5),'Perhitungan IPH Mingguan 2026'!$GA$6:$GA$25,0)),"")</f>
        <v>-6.4800790197899819E-2</v>
      </c>
      <c r="F106" s="18" t="str">
        <f>IF(ISNUMBER(E106),IF(E106&gt;0,"Penyumbang KENAIKAN IPH","Penyumbang PENURUNAN IPH"),"-")</f>
        <v>Penyumbang PENURUNAN IPH</v>
      </c>
    </row>
    <row r="108" spans="1:6" x14ac:dyDescent="0.35">
      <c r="A108" s="32" t="s">
        <v>463</v>
      </c>
      <c r="B108" s="32"/>
      <c r="C108" s="32"/>
      <c r="D108" s="32"/>
      <c r="E108" s="32"/>
      <c r="F108" s="32"/>
    </row>
    <row r="109" spans="1:6" x14ac:dyDescent="0.35">
      <c r="A109" s="8" t="s">
        <v>150</v>
      </c>
      <c r="B109" s="8" t="s">
        <v>151</v>
      </c>
      <c r="C109" s="8" t="s">
        <v>63</v>
      </c>
      <c r="D109" s="8" t="s">
        <v>152</v>
      </c>
      <c r="E109" s="8" t="s">
        <v>153</v>
      </c>
      <c r="F109" s="8" t="s">
        <v>154</v>
      </c>
    </row>
    <row r="110" spans="1:6" x14ac:dyDescent="0.35">
      <c r="A110" s="3">
        <v>1</v>
      </c>
      <c r="B110" s="5" t="str">
        <f>IFERROR(INDEX('Perhitungan IPH Mingguan 2026'!$B$6:$B$25,MATCH(LARGE('Perhitungan IPH Mingguan 2026'!$GB$6:$GB$25,1),'Perhitungan IPH Mingguan 2026'!$GB$6:$GB$25,0)),"-")</f>
        <v>beras 1111001</v>
      </c>
      <c r="C110" s="17">
        <f>IFERROR(INDEX('Perhitungan IPH Mingguan 2026'!$C$6:$C$25,MATCH(LARGE('Perhitungan IPH Mingguan 2026'!$GB$6:$GB$25,1),'Perhitungan IPH Mingguan 2026'!$GB$6:$GB$25,0)),"")</f>
        <v>0.12508905675934601</v>
      </c>
      <c r="D110" s="12" t="str">
        <f>IFERROR(INDEX('Perhitungan IPH Mingguan 2026'!$AR$6:$AR$25,MATCH(LARGE('Perhitungan IPH Mingguan 2026'!$GB$6:$GB$25,1),'Perhitungan IPH Mingguan 2026'!$GB$6:$GB$25,0)),"")</f>
        <v>n/a</v>
      </c>
      <c r="E110" s="4" t="str">
        <f>IFERROR(INDEX('Perhitungan IPH Mingguan 2026'!$AS$6:$AS$25,MATCH(LARGE('Perhitungan IPH Mingguan 2026'!$GB$6:$GB$25,1),'Perhitungan IPH Mingguan 2026'!$GB$6:$GB$25,0)),"")</f>
        <v>n/a</v>
      </c>
      <c r="F110" s="18" t="str">
        <f>IF(ISNUMBER(E110),IF(E110&gt;0,"Penyumbang KENAIKAN IPH","Penyumbang PENURUNAN IPH"),"-")</f>
        <v>-</v>
      </c>
    </row>
    <row r="111" spans="1:6" x14ac:dyDescent="0.35">
      <c r="A111" s="3">
        <v>2</v>
      </c>
      <c r="B111" s="5" t="str">
        <f>IFERROR(INDEX('Perhitungan IPH Mingguan 2026'!$B$6:$B$25,MATCH(LARGE('Perhitungan IPH Mingguan 2026'!$GB$6:$GB$25,2),'Perhitungan IPH Mingguan 2026'!$GB$6:$GB$25,0)),"-")</f>
        <v>beras 1111001</v>
      </c>
      <c r="C111" s="17">
        <f>IFERROR(INDEX('Perhitungan IPH Mingguan 2026'!$C$6:$C$25,MATCH(LARGE('Perhitungan IPH Mingguan 2026'!$GB$6:$GB$25,2),'Perhitungan IPH Mingguan 2026'!$GB$6:$GB$25,0)),"")</f>
        <v>0.12508905675934601</v>
      </c>
      <c r="D111" s="12" t="str">
        <f>IFERROR(INDEX('Perhitungan IPH Mingguan 2026'!$AR$6:$AR$25,MATCH(LARGE('Perhitungan IPH Mingguan 2026'!$GB$6:$GB$25,2),'Perhitungan IPH Mingguan 2026'!$GB$6:$GB$25,0)),"")</f>
        <v>n/a</v>
      </c>
      <c r="E111" s="4" t="str">
        <f>IFERROR(INDEX('Perhitungan IPH Mingguan 2026'!$AS$6:$AS$25,MATCH(LARGE('Perhitungan IPH Mingguan 2026'!$GB$6:$GB$25,2),'Perhitungan IPH Mingguan 2026'!$GB$6:$GB$25,0)),"")</f>
        <v>n/a</v>
      </c>
      <c r="F111" s="18" t="str">
        <f>IF(ISNUMBER(E111),IF(E111&gt;0,"Penyumbang KENAIKAN IPH","Penyumbang PENURUNAN IPH"),"-")</f>
        <v>-</v>
      </c>
    </row>
    <row r="112" spans="1:6" x14ac:dyDescent="0.35">
      <c r="A112" s="3">
        <v>3</v>
      </c>
      <c r="B112" s="5" t="str">
        <f>IFERROR(INDEX('Perhitungan IPH Mingguan 2026'!$B$6:$B$25,MATCH(LARGE('Perhitungan IPH Mingguan 2026'!$GB$6:$GB$25,3),'Perhitungan IPH Mingguan 2026'!$GB$6:$GB$25,0)),"-")</f>
        <v>beras 1111001</v>
      </c>
      <c r="C112" s="17">
        <f>IFERROR(INDEX('Perhitungan IPH Mingguan 2026'!$C$6:$C$25,MATCH(LARGE('Perhitungan IPH Mingguan 2026'!$GB$6:$GB$25,3),'Perhitungan IPH Mingguan 2026'!$GB$6:$GB$25,0)),"")</f>
        <v>0.12508905675934601</v>
      </c>
      <c r="D112" s="12" t="str">
        <f>IFERROR(INDEX('Perhitungan IPH Mingguan 2026'!$AR$6:$AR$25,MATCH(LARGE('Perhitungan IPH Mingguan 2026'!$GB$6:$GB$25,3),'Perhitungan IPH Mingguan 2026'!$GB$6:$GB$25,0)),"")</f>
        <v>n/a</v>
      </c>
      <c r="E112" s="4" t="str">
        <f>IFERROR(INDEX('Perhitungan IPH Mingguan 2026'!$AS$6:$AS$25,MATCH(LARGE('Perhitungan IPH Mingguan 2026'!$GB$6:$GB$25,3),'Perhitungan IPH Mingguan 2026'!$GB$6:$GB$25,0)),"")</f>
        <v>n/a</v>
      </c>
      <c r="F112" s="18" t="str">
        <f>IF(ISNUMBER(E112),IF(E112&gt;0,"Penyumbang KENAIKAN IPH","Penyumbang PENURUNAN IPH"),"-")</f>
        <v>-</v>
      </c>
    </row>
    <row r="113" spans="1:6" x14ac:dyDescent="0.35">
      <c r="A113" s="3">
        <v>4</v>
      </c>
      <c r="B113" s="5" t="str">
        <f>IFERROR(INDEX('Perhitungan IPH Mingguan 2026'!$B$6:$B$25,MATCH(LARGE('Perhitungan IPH Mingguan 2026'!$GB$6:$GB$25,4),'Perhitungan IPH Mingguan 2026'!$GB$6:$GB$25,0)),"-")</f>
        <v>beras 1111001</v>
      </c>
      <c r="C113" s="17">
        <f>IFERROR(INDEX('Perhitungan IPH Mingguan 2026'!$C$6:$C$25,MATCH(LARGE('Perhitungan IPH Mingguan 2026'!$GB$6:$GB$25,4),'Perhitungan IPH Mingguan 2026'!$GB$6:$GB$25,0)),"")</f>
        <v>0.12508905675934601</v>
      </c>
      <c r="D113" s="12" t="str">
        <f>IFERROR(INDEX('Perhitungan IPH Mingguan 2026'!$AR$6:$AR$25,MATCH(LARGE('Perhitungan IPH Mingguan 2026'!$GB$6:$GB$25,4),'Perhitungan IPH Mingguan 2026'!$GB$6:$GB$25,0)),"")</f>
        <v>n/a</v>
      </c>
      <c r="E113" s="4" t="str">
        <f>IFERROR(INDEX('Perhitungan IPH Mingguan 2026'!$AS$6:$AS$25,MATCH(LARGE('Perhitungan IPH Mingguan 2026'!$GB$6:$GB$25,4),'Perhitungan IPH Mingguan 2026'!$GB$6:$GB$25,0)),"")</f>
        <v>n/a</v>
      </c>
      <c r="F113" s="18" t="str">
        <f>IF(ISNUMBER(E113),IF(E113&gt;0,"Penyumbang KENAIKAN IPH","Penyumbang PENURUNAN IPH"),"-")</f>
        <v>-</v>
      </c>
    </row>
    <row r="114" spans="1:6" x14ac:dyDescent="0.35">
      <c r="A114" s="3">
        <v>5</v>
      </c>
      <c r="B114" s="5" t="str">
        <f>IFERROR(INDEX('Perhitungan IPH Mingguan 2026'!$B$6:$B$25,MATCH(LARGE('Perhitungan IPH Mingguan 2026'!$GB$6:$GB$25,5),'Perhitungan IPH Mingguan 2026'!$GB$6:$GB$25,0)),"-")</f>
        <v>beras 1111001</v>
      </c>
      <c r="C114" s="17">
        <f>IFERROR(INDEX('Perhitungan IPH Mingguan 2026'!$C$6:$C$25,MATCH(LARGE('Perhitungan IPH Mingguan 2026'!$GB$6:$GB$25,5),'Perhitungan IPH Mingguan 2026'!$GB$6:$GB$25,0)),"")</f>
        <v>0.12508905675934601</v>
      </c>
      <c r="D114" s="12" t="str">
        <f>IFERROR(INDEX('Perhitungan IPH Mingguan 2026'!$AR$6:$AR$25,MATCH(LARGE('Perhitungan IPH Mingguan 2026'!$GB$6:$GB$25,5),'Perhitungan IPH Mingguan 2026'!$GB$6:$GB$25,0)),"")</f>
        <v>n/a</v>
      </c>
      <c r="E114" s="4" t="str">
        <f>IFERROR(INDEX('Perhitungan IPH Mingguan 2026'!$AS$6:$AS$25,MATCH(LARGE('Perhitungan IPH Mingguan 2026'!$GB$6:$GB$25,5),'Perhitungan IPH Mingguan 2026'!$GB$6:$GB$25,0)),"")</f>
        <v>n/a</v>
      </c>
      <c r="F114" s="18" t="str">
        <f>IF(ISNUMBER(E114),IF(E114&gt;0,"Penyumbang KENAIKAN IPH","Penyumbang PENURUNAN IPH"),"-")</f>
        <v>-</v>
      </c>
    </row>
    <row r="116" spans="1:6" x14ac:dyDescent="0.35">
      <c r="A116" s="32" t="s">
        <v>464</v>
      </c>
      <c r="B116" s="32"/>
      <c r="C116" s="32"/>
      <c r="D116" s="32"/>
      <c r="E116" s="32"/>
      <c r="F116" s="32"/>
    </row>
    <row r="117" spans="1:6" x14ac:dyDescent="0.35">
      <c r="A117" s="8" t="s">
        <v>150</v>
      </c>
      <c r="B117" s="8" t="s">
        <v>151</v>
      </c>
      <c r="C117" s="8" t="s">
        <v>63</v>
      </c>
      <c r="D117" s="8" t="s">
        <v>152</v>
      </c>
      <c r="E117" s="8" t="s">
        <v>153</v>
      </c>
      <c r="F117" s="8" t="s">
        <v>154</v>
      </c>
    </row>
    <row r="118" spans="1:6" x14ac:dyDescent="0.35">
      <c r="A118" s="3">
        <v>1</v>
      </c>
      <c r="B118" s="5" t="str">
        <f>IFERROR(INDEX('Perhitungan IPH Mingguan 2026'!$B$6:$B$25,MATCH(LARGE('Perhitungan IPH Mingguan 2026'!$GC$6:$GC$25,1),'Perhitungan IPH Mingguan 2026'!$GC$6:$GC$25,0)),"-")</f>
        <v>beras 1111001</v>
      </c>
      <c r="C118" s="17">
        <f>IFERROR(INDEX('Perhitungan IPH Mingguan 2026'!$C$6:$C$25,MATCH(LARGE('Perhitungan IPH Mingguan 2026'!$GC$6:$GC$25,1),'Perhitungan IPH Mingguan 2026'!$GC$6:$GC$25,0)),"")</f>
        <v>0.12508905675934601</v>
      </c>
      <c r="D118" s="12" t="str">
        <f>IFERROR(INDEX('Perhitungan IPH Mingguan 2026'!$AU$6:$AU$25,MATCH(LARGE('Perhitungan IPH Mingguan 2026'!$GC$6:$GC$25,1),'Perhitungan IPH Mingguan 2026'!$GC$6:$GC$25,0)),"")</f>
        <v>n/a</v>
      </c>
      <c r="E118" s="4" t="str">
        <f>IFERROR(INDEX('Perhitungan IPH Mingguan 2026'!$AV$6:$AV$25,MATCH(LARGE('Perhitungan IPH Mingguan 2026'!$GC$6:$GC$25,1),'Perhitungan IPH Mingguan 2026'!$GC$6:$GC$25,0)),"")</f>
        <v>n/a</v>
      </c>
      <c r="F118" s="18" t="str">
        <f>IF(ISNUMBER(E118),IF(E118&gt;0,"Penyumbang KENAIKAN IPH","Penyumbang PENURUNAN IPH"),"-")</f>
        <v>-</v>
      </c>
    </row>
    <row r="119" spans="1:6" x14ac:dyDescent="0.35">
      <c r="A119" s="3">
        <v>2</v>
      </c>
      <c r="B119" s="5" t="str">
        <f>IFERROR(INDEX('Perhitungan IPH Mingguan 2026'!$B$6:$B$25,MATCH(LARGE('Perhitungan IPH Mingguan 2026'!$GC$6:$GC$25,2),'Perhitungan IPH Mingguan 2026'!$GC$6:$GC$25,0)),"-")</f>
        <v>beras 1111001</v>
      </c>
      <c r="C119" s="17">
        <f>IFERROR(INDEX('Perhitungan IPH Mingguan 2026'!$C$6:$C$25,MATCH(LARGE('Perhitungan IPH Mingguan 2026'!$GC$6:$GC$25,2),'Perhitungan IPH Mingguan 2026'!$GC$6:$GC$25,0)),"")</f>
        <v>0.12508905675934601</v>
      </c>
      <c r="D119" s="12" t="str">
        <f>IFERROR(INDEX('Perhitungan IPH Mingguan 2026'!$AU$6:$AU$25,MATCH(LARGE('Perhitungan IPH Mingguan 2026'!$GC$6:$GC$25,2),'Perhitungan IPH Mingguan 2026'!$GC$6:$GC$25,0)),"")</f>
        <v>n/a</v>
      </c>
      <c r="E119" s="4" t="str">
        <f>IFERROR(INDEX('Perhitungan IPH Mingguan 2026'!$AV$6:$AV$25,MATCH(LARGE('Perhitungan IPH Mingguan 2026'!$GC$6:$GC$25,2),'Perhitungan IPH Mingguan 2026'!$GC$6:$GC$25,0)),"")</f>
        <v>n/a</v>
      </c>
      <c r="F119" s="18" t="str">
        <f>IF(ISNUMBER(E119),IF(E119&gt;0,"Penyumbang KENAIKAN IPH","Penyumbang PENURUNAN IPH"),"-")</f>
        <v>-</v>
      </c>
    </row>
    <row r="120" spans="1:6" x14ac:dyDescent="0.35">
      <c r="A120" s="3">
        <v>3</v>
      </c>
      <c r="B120" s="5" t="str">
        <f>IFERROR(INDEX('Perhitungan IPH Mingguan 2026'!$B$6:$B$25,MATCH(LARGE('Perhitungan IPH Mingguan 2026'!$GC$6:$GC$25,3),'Perhitungan IPH Mingguan 2026'!$GC$6:$GC$25,0)),"-")</f>
        <v>beras 1111001</v>
      </c>
      <c r="C120" s="17">
        <f>IFERROR(INDEX('Perhitungan IPH Mingguan 2026'!$C$6:$C$25,MATCH(LARGE('Perhitungan IPH Mingguan 2026'!$GC$6:$GC$25,3),'Perhitungan IPH Mingguan 2026'!$GC$6:$GC$25,0)),"")</f>
        <v>0.12508905675934601</v>
      </c>
      <c r="D120" s="12" t="str">
        <f>IFERROR(INDEX('Perhitungan IPH Mingguan 2026'!$AU$6:$AU$25,MATCH(LARGE('Perhitungan IPH Mingguan 2026'!$GC$6:$GC$25,3),'Perhitungan IPH Mingguan 2026'!$GC$6:$GC$25,0)),"")</f>
        <v>n/a</v>
      </c>
      <c r="E120" s="4" t="str">
        <f>IFERROR(INDEX('Perhitungan IPH Mingguan 2026'!$AV$6:$AV$25,MATCH(LARGE('Perhitungan IPH Mingguan 2026'!$GC$6:$GC$25,3),'Perhitungan IPH Mingguan 2026'!$GC$6:$GC$25,0)),"")</f>
        <v>n/a</v>
      </c>
      <c r="F120" s="18" t="str">
        <f>IF(ISNUMBER(E120),IF(E120&gt;0,"Penyumbang KENAIKAN IPH","Penyumbang PENURUNAN IPH"),"-")</f>
        <v>-</v>
      </c>
    </row>
    <row r="121" spans="1:6" x14ac:dyDescent="0.35">
      <c r="A121" s="3">
        <v>4</v>
      </c>
      <c r="B121" s="5" t="str">
        <f>IFERROR(INDEX('Perhitungan IPH Mingguan 2026'!$B$6:$B$25,MATCH(LARGE('Perhitungan IPH Mingguan 2026'!$GC$6:$GC$25,4),'Perhitungan IPH Mingguan 2026'!$GC$6:$GC$25,0)),"-")</f>
        <v>beras 1111001</v>
      </c>
      <c r="C121" s="17">
        <f>IFERROR(INDEX('Perhitungan IPH Mingguan 2026'!$C$6:$C$25,MATCH(LARGE('Perhitungan IPH Mingguan 2026'!$GC$6:$GC$25,4),'Perhitungan IPH Mingguan 2026'!$GC$6:$GC$25,0)),"")</f>
        <v>0.12508905675934601</v>
      </c>
      <c r="D121" s="12" t="str">
        <f>IFERROR(INDEX('Perhitungan IPH Mingguan 2026'!$AU$6:$AU$25,MATCH(LARGE('Perhitungan IPH Mingguan 2026'!$GC$6:$GC$25,4),'Perhitungan IPH Mingguan 2026'!$GC$6:$GC$25,0)),"")</f>
        <v>n/a</v>
      </c>
      <c r="E121" s="4" t="str">
        <f>IFERROR(INDEX('Perhitungan IPH Mingguan 2026'!$AV$6:$AV$25,MATCH(LARGE('Perhitungan IPH Mingguan 2026'!$GC$6:$GC$25,4),'Perhitungan IPH Mingguan 2026'!$GC$6:$GC$25,0)),"")</f>
        <v>n/a</v>
      </c>
      <c r="F121" s="18" t="str">
        <f>IF(ISNUMBER(E121),IF(E121&gt;0,"Penyumbang KENAIKAN IPH","Penyumbang PENURUNAN IPH"),"-")</f>
        <v>-</v>
      </c>
    </row>
    <row r="122" spans="1:6" x14ac:dyDescent="0.35">
      <c r="A122" s="3">
        <v>5</v>
      </c>
      <c r="B122" s="5" t="str">
        <f>IFERROR(INDEX('Perhitungan IPH Mingguan 2026'!$B$6:$B$25,MATCH(LARGE('Perhitungan IPH Mingguan 2026'!$GC$6:$GC$25,5),'Perhitungan IPH Mingguan 2026'!$GC$6:$GC$25,0)),"-")</f>
        <v>beras 1111001</v>
      </c>
      <c r="C122" s="17">
        <f>IFERROR(INDEX('Perhitungan IPH Mingguan 2026'!$C$6:$C$25,MATCH(LARGE('Perhitungan IPH Mingguan 2026'!$GC$6:$GC$25,5),'Perhitungan IPH Mingguan 2026'!$GC$6:$GC$25,0)),"")</f>
        <v>0.12508905675934601</v>
      </c>
      <c r="D122" s="12" t="str">
        <f>IFERROR(INDEX('Perhitungan IPH Mingguan 2026'!$AU$6:$AU$25,MATCH(LARGE('Perhitungan IPH Mingguan 2026'!$GC$6:$GC$25,5),'Perhitungan IPH Mingguan 2026'!$GC$6:$GC$25,0)),"")</f>
        <v>n/a</v>
      </c>
      <c r="E122" s="4" t="str">
        <f>IFERROR(INDEX('Perhitungan IPH Mingguan 2026'!$AV$6:$AV$25,MATCH(LARGE('Perhitungan IPH Mingguan 2026'!$GC$6:$GC$25,5),'Perhitungan IPH Mingguan 2026'!$GC$6:$GC$25,0)),"")</f>
        <v>n/a</v>
      </c>
      <c r="F122" s="18" t="str">
        <f>IF(ISNUMBER(E122),IF(E122&gt;0,"Penyumbang KENAIKAN IPH","Penyumbang PENURUNAN IPH"),"-")</f>
        <v>-</v>
      </c>
    </row>
    <row r="124" spans="1:6" x14ac:dyDescent="0.35">
      <c r="A124" s="32" t="s">
        <v>465</v>
      </c>
      <c r="B124" s="32"/>
      <c r="C124" s="32"/>
      <c r="D124" s="32"/>
      <c r="E124" s="32"/>
      <c r="F124" s="32"/>
    </row>
    <row r="125" spans="1:6" x14ac:dyDescent="0.35">
      <c r="A125" s="8" t="s">
        <v>150</v>
      </c>
      <c r="B125" s="8" t="s">
        <v>151</v>
      </c>
      <c r="C125" s="8" t="s">
        <v>63</v>
      </c>
      <c r="D125" s="8" t="s">
        <v>152</v>
      </c>
      <c r="E125" s="8" t="s">
        <v>153</v>
      </c>
      <c r="F125" s="8" t="s">
        <v>154</v>
      </c>
    </row>
    <row r="126" spans="1:6" x14ac:dyDescent="0.35">
      <c r="A126" s="3">
        <v>1</v>
      </c>
      <c r="B126" s="5" t="str">
        <f>IFERROR(INDEX('Perhitungan IPH Mingguan 2026'!$B$6:$B$25,MATCH(LARGE('Perhitungan IPH Mingguan 2026'!$GD$6:$GD$25,1),'Perhitungan IPH Mingguan 2026'!$GD$6:$GD$25,0)),"-")</f>
        <v>bawang merah 1174006</v>
      </c>
      <c r="C126" s="17">
        <f>IFERROR(INDEX('Perhitungan IPH Mingguan 2026'!$C$6:$C$25,MATCH(LARGE('Perhitungan IPH Mingguan 2026'!$GD$6:$GD$25,1),'Perhitungan IPH Mingguan 2026'!$GD$6:$GD$25,0)),"")</f>
        <v>1.94434650422287E-2</v>
      </c>
      <c r="D126" s="12">
        <f>IFERROR(INDEX('Perhitungan IPH Mingguan 2026'!$AX$6:$AX$25,MATCH(LARGE('Perhitungan IPH Mingguan 2026'!$GD$6:$GD$25,1),'Perhitungan IPH Mingguan 2026'!$GD$6:$GD$25,0)),"")</f>
        <v>40.295358649789037</v>
      </c>
      <c r="E126" s="4">
        <f>IFERROR(INDEX('Perhitungan IPH Mingguan 2026'!$AY$6:$AY$25,MATCH(LARGE('Perhitungan IPH Mingguan 2026'!$GD$6:$GD$25,1),'Perhitungan IPH Mingguan 2026'!$GD$6:$GD$25,0)),"")</f>
        <v>0.783481397271241</v>
      </c>
      <c r="F126" s="18" t="str">
        <f>IF(ISNUMBER(E126),IF(E126&gt;0,"Penyumbang KENAIKAN IPH","Penyumbang PENURUNAN IPH"),"-")</f>
        <v>Penyumbang KENAIKAN IPH</v>
      </c>
    </row>
    <row r="127" spans="1:6" x14ac:dyDescent="0.35">
      <c r="A127" s="3">
        <v>2</v>
      </c>
      <c r="B127" s="5" t="str">
        <f>IFERROR(INDEX('Perhitungan IPH Mingguan 2026'!$B$6:$B$25,MATCH(LARGE('Perhitungan IPH Mingguan 2026'!$GD$6:$GD$25,2),'Perhitungan IPH Mingguan 2026'!$GD$6:$GD$25,0)),"-")</f>
        <v>cabai rawit 01173013</v>
      </c>
      <c r="C127" s="17">
        <f>IFERROR(INDEX('Perhitungan IPH Mingguan 2026'!$C$6:$C$25,MATCH(LARGE('Perhitungan IPH Mingguan 2026'!$GD$6:$GD$25,2),'Perhitungan IPH Mingguan 2026'!$GD$6:$GD$25,0)),"")</f>
        <v>1.7701732362870599E-2</v>
      </c>
      <c r="D127" s="12">
        <f>IFERROR(INDEX('Perhitungan IPH Mingguan 2026'!$AX$6:$AX$25,MATCH(LARGE('Perhitungan IPH Mingguan 2026'!$GD$6:$GD$25,2),'Perhitungan IPH Mingguan 2026'!$GD$6:$GD$25,0)),"")</f>
        <v>29.988597491448115</v>
      </c>
      <c r="E127" s="4">
        <f>IFERROR(INDEX('Perhitungan IPH Mingguan 2026'!$AY$6:$AY$25,MATCH(LARGE('Perhitungan IPH Mingguan 2026'!$GD$6:$GD$25,2),'Perhitungan IPH Mingguan 2026'!$GD$6:$GD$25,0)),"")</f>
        <v>0.53085012673146714</v>
      </c>
      <c r="F127" s="18" t="str">
        <f>IF(ISNUMBER(E127),IF(E127&gt;0,"Penyumbang KENAIKAN IPH","Penyumbang PENURUNAN IPH"),"-")</f>
        <v>Penyumbang KENAIKAN IPH</v>
      </c>
    </row>
    <row r="128" spans="1:6" x14ac:dyDescent="0.35">
      <c r="A128" s="3">
        <v>3</v>
      </c>
      <c r="B128" s="5" t="str">
        <f>IFERROR(INDEX('Perhitungan IPH Mingguan 2026'!$B$6:$B$25,MATCH(LARGE('Perhitungan IPH Mingguan 2026'!$GD$6:$GD$25,3),'Perhitungan IPH Mingguan 2026'!$GD$6:$GD$25,0)),"-")</f>
        <v>cabai merah 01173012</v>
      </c>
      <c r="C128" s="17">
        <f>IFERROR(INDEX('Perhitungan IPH Mingguan 2026'!$C$6:$C$25,MATCH(LARGE('Perhitungan IPH Mingguan 2026'!$GD$6:$GD$25,3),'Perhitungan IPH Mingguan 2026'!$GD$6:$GD$25,0)),"")</f>
        <v>1.10208839376634E-2</v>
      </c>
      <c r="D128" s="12">
        <f>IFERROR(INDEX('Perhitungan IPH Mingguan 2026'!$AX$6:$AX$25,MATCH(LARGE('Perhitungan IPH Mingguan 2026'!$GD$6:$GD$25,3),'Perhitungan IPH Mingguan 2026'!$GD$6:$GD$25,0)),"")</f>
        <v>28.161888701517707</v>
      </c>
      <c r="E128" s="4">
        <f>IFERROR(INDEX('Perhitungan IPH Mingguan 2026'!$AY$6:$AY$25,MATCH(LARGE('Perhitungan IPH Mingguan 2026'!$GD$6:$GD$25,3),'Perhitungan IPH Mingguan 2026'!$GD$6:$GD$25,0)),"")</f>
        <v>0.31036890684482088</v>
      </c>
      <c r="F128" s="18" t="str">
        <f>IF(ISNUMBER(E128),IF(E128&gt;0,"Penyumbang KENAIKAN IPH","Penyumbang PENURUNAN IPH"),"-")</f>
        <v>Penyumbang KENAIKAN IPH</v>
      </c>
    </row>
    <row r="129" spans="1:6" x14ac:dyDescent="0.35">
      <c r="A129" s="3">
        <v>4</v>
      </c>
      <c r="B129" s="5" t="str">
        <f>IFERROR(INDEX('Perhitungan IPH Mingguan 2026'!$B$6:$B$25,MATCH(LARGE('Perhitungan IPH Mingguan 2026'!$GD$6:$GD$25,4),'Perhitungan IPH Mingguan 2026'!$GD$6:$GD$25,0)),"-")</f>
        <v>telur ayam ras 01147002</v>
      </c>
      <c r="C129" s="17">
        <f>IFERROR(INDEX('Perhitungan IPH Mingguan 2026'!$C$6:$C$25,MATCH(LARGE('Perhitungan IPH Mingguan 2026'!$GD$6:$GD$25,4),'Perhitungan IPH Mingguan 2026'!$GD$6:$GD$25,0)),"")</f>
        <v>2.9877791079459301E-2</v>
      </c>
      <c r="D129" s="12">
        <f>IFERROR(INDEX('Perhitungan IPH Mingguan 2026'!$AX$6:$AX$25,MATCH(LARGE('Perhitungan IPH Mingguan 2026'!$GD$6:$GD$25,4),'Perhitungan IPH Mingguan 2026'!$GD$6:$GD$25,0)),"")</f>
        <v>-4.606625258799169</v>
      </c>
      <c r="E129" s="4">
        <f>IFERROR(INDEX('Perhitungan IPH Mingguan 2026'!$AY$6:$AY$25,MATCH(LARGE('Perhitungan IPH Mingguan 2026'!$GD$6:$GD$25,4),'Perhitungan IPH Mingguan 2026'!$GD$6:$GD$25,0)),"")</f>
        <v>-0.1376357870637617</v>
      </c>
      <c r="F129" s="18" t="str">
        <f>IF(ISNUMBER(E129),IF(E129&gt;0,"Penyumbang KENAIKAN IPH","Penyumbang PENURUNAN IPH"),"-")</f>
        <v>Penyumbang PENURUNAN IPH</v>
      </c>
    </row>
    <row r="130" spans="1:6" x14ac:dyDescent="0.35">
      <c r="A130" s="3">
        <v>5</v>
      </c>
      <c r="B130" s="5" t="str">
        <f>IFERROR(INDEX('Perhitungan IPH Mingguan 2026'!$B$6:$B$25,MATCH(LARGE('Perhitungan IPH Mingguan 2026'!$GD$6:$GD$25,5),'Perhitungan IPH Mingguan 2026'!$GD$6:$GD$25,0)),"-")</f>
        <v>daging ayam ras 1124003</v>
      </c>
      <c r="C130" s="17">
        <f>IFERROR(INDEX('Perhitungan IPH Mingguan 2026'!$C$6:$C$25,MATCH(LARGE('Perhitungan IPH Mingguan 2026'!$GD$6:$GD$25,5),'Perhitungan IPH Mingguan 2026'!$GD$6:$GD$25,0)),"")</f>
        <v>4.7910777785027697E-2</v>
      </c>
      <c r="D130" s="12">
        <f>IFERROR(INDEX('Perhitungan IPH Mingguan 2026'!$AX$6:$AX$25,MATCH(LARGE('Perhitungan IPH Mingguan 2026'!$GD$6:$GD$25,5),'Perhitungan IPH Mingguan 2026'!$GD$6:$GD$25,0)),"")</f>
        <v>-2.0104895104895095</v>
      </c>
      <c r="E130" s="4">
        <f>IFERROR(INDEX('Perhitungan IPH Mingguan 2026'!$AY$6:$AY$25,MATCH(LARGE('Perhitungan IPH Mingguan 2026'!$GD$6:$GD$25,5),'Perhitungan IPH Mingguan 2026'!$GD$6:$GD$25,0)),"")</f>
        <v>-9.6324116176192007E-2</v>
      </c>
      <c r="F130" s="18" t="str">
        <f>IF(ISNUMBER(E130),IF(E130&gt;0,"Penyumbang KENAIKAN IPH","Penyumbang PENURUNAN IPH"),"-")</f>
        <v>Penyumbang PENURUNAN IPH</v>
      </c>
    </row>
    <row r="132" spans="1:6" x14ac:dyDescent="0.35">
      <c r="A132" s="32" t="s">
        <v>466</v>
      </c>
      <c r="B132" s="32"/>
      <c r="C132" s="32"/>
      <c r="D132" s="32"/>
      <c r="E132" s="32"/>
      <c r="F132" s="32"/>
    </row>
    <row r="133" spans="1:6" x14ac:dyDescent="0.35">
      <c r="A133" s="8" t="s">
        <v>150</v>
      </c>
      <c r="B133" s="8" t="s">
        <v>151</v>
      </c>
      <c r="C133" s="8" t="s">
        <v>63</v>
      </c>
      <c r="D133" s="8" t="s">
        <v>152</v>
      </c>
      <c r="E133" s="8" t="s">
        <v>153</v>
      </c>
      <c r="F133" s="8" t="s">
        <v>154</v>
      </c>
    </row>
    <row r="134" spans="1:6" x14ac:dyDescent="0.35">
      <c r="A134" s="3">
        <v>1</v>
      </c>
      <c r="B134" s="5" t="str">
        <f>IFERROR(INDEX('Perhitungan IPH Mingguan 2026'!$B$6:$B$25,MATCH(LARGE('Perhitungan IPH Mingguan 2026'!$GE$6:$GE$25,1),'Perhitungan IPH Mingguan 2026'!$GE$6:$GE$25,0)),"-")</f>
        <v>bawang merah 1174006</v>
      </c>
      <c r="C134" s="17">
        <f>IFERROR(INDEX('Perhitungan IPH Mingguan 2026'!$C$6:$C$25,MATCH(LARGE('Perhitungan IPH Mingguan 2026'!$GE$6:$GE$25,1),'Perhitungan IPH Mingguan 2026'!$GE$6:$GE$25,0)),"")</f>
        <v>1.94434650422287E-2</v>
      </c>
      <c r="D134" s="12">
        <f>IFERROR(INDEX('Perhitungan IPH Mingguan 2026'!$BA$6:$BA$25,MATCH(LARGE('Perhitungan IPH Mingguan 2026'!$GE$6:$GE$25,1),'Perhitungan IPH Mingguan 2026'!$GE$6:$GE$25,0)),"")</f>
        <v>40.295358649789037</v>
      </c>
      <c r="E134" s="4">
        <f>IFERROR(INDEX('Perhitungan IPH Mingguan 2026'!$BB$6:$BB$25,MATCH(LARGE('Perhitungan IPH Mingguan 2026'!$GE$6:$GE$25,1),'Perhitungan IPH Mingguan 2026'!$GE$6:$GE$25,0)),"")</f>
        <v>0.783481397271241</v>
      </c>
      <c r="F134" s="18" t="str">
        <f>IF(ISNUMBER(E134),IF(E134&gt;0,"Penyumbang KENAIKAN IPH","Penyumbang PENURUNAN IPH"),"-")</f>
        <v>Penyumbang KENAIKAN IPH</v>
      </c>
    </row>
    <row r="135" spans="1:6" x14ac:dyDescent="0.35">
      <c r="A135" s="3">
        <v>2</v>
      </c>
      <c r="B135" s="5" t="str">
        <f>IFERROR(INDEX('Perhitungan IPH Mingguan 2026'!$B$6:$B$25,MATCH(LARGE('Perhitungan IPH Mingguan 2026'!$GE$6:$GE$25,2),'Perhitungan IPH Mingguan 2026'!$GE$6:$GE$25,0)),"-")</f>
        <v>daging ayam ras 1124003</v>
      </c>
      <c r="C135" s="17">
        <f>IFERROR(INDEX('Perhitungan IPH Mingguan 2026'!$C$6:$C$25,MATCH(LARGE('Perhitungan IPH Mingguan 2026'!$GE$6:$GE$25,2),'Perhitungan IPH Mingguan 2026'!$GE$6:$GE$25,0)),"")</f>
        <v>4.7910777785027697E-2</v>
      </c>
      <c r="D135" s="12">
        <f>IFERROR(INDEX('Perhitungan IPH Mingguan 2026'!$BA$6:$BA$25,MATCH(LARGE('Perhitungan IPH Mingguan 2026'!$GE$6:$GE$25,2),'Perhitungan IPH Mingguan 2026'!$GE$6:$GE$25,0)),"")</f>
        <v>-14.466783216783217</v>
      </c>
      <c r="E135" s="4">
        <f>IFERROR(INDEX('Perhitungan IPH Mingguan 2026'!$BB$6:$BB$25,MATCH(LARGE('Perhitungan IPH Mingguan 2026'!$GE$6:$GE$25,2),'Perhitungan IPH Mingguan 2026'!$GE$6:$GE$25,0)),"")</f>
        <v>-0.6931148359634689</v>
      </c>
      <c r="F135" s="18" t="str">
        <f>IF(ISNUMBER(E135),IF(E135&gt;0,"Penyumbang KENAIKAN IPH","Penyumbang PENURUNAN IPH"),"-")</f>
        <v>Penyumbang PENURUNAN IPH</v>
      </c>
    </row>
    <row r="136" spans="1:6" x14ac:dyDescent="0.35">
      <c r="A136" s="3">
        <v>3</v>
      </c>
      <c r="B136" s="5" t="str">
        <f>IFERROR(INDEX('Perhitungan IPH Mingguan 2026'!$B$6:$B$25,MATCH(LARGE('Perhitungan IPH Mingguan 2026'!$GE$6:$GE$25,3),'Perhitungan IPH Mingguan 2026'!$GE$6:$GE$25,0)),"-")</f>
        <v>cabai rawit 01173013</v>
      </c>
      <c r="C136" s="17">
        <f>IFERROR(INDEX('Perhitungan IPH Mingguan 2026'!$C$6:$C$25,MATCH(LARGE('Perhitungan IPH Mingguan 2026'!$GE$6:$GE$25,3),'Perhitungan IPH Mingguan 2026'!$GE$6:$GE$25,0)),"")</f>
        <v>1.7701732362870599E-2</v>
      </c>
      <c r="D136" s="12">
        <f>IFERROR(INDEX('Perhitungan IPH Mingguan 2026'!$BA$6:$BA$25,MATCH(LARGE('Perhitungan IPH Mingguan 2026'!$GE$6:$GE$25,3),'Perhitungan IPH Mingguan 2026'!$GE$6:$GE$25,0)),"")</f>
        <v>28.634549600912194</v>
      </c>
      <c r="E136" s="4">
        <f>IFERROR(INDEX('Perhitungan IPH Mingguan 2026'!$BB$6:$BB$25,MATCH(LARGE('Perhitungan IPH Mingguan 2026'!$GE$6:$GE$25,3),'Perhitungan IPH Mingguan 2026'!$GE$6:$GE$25,0)),"")</f>
        <v>0.50688113336669083</v>
      </c>
      <c r="F136" s="18" t="str">
        <f>IF(ISNUMBER(E136),IF(E136&gt;0,"Penyumbang KENAIKAN IPH","Penyumbang PENURUNAN IPH"),"-")</f>
        <v>Penyumbang KENAIKAN IPH</v>
      </c>
    </row>
    <row r="137" spans="1:6" x14ac:dyDescent="0.35">
      <c r="A137" s="3">
        <v>4</v>
      </c>
      <c r="B137" s="5" t="str">
        <f>IFERROR(INDEX('Perhitungan IPH Mingguan 2026'!$B$6:$B$25,MATCH(LARGE('Perhitungan IPH Mingguan 2026'!$GE$6:$GE$25,4),'Perhitungan IPH Mingguan 2026'!$GE$6:$GE$25,0)),"-")</f>
        <v>udang lobster 01132004</v>
      </c>
      <c r="C137" s="17">
        <f>IFERROR(INDEX('Perhitungan IPH Mingguan 2026'!$C$6:$C$25,MATCH(LARGE('Perhitungan IPH Mingguan 2026'!$GE$6:$GE$25,4),'Perhitungan IPH Mingguan 2026'!$GE$6:$GE$25,0)),"")</f>
        <v>3.7010754321023603E-2</v>
      </c>
      <c r="D137" s="12">
        <f>IFERROR(INDEX('Perhitungan IPH Mingguan 2026'!$BA$6:$BA$25,MATCH(LARGE('Perhitungan IPH Mingguan 2026'!$GE$6:$GE$25,4),'Perhitungan IPH Mingguan 2026'!$GE$6:$GE$25,0)),"")</f>
        <v>-8.1385979049153949</v>
      </c>
      <c r="E137" s="4">
        <f>IFERROR(INDEX('Perhitungan IPH Mingguan 2026'!$BB$6:$BB$25,MATCH(LARGE('Perhitungan IPH Mingguan 2026'!$GE$6:$GE$25,4),'Perhitungan IPH Mingguan 2026'!$GE$6:$GE$25,0)),"")</f>
        <v>-0.30121564757642111</v>
      </c>
      <c r="F137" s="18" t="str">
        <f>IF(ISNUMBER(E137),IF(E137&gt;0,"Penyumbang KENAIKAN IPH","Penyumbang PENURUNAN IPH"),"-")</f>
        <v>Penyumbang PENURUNAN IPH</v>
      </c>
    </row>
    <row r="138" spans="1:6" x14ac:dyDescent="0.35">
      <c r="A138" s="3">
        <v>5</v>
      </c>
      <c r="B138" s="5" t="str">
        <f>IFERROR(INDEX('Perhitungan IPH Mingguan 2026'!$B$6:$B$25,MATCH(LARGE('Perhitungan IPH Mingguan 2026'!$GE$6:$GE$25,5),'Perhitungan IPH Mingguan 2026'!$GE$6:$GE$25,0)),"-")</f>
        <v>telur ayam ras 01147002</v>
      </c>
      <c r="C138" s="17">
        <f>IFERROR(INDEX('Perhitungan IPH Mingguan 2026'!$C$6:$C$25,MATCH(LARGE('Perhitungan IPH Mingguan 2026'!$GE$6:$GE$25,5),'Perhitungan IPH Mingguan 2026'!$GE$6:$GE$25,0)),"")</f>
        <v>2.9877791079459301E-2</v>
      </c>
      <c r="D138" s="12">
        <f>IFERROR(INDEX('Perhitungan IPH Mingguan 2026'!$BA$6:$BA$25,MATCH(LARGE('Perhitungan IPH Mingguan 2026'!$GE$6:$GE$25,5),'Perhitungan IPH Mingguan 2026'!$GE$6:$GE$25,0)),"")</f>
        <v>-8.0486542443064142</v>
      </c>
      <c r="E138" s="4">
        <f>IFERROR(INDEX('Perhitungan IPH Mingguan 2026'!$BB$6:$BB$25,MATCH(LARGE('Perhitungan IPH Mingguan 2026'!$GE$6:$GE$25,5),'Perhitungan IPH Mingguan 2026'!$GE$6:$GE$25,0)),"")</f>
        <v>-0.24047600998219043</v>
      </c>
      <c r="F138" s="18" t="str">
        <f>IF(ISNUMBER(E138),IF(E138&gt;0,"Penyumbang KENAIKAN IPH","Penyumbang PENURUNAN IPH"),"-")</f>
        <v>Penyumbang PENURUNAN IPH</v>
      </c>
    </row>
    <row r="140" spans="1:6" x14ac:dyDescent="0.35">
      <c r="A140" s="32" t="s">
        <v>467</v>
      </c>
      <c r="B140" s="32"/>
      <c r="C140" s="32"/>
      <c r="D140" s="32"/>
      <c r="E140" s="32"/>
      <c r="F140" s="32"/>
    </row>
    <row r="141" spans="1:6" x14ac:dyDescent="0.35">
      <c r="A141" s="8" t="s">
        <v>150</v>
      </c>
      <c r="B141" s="8" t="s">
        <v>151</v>
      </c>
      <c r="C141" s="8" t="s">
        <v>63</v>
      </c>
      <c r="D141" s="8" t="s">
        <v>152</v>
      </c>
      <c r="E141" s="8" t="s">
        <v>153</v>
      </c>
      <c r="F141" s="8" t="s">
        <v>154</v>
      </c>
    </row>
    <row r="142" spans="1:6" x14ac:dyDescent="0.35">
      <c r="A142" s="3">
        <v>1</v>
      </c>
      <c r="B142" s="5" t="str">
        <f>IFERROR(INDEX('Perhitungan IPH Mingguan 2026'!$B$6:$B$25,MATCH(LARGE('Perhitungan IPH Mingguan 2026'!$GF$6:$GF$25,1),'Perhitungan IPH Mingguan 2026'!$GF$6:$GF$25,0)),"-")</f>
        <v>daging ayam ras 1124003</v>
      </c>
      <c r="C142" s="17">
        <f>IFERROR(INDEX('Perhitungan IPH Mingguan 2026'!$C$6:$C$25,MATCH(LARGE('Perhitungan IPH Mingguan 2026'!$GF$6:$GF$25,1),'Perhitungan IPH Mingguan 2026'!$GF$6:$GF$25,0)),"")</f>
        <v>4.7910777785027697E-2</v>
      </c>
      <c r="D142" s="12">
        <f>IFERROR(INDEX('Perhitungan IPH Mingguan 2026'!$BD$6:$BD$25,MATCH(LARGE('Perhitungan IPH Mingguan 2026'!$GF$6:$GF$25,1),'Perhitungan IPH Mingguan 2026'!$GF$6:$GF$25,0)),"")</f>
        <v>-16.95804195804196</v>
      </c>
      <c r="E142" s="4">
        <f>IFERROR(INDEX('Perhitungan IPH Mingguan 2026'!$BE$6:$BE$25,MATCH(LARGE('Perhitungan IPH Mingguan 2026'!$GF$6:$GF$25,1),'Perhitungan IPH Mingguan 2026'!$GF$6:$GF$25,0)),"")</f>
        <v>-0.81247297992092438</v>
      </c>
      <c r="F142" s="18" t="str">
        <f>IF(ISNUMBER(E142),IF(E142&gt;0,"Penyumbang KENAIKAN IPH","Penyumbang PENURUNAN IPH"),"-")</f>
        <v>Penyumbang PENURUNAN IPH</v>
      </c>
    </row>
    <row r="143" spans="1:6" x14ac:dyDescent="0.35">
      <c r="A143" s="3">
        <v>2</v>
      </c>
      <c r="B143" s="5" t="str">
        <f>IFERROR(INDEX('Perhitungan IPH Mingguan 2026'!$B$6:$B$25,MATCH(LARGE('Perhitungan IPH Mingguan 2026'!$GF$6:$GF$25,2),'Perhitungan IPH Mingguan 2026'!$GF$6:$GF$25,0)),"-")</f>
        <v>bawang merah 1174006</v>
      </c>
      <c r="C143" s="17">
        <f>IFERROR(INDEX('Perhitungan IPH Mingguan 2026'!$C$6:$C$25,MATCH(LARGE('Perhitungan IPH Mingguan 2026'!$GF$6:$GF$25,2),'Perhitungan IPH Mingguan 2026'!$GF$6:$GF$25,0)),"")</f>
        <v>1.94434650422287E-2</v>
      </c>
      <c r="D143" s="12">
        <f>IFERROR(INDEX('Perhitungan IPH Mingguan 2026'!$BD$6:$BD$25,MATCH(LARGE('Perhitungan IPH Mingguan 2026'!$GF$6:$GF$25,2),'Perhitungan IPH Mingguan 2026'!$GF$6:$GF$25,0)),"")</f>
        <v>38.691983122362878</v>
      </c>
      <c r="E143" s="4">
        <f>IFERROR(INDEX('Perhitungan IPH Mingguan 2026'!$BE$6:$BE$25,MATCH(LARGE('Perhitungan IPH Mingguan 2026'!$GF$6:$GF$25,2),'Perhitungan IPH Mingguan 2026'!$GF$6:$GF$25,0)),"")</f>
        <v>0.75230622125416546</v>
      </c>
      <c r="F143" s="18" t="str">
        <f>IF(ISNUMBER(E143),IF(E143&gt;0,"Penyumbang KENAIKAN IPH","Penyumbang PENURUNAN IPH"),"-")</f>
        <v>Penyumbang KENAIKAN IPH</v>
      </c>
    </row>
    <row r="144" spans="1:6" x14ac:dyDescent="0.35">
      <c r="A144" s="3">
        <v>3</v>
      </c>
      <c r="B144" s="5" t="str">
        <f>IFERROR(INDEX('Perhitungan IPH Mingguan 2026'!$B$6:$B$25,MATCH(LARGE('Perhitungan IPH Mingguan 2026'!$GF$6:$GF$25,3),'Perhitungan IPH Mingguan 2026'!$GF$6:$GF$25,0)),"-")</f>
        <v>udang lobster 01132004</v>
      </c>
      <c r="C144" s="17">
        <f>IFERROR(INDEX('Perhitungan IPH Mingguan 2026'!$C$6:$C$25,MATCH(LARGE('Perhitungan IPH Mingguan 2026'!$GF$6:$GF$25,3),'Perhitungan IPH Mingguan 2026'!$GF$6:$GF$25,0)),"")</f>
        <v>3.7010754321023603E-2</v>
      </c>
      <c r="D144" s="12">
        <f>IFERROR(INDEX('Perhitungan IPH Mingguan 2026'!$BD$6:$BD$25,MATCH(LARGE('Perhitungan IPH Mingguan 2026'!$GF$6:$GF$25,3),'Perhitungan IPH Mingguan 2026'!$GF$6:$GF$25,0)),"")</f>
        <v>-8.1385979049153949</v>
      </c>
      <c r="E144" s="4">
        <f>IFERROR(INDEX('Perhitungan IPH Mingguan 2026'!$BE$6:$BE$25,MATCH(LARGE('Perhitungan IPH Mingguan 2026'!$GF$6:$GF$25,3),'Perhitungan IPH Mingguan 2026'!$GF$6:$GF$25,0)),"")</f>
        <v>-0.30121564757642111</v>
      </c>
      <c r="F144" s="18" t="str">
        <f>IF(ISNUMBER(E144),IF(E144&gt;0,"Penyumbang KENAIKAN IPH","Penyumbang PENURUNAN IPH"),"-")</f>
        <v>Penyumbang PENURUNAN IPH</v>
      </c>
    </row>
    <row r="145" spans="1:6" x14ac:dyDescent="0.35">
      <c r="A145" s="3">
        <v>4</v>
      </c>
      <c r="B145" s="5" t="str">
        <f>IFERROR(INDEX('Perhitungan IPH Mingguan 2026'!$B$6:$B$25,MATCH(LARGE('Perhitungan IPH Mingguan 2026'!$GF$6:$GF$25,4),'Perhitungan IPH Mingguan 2026'!$GF$6:$GF$25,0)),"-")</f>
        <v>telur ayam ras 01147002</v>
      </c>
      <c r="C145" s="17">
        <f>IFERROR(INDEX('Perhitungan IPH Mingguan 2026'!$C$6:$C$25,MATCH(LARGE('Perhitungan IPH Mingguan 2026'!$GF$6:$GF$25,4),'Perhitungan IPH Mingguan 2026'!$GF$6:$GF$25,0)),"")</f>
        <v>2.9877791079459301E-2</v>
      </c>
      <c r="D145" s="12">
        <f>IFERROR(INDEX('Perhitungan IPH Mingguan 2026'!$BD$6:$BD$25,MATCH(LARGE('Perhitungan IPH Mingguan 2026'!$GF$6:$GF$25,4),'Perhitungan IPH Mingguan 2026'!$GF$6:$GF$25,0)),"")</f>
        <v>-9.5238095238095202</v>
      </c>
      <c r="E145" s="4">
        <f>IFERROR(INDEX('Perhitungan IPH Mingguan 2026'!$BE$6:$BE$25,MATCH(LARGE('Perhitungan IPH Mingguan 2026'!$GF$6:$GF$25,4),'Perhitungan IPH Mingguan 2026'!$GF$6:$GF$25,0)),"")</f>
        <v>-0.28455039123294562</v>
      </c>
      <c r="F145" s="18" t="str">
        <f>IF(ISNUMBER(E145),IF(E145&gt;0,"Penyumbang KENAIKAN IPH","Penyumbang PENURUNAN IPH"),"-")</f>
        <v>Penyumbang PENURUNAN IPH</v>
      </c>
    </row>
    <row r="146" spans="1:6" x14ac:dyDescent="0.35">
      <c r="A146" s="3">
        <v>5</v>
      </c>
      <c r="B146" s="5" t="str">
        <f>IFERROR(INDEX('Perhitungan IPH Mingguan 2026'!$B$6:$B$25,MATCH(LARGE('Perhitungan IPH Mingguan 2026'!$GF$6:$GF$25,5),'Perhitungan IPH Mingguan 2026'!$GF$6:$GF$25,0)),"-")</f>
        <v>pisang ambon 1162001</v>
      </c>
      <c r="C146" s="17">
        <f>IFERROR(INDEX('Perhitungan IPH Mingguan 2026'!$C$6:$C$25,MATCH(LARGE('Perhitungan IPH Mingguan 2026'!$GF$6:$GF$25,5),'Perhitungan IPH Mingguan 2026'!$GF$6:$GF$25,0)),"")</f>
        <v>4.0636572858027402E-2</v>
      </c>
      <c r="D146" s="12">
        <f>IFERROR(INDEX('Perhitungan IPH Mingguan 2026'!$BD$6:$BD$25,MATCH(LARGE('Perhitungan IPH Mingguan 2026'!$GF$6:$GF$25,5),'Perhitungan IPH Mingguan 2026'!$GF$6:$GF$25,0)),"")</f>
        <v>-3.0769230769230771</v>
      </c>
      <c r="E146" s="4">
        <f>IFERROR(INDEX('Perhitungan IPH Mingguan 2026'!$BE$6:$BE$25,MATCH(LARGE('Perhitungan IPH Mingguan 2026'!$GF$6:$GF$25,5),'Perhitungan IPH Mingguan 2026'!$GF$6:$GF$25,0)),"")</f>
        <v>-0.12503560879393047</v>
      </c>
      <c r="F146" s="18" t="str">
        <f>IF(ISNUMBER(E146),IF(E146&gt;0,"Penyumbang KENAIKAN IPH","Penyumbang PENURUNAN IPH"),"-")</f>
        <v>Penyumbang PENURUNAN IPH</v>
      </c>
    </row>
    <row r="148" spans="1:6" x14ac:dyDescent="0.35">
      <c r="A148" s="32" t="s">
        <v>468</v>
      </c>
      <c r="B148" s="32"/>
      <c r="C148" s="32"/>
      <c r="D148" s="32"/>
      <c r="E148" s="32"/>
      <c r="F148" s="32"/>
    </row>
    <row r="149" spans="1:6" x14ac:dyDescent="0.35">
      <c r="A149" s="8" t="s">
        <v>150</v>
      </c>
      <c r="B149" s="8" t="s">
        <v>151</v>
      </c>
      <c r="C149" s="8" t="s">
        <v>63</v>
      </c>
      <c r="D149" s="8" t="s">
        <v>152</v>
      </c>
      <c r="E149" s="8" t="s">
        <v>153</v>
      </c>
      <c r="F149" s="8" t="s">
        <v>154</v>
      </c>
    </row>
    <row r="150" spans="1:6" x14ac:dyDescent="0.35">
      <c r="A150" s="3">
        <v>1</v>
      </c>
      <c r="B150" s="5" t="str">
        <f>IFERROR(INDEX('Perhitungan IPH Mingguan 2026'!$B$6:$B$25,MATCH(LARGE('Perhitungan IPH Mingguan 2026'!$GG$6:$GG$25,1),'Perhitungan IPH Mingguan 2026'!$GG$6:$GG$25,0)),"-")</f>
        <v>daging ayam ras 1124003</v>
      </c>
      <c r="C150" s="17">
        <f>IFERROR(INDEX('Perhitungan IPH Mingguan 2026'!$C$6:$C$25,MATCH(LARGE('Perhitungan IPH Mingguan 2026'!$GG$6:$GG$25,1),'Perhitungan IPH Mingguan 2026'!$GG$6:$GG$25,0)),"")</f>
        <v>4.7910777785027697E-2</v>
      </c>
      <c r="D150" s="12">
        <f>IFERROR(INDEX('Perhitungan IPH Mingguan 2026'!$BG$6:$BG$25,MATCH(LARGE('Perhitungan IPH Mingguan 2026'!$GG$6:$GG$25,1),'Perhitungan IPH Mingguan 2026'!$GG$6:$GG$25,0)),"")</f>
        <v>-16.95804195804196</v>
      </c>
      <c r="E150" s="4">
        <f>IFERROR(INDEX('Perhitungan IPH Mingguan 2026'!$BH$6:$BH$25,MATCH(LARGE('Perhitungan IPH Mingguan 2026'!$GG$6:$GG$25,1),'Perhitungan IPH Mingguan 2026'!$GG$6:$GG$25,0)),"")</f>
        <v>-0.81247297992092438</v>
      </c>
      <c r="F150" s="18" t="str">
        <f>IF(ISNUMBER(E150),IF(E150&gt;0,"Penyumbang KENAIKAN IPH","Penyumbang PENURUNAN IPH"),"-")</f>
        <v>Penyumbang PENURUNAN IPH</v>
      </c>
    </row>
    <row r="151" spans="1:6" x14ac:dyDescent="0.35">
      <c r="A151" s="3">
        <v>2</v>
      </c>
      <c r="B151" s="5" t="str">
        <f>IFERROR(INDEX('Perhitungan IPH Mingguan 2026'!$B$6:$B$25,MATCH(LARGE('Perhitungan IPH Mingguan 2026'!$GG$6:$GG$25,2),'Perhitungan IPH Mingguan 2026'!$GG$6:$GG$25,0)),"-")</f>
        <v>cabai rawit 01173013</v>
      </c>
      <c r="C151" s="17">
        <f>IFERROR(INDEX('Perhitungan IPH Mingguan 2026'!$C$6:$C$25,MATCH(LARGE('Perhitungan IPH Mingguan 2026'!$GG$6:$GG$25,2),'Perhitungan IPH Mingguan 2026'!$GG$6:$GG$25,0)),"")</f>
        <v>1.7701732362870599E-2</v>
      </c>
      <c r="D151" s="12">
        <f>IFERROR(INDEX('Perhitungan IPH Mingguan 2026'!$BG$6:$BG$25,MATCH(LARGE('Perhitungan IPH Mingguan 2026'!$GG$6:$GG$25,2),'Perhitungan IPH Mingguan 2026'!$GG$6:$GG$25,0)),"")</f>
        <v>-37.894336754085899</v>
      </c>
      <c r="E151" s="4">
        <f>IFERROR(INDEX('Perhitungan IPH Mingguan 2026'!$BH$6:$BH$25,MATCH(LARGE('Perhitungan IPH Mingguan 2026'!$GG$6:$GG$25,2),'Perhitungan IPH Mingguan 2026'!$GG$6:$GG$25,0)),"")</f>
        <v>-0.67079540728931919</v>
      </c>
      <c r="F151" s="18" t="str">
        <f>IF(ISNUMBER(E151),IF(E151&gt;0,"Penyumbang KENAIKAN IPH","Penyumbang PENURUNAN IPH"),"-")</f>
        <v>Penyumbang PENURUNAN IPH</v>
      </c>
    </row>
    <row r="152" spans="1:6" x14ac:dyDescent="0.35">
      <c r="A152" s="3">
        <v>3</v>
      </c>
      <c r="B152" s="5" t="str">
        <f>IFERROR(INDEX('Perhitungan IPH Mingguan 2026'!$B$6:$B$25,MATCH(LARGE('Perhitungan IPH Mingguan 2026'!$GG$6:$GG$25,3),'Perhitungan IPH Mingguan 2026'!$GG$6:$GG$25,0)),"-")</f>
        <v>bawang merah 1174006</v>
      </c>
      <c r="C152" s="17">
        <f>IFERROR(INDEX('Perhitungan IPH Mingguan 2026'!$C$6:$C$25,MATCH(LARGE('Perhitungan IPH Mingguan 2026'!$GG$6:$GG$25,3),'Perhitungan IPH Mingguan 2026'!$GG$6:$GG$25,0)),"")</f>
        <v>1.94434650422287E-2</v>
      </c>
      <c r="D152" s="12">
        <f>IFERROR(INDEX('Perhitungan IPH Mingguan 2026'!$BG$6:$BG$25,MATCH(LARGE('Perhitungan IPH Mingguan 2026'!$GG$6:$GG$25,3),'Perhitungan IPH Mingguan 2026'!$GG$6:$GG$25,0)),"")</f>
        <v>17.58087201125176</v>
      </c>
      <c r="E152" s="4">
        <f>IFERROR(INDEX('Perhitungan IPH Mingguan 2026'!$BH$6:$BH$25,MATCH(LARGE('Perhitungan IPH Mingguan 2026'!$GG$6:$GG$25,3),'Perhitungan IPH Mingguan 2026'!$GG$6:$GG$25,0)),"")</f>
        <v>0.34183307036267058</v>
      </c>
      <c r="F152" s="18" t="str">
        <f>IF(ISNUMBER(E152),IF(E152&gt;0,"Penyumbang KENAIKAN IPH","Penyumbang PENURUNAN IPH"),"-")</f>
        <v>Penyumbang KENAIKAN IPH</v>
      </c>
    </row>
    <row r="153" spans="1:6" x14ac:dyDescent="0.35">
      <c r="A153" s="3">
        <v>4</v>
      </c>
      <c r="B153" s="5" t="str">
        <f>IFERROR(INDEX('Perhitungan IPH Mingguan 2026'!$B$6:$B$25,MATCH(LARGE('Perhitungan IPH Mingguan 2026'!$GG$6:$GG$25,4),'Perhitungan IPH Mingguan 2026'!$GG$6:$GG$25,0)),"-")</f>
        <v>pisang ambon 1162001</v>
      </c>
      <c r="C153" s="17">
        <f>IFERROR(INDEX('Perhitungan IPH Mingguan 2026'!$C$6:$C$25,MATCH(LARGE('Perhitungan IPH Mingguan 2026'!$GG$6:$GG$25,4),'Perhitungan IPH Mingguan 2026'!$GG$6:$GG$25,0)),"")</f>
        <v>4.0636572858027402E-2</v>
      </c>
      <c r="D153" s="12">
        <f>IFERROR(INDEX('Perhitungan IPH Mingguan 2026'!$BG$6:$BG$25,MATCH(LARGE('Perhitungan IPH Mingguan 2026'!$GG$6:$GG$25,4),'Perhitungan IPH Mingguan 2026'!$GG$6:$GG$25,0)),"")</f>
        <v>-7.6923076923076925</v>
      </c>
      <c r="E153" s="4">
        <f>IFERROR(INDEX('Perhitungan IPH Mingguan 2026'!$BH$6:$BH$25,MATCH(LARGE('Perhitungan IPH Mingguan 2026'!$GG$6:$GG$25,4),'Perhitungan IPH Mingguan 2026'!$GG$6:$GG$25,0)),"")</f>
        <v>-0.31258902198482619</v>
      </c>
      <c r="F153" s="18" t="str">
        <f>IF(ISNUMBER(E153),IF(E153&gt;0,"Penyumbang KENAIKAN IPH","Penyumbang PENURUNAN IPH"),"-")</f>
        <v>Penyumbang PENURUNAN IPH</v>
      </c>
    </row>
    <row r="154" spans="1:6" x14ac:dyDescent="0.35">
      <c r="A154" s="3">
        <v>5</v>
      </c>
      <c r="B154" s="5" t="str">
        <f>IFERROR(INDEX('Perhitungan IPH Mingguan 2026'!$B$6:$B$25,MATCH(LARGE('Perhitungan IPH Mingguan 2026'!$GG$6:$GG$25,5),'Perhitungan IPH Mingguan 2026'!$GG$6:$GG$25,0)),"-")</f>
        <v>udang lobster 01132004</v>
      </c>
      <c r="C154" s="17">
        <f>IFERROR(INDEX('Perhitungan IPH Mingguan 2026'!$C$6:$C$25,MATCH(LARGE('Perhitungan IPH Mingguan 2026'!$GG$6:$GG$25,5),'Perhitungan IPH Mingguan 2026'!$GG$6:$GG$25,0)),"")</f>
        <v>3.7010754321023603E-2</v>
      </c>
      <c r="D154" s="12">
        <f>IFERROR(INDEX('Perhitungan IPH Mingguan 2026'!$BG$6:$BG$25,MATCH(LARGE('Perhitungan IPH Mingguan 2026'!$GG$6:$GG$25,5),'Perhitungan IPH Mingguan 2026'!$GG$6:$GG$25,0)),"")</f>
        <v>-8.1385979049153949</v>
      </c>
      <c r="E154" s="4">
        <f>IFERROR(INDEX('Perhitungan IPH Mingguan 2026'!$BH$6:$BH$25,MATCH(LARGE('Perhitungan IPH Mingguan 2026'!$GG$6:$GG$25,5),'Perhitungan IPH Mingguan 2026'!$GG$6:$GG$25,0)),"")</f>
        <v>-0.30121564757642111</v>
      </c>
      <c r="F154" s="18" t="str">
        <f>IF(ISNUMBER(E154),IF(E154&gt;0,"Penyumbang KENAIKAN IPH","Penyumbang PENURUNAN IPH"),"-")</f>
        <v>Penyumbang PENURUNAN IPH</v>
      </c>
    </row>
    <row r="156" spans="1:6" x14ac:dyDescent="0.35">
      <c r="A156" s="32" t="s">
        <v>469</v>
      </c>
      <c r="B156" s="32"/>
      <c r="C156" s="32"/>
      <c r="D156" s="32"/>
      <c r="E156" s="32"/>
      <c r="F156" s="32"/>
    </row>
    <row r="157" spans="1:6" x14ac:dyDescent="0.35">
      <c r="A157" s="8" t="s">
        <v>150</v>
      </c>
      <c r="B157" s="8" t="s">
        <v>151</v>
      </c>
      <c r="C157" s="8" t="s">
        <v>63</v>
      </c>
      <c r="D157" s="8" t="s">
        <v>152</v>
      </c>
      <c r="E157" s="8" t="s">
        <v>153</v>
      </c>
      <c r="F157" s="8" t="s">
        <v>154</v>
      </c>
    </row>
    <row r="158" spans="1:6" x14ac:dyDescent="0.35">
      <c r="A158" s="3">
        <v>1</v>
      </c>
      <c r="B158" s="5" t="str">
        <f>IFERROR(INDEX('Perhitungan IPH Mingguan 2026'!$B$6:$B$25,MATCH(LARGE('Perhitungan IPH Mingguan 2026'!$GH$6:$GH$25,1),'Perhitungan IPH Mingguan 2026'!$GH$6:$GH$25,0)),"-")</f>
        <v>cabai rawit 01173013</v>
      </c>
      <c r="C158" s="17">
        <f>IFERROR(INDEX('Perhitungan IPH Mingguan 2026'!$C$6:$C$25,MATCH(LARGE('Perhitungan IPH Mingguan 2026'!$GH$6:$GH$25,1),'Perhitungan IPH Mingguan 2026'!$GH$6:$GH$25,0)),"")</f>
        <v>1.7701732362870599E-2</v>
      </c>
      <c r="D158" s="12">
        <f>IFERROR(INDEX('Perhitungan IPH Mingguan 2026'!$BJ$6:$BJ$25,MATCH(LARGE('Perhitungan IPH Mingguan 2026'!$GH$6:$GH$25,1),'Perhitungan IPH Mingguan 2026'!$GH$6:$GH$25,0)),"")</f>
        <v>-44.554455445544555</v>
      </c>
      <c r="E158" s="4">
        <f>IFERROR(INDEX('Perhitungan IPH Mingguan 2026'!$BK$6:$BK$25,MATCH(LARGE('Perhitungan IPH Mingguan 2026'!$GH$6:$GH$25,1),'Perhitungan IPH Mingguan 2026'!$GH$6:$GH$25,0)),"")</f>
        <v>-0.78869104587047223</v>
      </c>
      <c r="F158" s="18" t="str">
        <f>IF(ISNUMBER(E158),IF(E158&gt;0,"Penyumbang KENAIKAN IPH","Penyumbang PENURUNAN IPH"),"-")</f>
        <v>Penyumbang PENURUNAN IPH</v>
      </c>
    </row>
    <row r="159" spans="1:6" x14ac:dyDescent="0.35">
      <c r="A159" s="3">
        <v>2</v>
      </c>
      <c r="B159" s="5" t="str">
        <f>IFERROR(INDEX('Perhitungan IPH Mingguan 2026'!$B$6:$B$25,MATCH(LARGE('Perhitungan IPH Mingguan 2026'!$GH$6:$GH$25,2),'Perhitungan IPH Mingguan 2026'!$GH$6:$GH$25,0)),"-")</f>
        <v>daging sapi 01121001</v>
      </c>
      <c r="C159" s="17">
        <f>IFERROR(INDEX('Perhitungan IPH Mingguan 2026'!$C$6:$C$25,MATCH(LARGE('Perhitungan IPH Mingguan 2026'!$GH$6:$GH$25,2),'Perhitungan IPH Mingguan 2026'!$GH$6:$GH$25,0)),"")</f>
        <v>5.98704213474298E-2</v>
      </c>
      <c r="D159" s="12">
        <f>IFERROR(INDEX('Perhitungan IPH Mingguan 2026'!$BJ$6:$BJ$25,MATCH(LARGE('Perhitungan IPH Mingguan 2026'!$GH$6:$GH$25,2),'Perhitungan IPH Mingguan 2026'!$GH$6:$GH$25,0)),"")</f>
        <v>-6.6485753052917111</v>
      </c>
      <c r="E159" s="4">
        <f>IFERROR(INDEX('Perhitungan IPH Mingguan 2026'!$BK$6:$BK$25,MATCH(LARGE('Perhitungan IPH Mingguan 2026'!$GH$6:$GH$25,2),'Perhitungan IPH Mingguan 2026'!$GH$6:$GH$25,0)),"")</f>
        <v>-0.39805300488793144</v>
      </c>
      <c r="F159" s="18" t="str">
        <f>IF(ISNUMBER(E159),IF(E159&gt;0,"Penyumbang KENAIKAN IPH","Penyumbang PENURUNAN IPH"),"-")</f>
        <v>Penyumbang PENURUNAN IPH</v>
      </c>
    </row>
    <row r="160" spans="1:6" x14ac:dyDescent="0.35">
      <c r="A160" s="3">
        <v>3</v>
      </c>
      <c r="B160" s="5" t="str">
        <f>IFERROR(INDEX('Perhitungan IPH Mingguan 2026'!$B$6:$B$25,MATCH(LARGE('Perhitungan IPH Mingguan 2026'!$GH$6:$GH$25,3),'Perhitungan IPH Mingguan 2026'!$GH$6:$GH$25,0)),"-")</f>
        <v>cabai merah 01173012</v>
      </c>
      <c r="C160" s="17">
        <f>IFERROR(INDEX('Perhitungan IPH Mingguan 2026'!$C$6:$C$25,MATCH(LARGE('Perhitungan IPH Mingguan 2026'!$GH$6:$GH$25,3),'Perhitungan IPH Mingguan 2026'!$GH$6:$GH$25,0)),"")</f>
        <v>1.10208839376634E-2</v>
      </c>
      <c r="D160" s="12">
        <f>IFERROR(INDEX('Perhitungan IPH Mingguan 2026'!$BJ$6:$BJ$25,MATCH(LARGE('Perhitungan IPH Mingguan 2026'!$GH$6:$GH$25,3),'Perhitungan IPH Mingguan 2026'!$GH$6:$GH$25,0)),"")</f>
        <v>-26.672777268560953</v>
      </c>
      <c r="E160" s="4">
        <f>IFERROR(INDEX('Perhitungan IPH Mingguan 2026'!$BK$6:$BK$25,MATCH(LARGE('Perhitungan IPH Mingguan 2026'!$GH$6:$GH$25,3),'Perhitungan IPH Mingguan 2026'!$GH$6:$GH$25,0)),"")</f>
        <v>-0.29395758257195687</v>
      </c>
      <c r="F160" s="18" t="str">
        <f>IF(ISNUMBER(E160),IF(E160&gt;0,"Penyumbang KENAIKAN IPH","Penyumbang PENURUNAN IPH"),"-")</f>
        <v>Penyumbang PENURUNAN IPH</v>
      </c>
    </row>
    <row r="161" spans="1:6" x14ac:dyDescent="0.35">
      <c r="A161" s="3">
        <v>4</v>
      </c>
      <c r="B161" s="5" t="str">
        <f>IFERROR(INDEX('Perhitungan IPH Mingguan 2026'!$B$6:$B$25,MATCH(LARGE('Perhitungan IPH Mingguan 2026'!$GH$6:$GH$25,4),'Perhitungan IPH Mingguan 2026'!$GH$6:$GH$25,0)),"-")</f>
        <v>bawang merah 1174006</v>
      </c>
      <c r="C161" s="17">
        <f>IFERROR(INDEX('Perhitungan IPH Mingguan 2026'!$C$6:$C$25,MATCH(LARGE('Perhitungan IPH Mingguan 2026'!$GH$6:$GH$25,4),'Perhitungan IPH Mingguan 2026'!$GH$6:$GH$25,0)),"")</f>
        <v>1.94434650422287E-2</v>
      </c>
      <c r="D161" s="12">
        <f>IFERROR(INDEX('Perhitungan IPH Mingguan 2026'!$BJ$6:$BJ$25,MATCH(LARGE('Perhitungan IPH Mingguan 2026'!$GH$6:$GH$25,4),'Perhitungan IPH Mingguan 2026'!$GH$6:$GH$25,0)),"")</f>
        <v>-14.232902033271719</v>
      </c>
      <c r="E161" s="4">
        <f>IFERROR(INDEX('Perhitungan IPH Mingguan 2026'!$BK$6:$BK$25,MATCH(LARGE('Perhitungan IPH Mingguan 2026'!$GH$6:$GH$25,4),'Perhitungan IPH Mingguan 2026'!$GH$6:$GH$25,0)),"")</f>
        <v>-0.27673693313338443</v>
      </c>
      <c r="F161" s="18" t="str">
        <f>IF(ISNUMBER(E161),IF(E161&gt;0,"Penyumbang KENAIKAN IPH","Penyumbang PENURUNAN IPH"),"-")</f>
        <v>Penyumbang PENURUNAN IPH</v>
      </c>
    </row>
    <row r="162" spans="1:6" x14ac:dyDescent="0.35">
      <c r="A162" s="3">
        <v>5</v>
      </c>
      <c r="B162" s="5" t="str">
        <f>IFERROR(INDEX('Perhitungan IPH Mingguan 2026'!$B$6:$B$25,MATCH(LARGE('Perhitungan IPH Mingguan 2026'!$GH$6:$GH$25,5),'Perhitungan IPH Mingguan 2026'!$GH$6:$GH$25,0)),"-")</f>
        <v>ikan kembung 01131028</v>
      </c>
      <c r="C162" s="17">
        <f>IFERROR(INDEX('Perhitungan IPH Mingguan 2026'!$C$6:$C$25,MATCH(LARGE('Perhitungan IPH Mingguan 2026'!$GH$6:$GH$25,5),'Perhitungan IPH Mingguan 2026'!$GH$6:$GH$25,0)),"")</f>
        <v>2.0771540916134899E-2</v>
      </c>
      <c r="D162" s="12">
        <f>IFERROR(INDEX('Perhitungan IPH Mingguan 2026'!$BJ$6:$BJ$25,MATCH(LARGE('Perhitungan IPH Mingguan 2026'!$GH$6:$GH$25,5),'Perhitungan IPH Mingguan 2026'!$GH$6:$GH$25,0)),"")</f>
        <v>-12.885662431941924</v>
      </c>
      <c r="E162" s="4">
        <f>IFERROR(INDEX('Perhitungan IPH Mingguan 2026'!$BK$6:$BK$25,MATCH(LARGE('Perhitungan IPH Mingguan 2026'!$GH$6:$GH$25,5),'Perhitungan IPH Mingguan 2026'!$GH$6:$GH$25,0)),"")</f>
        <v>-0.26765506443658399</v>
      </c>
      <c r="F162" s="18" t="str">
        <f>IF(ISNUMBER(E162),IF(E162&gt;0,"Penyumbang KENAIKAN IPH","Penyumbang PENURUNAN IPH"),"-")</f>
        <v>Penyumbang PENURUNAN IPH</v>
      </c>
    </row>
    <row r="164" spans="1:6" x14ac:dyDescent="0.35">
      <c r="A164" s="32" t="s">
        <v>470</v>
      </c>
      <c r="B164" s="32"/>
      <c r="C164" s="32"/>
      <c r="D164" s="32"/>
      <c r="E164" s="32"/>
      <c r="F164" s="32"/>
    </row>
    <row r="165" spans="1:6" x14ac:dyDescent="0.35">
      <c r="A165" s="8" t="s">
        <v>150</v>
      </c>
      <c r="B165" s="8" t="s">
        <v>151</v>
      </c>
      <c r="C165" s="8" t="s">
        <v>63</v>
      </c>
      <c r="D165" s="8" t="s">
        <v>152</v>
      </c>
      <c r="E165" s="8" t="s">
        <v>153</v>
      </c>
      <c r="F165" s="8" t="s">
        <v>154</v>
      </c>
    </row>
    <row r="166" spans="1:6" x14ac:dyDescent="0.35">
      <c r="A166" s="3">
        <v>1</v>
      </c>
      <c r="B166" s="5" t="str">
        <f>IFERROR(INDEX('Perhitungan IPH Mingguan 2026'!$B$6:$B$25,MATCH(LARGE('Perhitungan IPH Mingguan 2026'!$GI$6:$GI$25,1),'Perhitungan IPH Mingguan 2026'!$GI$6:$GI$25,0)),"-")</f>
        <v>cabai rawit 01173013</v>
      </c>
      <c r="C166" s="17">
        <f>IFERROR(INDEX('Perhitungan IPH Mingguan 2026'!$C$6:$C$25,MATCH(LARGE('Perhitungan IPH Mingguan 2026'!$GI$6:$GI$25,1),'Perhitungan IPH Mingguan 2026'!$GI$6:$GI$25,0)),"")</f>
        <v>1.7701732362870599E-2</v>
      </c>
      <c r="D166" s="12">
        <f>IFERROR(INDEX('Perhitungan IPH Mingguan 2026'!$BM$6:$BM$25,MATCH(LARGE('Perhitungan IPH Mingguan 2026'!$GI$6:$GI$25,1),'Perhitungan IPH Mingguan 2026'!$GI$6:$GI$25,0)),"")</f>
        <v>-46.930693069306926</v>
      </c>
      <c r="E166" s="4">
        <f>IFERROR(INDEX('Perhitungan IPH Mingguan 2026'!$BN$6:$BN$25,MATCH(LARGE('Perhitungan IPH Mingguan 2026'!$GI$6:$GI$25,1),'Perhitungan IPH Mingguan 2026'!$GI$6:$GI$25,0)),"")</f>
        <v>-0.83075456831689731</v>
      </c>
      <c r="F166" s="18" t="str">
        <f>IF(ISNUMBER(E166),IF(E166&gt;0,"Penyumbang KENAIKAN IPH","Penyumbang PENURUNAN IPH"),"-")</f>
        <v>Penyumbang PENURUNAN IPH</v>
      </c>
    </row>
    <row r="167" spans="1:6" x14ac:dyDescent="0.35">
      <c r="A167" s="3">
        <v>2</v>
      </c>
      <c r="B167" s="5" t="str">
        <f>IFERROR(INDEX('Perhitungan IPH Mingguan 2026'!$B$6:$B$25,MATCH(LARGE('Perhitungan IPH Mingguan 2026'!$GI$6:$GI$25,2),'Perhitungan IPH Mingguan 2026'!$GI$6:$GI$25,0)),"-")</f>
        <v>daging sapi 01121001</v>
      </c>
      <c r="C167" s="17">
        <f>IFERROR(INDEX('Perhitungan IPH Mingguan 2026'!$C$6:$C$25,MATCH(LARGE('Perhitungan IPH Mingguan 2026'!$GI$6:$GI$25,2),'Perhitungan IPH Mingguan 2026'!$GI$6:$GI$25,0)),"")</f>
        <v>5.98704213474298E-2</v>
      </c>
      <c r="D167" s="12">
        <f>IFERROR(INDEX('Perhitungan IPH Mingguan 2026'!$BM$6:$BM$25,MATCH(LARGE('Perhitungan IPH Mingguan 2026'!$GI$6:$GI$25,2),'Perhitungan IPH Mingguan 2026'!$GI$6:$GI$25,0)),"")</f>
        <v>-6.6485753052917111</v>
      </c>
      <c r="E167" s="4">
        <f>IFERROR(INDEX('Perhitungan IPH Mingguan 2026'!$BN$6:$BN$25,MATCH(LARGE('Perhitungan IPH Mingguan 2026'!$GI$6:$GI$25,2),'Perhitungan IPH Mingguan 2026'!$GI$6:$GI$25,0)),"")</f>
        <v>-0.39805300488793144</v>
      </c>
      <c r="F167" s="18" t="str">
        <f>IF(ISNUMBER(E167),IF(E167&gt;0,"Penyumbang KENAIKAN IPH","Penyumbang PENURUNAN IPH"),"-")</f>
        <v>Penyumbang PENURUNAN IPH</v>
      </c>
    </row>
    <row r="168" spans="1:6" x14ac:dyDescent="0.35">
      <c r="A168" s="3">
        <v>3</v>
      </c>
      <c r="B168" s="5" t="str">
        <f>IFERROR(INDEX('Perhitungan IPH Mingguan 2026'!$B$6:$B$25,MATCH(LARGE('Perhitungan IPH Mingguan 2026'!$GI$6:$GI$25,3),'Perhitungan IPH Mingguan 2026'!$GI$6:$GI$25,0)),"-")</f>
        <v>ikan kembung 01131028</v>
      </c>
      <c r="C168" s="17">
        <f>IFERROR(INDEX('Perhitungan IPH Mingguan 2026'!$C$6:$C$25,MATCH(LARGE('Perhitungan IPH Mingguan 2026'!$GI$6:$GI$25,3),'Perhitungan IPH Mingguan 2026'!$GI$6:$GI$25,0)),"")</f>
        <v>2.0771540916134899E-2</v>
      </c>
      <c r="D168" s="12">
        <f>IFERROR(INDEX('Perhitungan IPH Mingguan 2026'!$BM$6:$BM$25,MATCH(LARGE('Perhitungan IPH Mingguan 2026'!$GI$6:$GI$25,3),'Perhitungan IPH Mingguan 2026'!$GI$6:$GI$25,0)),"")</f>
        <v>-12.885662431941924</v>
      </c>
      <c r="E168" s="4">
        <f>IFERROR(INDEX('Perhitungan IPH Mingguan 2026'!$BN$6:$BN$25,MATCH(LARGE('Perhitungan IPH Mingguan 2026'!$GI$6:$GI$25,3),'Perhitungan IPH Mingguan 2026'!$GI$6:$GI$25,0)),"")</f>
        <v>-0.26765506443658399</v>
      </c>
      <c r="F168" s="18" t="str">
        <f>IF(ISNUMBER(E168),IF(E168&gt;0,"Penyumbang KENAIKAN IPH","Penyumbang PENURUNAN IPH"),"-")</f>
        <v>Penyumbang PENURUNAN IPH</v>
      </c>
    </row>
    <row r="169" spans="1:6" x14ac:dyDescent="0.35">
      <c r="A169" s="3">
        <v>4</v>
      </c>
      <c r="B169" s="5" t="str">
        <f>IFERROR(INDEX('Perhitungan IPH Mingguan 2026'!$B$6:$B$25,MATCH(LARGE('Perhitungan IPH Mingguan 2026'!$GI$6:$GI$25,4),'Perhitungan IPH Mingguan 2026'!$GI$6:$GI$25,0)),"-")</f>
        <v>cabai merah 01173012</v>
      </c>
      <c r="C169" s="17">
        <f>IFERROR(INDEX('Perhitungan IPH Mingguan 2026'!$C$6:$C$25,MATCH(LARGE('Perhitungan IPH Mingguan 2026'!$GI$6:$GI$25,4),'Perhitungan IPH Mingguan 2026'!$GI$6:$GI$25,0)),"")</f>
        <v>1.10208839376634E-2</v>
      </c>
      <c r="D169" s="12">
        <f>IFERROR(INDEX('Perhitungan IPH Mingguan 2026'!$BM$6:$BM$25,MATCH(LARGE('Perhitungan IPH Mingguan 2026'!$GI$6:$GI$25,4),'Perhitungan IPH Mingguan 2026'!$GI$6:$GI$25,0)),"")</f>
        <v>-23.153070577451878</v>
      </c>
      <c r="E169" s="4">
        <f>IFERROR(INDEX('Perhitungan IPH Mingguan 2026'!$BN$6:$BN$25,MATCH(LARGE('Perhitungan IPH Mingguan 2026'!$GI$6:$GI$25,4),'Perhitungan IPH Mingguan 2026'!$GI$6:$GI$25,0)),"")</f>
        <v>-0.25516730363462647</v>
      </c>
      <c r="F169" s="18" t="str">
        <f>IF(ISNUMBER(E169),IF(E169&gt;0,"Penyumbang KENAIKAN IPH","Penyumbang PENURUNAN IPH"),"-")</f>
        <v>Penyumbang PENURUNAN IPH</v>
      </c>
    </row>
    <row r="170" spans="1:6" x14ac:dyDescent="0.35">
      <c r="A170" s="3">
        <v>5</v>
      </c>
      <c r="B170" s="5" t="str">
        <f>IFERROR(INDEX('Perhitungan IPH Mingguan 2026'!$B$6:$B$25,MATCH(LARGE('Perhitungan IPH Mingguan 2026'!$GI$6:$GI$25,5),'Perhitungan IPH Mingguan 2026'!$GI$6:$GI$25,0)),"-")</f>
        <v>bawang merah 1174006</v>
      </c>
      <c r="C170" s="17">
        <f>IFERROR(INDEX('Perhitungan IPH Mingguan 2026'!$C$6:$C$25,MATCH(LARGE('Perhitungan IPH Mingguan 2026'!$GI$6:$GI$25,5),'Perhitungan IPH Mingguan 2026'!$GI$6:$GI$25,0)),"")</f>
        <v>1.94434650422287E-2</v>
      </c>
      <c r="D170" s="12">
        <f>IFERROR(INDEX('Perhitungan IPH Mingguan 2026'!$BM$6:$BM$25,MATCH(LARGE('Perhitungan IPH Mingguan 2026'!$GI$6:$GI$25,5),'Perhitungan IPH Mingguan 2026'!$GI$6:$GI$25,0)),"")</f>
        <v>-13.049907578558226</v>
      </c>
      <c r="E170" s="4">
        <f>IFERROR(INDEX('Perhitungan IPH Mingguan 2026'!$BN$6:$BN$25,MATCH(LARGE('Perhitungan IPH Mingguan 2026'!$GI$6:$GI$25,5),'Perhitungan IPH Mingguan 2026'!$GI$6:$GI$25,0)),"")</f>
        <v>-0.25373542180801223</v>
      </c>
      <c r="F170" s="18" t="str">
        <f>IF(ISNUMBER(E170),IF(E170&gt;0,"Penyumbang KENAIKAN IPH","Penyumbang PENURUNAN IPH"),"-")</f>
        <v>Penyumbang PENURUNAN IPH</v>
      </c>
    </row>
    <row r="172" spans="1:6" x14ac:dyDescent="0.35">
      <c r="A172" s="32" t="s">
        <v>471</v>
      </c>
      <c r="B172" s="32"/>
      <c r="C172" s="32"/>
      <c r="D172" s="32"/>
      <c r="E172" s="32"/>
      <c r="F172" s="32"/>
    </row>
    <row r="173" spans="1:6" x14ac:dyDescent="0.35">
      <c r="A173" s="8" t="s">
        <v>150</v>
      </c>
      <c r="B173" s="8" t="s">
        <v>151</v>
      </c>
      <c r="C173" s="8" t="s">
        <v>63</v>
      </c>
      <c r="D173" s="8" t="s">
        <v>152</v>
      </c>
      <c r="E173" s="8" t="s">
        <v>153</v>
      </c>
      <c r="F173" s="8" t="s">
        <v>154</v>
      </c>
    </row>
    <row r="174" spans="1:6" x14ac:dyDescent="0.35">
      <c r="A174" s="3">
        <v>1</v>
      </c>
      <c r="B174" s="5" t="str">
        <f>IFERROR(INDEX('Perhitungan IPH Mingguan 2026'!$B$6:$B$25,MATCH(LARGE('Perhitungan IPH Mingguan 2026'!$GJ$6:$GJ$25,1),'Perhitungan IPH Mingguan 2026'!$GJ$6:$GJ$25,0)),"-")</f>
        <v>cabai rawit 01173013</v>
      </c>
      <c r="C174" s="17">
        <f>IFERROR(INDEX('Perhitungan IPH Mingguan 2026'!$C$6:$C$25,MATCH(LARGE('Perhitungan IPH Mingguan 2026'!$GJ$6:$GJ$25,1),'Perhitungan IPH Mingguan 2026'!$GJ$6:$GJ$25,0)),"")</f>
        <v>1.7701732362870599E-2</v>
      </c>
      <c r="D174" s="12">
        <f>IFERROR(INDEX('Perhitungan IPH Mingguan 2026'!$BP$6:$BP$25,MATCH(LARGE('Perhitungan IPH Mingguan 2026'!$GJ$6:$GJ$25,1),'Perhitungan IPH Mingguan 2026'!$GJ$6:$GJ$25,0)),"")</f>
        <v>-60.396039603960396</v>
      </c>
      <c r="E174" s="4">
        <f>IFERROR(INDEX('Perhitungan IPH Mingguan 2026'!$BQ$6:$BQ$25,MATCH(LARGE('Perhitungan IPH Mingguan 2026'!$GJ$6:$GJ$25,1),'Perhitungan IPH Mingguan 2026'!$GJ$6:$GJ$25,0)),"")</f>
        <v>-1.0691145288466402</v>
      </c>
      <c r="F174" s="18" t="str">
        <f>IF(ISNUMBER(E174),IF(E174&gt;0,"Penyumbang KENAIKAN IPH","Penyumbang PENURUNAN IPH"),"-")</f>
        <v>Penyumbang PENURUNAN IPH</v>
      </c>
    </row>
    <row r="175" spans="1:6" x14ac:dyDescent="0.35">
      <c r="A175" s="3">
        <v>2</v>
      </c>
      <c r="B175" s="5" t="str">
        <f>IFERROR(INDEX('Perhitungan IPH Mingguan 2026'!$B$6:$B$25,MATCH(LARGE('Perhitungan IPH Mingguan 2026'!$GJ$6:$GJ$25,2),'Perhitungan IPH Mingguan 2026'!$GJ$6:$GJ$25,0)),"-")</f>
        <v>daging sapi 01121001</v>
      </c>
      <c r="C175" s="17">
        <f>IFERROR(INDEX('Perhitungan IPH Mingguan 2026'!$C$6:$C$25,MATCH(LARGE('Perhitungan IPH Mingguan 2026'!$GJ$6:$GJ$25,2),'Perhitungan IPH Mingguan 2026'!$GJ$6:$GJ$25,0)),"")</f>
        <v>5.98704213474298E-2</v>
      </c>
      <c r="D175" s="12">
        <f>IFERROR(INDEX('Perhitungan IPH Mingguan 2026'!$BP$6:$BP$25,MATCH(LARGE('Perhitungan IPH Mingguan 2026'!$GJ$6:$GJ$25,2),'Perhitungan IPH Mingguan 2026'!$GJ$6:$GJ$25,0)),"")</f>
        <v>-6.6485753052917111</v>
      </c>
      <c r="E175" s="4">
        <f>IFERROR(INDEX('Perhitungan IPH Mingguan 2026'!$BQ$6:$BQ$25,MATCH(LARGE('Perhitungan IPH Mingguan 2026'!$GJ$6:$GJ$25,2),'Perhitungan IPH Mingguan 2026'!$GJ$6:$GJ$25,0)),"")</f>
        <v>-0.39805300488793144</v>
      </c>
      <c r="F175" s="18" t="str">
        <f>IF(ISNUMBER(E175),IF(E175&gt;0,"Penyumbang KENAIKAN IPH","Penyumbang PENURUNAN IPH"),"-")</f>
        <v>Penyumbang PENURUNAN IPH</v>
      </c>
    </row>
    <row r="176" spans="1:6" x14ac:dyDescent="0.35">
      <c r="A176" s="3">
        <v>3</v>
      </c>
      <c r="B176" s="5" t="str">
        <f>IFERROR(INDEX('Perhitungan IPH Mingguan 2026'!$B$6:$B$25,MATCH(LARGE('Perhitungan IPH Mingguan 2026'!$GJ$6:$GJ$25,3),'Perhitungan IPH Mingguan 2026'!$GJ$6:$GJ$25,0)),"-")</f>
        <v>cabai merah 01173012</v>
      </c>
      <c r="C176" s="17">
        <f>IFERROR(INDEX('Perhitungan IPH Mingguan 2026'!$C$6:$C$25,MATCH(LARGE('Perhitungan IPH Mingguan 2026'!$GJ$6:$GJ$25,3),'Perhitungan IPH Mingguan 2026'!$GJ$6:$GJ$25,0)),"")</f>
        <v>1.10208839376634E-2</v>
      </c>
      <c r="D176" s="12">
        <f>IFERROR(INDEX('Perhitungan IPH Mingguan 2026'!$BP$6:$BP$25,MATCH(LARGE('Perhitungan IPH Mingguan 2026'!$GJ$6:$GJ$25,3),'Perhitungan IPH Mingguan 2026'!$GJ$6:$GJ$25,0)),"")</f>
        <v>-29.605866177818513</v>
      </c>
      <c r="E176" s="4">
        <f>IFERROR(INDEX('Perhitungan IPH Mingguan 2026'!$BQ$6:$BQ$25,MATCH(LARGE('Perhitungan IPH Mingguan 2026'!$GJ$6:$GJ$25,3),'Perhitungan IPH Mingguan 2026'!$GJ$6:$GJ$25,0)),"")</f>
        <v>-0.32628281501973216</v>
      </c>
      <c r="F176" s="18" t="str">
        <f>IF(ISNUMBER(E176),IF(E176&gt;0,"Penyumbang KENAIKAN IPH","Penyumbang PENURUNAN IPH"),"-")</f>
        <v>Penyumbang PENURUNAN IPH</v>
      </c>
    </row>
    <row r="177" spans="1:6" x14ac:dyDescent="0.35">
      <c r="A177" s="3">
        <v>4</v>
      </c>
      <c r="B177" s="5" t="str">
        <f>IFERROR(INDEX('Perhitungan IPH Mingguan 2026'!$B$6:$B$25,MATCH(LARGE('Perhitungan IPH Mingguan 2026'!$GJ$6:$GJ$25,4),'Perhitungan IPH Mingguan 2026'!$GJ$6:$GJ$25,0)),"-")</f>
        <v>ikan kembung 01131028</v>
      </c>
      <c r="C177" s="17">
        <f>IFERROR(INDEX('Perhitungan IPH Mingguan 2026'!$C$6:$C$25,MATCH(LARGE('Perhitungan IPH Mingguan 2026'!$GJ$6:$GJ$25,4),'Perhitungan IPH Mingguan 2026'!$GJ$6:$GJ$25,0)),"")</f>
        <v>2.0771540916134899E-2</v>
      </c>
      <c r="D177" s="12">
        <f>IFERROR(INDEX('Perhitungan IPH Mingguan 2026'!$BP$6:$BP$25,MATCH(LARGE('Perhitungan IPH Mingguan 2026'!$GJ$6:$GJ$25,4),'Perhitungan IPH Mingguan 2026'!$GJ$6:$GJ$25,0)),"")</f>
        <v>-12.885662431941924</v>
      </c>
      <c r="E177" s="4">
        <f>IFERROR(INDEX('Perhitungan IPH Mingguan 2026'!$BQ$6:$BQ$25,MATCH(LARGE('Perhitungan IPH Mingguan 2026'!$GJ$6:$GJ$25,4),'Perhitungan IPH Mingguan 2026'!$GJ$6:$GJ$25,0)),"")</f>
        <v>-0.26765506443658399</v>
      </c>
      <c r="F177" s="18" t="str">
        <f>IF(ISNUMBER(E177),IF(E177&gt;0,"Penyumbang KENAIKAN IPH","Penyumbang PENURUNAN IPH"),"-")</f>
        <v>Penyumbang PENURUNAN IPH</v>
      </c>
    </row>
    <row r="178" spans="1:6" x14ac:dyDescent="0.35">
      <c r="A178" s="3">
        <v>5</v>
      </c>
      <c r="B178" s="5" t="str">
        <f>IFERROR(INDEX('Perhitungan IPH Mingguan 2026'!$B$6:$B$25,MATCH(LARGE('Perhitungan IPH Mingguan 2026'!$GJ$6:$GJ$25,5),'Perhitungan IPH Mingguan 2026'!$GJ$6:$GJ$25,0)),"-")</f>
        <v>pisang ambon 1162001</v>
      </c>
      <c r="C178" s="17">
        <f>IFERROR(INDEX('Perhitungan IPH Mingguan 2026'!$C$6:$C$25,MATCH(LARGE('Perhitungan IPH Mingguan 2026'!$GJ$6:$GJ$25,5),'Perhitungan IPH Mingguan 2026'!$GJ$6:$GJ$25,0)),"")</f>
        <v>4.0636572858027402E-2</v>
      </c>
      <c r="D178" s="12">
        <f>IFERROR(INDEX('Perhitungan IPH Mingguan 2026'!$BP$6:$BP$25,MATCH(LARGE('Perhitungan IPH Mingguan 2026'!$GJ$6:$GJ$25,5),'Perhitungan IPH Mingguan 2026'!$GJ$6:$GJ$25,0)),"")</f>
        <v>-5.4187192118226601</v>
      </c>
      <c r="E178" s="4">
        <f>IFERROR(INDEX('Perhitungan IPH Mingguan 2026'!$BQ$6:$BQ$25,MATCH(LARGE('Perhitungan IPH Mingguan 2026'!$GJ$6:$GJ$25,5),'Perhitungan IPH Mingguan 2026'!$GJ$6:$GJ$25,0)),"")</f>
        <v>-0.22019817804842434</v>
      </c>
      <c r="F178" s="18" t="str">
        <f>IF(ISNUMBER(E178),IF(E178&gt;0,"Penyumbang KENAIKAN IPH","Penyumbang PENURUNAN IPH"),"-")</f>
        <v>Penyumbang PENURUNAN IPH</v>
      </c>
    </row>
    <row r="180" spans="1:6" x14ac:dyDescent="0.35">
      <c r="A180" s="32" t="s">
        <v>472</v>
      </c>
      <c r="B180" s="32"/>
      <c r="C180" s="32"/>
      <c r="D180" s="32"/>
      <c r="E180" s="32"/>
      <c r="F180" s="32"/>
    </row>
    <row r="181" spans="1:6" x14ac:dyDescent="0.35">
      <c r="A181" s="8" t="s">
        <v>150</v>
      </c>
      <c r="B181" s="8" t="s">
        <v>151</v>
      </c>
      <c r="C181" s="8" t="s">
        <v>63</v>
      </c>
      <c r="D181" s="8" t="s">
        <v>152</v>
      </c>
      <c r="E181" s="8" t="s">
        <v>153</v>
      </c>
      <c r="F181" s="8" t="s">
        <v>154</v>
      </c>
    </row>
    <row r="182" spans="1:6" x14ac:dyDescent="0.35">
      <c r="A182" s="3">
        <v>1</v>
      </c>
      <c r="B182" s="5" t="str">
        <f>IFERROR(INDEX('Perhitungan IPH Mingguan 2026'!$B$6:$B$25,MATCH(LARGE('Perhitungan IPH Mingguan 2026'!$GK$6:$GK$25,1),'Perhitungan IPH Mingguan 2026'!$GK$6:$GK$25,0)),"-")</f>
        <v>cabai rawit 01173013</v>
      </c>
      <c r="C182" s="17">
        <f>IFERROR(INDEX('Perhitungan IPH Mingguan 2026'!$C$6:$C$25,MATCH(LARGE('Perhitungan IPH Mingguan 2026'!$GK$6:$GK$25,1),'Perhitungan IPH Mingguan 2026'!$GK$6:$GK$25,0)),"")</f>
        <v>1.7701732362870599E-2</v>
      </c>
      <c r="D182" s="12">
        <f>IFERROR(INDEX('Perhitungan IPH Mingguan 2026'!$BS$6:$BS$25,MATCH(LARGE('Perhitungan IPH Mingguan 2026'!$GK$6:$GK$25,1),'Perhitungan IPH Mingguan 2026'!$GK$6:$GK$25,0)),"")</f>
        <v>-60.396039603960396</v>
      </c>
      <c r="E182" s="4">
        <f>IFERROR(INDEX('Perhitungan IPH Mingguan 2026'!$BT$6:$BT$25,MATCH(LARGE('Perhitungan IPH Mingguan 2026'!$GK$6:$GK$25,1),'Perhitungan IPH Mingguan 2026'!$GK$6:$GK$25,0)),"")</f>
        <v>-1.0691145288466402</v>
      </c>
      <c r="F182" s="18" t="str">
        <f>IF(ISNUMBER(E182),IF(E182&gt;0,"Penyumbang KENAIKAN IPH","Penyumbang PENURUNAN IPH"),"-")</f>
        <v>Penyumbang PENURUNAN IPH</v>
      </c>
    </row>
    <row r="183" spans="1:6" x14ac:dyDescent="0.35">
      <c r="A183" s="3">
        <v>2</v>
      </c>
      <c r="B183" s="5" t="str">
        <f>IFERROR(INDEX('Perhitungan IPH Mingguan 2026'!$B$6:$B$25,MATCH(LARGE('Perhitungan IPH Mingguan 2026'!$GK$6:$GK$25,2),'Perhitungan IPH Mingguan 2026'!$GK$6:$GK$25,0)),"-")</f>
        <v>daging sapi 01121001</v>
      </c>
      <c r="C183" s="17">
        <f>IFERROR(INDEX('Perhitungan IPH Mingguan 2026'!$C$6:$C$25,MATCH(LARGE('Perhitungan IPH Mingguan 2026'!$GK$6:$GK$25,2),'Perhitungan IPH Mingguan 2026'!$GK$6:$GK$25,0)),"")</f>
        <v>5.98704213474298E-2</v>
      </c>
      <c r="D183" s="12">
        <f>IFERROR(INDEX('Perhitungan IPH Mingguan 2026'!$BS$6:$BS$25,MATCH(LARGE('Perhitungan IPH Mingguan 2026'!$GK$6:$GK$25,2),'Perhitungan IPH Mingguan 2026'!$GK$6:$GK$25,0)),"")</f>
        <v>-6.6485753052917111</v>
      </c>
      <c r="E183" s="4">
        <f>IFERROR(INDEX('Perhitungan IPH Mingguan 2026'!$BT$6:$BT$25,MATCH(LARGE('Perhitungan IPH Mingguan 2026'!$GK$6:$GK$25,2),'Perhitungan IPH Mingguan 2026'!$GK$6:$GK$25,0)),"")</f>
        <v>-0.39805300488793144</v>
      </c>
      <c r="F183" s="18" t="str">
        <f>IF(ISNUMBER(E183),IF(E183&gt;0,"Penyumbang KENAIKAN IPH","Penyumbang PENURUNAN IPH"),"-")</f>
        <v>Penyumbang PENURUNAN IPH</v>
      </c>
    </row>
    <row r="184" spans="1:6" x14ac:dyDescent="0.35">
      <c r="A184" s="3">
        <v>3</v>
      </c>
      <c r="B184" s="5" t="str">
        <f>IFERROR(INDEX('Perhitungan IPH Mingguan 2026'!$B$6:$B$25,MATCH(LARGE('Perhitungan IPH Mingguan 2026'!$GK$6:$GK$25,3),'Perhitungan IPH Mingguan 2026'!$GK$6:$GK$25,0)),"-")</f>
        <v>cabai merah 01173012</v>
      </c>
      <c r="C184" s="17">
        <f>IFERROR(INDEX('Perhitungan IPH Mingguan 2026'!$C$6:$C$25,MATCH(LARGE('Perhitungan IPH Mingguan 2026'!$GK$6:$GK$25,3),'Perhitungan IPH Mingguan 2026'!$GK$6:$GK$25,0)),"")</f>
        <v>1.10208839376634E-2</v>
      </c>
      <c r="D184" s="12">
        <f>IFERROR(INDEX('Perhitungan IPH Mingguan 2026'!$BS$6:$BS$25,MATCH(LARGE('Perhitungan IPH Mingguan 2026'!$GK$6:$GK$25,3),'Perhitungan IPH Mingguan 2026'!$GK$6:$GK$25,0)),"")</f>
        <v>-25.499541704857933</v>
      </c>
      <c r="E184" s="4">
        <f>IFERROR(INDEX('Perhitungan IPH Mingguan 2026'!$BT$6:$BT$25,MATCH(LARGE('Perhitungan IPH Mingguan 2026'!$GK$6:$GK$25,3),'Perhitungan IPH Mingguan 2026'!$GK$6:$GK$25,0)),"")</f>
        <v>-0.28102748959284679</v>
      </c>
      <c r="F184" s="18" t="str">
        <f>IF(ISNUMBER(E184),IF(E184&gt;0,"Penyumbang KENAIKAN IPH","Penyumbang PENURUNAN IPH"),"-")</f>
        <v>Penyumbang PENURUNAN IPH</v>
      </c>
    </row>
    <row r="185" spans="1:6" x14ac:dyDescent="0.35">
      <c r="A185" s="3">
        <v>4</v>
      </c>
      <c r="B185" s="5" t="str">
        <f>IFERROR(INDEX('Perhitungan IPH Mingguan 2026'!$B$6:$B$25,MATCH(LARGE('Perhitungan IPH Mingguan 2026'!$GK$6:$GK$25,4),'Perhitungan IPH Mingguan 2026'!$GK$6:$GK$25,0)),"-")</f>
        <v>ikan kembung 01131028</v>
      </c>
      <c r="C185" s="17">
        <f>IFERROR(INDEX('Perhitungan IPH Mingguan 2026'!$C$6:$C$25,MATCH(LARGE('Perhitungan IPH Mingguan 2026'!$GK$6:$GK$25,4),'Perhitungan IPH Mingguan 2026'!$GK$6:$GK$25,0)),"")</f>
        <v>2.0771540916134899E-2</v>
      </c>
      <c r="D185" s="12">
        <f>IFERROR(INDEX('Perhitungan IPH Mingguan 2026'!$BS$6:$BS$25,MATCH(LARGE('Perhitungan IPH Mingguan 2026'!$GK$6:$GK$25,4),'Perhitungan IPH Mingguan 2026'!$GK$6:$GK$25,0)),"")</f>
        <v>-12.885662431941924</v>
      </c>
      <c r="E185" s="4">
        <f>IFERROR(INDEX('Perhitungan IPH Mingguan 2026'!$BT$6:$BT$25,MATCH(LARGE('Perhitungan IPH Mingguan 2026'!$GK$6:$GK$25,4),'Perhitungan IPH Mingguan 2026'!$GK$6:$GK$25,0)),"")</f>
        <v>-0.26765506443658399</v>
      </c>
      <c r="F185" s="18" t="str">
        <f>IF(ISNUMBER(E185),IF(E185&gt;0,"Penyumbang KENAIKAN IPH","Penyumbang PENURUNAN IPH"),"-")</f>
        <v>Penyumbang PENURUNAN IPH</v>
      </c>
    </row>
    <row r="186" spans="1:6" x14ac:dyDescent="0.35">
      <c r="A186" s="3">
        <v>5</v>
      </c>
      <c r="B186" s="5" t="str">
        <f>IFERROR(INDEX('Perhitungan IPH Mingguan 2026'!$B$6:$B$25,MATCH(LARGE('Perhitungan IPH Mingguan 2026'!$GK$6:$GK$25,5),'Perhitungan IPH Mingguan 2026'!$GK$6:$GK$25,0)),"-")</f>
        <v>pisang ambon 1162001</v>
      </c>
      <c r="C186" s="17">
        <f>IFERROR(INDEX('Perhitungan IPH Mingguan 2026'!$C$6:$C$25,MATCH(LARGE('Perhitungan IPH Mingguan 2026'!$GK$6:$GK$25,5),'Perhitungan IPH Mingguan 2026'!$GK$6:$GK$25,0)),"")</f>
        <v>4.0636572858027402E-2</v>
      </c>
      <c r="D186" s="12">
        <f>IFERROR(INDEX('Perhitungan IPH Mingguan 2026'!$BS$6:$BS$25,MATCH(LARGE('Perhitungan IPH Mingguan 2026'!$GK$6:$GK$25,5),'Perhitungan IPH Mingguan 2026'!$GK$6:$GK$25,0)),"")</f>
        <v>-5.4187192118226601</v>
      </c>
      <c r="E186" s="4">
        <f>IFERROR(INDEX('Perhitungan IPH Mingguan 2026'!$BT$6:$BT$25,MATCH(LARGE('Perhitungan IPH Mingguan 2026'!$GK$6:$GK$25,5),'Perhitungan IPH Mingguan 2026'!$GK$6:$GK$25,0)),"")</f>
        <v>-0.22019817804842434</v>
      </c>
      <c r="F186" s="18" t="str">
        <f>IF(ISNUMBER(E186),IF(E186&gt;0,"Penyumbang KENAIKAN IPH","Penyumbang PENURUNAN IPH"),"-")</f>
        <v>Penyumbang PENURUNAN IPH</v>
      </c>
    </row>
    <row r="188" spans="1:6" x14ac:dyDescent="0.35">
      <c r="A188" s="32" t="s">
        <v>473</v>
      </c>
      <c r="B188" s="32"/>
      <c r="C188" s="32"/>
      <c r="D188" s="32"/>
      <c r="E188" s="32"/>
      <c r="F188" s="32"/>
    </row>
    <row r="189" spans="1:6" x14ac:dyDescent="0.35">
      <c r="A189" s="8" t="s">
        <v>150</v>
      </c>
      <c r="B189" s="8" t="s">
        <v>151</v>
      </c>
      <c r="C189" s="8" t="s">
        <v>63</v>
      </c>
      <c r="D189" s="8" t="s">
        <v>152</v>
      </c>
      <c r="E189" s="8" t="s">
        <v>153</v>
      </c>
      <c r="F189" s="8" t="s">
        <v>154</v>
      </c>
    </row>
    <row r="190" spans="1:6" x14ac:dyDescent="0.35">
      <c r="A190" s="3">
        <v>1</v>
      </c>
      <c r="B190" s="5" t="str">
        <f>IFERROR(INDEX('Perhitungan IPH Mingguan 2026'!$B$6:$B$25,MATCH(LARGE('Perhitungan IPH Mingguan 2026'!$GL$6:$GL$25,1),'Perhitungan IPH Mingguan 2026'!$GL$6:$GL$25,0)),"-")</f>
        <v>cabai rawit 01173013</v>
      </c>
      <c r="C190" s="17">
        <f>IFERROR(INDEX('Perhitungan IPH Mingguan 2026'!$C$6:$C$25,MATCH(LARGE('Perhitungan IPH Mingguan 2026'!$GL$6:$GL$25,1),'Perhitungan IPH Mingguan 2026'!$GL$6:$GL$25,0)),"")</f>
        <v>1.7701732362870599E-2</v>
      </c>
      <c r="D190" s="12">
        <f>IFERROR(INDEX('Perhitungan IPH Mingguan 2026'!$BV$6:$BV$25,MATCH(LARGE('Perhitungan IPH Mingguan 2026'!$GL$6:$GL$25,1),'Perhitungan IPH Mingguan 2026'!$GL$6:$GL$25,0)),"")</f>
        <v>-57.755775577557756</v>
      </c>
      <c r="E190" s="4">
        <f>IFERROR(INDEX('Perhitungan IPH Mingguan 2026'!$BW$6:$BW$25,MATCH(LARGE('Perhitungan IPH Mingguan 2026'!$GL$6:$GL$25,1),'Perhitungan IPH Mingguan 2026'!$GL$6:$GL$25,0)),"")</f>
        <v>-1.0223772816839456</v>
      </c>
      <c r="F190" s="18" t="str">
        <f>IF(ISNUMBER(E190),IF(E190&gt;0,"Penyumbang KENAIKAN IPH","Penyumbang PENURUNAN IPH"),"-")</f>
        <v>Penyumbang PENURUNAN IPH</v>
      </c>
    </row>
    <row r="191" spans="1:6" x14ac:dyDescent="0.35">
      <c r="A191" s="3">
        <v>2</v>
      </c>
      <c r="B191" s="5" t="str">
        <f>IFERROR(INDEX('Perhitungan IPH Mingguan 2026'!$B$6:$B$25,MATCH(LARGE('Perhitungan IPH Mingguan 2026'!$GL$6:$GL$25,2),'Perhitungan IPH Mingguan 2026'!$GL$6:$GL$25,0)),"-")</f>
        <v>daging sapi 01121001</v>
      </c>
      <c r="C191" s="17">
        <f>IFERROR(INDEX('Perhitungan IPH Mingguan 2026'!$C$6:$C$25,MATCH(LARGE('Perhitungan IPH Mingguan 2026'!$GL$6:$GL$25,2),'Perhitungan IPH Mingguan 2026'!$GL$6:$GL$25,0)),"")</f>
        <v>5.98704213474298E-2</v>
      </c>
      <c r="D191" s="12">
        <f>IFERROR(INDEX('Perhitungan IPH Mingguan 2026'!$BV$6:$BV$25,MATCH(LARGE('Perhitungan IPH Mingguan 2026'!$GL$6:$GL$25,2),'Perhitungan IPH Mingguan 2026'!$GL$6:$GL$25,0)),"")</f>
        <v>-5.2012663952962352</v>
      </c>
      <c r="E191" s="4">
        <f>IFERROR(INDEX('Perhitungan IPH Mingguan 2026'!$BW$6:$BW$25,MATCH(LARGE('Perhitungan IPH Mingguan 2026'!$GL$6:$GL$25,2),'Perhitungan IPH Mingguan 2026'!$GL$6:$GL$25,0)),"")</f>
        <v>-0.31140201062661299</v>
      </c>
      <c r="F191" s="18" t="str">
        <f>IF(ISNUMBER(E191),IF(E191&gt;0,"Penyumbang KENAIKAN IPH","Penyumbang PENURUNAN IPH"),"-")</f>
        <v>Penyumbang PENURUNAN IPH</v>
      </c>
    </row>
    <row r="192" spans="1:6" x14ac:dyDescent="0.35">
      <c r="A192" s="3">
        <v>3</v>
      </c>
      <c r="B192" s="5" t="str">
        <f>IFERROR(INDEX('Perhitungan IPH Mingguan 2026'!$B$6:$B$25,MATCH(LARGE('Perhitungan IPH Mingguan 2026'!$GL$6:$GL$25,3),'Perhitungan IPH Mingguan 2026'!$GL$6:$GL$25,0)),"-")</f>
        <v>daging ayam ras 1124003</v>
      </c>
      <c r="C192" s="17">
        <f>IFERROR(INDEX('Perhitungan IPH Mingguan 2026'!$C$6:$C$25,MATCH(LARGE('Perhitungan IPH Mingguan 2026'!$GL$6:$GL$25,3),'Perhitungan IPH Mingguan 2026'!$GL$6:$GL$25,0)),"")</f>
        <v>4.7910777785027697E-2</v>
      </c>
      <c r="D192" s="12">
        <f>IFERROR(INDEX('Perhitungan IPH Mingguan 2026'!$BV$6:$BV$25,MATCH(LARGE('Perhitungan IPH Mingguan 2026'!$GL$6:$GL$25,3),'Perhitungan IPH Mingguan 2026'!$GL$6:$GL$25,0)),"")</f>
        <v>6.4133016627078394</v>
      </c>
      <c r="E192" s="4">
        <f>IFERROR(INDEX('Perhitungan IPH Mingguan 2026'!$BW$6:$BW$25,MATCH(LARGE('Perhitungan IPH Mingguan 2026'!$GL$6:$GL$25,3),'Perhitungan IPH Mingguan 2026'!$GL$6:$GL$25,0)),"")</f>
        <v>0.30726627083034397</v>
      </c>
      <c r="F192" s="18" t="str">
        <f>IF(ISNUMBER(E192),IF(E192&gt;0,"Penyumbang KENAIKAN IPH","Penyumbang PENURUNAN IPH"),"-")</f>
        <v>Penyumbang KENAIKAN IPH</v>
      </c>
    </row>
    <row r="193" spans="1:6" x14ac:dyDescent="0.35">
      <c r="A193" s="3">
        <v>4</v>
      </c>
      <c r="B193" s="5" t="str">
        <f>IFERROR(INDEX('Perhitungan IPH Mingguan 2026'!$B$6:$B$25,MATCH(LARGE('Perhitungan IPH Mingguan 2026'!$GL$6:$GL$25,4),'Perhitungan IPH Mingguan 2026'!$GL$6:$GL$25,0)),"-")</f>
        <v>bawang merah 1174006</v>
      </c>
      <c r="C193" s="17">
        <f>IFERROR(INDEX('Perhitungan IPH Mingguan 2026'!$C$6:$C$25,MATCH(LARGE('Perhitungan IPH Mingguan 2026'!$GL$6:$GL$25,4),'Perhitungan IPH Mingguan 2026'!$GL$6:$GL$25,0)),"")</f>
        <v>1.94434650422287E-2</v>
      </c>
      <c r="D193" s="12">
        <f>IFERROR(INDEX('Perhitungan IPH Mingguan 2026'!$BV$6:$BV$25,MATCH(LARGE('Perhitungan IPH Mingguan 2026'!$GL$6:$GL$25,4),'Perhitungan IPH Mingguan 2026'!$GL$6:$GL$25,0)),"")</f>
        <v>-15.218730745532961</v>
      </c>
      <c r="E193" s="4">
        <f>IFERROR(INDEX('Perhitungan IPH Mingguan 2026'!$BW$6:$BW$25,MATCH(LARGE('Perhitungan IPH Mingguan 2026'!$GL$6:$GL$25,4),'Perhitungan IPH Mingguan 2026'!$GL$6:$GL$25,0)),"")</f>
        <v>-0.29590485923786125</v>
      </c>
      <c r="F193" s="18" t="str">
        <f>IF(ISNUMBER(E193),IF(E193&gt;0,"Penyumbang KENAIKAN IPH","Penyumbang PENURUNAN IPH"),"-")</f>
        <v>Penyumbang PENURUNAN IPH</v>
      </c>
    </row>
    <row r="194" spans="1:6" x14ac:dyDescent="0.35">
      <c r="A194" s="3">
        <v>5</v>
      </c>
      <c r="B194" s="5" t="str">
        <f>IFERROR(INDEX('Perhitungan IPH Mingguan 2026'!$B$6:$B$25,MATCH(LARGE('Perhitungan IPH Mingguan 2026'!$GL$6:$GL$25,5),'Perhitungan IPH Mingguan 2026'!$GL$6:$GL$25,0)),"-")</f>
        <v>ikan kembung 01131028</v>
      </c>
      <c r="C194" s="17">
        <f>IFERROR(INDEX('Perhitungan IPH Mingguan 2026'!$C$6:$C$25,MATCH(LARGE('Perhitungan IPH Mingguan 2026'!$GL$6:$GL$25,5),'Perhitungan IPH Mingguan 2026'!$GL$6:$GL$25,0)),"")</f>
        <v>2.0771540916134899E-2</v>
      </c>
      <c r="D194" s="12">
        <f>IFERROR(INDEX('Perhitungan IPH Mingguan 2026'!$BV$6:$BV$25,MATCH(LARGE('Perhitungan IPH Mingguan 2026'!$GL$6:$GL$25,5),'Perhitungan IPH Mingguan 2026'!$GL$6:$GL$25,0)),"")</f>
        <v>-12.885662431941924</v>
      </c>
      <c r="E194" s="4">
        <f>IFERROR(INDEX('Perhitungan IPH Mingguan 2026'!$BW$6:$BW$25,MATCH(LARGE('Perhitungan IPH Mingguan 2026'!$GL$6:$GL$25,5),'Perhitungan IPH Mingguan 2026'!$GL$6:$GL$25,0)),"")</f>
        <v>-0.26765506443658399</v>
      </c>
      <c r="F194" s="18" t="str">
        <f>IF(ISNUMBER(E194),IF(E194&gt;0,"Penyumbang KENAIKAN IPH","Penyumbang PENURUNAN IPH"),"-")</f>
        <v>Penyumbang PENURUNAN IPH</v>
      </c>
    </row>
    <row r="196" spans="1:6" x14ac:dyDescent="0.35">
      <c r="A196" s="32" t="s">
        <v>474</v>
      </c>
      <c r="B196" s="32"/>
      <c r="C196" s="32"/>
      <c r="D196" s="32"/>
      <c r="E196" s="32"/>
      <c r="F196" s="32"/>
    </row>
    <row r="197" spans="1:6" x14ac:dyDescent="0.35">
      <c r="A197" s="8" t="s">
        <v>150</v>
      </c>
      <c r="B197" s="8" t="s">
        <v>151</v>
      </c>
      <c r="C197" s="8" t="s">
        <v>63</v>
      </c>
      <c r="D197" s="8" t="s">
        <v>152</v>
      </c>
      <c r="E197" s="8" t="s">
        <v>153</v>
      </c>
      <c r="F197" s="8" t="s">
        <v>154</v>
      </c>
    </row>
    <row r="198" spans="1:6" x14ac:dyDescent="0.35">
      <c r="A198" s="3">
        <v>1</v>
      </c>
      <c r="B198" s="5" t="str">
        <f>IFERROR(INDEX('Perhitungan IPH Mingguan 2026'!$B$6:$B$25,MATCH(LARGE('Perhitungan IPH Mingguan 2026'!$GM$6:$GM$25,1),'Perhitungan IPH Mingguan 2026'!$GM$6:$GM$25,0)),"-")</f>
        <v>cabai rawit 01173013</v>
      </c>
      <c r="C198" s="17">
        <f>IFERROR(INDEX('Perhitungan IPH Mingguan 2026'!$C$6:$C$25,MATCH(LARGE('Perhitungan IPH Mingguan 2026'!$GM$6:$GM$25,1),'Perhitungan IPH Mingguan 2026'!$GM$6:$GM$25,0)),"")</f>
        <v>1.7701732362870599E-2</v>
      </c>
      <c r="D198" s="12">
        <f>IFERROR(INDEX('Perhitungan IPH Mingguan 2026'!$BY$6:$BY$25,MATCH(LARGE('Perhitungan IPH Mingguan 2026'!$GM$6:$GM$25,1),'Perhitungan IPH Mingguan 2026'!$GM$6:$GM$25,0)),"")</f>
        <v>43.134715025906743</v>
      </c>
      <c r="E198" s="4">
        <f>IFERROR(INDEX('Perhitungan IPH Mingguan 2026'!$BZ$6:$BZ$25,MATCH(LARGE('Perhitungan IPH Mingguan 2026'!$GM$6:$GM$25,1),'Perhitungan IPH Mingguan 2026'!$GM$6:$GM$25,0)),"")</f>
        <v>0.76355918093729414</v>
      </c>
      <c r="F198" s="18" t="str">
        <f>IF(ISNUMBER(E198),IF(E198&gt;0,"Penyumbang KENAIKAN IPH","Penyumbang PENURUNAN IPH"),"-")</f>
        <v>Penyumbang KENAIKAN IPH</v>
      </c>
    </row>
    <row r="199" spans="1:6" x14ac:dyDescent="0.35">
      <c r="A199" s="3">
        <v>2</v>
      </c>
      <c r="B199" s="5" t="str">
        <f>IFERROR(INDEX('Perhitungan IPH Mingguan 2026'!$B$6:$B$25,MATCH(LARGE('Perhitungan IPH Mingguan 2026'!$GM$6:$GM$25,2),'Perhitungan IPH Mingguan 2026'!$GM$6:$GM$25,0)),"-")</f>
        <v>daging ayam ras 1124003</v>
      </c>
      <c r="C199" s="17">
        <f>IFERROR(INDEX('Perhitungan IPH Mingguan 2026'!$C$6:$C$25,MATCH(LARGE('Perhitungan IPH Mingguan 2026'!$GM$6:$GM$25,2),'Perhitungan IPH Mingguan 2026'!$GM$6:$GM$25,0)),"")</f>
        <v>4.7910777785027697E-2</v>
      </c>
      <c r="D199" s="12">
        <f>IFERROR(INDEX('Perhitungan IPH Mingguan 2026'!$BY$6:$BY$25,MATCH(LARGE('Perhitungan IPH Mingguan 2026'!$GM$6:$GM$25,2),'Perhitungan IPH Mingguan 2026'!$GM$6:$GM$25,0)),"")</f>
        <v>8.5903083700440597</v>
      </c>
      <c r="E199" s="4">
        <f>IFERROR(INDEX('Perhitungan IPH Mingguan 2026'!$BZ$6:$BZ$25,MATCH(LARGE('Perhitungan IPH Mingguan 2026'!$GM$6:$GM$25,2),'Perhitungan IPH Mingguan 2026'!$GM$6:$GM$25,0)),"")</f>
        <v>0.4115683554220444</v>
      </c>
      <c r="F199" s="18" t="str">
        <f>IF(ISNUMBER(E199),IF(E199&gt;0,"Penyumbang KENAIKAN IPH","Penyumbang PENURUNAN IPH"),"-")</f>
        <v>Penyumbang KENAIKAN IPH</v>
      </c>
    </row>
    <row r="200" spans="1:6" x14ac:dyDescent="0.35">
      <c r="A200" s="3">
        <v>3</v>
      </c>
      <c r="B200" s="5" t="str">
        <f>IFERROR(INDEX('Perhitungan IPH Mingguan 2026'!$B$6:$B$25,MATCH(LARGE('Perhitungan IPH Mingguan 2026'!$GM$6:$GM$25,3),'Perhitungan IPH Mingguan 2026'!$GM$6:$GM$25,0)),"-")</f>
        <v>cabai merah 01173012</v>
      </c>
      <c r="C200" s="17">
        <f>IFERROR(INDEX('Perhitungan IPH Mingguan 2026'!$C$6:$C$25,MATCH(LARGE('Perhitungan IPH Mingguan 2026'!$GM$6:$GM$25,3),'Perhitungan IPH Mingguan 2026'!$GM$6:$GM$25,0)),"")</f>
        <v>1.10208839376634E-2</v>
      </c>
      <c r="D200" s="12">
        <f>IFERROR(INDEX('Perhitungan IPH Mingguan 2026'!$BY$6:$BY$25,MATCH(LARGE('Perhitungan IPH Mingguan 2026'!$GM$6:$GM$25,3),'Perhitungan IPH Mingguan 2026'!$GM$6:$GM$25,0)),"")</f>
        <v>32.873563218390807</v>
      </c>
      <c r="E200" s="4">
        <f>IFERROR(INDEX('Perhitungan IPH Mingguan 2026'!$BZ$6:$BZ$25,MATCH(LARGE('Perhitungan IPH Mingguan 2026'!$GM$6:$GM$25,3),'Perhitungan IPH Mingguan 2026'!$GM$6:$GM$25,0)),"")</f>
        <v>0.36229572484732558</v>
      </c>
      <c r="F200" s="18" t="str">
        <f>IF(ISNUMBER(E200),IF(E200&gt;0,"Penyumbang KENAIKAN IPH","Penyumbang PENURUNAN IPH"),"-")</f>
        <v>Penyumbang KENAIKAN IPH</v>
      </c>
    </row>
    <row r="201" spans="1:6" x14ac:dyDescent="0.35">
      <c r="A201" s="3">
        <v>4</v>
      </c>
      <c r="B201" s="5" t="str">
        <f>IFERROR(INDEX('Perhitungan IPH Mingguan 2026'!$B$6:$B$25,MATCH(LARGE('Perhitungan IPH Mingguan 2026'!$GM$6:$GM$25,4),'Perhitungan IPH Mingguan 2026'!$GM$6:$GM$25,0)),"-")</f>
        <v>telur ayam ras 01147002</v>
      </c>
      <c r="C201" s="17">
        <f>IFERROR(INDEX('Perhitungan IPH Mingguan 2026'!$C$6:$C$25,MATCH(LARGE('Perhitungan IPH Mingguan 2026'!$GM$6:$GM$25,4),'Perhitungan IPH Mingguan 2026'!$GM$6:$GM$25,0)),"")</f>
        <v>2.9877791079459301E-2</v>
      </c>
      <c r="D201" s="12">
        <f>IFERROR(INDEX('Perhitungan IPH Mingguan 2026'!$BY$6:$BY$25,MATCH(LARGE('Perhitungan IPH Mingguan 2026'!$GM$6:$GM$25,4),'Perhitungan IPH Mingguan 2026'!$GM$6:$GM$25,0)),"")</f>
        <v>8.0050825921219779</v>
      </c>
      <c r="E201" s="4">
        <f>IFERROR(INDEX('Perhitungan IPH Mingguan 2026'!$BZ$6:$BZ$25,MATCH(LARGE('Perhitungan IPH Mingguan 2026'!$GM$6:$GM$25,4),'Perhitungan IPH Mingguan 2026'!$GM$6:$GM$25,0)),"")</f>
        <v>0.23917418526123696</v>
      </c>
      <c r="F201" s="18" t="str">
        <f>IF(ISNUMBER(E201),IF(E201&gt;0,"Penyumbang KENAIKAN IPH","Penyumbang PENURUNAN IPH"),"-")</f>
        <v>Penyumbang KENAIKAN IPH</v>
      </c>
    </row>
    <row r="202" spans="1:6" x14ac:dyDescent="0.35">
      <c r="A202" s="3">
        <v>5</v>
      </c>
      <c r="B202" s="5" t="str">
        <f>IFERROR(INDEX('Perhitungan IPH Mingguan 2026'!$B$6:$B$25,MATCH(LARGE('Perhitungan IPH Mingguan 2026'!$GM$6:$GM$25,5),'Perhitungan IPH Mingguan 2026'!$GM$6:$GM$25,0)),"-")</f>
        <v>bawang merah 1174006</v>
      </c>
      <c r="C202" s="17">
        <f>IFERROR(INDEX('Perhitungan IPH Mingguan 2026'!$C$6:$C$25,MATCH(LARGE('Perhitungan IPH Mingguan 2026'!$GM$6:$GM$25,5),'Perhitungan IPH Mingguan 2026'!$GM$6:$GM$25,0)),"")</f>
        <v>1.94434650422287E-2</v>
      </c>
      <c r="D202" s="12">
        <f>IFERROR(INDEX('Perhitungan IPH Mingguan 2026'!$BY$6:$BY$25,MATCH(LARGE('Perhitungan IPH Mingguan 2026'!$GM$6:$GM$25,5),'Perhitungan IPH Mingguan 2026'!$GM$6:$GM$25,0)),"")</f>
        <v>10.906374501992037</v>
      </c>
      <c r="E202" s="4">
        <f>IFERROR(INDEX('Perhitungan IPH Mingguan 2026'!$BZ$6:$BZ$25,MATCH(LARGE('Perhitungan IPH Mingguan 2026'!$GM$6:$GM$25,5),'Perhitungan IPH Mingguan 2026'!$GM$6:$GM$25,0)),"")</f>
        <v>0.2120577113669366</v>
      </c>
      <c r="F202" s="18" t="str">
        <f>IF(ISNUMBER(E202),IF(E202&gt;0,"Penyumbang KENAIKAN IPH","Penyumbang PENURUNAN IPH"),"-")</f>
        <v>Penyumbang KENAIKAN IPH</v>
      </c>
    </row>
    <row r="204" spans="1:6" x14ac:dyDescent="0.35">
      <c r="A204" s="32" t="s">
        <v>475</v>
      </c>
      <c r="B204" s="32"/>
      <c r="C204" s="32"/>
      <c r="D204" s="32"/>
      <c r="E204" s="32"/>
      <c r="F204" s="32"/>
    </row>
    <row r="205" spans="1:6" x14ac:dyDescent="0.35">
      <c r="A205" s="8" t="s">
        <v>150</v>
      </c>
      <c r="B205" s="8" t="s">
        <v>151</v>
      </c>
      <c r="C205" s="8" t="s">
        <v>63</v>
      </c>
      <c r="D205" s="8" t="s">
        <v>152</v>
      </c>
      <c r="E205" s="8" t="s">
        <v>153</v>
      </c>
      <c r="F205" s="8" t="s">
        <v>154</v>
      </c>
    </row>
    <row r="206" spans="1:6" x14ac:dyDescent="0.35">
      <c r="A206" s="3">
        <v>1</v>
      </c>
      <c r="B206" s="5" t="str">
        <f>IFERROR(INDEX('Perhitungan IPH Mingguan 2026'!$B$6:$B$25,MATCH(LARGE('Perhitungan IPH Mingguan 2026'!$GN$6:$GN$25,1),'Perhitungan IPH Mingguan 2026'!$GN$6:$GN$25,0)),"-")</f>
        <v>cabai rawit 01173013</v>
      </c>
      <c r="C206" s="17">
        <f>IFERROR(INDEX('Perhitungan IPH Mingguan 2026'!$C$6:$C$25,MATCH(LARGE('Perhitungan IPH Mingguan 2026'!$GN$6:$GN$25,1),'Perhitungan IPH Mingguan 2026'!$GN$6:$GN$25,0)),"")</f>
        <v>1.7701732362870599E-2</v>
      </c>
      <c r="D206" s="12">
        <f>IFERROR(INDEX('Perhitungan IPH Mingguan 2026'!$CB$6:$CB$25,MATCH(LARGE('Perhitungan IPH Mingguan 2026'!$GN$6:$GN$25,1),'Perhitungan IPH Mingguan 2026'!$GN$6:$GN$25,0)),"")</f>
        <v>18.911917098445606</v>
      </c>
      <c r="E206" s="4">
        <f>IFERROR(INDEX('Perhitungan IPH Mingguan 2026'!$CC$6:$CC$25,MATCH(LARGE('Perhitungan IPH Mingguan 2026'!$GN$6:$GN$25,1),'Perhitungan IPH Mingguan 2026'!$GN$6:$GN$25,0)),"")</f>
        <v>0.33477369494548043</v>
      </c>
      <c r="F206" s="18" t="str">
        <f>IF(ISNUMBER(E206),IF(E206&gt;0,"Penyumbang KENAIKAN IPH","Penyumbang PENURUNAN IPH"),"-")</f>
        <v>Penyumbang KENAIKAN IPH</v>
      </c>
    </row>
    <row r="207" spans="1:6" x14ac:dyDescent="0.35">
      <c r="A207" s="3">
        <v>2</v>
      </c>
      <c r="B207" s="5" t="str">
        <f>IFERROR(INDEX('Perhitungan IPH Mingguan 2026'!$B$6:$B$25,MATCH(LARGE('Perhitungan IPH Mingguan 2026'!$GN$6:$GN$25,2),'Perhitungan IPH Mingguan 2026'!$GN$6:$GN$25,0)),"-")</f>
        <v>tempe 01194013</v>
      </c>
      <c r="C207" s="17">
        <f>IFERROR(INDEX('Perhitungan IPH Mingguan 2026'!$C$6:$C$25,MATCH(LARGE('Perhitungan IPH Mingguan 2026'!$GN$6:$GN$25,2),'Perhitungan IPH Mingguan 2026'!$GN$6:$GN$25,0)),"")</f>
        <v>2.0282595222329398E-2</v>
      </c>
      <c r="D207" s="12">
        <f>IFERROR(INDEX('Perhitungan IPH Mingguan 2026'!$CB$6:$CB$25,MATCH(LARGE('Perhitungan IPH Mingguan 2026'!$GN$6:$GN$25,2),'Perhitungan IPH Mingguan 2026'!$GN$6:$GN$25,0)),"")</f>
        <v>-8.3333333333333321</v>
      </c>
      <c r="E207" s="4">
        <f>IFERROR(INDEX('Perhitungan IPH Mingguan 2026'!$CC$6:$CC$25,MATCH(LARGE('Perhitungan IPH Mingguan 2026'!$GN$6:$GN$25,2),'Perhitungan IPH Mingguan 2026'!$GN$6:$GN$25,0)),"")</f>
        <v>-0.16902162685274497</v>
      </c>
      <c r="F207" s="18" t="str">
        <f>IF(ISNUMBER(E207),IF(E207&gt;0,"Penyumbang KENAIKAN IPH","Penyumbang PENURUNAN IPH"),"-")</f>
        <v>Penyumbang PENURUNAN IPH</v>
      </c>
    </row>
    <row r="208" spans="1:6" x14ac:dyDescent="0.35">
      <c r="A208" s="3">
        <v>3</v>
      </c>
      <c r="B208" s="5" t="str">
        <f>IFERROR(INDEX('Perhitungan IPH Mingguan 2026'!$B$6:$B$25,MATCH(LARGE('Perhitungan IPH Mingguan 2026'!$GN$6:$GN$25,3),'Perhitungan IPH Mingguan 2026'!$GN$6:$GN$25,0)),"-")</f>
        <v>bawang merah 1174006</v>
      </c>
      <c r="C208" s="17">
        <f>IFERROR(INDEX('Perhitungan IPH Mingguan 2026'!$C$6:$C$25,MATCH(LARGE('Perhitungan IPH Mingguan 2026'!$GN$6:$GN$25,3),'Perhitungan IPH Mingguan 2026'!$GN$6:$GN$25,0)),"")</f>
        <v>1.94434650422287E-2</v>
      </c>
      <c r="D208" s="12">
        <f>IFERROR(INDEX('Perhitungan IPH Mingguan 2026'!$CB$6:$CB$25,MATCH(LARGE('Perhitungan IPH Mingguan 2026'!$GN$6:$GN$25,3),'Perhitungan IPH Mingguan 2026'!$GN$6:$GN$25,0)),"")</f>
        <v>-6.8725099601593582</v>
      </c>
      <c r="E208" s="4">
        <f>IFERROR(INDEX('Perhitungan IPH Mingguan 2026'!$CC$6:$CC$25,MATCH(LARGE('Perhitungan IPH Mingguan 2026'!$GN$6:$GN$25,3),'Perhitungan IPH Mingguan 2026'!$GN$6:$GN$25,0)),"")</f>
        <v>-0.13362540716272703</v>
      </c>
      <c r="F208" s="18" t="str">
        <f>IF(ISNUMBER(E208),IF(E208&gt;0,"Penyumbang KENAIKAN IPH","Penyumbang PENURUNAN IPH"),"-")</f>
        <v>Penyumbang PENURUNAN IPH</v>
      </c>
    </row>
    <row r="209" spans="1:6" x14ac:dyDescent="0.35">
      <c r="A209" s="3">
        <v>4</v>
      </c>
      <c r="B209" s="5" t="str">
        <f>IFERROR(INDEX('Perhitungan IPH Mingguan 2026'!$B$6:$B$25,MATCH(LARGE('Perhitungan IPH Mingguan 2026'!$GN$6:$GN$25,4),'Perhitungan IPH Mingguan 2026'!$GN$6:$GN$25,0)),"-")</f>
        <v>telur ayam ras 01147002</v>
      </c>
      <c r="C209" s="17">
        <f>IFERROR(INDEX('Perhitungan IPH Mingguan 2026'!$C$6:$C$25,MATCH(LARGE('Perhitungan IPH Mingguan 2026'!$GN$6:$GN$25,4),'Perhitungan IPH Mingguan 2026'!$GN$6:$GN$25,0)),"")</f>
        <v>2.9877791079459301E-2</v>
      </c>
      <c r="D209" s="12">
        <f>IFERROR(INDEX('Perhitungan IPH Mingguan 2026'!$CB$6:$CB$25,MATCH(LARGE('Perhitungan IPH Mingguan 2026'!$GN$6:$GN$25,4),'Perhitungan IPH Mingguan 2026'!$GN$6:$GN$25,0)),"")</f>
        <v>3.6848792884370991</v>
      </c>
      <c r="E209" s="4">
        <f>IFERROR(INDEX('Perhitungan IPH Mingguan 2026'!$CC$6:$CC$25,MATCH(LARGE('Perhitungan IPH Mingguan 2026'!$GN$6:$GN$25,4),'Perhitungan IPH Mingguan 2026'!$GN$6:$GN$25,0)),"")</f>
        <v>0.11009605353295029</v>
      </c>
      <c r="F209" s="18" t="str">
        <f>IF(ISNUMBER(E209),IF(E209&gt;0,"Penyumbang KENAIKAN IPH","Penyumbang PENURUNAN IPH"),"-")</f>
        <v>Penyumbang KENAIKAN IPH</v>
      </c>
    </row>
    <row r="210" spans="1:6" x14ac:dyDescent="0.35">
      <c r="A210" s="3">
        <v>5</v>
      </c>
      <c r="B210" s="5" t="str">
        <f>IFERROR(INDEX('Perhitungan IPH Mingguan 2026'!$B$6:$B$25,MATCH(LARGE('Perhitungan IPH Mingguan 2026'!$GN$6:$GN$25,5),'Perhitungan IPH Mingguan 2026'!$GN$6:$GN$25,0)),"-")</f>
        <v>cabai merah 01173012</v>
      </c>
      <c r="C210" s="17">
        <f>IFERROR(INDEX('Perhitungan IPH Mingguan 2026'!$C$6:$C$25,MATCH(LARGE('Perhitungan IPH Mingguan 2026'!$GN$6:$GN$25,5),'Perhitungan IPH Mingguan 2026'!$GN$6:$GN$25,0)),"")</f>
        <v>1.10208839376634E-2</v>
      </c>
      <c r="D210" s="12">
        <f>IFERROR(INDEX('Perhitungan IPH Mingguan 2026'!$CB$6:$CB$25,MATCH(LARGE('Perhitungan IPH Mingguan 2026'!$GN$6:$GN$25,5),'Perhitungan IPH Mingguan 2026'!$GN$6:$GN$25,0)),"")</f>
        <v>9.4252873563218404</v>
      </c>
      <c r="E210" s="4">
        <f>IFERROR(INDEX('Perhitungan IPH Mingguan 2026'!$CC$6:$CC$25,MATCH(LARGE('Perhitungan IPH Mingguan 2026'!$GN$6:$GN$25,5),'Perhitungan IPH Mingguan 2026'!$GN$6:$GN$25,0)),"")</f>
        <v>0.10387499803314931</v>
      </c>
      <c r="F210" s="18" t="str">
        <f>IF(ISNUMBER(E210),IF(E210&gt;0,"Penyumbang KENAIKAN IPH","Penyumbang PENURUNAN IPH"),"-")</f>
        <v>Penyumbang KENAIKAN IPH</v>
      </c>
    </row>
    <row r="212" spans="1:6" x14ac:dyDescent="0.35">
      <c r="A212" s="32" t="s">
        <v>476</v>
      </c>
      <c r="B212" s="32"/>
      <c r="C212" s="32"/>
      <c r="D212" s="32"/>
      <c r="E212" s="32"/>
      <c r="F212" s="32"/>
    </row>
    <row r="213" spans="1:6" x14ac:dyDescent="0.35">
      <c r="A213" s="8" t="s">
        <v>150</v>
      </c>
      <c r="B213" s="8" t="s">
        <v>151</v>
      </c>
      <c r="C213" s="8" t="s">
        <v>63</v>
      </c>
      <c r="D213" s="8" t="s">
        <v>152</v>
      </c>
      <c r="E213" s="8" t="s">
        <v>153</v>
      </c>
      <c r="F213" s="8" t="s">
        <v>154</v>
      </c>
    </row>
    <row r="214" spans="1:6" x14ac:dyDescent="0.35">
      <c r="A214" s="3">
        <v>1</v>
      </c>
      <c r="B214" s="5" t="str">
        <f>IFERROR(INDEX('Perhitungan IPH Mingguan 2026'!$B$6:$B$25,MATCH(LARGE('Perhitungan IPH Mingguan 2026'!$GO$6:$GO$25,1),'Perhitungan IPH Mingguan 2026'!$GO$6:$GO$25,0)),"-")</f>
        <v>daging ayam ras 1124003</v>
      </c>
      <c r="C214" s="17">
        <f>IFERROR(INDEX('Perhitungan IPH Mingguan 2026'!$C$6:$C$25,MATCH(LARGE('Perhitungan IPH Mingguan 2026'!$GO$6:$GO$25,1),'Perhitungan IPH Mingguan 2026'!$GO$6:$GO$25,0)),"")</f>
        <v>4.7910777785027697E-2</v>
      </c>
      <c r="D214" s="12">
        <f>IFERROR(INDEX('Perhitungan IPH Mingguan 2026'!$CE$6:$CE$25,MATCH(LARGE('Perhitungan IPH Mingguan 2026'!$GO$6:$GO$25,1),'Perhitungan IPH Mingguan 2026'!$GO$6:$GO$25,0)),"")</f>
        <v>-12.378854625550655</v>
      </c>
      <c r="E214" s="4">
        <f>IFERROR(INDEX('Perhitungan IPH Mingguan 2026'!$CF$6:$CF$25,MATCH(LARGE('Perhitungan IPH Mingguan 2026'!$GO$6:$GO$25,1),'Perhitungan IPH Mingguan 2026'!$GO$6:$GO$25,0)),"")</f>
        <v>-0.59308055319791964</v>
      </c>
      <c r="F214" s="18" t="str">
        <f>IF(ISNUMBER(E214),IF(E214&gt;0,"Penyumbang KENAIKAN IPH","Penyumbang PENURUNAN IPH"),"-")</f>
        <v>Penyumbang PENURUNAN IPH</v>
      </c>
    </row>
    <row r="215" spans="1:6" x14ac:dyDescent="0.35">
      <c r="A215" s="3">
        <v>2</v>
      </c>
      <c r="B215" s="5" t="str">
        <f>IFERROR(INDEX('Perhitungan IPH Mingguan 2026'!$B$6:$B$25,MATCH(LARGE('Perhitungan IPH Mingguan 2026'!$GO$6:$GO$25,2),'Perhitungan IPH Mingguan 2026'!$GO$6:$GO$25,0)),"-")</f>
        <v>bawang merah 1174006</v>
      </c>
      <c r="C215" s="17">
        <f>IFERROR(INDEX('Perhitungan IPH Mingguan 2026'!$C$6:$C$25,MATCH(LARGE('Perhitungan IPH Mingguan 2026'!$GO$6:$GO$25,2),'Perhitungan IPH Mingguan 2026'!$GO$6:$GO$25,0)),"")</f>
        <v>1.94434650422287E-2</v>
      </c>
      <c r="D215" s="12">
        <f>IFERROR(INDEX('Perhitungan IPH Mingguan 2026'!$CE$6:$CE$25,MATCH(LARGE('Perhitungan IPH Mingguan 2026'!$GO$6:$GO$25,2),'Perhitungan IPH Mingguan 2026'!$GO$6:$GO$25,0)),"")</f>
        <v>-28.207171314741032</v>
      </c>
      <c r="E215" s="4">
        <f>IFERROR(INDEX('Perhitungan IPH Mingguan 2026'!$CF$6:$CF$25,MATCH(LARGE('Perhitungan IPH Mingguan 2026'!$GO$6:$GO$25,2),'Perhitungan IPH Mingguan 2026'!$GO$6:$GO$25,0)),"")</f>
        <v>-0.54844514939832345</v>
      </c>
      <c r="F215" s="18" t="str">
        <f>IF(ISNUMBER(E215),IF(E215&gt;0,"Penyumbang KENAIKAN IPH","Penyumbang PENURUNAN IPH"),"-")</f>
        <v>Penyumbang PENURUNAN IPH</v>
      </c>
    </row>
    <row r="216" spans="1:6" x14ac:dyDescent="0.35">
      <c r="A216" s="3">
        <v>3</v>
      </c>
      <c r="B216" s="5" t="str">
        <f>IFERROR(INDEX('Perhitungan IPH Mingguan 2026'!$B$6:$B$25,MATCH(LARGE('Perhitungan IPH Mingguan 2026'!$GO$6:$GO$25,3),'Perhitungan IPH Mingguan 2026'!$GO$6:$GO$25,0)),"-")</f>
        <v>daging sapi 01121001</v>
      </c>
      <c r="C216" s="17">
        <f>IFERROR(INDEX('Perhitungan IPH Mingguan 2026'!$C$6:$C$25,MATCH(LARGE('Perhitungan IPH Mingguan 2026'!$GO$6:$GO$25,3),'Perhitungan IPH Mingguan 2026'!$GO$6:$GO$25,0)),"")</f>
        <v>5.98704213474298E-2</v>
      </c>
      <c r="D216" s="12">
        <f>IFERROR(INDEX('Perhitungan IPH Mingguan 2026'!$CE$6:$CE$25,MATCH(LARGE('Perhitungan IPH Mingguan 2026'!$GO$6:$GO$25,3),'Perhitungan IPH Mingguan 2026'!$GO$6:$GO$25,0)),"")</f>
        <v>-4.9113233287858202</v>
      </c>
      <c r="E216" s="4">
        <f>IFERROR(INDEX('Perhitungan IPH Mingguan 2026'!$CF$6:$CF$25,MATCH(LARGE('Perhitungan IPH Mingguan 2026'!$GO$6:$GO$25,3),'Perhitungan IPH Mingguan 2026'!$GO$6:$GO$25,0)),"")</f>
        <v>-0.29404299706786857</v>
      </c>
      <c r="F216" s="18" t="str">
        <f>IF(ISNUMBER(E216),IF(E216&gt;0,"Penyumbang KENAIKAN IPH","Penyumbang PENURUNAN IPH"),"-")</f>
        <v>Penyumbang PENURUNAN IPH</v>
      </c>
    </row>
    <row r="217" spans="1:6" x14ac:dyDescent="0.35">
      <c r="A217" s="3">
        <v>4</v>
      </c>
      <c r="B217" s="5" t="str">
        <f>IFERROR(INDEX('Perhitungan IPH Mingguan 2026'!$B$6:$B$25,MATCH(LARGE('Perhitungan IPH Mingguan 2026'!$GO$6:$GO$25,4),'Perhitungan IPH Mingguan 2026'!$GO$6:$GO$25,0)),"-")</f>
        <v>cabai merah 01173012</v>
      </c>
      <c r="C217" s="17">
        <f>IFERROR(INDEX('Perhitungan IPH Mingguan 2026'!$C$6:$C$25,MATCH(LARGE('Perhitungan IPH Mingguan 2026'!$GO$6:$GO$25,4),'Perhitungan IPH Mingguan 2026'!$GO$6:$GO$25,0)),"")</f>
        <v>1.10208839376634E-2</v>
      </c>
      <c r="D217" s="12">
        <f>IFERROR(INDEX('Perhitungan IPH Mingguan 2026'!$CE$6:$CE$25,MATCH(LARGE('Perhitungan IPH Mingguan 2026'!$GO$6:$GO$25,4),'Perhitungan IPH Mingguan 2026'!$GO$6:$GO$25,0)),"")</f>
        <v>-21.057471264367816</v>
      </c>
      <c r="E217" s="4">
        <f>IFERROR(INDEX('Perhitungan IPH Mingguan 2026'!$CF$6:$CF$25,MATCH(LARGE('Perhitungan IPH Mingguan 2026'!$GO$6:$GO$25,4),'Perhitungan IPH Mingguan 2026'!$GO$6:$GO$25,0)),"")</f>
        <v>-0.23207194682527987</v>
      </c>
      <c r="F217" s="18" t="str">
        <f>IF(ISNUMBER(E217),IF(E217&gt;0,"Penyumbang KENAIKAN IPH","Penyumbang PENURUNAN IPH"),"-")</f>
        <v>Penyumbang PENURUNAN IPH</v>
      </c>
    </row>
    <row r="218" spans="1:6" x14ac:dyDescent="0.35">
      <c r="A218" s="3">
        <v>5</v>
      </c>
      <c r="B218" s="5" t="str">
        <f>IFERROR(INDEX('Perhitungan IPH Mingguan 2026'!$B$6:$B$25,MATCH(LARGE('Perhitungan IPH Mingguan 2026'!$GO$6:$GO$25,5),'Perhitungan IPH Mingguan 2026'!$GO$6:$GO$25,0)),"-")</f>
        <v>tempe 01194013</v>
      </c>
      <c r="C218" s="17">
        <f>IFERROR(INDEX('Perhitungan IPH Mingguan 2026'!$C$6:$C$25,MATCH(LARGE('Perhitungan IPH Mingguan 2026'!$GO$6:$GO$25,5),'Perhitungan IPH Mingguan 2026'!$GO$6:$GO$25,0)),"")</f>
        <v>2.0282595222329398E-2</v>
      </c>
      <c r="D218" s="12">
        <f>IFERROR(INDEX('Perhitungan IPH Mingguan 2026'!$CE$6:$CE$25,MATCH(LARGE('Perhitungan IPH Mingguan 2026'!$GO$6:$GO$25,5),'Perhitungan IPH Mingguan 2026'!$GO$6:$GO$25,0)),"")</f>
        <v>-11.111111111111111</v>
      </c>
      <c r="E218" s="4">
        <f>IFERROR(INDEX('Perhitungan IPH Mingguan 2026'!$CF$6:$CF$25,MATCH(LARGE('Perhitungan IPH Mingguan 2026'!$GO$6:$GO$25,5),'Perhitungan IPH Mingguan 2026'!$GO$6:$GO$25,0)),"")</f>
        <v>-0.22536216913699331</v>
      </c>
      <c r="F218" s="18" t="str">
        <f>IF(ISNUMBER(E218),IF(E218&gt;0,"Penyumbang KENAIKAN IPH","Penyumbang PENURUNAN IPH"),"-")</f>
        <v>Penyumbang PENURUNAN IPH</v>
      </c>
    </row>
    <row r="220" spans="1:6" x14ac:dyDescent="0.35">
      <c r="A220" s="32" t="s">
        <v>477</v>
      </c>
      <c r="B220" s="32"/>
      <c r="C220" s="32"/>
      <c r="D220" s="32"/>
      <c r="E220" s="32"/>
      <c r="F220" s="32"/>
    </row>
    <row r="221" spans="1:6" x14ac:dyDescent="0.35">
      <c r="A221" s="8" t="s">
        <v>150</v>
      </c>
      <c r="B221" s="8" t="s">
        <v>151</v>
      </c>
      <c r="C221" s="8" t="s">
        <v>63</v>
      </c>
      <c r="D221" s="8" t="s">
        <v>152</v>
      </c>
      <c r="E221" s="8" t="s">
        <v>153</v>
      </c>
      <c r="F221" s="8" t="s">
        <v>154</v>
      </c>
    </row>
    <row r="222" spans="1:6" x14ac:dyDescent="0.35">
      <c r="A222" s="3">
        <v>1</v>
      </c>
      <c r="B222" s="5" t="str">
        <f>IFERROR(INDEX('Perhitungan IPH Mingguan 2026'!$B$6:$B$25,MATCH(LARGE('Perhitungan IPH Mingguan 2026'!$GP$6:$GP$25,1),'Perhitungan IPH Mingguan 2026'!$GP$6:$GP$25,0)),"-")</f>
        <v>daging ayam ras 1124003</v>
      </c>
      <c r="C222" s="17">
        <f>IFERROR(INDEX('Perhitungan IPH Mingguan 2026'!$C$6:$C$25,MATCH(LARGE('Perhitungan IPH Mingguan 2026'!$GP$6:$GP$25,1),'Perhitungan IPH Mingguan 2026'!$GP$6:$GP$25,0)),"")</f>
        <v>4.7910777785027697E-2</v>
      </c>
      <c r="D222" s="12">
        <f>IFERROR(INDEX('Perhitungan IPH Mingguan 2026'!$CH$6:$CH$25,MATCH(LARGE('Perhitungan IPH Mingguan 2026'!$GP$6:$GP$25,1),'Perhitungan IPH Mingguan 2026'!$GP$6:$GP$25,0)),"")</f>
        <v>-13.876651982378849</v>
      </c>
      <c r="E222" s="4">
        <f>IFERROR(INDEX('Perhitungan IPH Mingguan 2026'!$CI$6:$CI$25,MATCH(LARGE('Perhitungan IPH Mingguan 2026'!$GP$6:$GP$25,1),'Perhitungan IPH Mingguan 2026'!$GP$6:$GP$25,0)),"")</f>
        <v>-0.66484118952791715</v>
      </c>
      <c r="F222" s="18" t="str">
        <f>IF(ISNUMBER(E222),IF(E222&gt;0,"Penyumbang KENAIKAN IPH","Penyumbang PENURUNAN IPH"),"-")</f>
        <v>Penyumbang PENURUNAN IPH</v>
      </c>
    </row>
    <row r="223" spans="1:6" x14ac:dyDescent="0.35">
      <c r="A223" s="3">
        <v>2</v>
      </c>
      <c r="B223" s="5" t="str">
        <f>IFERROR(INDEX('Perhitungan IPH Mingguan 2026'!$B$6:$B$25,MATCH(LARGE('Perhitungan IPH Mingguan 2026'!$GP$6:$GP$25,2),'Perhitungan IPH Mingguan 2026'!$GP$6:$GP$25,0)),"-")</f>
        <v>bawang merah 1174006</v>
      </c>
      <c r="C223" s="17">
        <f>IFERROR(INDEX('Perhitungan IPH Mingguan 2026'!$C$6:$C$25,MATCH(LARGE('Perhitungan IPH Mingguan 2026'!$GP$6:$GP$25,2),'Perhitungan IPH Mingguan 2026'!$GP$6:$GP$25,0)),"")</f>
        <v>1.94434650422287E-2</v>
      </c>
      <c r="D223" s="12">
        <f>IFERROR(INDEX('Perhitungan IPH Mingguan 2026'!$CH$6:$CH$25,MATCH(LARGE('Perhitungan IPH Mingguan 2026'!$GP$6:$GP$25,2),'Perhitungan IPH Mingguan 2026'!$GP$6:$GP$25,0)),"")</f>
        <v>-25.498007968127485</v>
      </c>
      <c r="E223" s="4">
        <f>IFERROR(INDEX('Perhitungan IPH Mingguan 2026'!$CI$6:$CI$25,MATCH(LARGE('Perhitungan IPH Mingguan 2026'!$GP$6:$GP$25,2),'Perhitungan IPH Mingguan 2026'!$GP$6:$GP$25,0)),"")</f>
        <v>-0.4957696265747556</v>
      </c>
      <c r="F223" s="18" t="str">
        <f>IF(ISNUMBER(E223),IF(E223&gt;0,"Penyumbang KENAIKAN IPH","Penyumbang PENURUNAN IPH"),"-")</f>
        <v>Penyumbang PENURUNAN IPH</v>
      </c>
    </row>
    <row r="224" spans="1:6" x14ac:dyDescent="0.35">
      <c r="A224" s="3">
        <v>3</v>
      </c>
      <c r="B224" s="5" t="str">
        <f>IFERROR(INDEX('Perhitungan IPH Mingguan 2026'!$B$6:$B$25,MATCH(LARGE('Perhitungan IPH Mingguan 2026'!$GP$6:$GP$25,3),'Perhitungan IPH Mingguan 2026'!$GP$6:$GP$25,0)),"-")</f>
        <v>daging sapi 01121001</v>
      </c>
      <c r="C224" s="17">
        <f>IFERROR(INDEX('Perhitungan IPH Mingguan 2026'!$C$6:$C$25,MATCH(LARGE('Perhitungan IPH Mingguan 2026'!$GP$6:$GP$25,3),'Perhitungan IPH Mingguan 2026'!$GP$6:$GP$25,0)),"")</f>
        <v>5.98704213474298E-2</v>
      </c>
      <c r="D224" s="12">
        <f>IFERROR(INDEX('Perhitungan IPH Mingguan 2026'!$CH$6:$CH$25,MATCH(LARGE('Perhitungan IPH Mingguan 2026'!$GP$6:$GP$25,3),'Perhitungan IPH Mingguan 2026'!$GP$6:$GP$25,0)),"")</f>
        <v>-4.9113233287858202</v>
      </c>
      <c r="E224" s="4">
        <f>IFERROR(INDEX('Perhitungan IPH Mingguan 2026'!$CI$6:$CI$25,MATCH(LARGE('Perhitungan IPH Mingguan 2026'!$GP$6:$GP$25,3),'Perhitungan IPH Mingguan 2026'!$GP$6:$GP$25,0)),"")</f>
        <v>-0.29404299706786857</v>
      </c>
      <c r="F224" s="18" t="str">
        <f>IF(ISNUMBER(E224),IF(E224&gt;0,"Penyumbang KENAIKAN IPH","Penyumbang PENURUNAN IPH"),"-")</f>
        <v>Penyumbang PENURUNAN IPH</v>
      </c>
    </row>
    <row r="225" spans="1:6" x14ac:dyDescent="0.35">
      <c r="A225" s="3">
        <v>4</v>
      </c>
      <c r="B225" s="5" t="str">
        <f>IFERROR(INDEX('Perhitungan IPH Mingguan 2026'!$B$6:$B$25,MATCH(LARGE('Perhitungan IPH Mingguan 2026'!$GP$6:$GP$25,4),'Perhitungan IPH Mingguan 2026'!$GP$6:$GP$25,0)),"-")</f>
        <v>tempe 01194013</v>
      </c>
      <c r="C225" s="17">
        <f>IFERROR(INDEX('Perhitungan IPH Mingguan 2026'!$C$6:$C$25,MATCH(LARGE('Perhitungan IPH Mingguan 2026'!$GP$6:$GP$25,4),'Perhitungan IPH Mingguan 2026'!$GP$6:$GP$25,0)),"")</f>
        <v>2.0282595222329398E-2</v>
      </c>
      <c r="D225" s="12">
        <f>IFERROR(INDEX('Perhitungan IPH Mingguan 2026'!$CH$6:$CH$25,MATCH(LARGE('Perhitungan IPH Mingguan 2026'!$GP$6:$GP$25,4),'Perhitungan IPH Mingguan 2026'!$GP$6:$GP$25,0)),"")</f>
        <v>-11.111111111111111</v>
      </c>
      <c r="E225" s="4">
        <f>IFERROR(INDEX('Perhitungan IPH Mingguan 2026'!$CI$6:$CI$25,MATCH(LARGE('Perhitungan IPH Mingguan 2026'!$GP$6:$GP$25,4),'Perhitungan IPH Mingguan 2026'!$GP$6:$GP$25,0)),"")</f>
        <v>-0.22536216913699331</v>
      </c>
      <c r="F225" s="18" t="str">
        <f>IF(ISNUMBER(E225),IF(E225&gt;0,"Penyumbang KENAIKAN IPH","Penyumbang PENURUNAN IPH"),"-")</f>
        <v>Penyumbang PENURUNAN IPH</v>
      </c>
    </row>
    <row r="226" spans="1:6" x14ac:dyDescent="0.35">
      <c r="A226" s="3">
        <v>5</v>
      </c>
      <c r="B226" s="5" t="str">
        <f>IFERROR(INDEX('Perhitungan IPH Mingguan 2026'!$B$6:$B$25,MATCH(LARGE('Perhitungan IPH Mingguan 2026'!$GP$6:$GP$25,5),'Perhitungan IPH Mingguan 2026'!$GP$6:$GP$25,0)),"-")</f>
        <v>tepung terigu 01115005</v>
      </c>
      <c r="C226" s="17">
        <f>IFERROR(INDEX('Perhitungan IPH Mingguan 2026'!$C$6:$C$25,MATCH(LARGE('Perhitungan IPH Mingguan 2026'!$GP$6:$GP$25,5),'Perhitungan IPH Mingguan 2026'!$GP$6:$GP$25,0)),"")</f>
        <v>7.9366404905036603E-3</v>
      </c>
      <c r="D226" s="12">
        <f>IFERROR(INDEX('Perhitungan IPH Mingguan 2026'!$CH$6:$CH$25,MATCH(LARGE('Perhitungan IPH Mingguan 2026'!$GP$6:$GP$25,5),'Perhitungan IPH Mingguan 2026'!$GP$6:$GP$25,0)),"")</f>
        <v>26.388888888888889</v>
      </c>
      <c r="E226" s="4">
        <f>IFERROR(INDEX('Perhitungan IPH Mingguan 2026'!$CI$6:$CI$25,MATCH(LARGE('Perhitungan IPH Mingguan 2026'!$GP$6:$GP$25,5),'Perhitungan IPH Mingguan 2026'!$GP$6:$GP$25,0)),"")</f>
        <v>0.20943912405495771</v>
      </c>
      <c r="F226" s="18" t="str">
        <f>IF(ISNUMBER(E226),IF(E226&gt;0,"Penyumbang KENAIKAN IPH","Penyumbang PENURUNAN IPH"),"-")</f>
        <v>Penyumbang KENAIKAN IPH</v>
      </c>
    </row>
    <row r="228" spans="1:6" x14ac:dyDescent="0.35">
      <c r="A228" s="32" t="s">
        <v>478</v>
      </c>
      <c r="B228" s="32"/>
      <c r="C228" s="32"/>
      <c r="D228" s="32"/>
      <c r="E228" s="32"/>
      <c r="F228" s="32"/>
    </row>
    <row r="229" spans="1:6" x14ac:dyDescent="0.35">
      <c r="A229" s="8" t="s">
        <v>150</v>
      </c>
      <c r="B229" s="8" t="s">
        <v>151</v>
      </c>
      <c r="C229" s="8" t="s">
        <v>63</v>
      </c>
      <c r="D229" s="8" t="s">
        <v>152</v>
      </c>
      <c r="E229" s="8" t="s">
        <v>153</v>
      </c>
      <c r="F229" s="8" t="s">
        <v>154</v>
      </c>
    </row>
    <row r="230" spans="1:6" x14ac:dyDescent="0.35">
      <c r="A230" s="3">
        <v>1</v>
      </c>
      <c r="B230" s="5" t="str">
        <f>IFERROR(INDEX('Perhitungan IPH Mingguan 2026'!$B$6:$B$25,MATCH(LARGE('Perhitungan IPH Mingguan 2026'!$GQ$6:$GQ$25,1),'Perhitungan IPH Mingguan 2026'!$GQ$6:$GQ$25,0)),"-")</f>
        <v>bawang merah 1174006</v>
      </c>
      <c r="C230" s="17">
        <f>IFERROR(INDEX('Perhitungan IPH Mingguan 2026'!$C$6:$C$25,MATCH(LARGE('Perhitungan IPH Mingguan 2026'!$GQ$6:$GQ$25,1),'Perhitungan IPH Mingguan 2026'!$GQ$6:$GQ$25,0)),"")</f>
        <v>1.94434650422287E-2</v>
      </c>
      <c r="D230" s="12">
        <f>IFERROR(INDEX('Perhitungan IPH Mingguan 2026'!$CK$6:$CK$25,MATCH(LARGE('Perhitungan IPH Mingguan 2026'!$GQ$6:$GQ$25,1),'Perhitungan IPH Mingguan 2026'!$GQ$6:$GQ$25,0)),"")</f>
        <v>-12.068965517241379</v>
      </c>
      <c r="E230" s="4">
        <f>IFERROR(INDEX('Perhitungan IPH Mingguan 2026'!$CL$6:$CL$25,MATCH(LARGE('Perhitungan IPH Mingguan 2026'!$GQ$6:$GQ$25,1),'Perhitungan IPH Mingguan 2026'!$GQ$6:$GQ$25,0)),"")</f>
        <v>-0.23466250913034636</v>
      </c>
      <c r="F230" s="18" t="str">
        <f>IF(ISNUMBER(E230),IF(E230&gt;0,"Penyumbang KENAIKAN IPH","Penyumbang PENURUNAN IPH"),"-")</f>
        <v>Penyumbang PENURUNAN IPH</v>
      </c>
    </row>
    <row r="231" spans="1:6" x14ac:dyDescent="0.35">
      <c r="A231" s="3">
        <v>2</v>
      </c>
      <c r="B231" s="5" t="str">
        <f>IFERROR(INDEX('Perhitungan IPH Mingguan 2026'!$B$6:$B$25,MATCH(LARGE('Perhitungan IPH Mingguan 2026'!$GQ$6:$GQ$25,2),'Perhitungan IPH Mingguan 2026'!$GQ$6:$GQ$25,0)),"-")</f>
        <v>tepung terigu 01115005</v>
      </c>
      <c r="C231" s="17">
        <f>IFERROR(INDEX('Perhitungan IPH Mingguan 2026'!$C$6:$C$25,MATCH(LARGE('Perhitungan IPH Mingguan 2026'!$GQ$6:$GQ$25,2),'Perhitungan IPH Mingguan 2026'!$GQ$6:$GQ$25,0)),"")</f>
        <v>7.9366404905036603E-3</v>
      </c>
      <c r="D231" s="12">
        <f>IFERROR(INDEX('Perhitungan IPH Mingguan 2026'!$CK$6:$CK$25,MATCH(LARGE('Perhitungan IPH Mingguan 2026'!$GQ$6:$GQ$25,2),'Perhitungan IPH Mingguan 2026'!$GQ$6:$GQ$25,0)),"")</f>
        <v>20.307692307692317</v>
      </c>
      <c r="E231" s="4">
        <f>IFERROR(INDEX('Perhitungan IPH Mingguan 2026'!$CL$6:$CL$25,MATCH(LARGE('Perhitungan IPH Mingguan 2026'!$GQ$6:$GQ$25,2),'Perhitungan IPH Mingguan 2026'!$GQ$6:$GQ$25,0)),"")</f>
        <v>0.16117485303792056</v>
      </c>
      <c r="F231" s="18" t="str">
        <f>IF(ISNUMBER(E231),IF(E231&gt;0,"Penyumbang KENAIKAN IPH","Penyumbang PENURUNAN IPH"),"-")</f>
        <v>Penyumbang KENAIKAN IPH</v>
      </c>
    </row>
    <row r="232" spans="1:6" x14ac:dyDescent="0.35">
      <c r="A232" s="3">
        <v>3</v>
      </c>
      <c r="B232" s="5" t="str">
        <f>IFERROR(INDEX('Perhitungan IPH Mingguan 2026'!$B$6:$B$25,MATCH(LARGE('Perhitungan IPH Mingguan 2026'!$GQ$6:$GQ$25,3),'Perhitungan IPH Mingguan 2026'!$GQ$6:$GQ$25,0)),"-")</f>
        <v>cabai merah 01173012</v>
      </c>
      <c r="C232" s="17">
        <f>IFERROR(INDEX('Perhitungan IPH Mingguan 2026'!$C$6:$C$25,MATCH(LARGE('Perhitungan IPH Mingguan 2026'!$GQ$6:$GQ$25,3),'Perhitungan IPH Mingguan 2026'!$GQ$6:$GQ$25,0)),"")</f>
        <v>1.10208839376634E-2</v>
      </c>
      <c r="D232" s="12">
        <f>IFERROR(INDEX('Perhitungan IPH Mingguan 2026'!$CK$6:$CK$25,MATCH(LARGE('Perhitungan IPH Mingguan 2026'!$GQ$6:$GQ$25,3),'Perhitungan IPH Mingguan 2026'!$GQ$6:$GQ$25,0)),"")</f>
        <v>-10.681293302540421</v>
      </c>
      <c r="E232" s="4">
        <f>IFERROR(INDEX('Perhitungan IPH Mingguan 2026'!$CL$6:$CL$25,MATCH(LARGE('Perhitungan IPH Mingguan 2026'!$GQ$6:$GQ$25,3),'Perhitungan IPH Mingguan 2026'!$GQ$6:$GQ$25,0)),"")</f>
        <v>-0.11771729379143939</v>
      </c>
      <c r="F232" s="18" t="str">
        <f>IF(ISNUMBER(E232),IF(E232&gt;0,"Penyumbang KENAIKAN IPH","Penyumbang PENURUNAN IPH"),"-")</f>
        <v>Penyumbang PENURUNAN IPH</v>
      </c>
    </row>
    <row r="233" spans="1:6" x14ac:dyDescent="0.35">
      <c r="A233" s="3">
        <v>4</v>
      </c>
      <c r="B233" s="5" t="str">
        <f>IFERROR(INDEX('Perhitungan IPH Mingguan 2026'!$B$6:$B$25,MATCH(LARGE('Perhitungan IPH Mingguan 2026'!$GQ$6:$GQ$25,4),'Perhitungan IPH Mingguan 2026'!$GQ$6:$GQ$25,0)),"-")</f>
        <v>daging ayam ras 1124003</v>
      </c>
      <c r="C233" s="17">
        <f>IFERROR(INDEX('Perhitungan IPH Mingguan 2026'!$C$6:$C$25,MATCH(LARGE('Perhitungan IPH Mingguan 2026'!$GQ$6:$GQ$25,4),'Perhitungan IPH Mingguan 2026'!$GQ$6:$GQ$25,0)),"")</f>
        <v>4.7910777785027697E-2</v>
      </c>
      <c r="D233" s="12">
        <f>IFERROR(INDEX('Perhitungan IPH Mingguan 2026'!$CK$6:$CK$25,MATCH(LARGE('Perhitungan IPH Mingguan 2026'!$GQ$6:$GQ$25,4),'Perhitungan IPH Mingguan 2026'!$GQ$6:$GQ$25,0)),"")</f>
        <v>2.1965317919075189</v>
      </c>
      <c r="E233" s="4">
        <f>IFERROR(INDEX('Perhitungan IPH Mingguan 2026'!$CL$6:$CL$25,MATCH(LARGE('Perhitungan IPH Mingguan 2026'!$GQ$6:$GQ$25,4),'Perhitungan IPH Mingguan 2026'!$GQ$6:$GQ$25,0)),"")</f>
        <v>0.10523754657982984</v>
      </c>
      <c r="F233" s="18" t="str">
        <f>IF(ISNUMBER(E233),IF(E233&gt;0,"Penyumbang KENAIKAN IPH","Penyumbang PENURUNAN IPH"),"-")</f>
        <v>Penyumbang KENAIKAN IPH</v>
      </c>
    </row>
    <row r="234" spans="1:6" x14ac:dyDescent="0.35">
      <c r="A234" s="3">
        <v>5</v>
      </c>
      <c r="B234" s="5" t="str">
        <f>IFERROR(INDEX('Perhitungan IPH Mingguan 2026'!$B$6:$B$25,MATCH(LARGE('Perhitungan IPH Mingguan 2026'!$GQ$6:$GQ$25,5),'Perhitungan IPH Mingguan 2026'!$GQ$6:$GQ$25,0)),"-")</f>
        <v>daging sapi 01121001</v>
      </c>
      <c r="C234" s="17">
        <f>IFERROR(INDEX('Perhitungan IPH Mingguan 2026'!$C$6:$C$25,MATCH(LARGE('Perhitungan IPH Mingguan 2026'!$GQ$6:$GQ$25,5),'Perhitungan IPH Mingguan 2026'!$GQ$6:$GQ$25,0)),"")</f>
        <v>5.98704213474298E-2</v>
      </c>
      <c r="D234" s="12">
        <f>IFERROR(INDEX('Perhitungan IPH Mingguan 2026'!$CK$6:$CK$25,MATCH(LARGE('Perhitungan IPH Mingguan 2026'!$GQ$6:$GQ$25,5),'Perhitungan IPH Mingguan 2026'!$GQ$6:$GQ$25,0)),"")</f>
        <v>-1.3562639821029145</v>
      </c>
      <c r="E234" s="4">
        <f>IFERROR(INDEX('Perhitungan IPH Mingguan 2026'!$CL$6:$CL$25,MATCH(LARGE('Perhitungan IPH Mingguan 2026'!$GQ$6:$GQ$25,5),'Perhitungan IPH Mingguan 2026'!$GQ$6:$GQ$25,0)),"")</f>
        <v>-8.1200096066844488E-2</v>
      </c>
      <c r="F234" s="18" t="str">
        <f>IF(ISNUMBER(E234),IF(E234&gt;0,"Penyumbang KENAIKAN IPH","Penyumbang PENURUNAN IPH"),"-")</f>
        <v>Penyumbang PENURUNAN IPH</v>
      </c>
    </row>
    <row r="236" spans="1:6" x14ac:dyDescent="0.35">
      <c r="A236" s="32" t="s">
        <v>479</v>
      </c>
      <c r="B236" s="32"/>
      <c r="C236" s="32"/>
      <c r="D236" s="32"/>
      <c r="E236" s="32"/>
      <c r="F236" s="32"/>
    </row>
    <row r="237" spans="1:6" x14ac:dyDescent="0.35">
      <c r="A237" s="8" t="s">
        <v>150</v>
      </c>
      <c r="B237" s="8" t="s">
        <v>151</v>
      </c>
      <c r="C237" s="8" t="s">
        <v>63</v>
      </c>
      <c r="D237" s="8" t="s">
        <v>152</v>
      </c>
      <c r="E237" s="8" t="s">
        <v>153</v>
      </c>
      <c r="F237" s="8" t="s">
        <v>154</v>
      </c>
    </row>
    <row r="238" spans="1:6" x14ac:dyDescent="0.35">
      <c r="A238" s="3">
        <v>1</v>
      </c>
      <c r="B238" s="5" t="str">
        <f>IFERROR(INDEX('Perhitungan IPH Mingguan 2026'!$B$6:$B$25,MATCH(LARGE('Perhitungan IPH Mingguan 2026'!$GR$6:$GR$25,1),'Perhitungan IPH Mingguan 2026'!$GR$6:$GR$25,0)),"-")</f>
        <v>daging ayam ras 1124003</v>
      </c>
      <c r="C238" s="17">
        <f>IFERROR(INDEX('Perhitungan IPH Mingguan 2026'!$C$6:$C$25,MATCH(LARGE('Perhitungan IPH Mingguan 2026'!$GR$6:$GR$25,1),'Perhitungan IPH Mingguan 2026'!$GR$6:$GR$25,0)),"")</f>
        <v>4.7910777785027697E-2</v>
      </c>
      <c r="D238" s="12">
        <f>IFERROR(INDEX('Perhitungan IPH Mingguan 2026'!$CN$6:$CN$25,MATCH(LARGE('Perhitungan IPH Mingguan 2026'!$GR$6:$GR$25,1),'Perhitungan IPH Mingguan 2026'!$GR$6:$GR$25,0)),"")</f>
        <v>17.919075144508675</v>
      </c>
      <c r="E238" s="4">
        <f>IFERROR(INDEX('Perhitungan IPH Mingguan 2026'!$CO$6:$CO$25,MATCH(LARGE('Perhitungan IPH Mingguan 2026'!$GR$6:$GR$25,1),'Perhitungan IPH Mingguan 2026'!$GR$6:$GR$25,0)),"")</f>
        <v>0.85851682736176815</v>
      </c>
      <c r="F238" s="18" t="str">
        <f>IF(ISNUMBER(E238),IF(E238&gt;0,"Penyumbang KENAIKAN IPH","Penyumbang PENURUNAN IPH"),"-")</f>
        <v>Penyumbang KENAIKAN IPH</v>
      </c>
    </row>
    <row r="239" spans="1:6" x14ac:dyDescent="0.35">
      <c r="A239" s="3">
        <v>2</v>
      </c>
      <c r="B239" s="5" t="str">
        <f>IFERROR(INDEX('Perhitungan IPH Mingguan 2026'!$B$6:$B$25,MATCH(LARGE('Perhitungan IPH Mingguan 2026'!$GR$6:$GR$25,2),'Perhitungan IPH Mingguan 2026'!$GR$6:$GR$25,0)),"-")</f>
        <v>cabai rawit 01173013</v>
      </c>
      <c r="C239" s="17">
        <f>IFERROR(INDEX('Perhitungan IPH Mingguan 2026'!$C$6:$C$25,MATCH(LARGE('Perhitungan IPH Mingguan 2026'!$GR$6:$GR$25,2),'Perhitungan IPH Mingguan 2026'!$GR$6:$GR$25,0)),"")</f>
        <v>1.7701732362870599E-2</v>
      </c>
      <c r="D239" s="12">
        <f>IFERROR(INDEX('Perhitungan IPH Mingguan 2026'!$CN$6:$CN$25,MATCH(LARGE('Perhitungan IPH Mingguan 2026'!$GR$6:$GR$25,2),'Perhitungan IPH Mingguan 2026'!$GR$6:$GR$25,0)),"")</f>
        <v>21.542056074766357</v>
      </c>
      <c r="E239" s="4">
        <f>IFERROR(INDEX('Perhitungan IPH Mingguan 2026'!$CO$6:$CO$25,MATCH(LARGE('Perhitungan IPH Mingguan 2026'!$GR$6:$GR$25,2),'Perhitungan IPH Mingguan 2026'!$GR$6:$GR$25,0)),"")</f>
        <v>0.38133171118146481</v>
      </c>
      <c r="F239" s="18" t="str">
        <f>IF(ISNUMBER(E239),IF(E239&gt;0,"Penyumbang KENAIKAN IPH","Penyumbang PENURUNAN IPH"),"-")</f>
        <v>Penyumbang KENAIKAN IPH</v>
      </c>
    </row>
    <row r="240" spans="1:6" x14ac:dyDescent="0.35">
      <c r="A240" s="3">
        <v>3</v>
      </c>
      <c r="B240" s="5" t="str">
        <f>IFERROR(INDEX('Perhitungan IPH Mingguan 2026'!$B$6:$B$25,MATCH(LARGE('Perhitungan IPH Mingguan 2026'!$GR$6:$GR$25,3),'Perhitungan IPH Mingguan 2026'!$GR$6:$GR$25,0)),"-")</f>
        <v>tepung terigu 01115005</v>
      </c>
      <c r="C240" s="17">
        <f>IFERROR(INDEX('Perhitungan IPH Mingguan 2026'!$C$6:$C$25,MATCH(LARGE('Perhitungan IPH Mingguan 2026'!$GR$6:$GR$25,3),'Perhitungan IPH Mingguan 2026'!$GR$6:$GR$25,0)),"")</f>
        <v>7.9366404905036603E-3</v>
      </c>
      <c r="D240" s="12">
        <f>IFERROR(INDEX('Perhitungan IPH Mingguan 2026'!$CN$6:$CN$25,MATCH(LARGE('Perhitungan IPH Mingguan 2026'!$GR$6:$GR$25,3),'Perhitungan IPH Mingguan 2026'!$GR$6:$GR$25,0)),"")</f>
        <v>20.307692307692317</v>
      </c>
      <c r="E240" s="4">
        <f>IFERROR(INDEX('Perhitungan IPH Mingguan 2026'!$CO$6:$CO$25,MATCH(LARGE('Perhitungan IPH Mingguan 2026'!$GR$6:$GR$25,3),'Perhitungan IPH Mingguan 2026'!$GR$6:$GR$25,0)),"")</f>
        <v>0.16117485303792056</v>
      </c>
      <c r="F240" s="18" t="str">
        <f>IF(ISNUMBER(E240),IF(E240&gt;0,"Penyumbang KENAIKAN IPH","Penyumbang PENURUNAN IPH"),"-")</f>
        <v>Penyumbang KENAIKAN IPH</v>
      </c>
    </row>
    <row r="241" spans="1:6" x14ac:dyDescent="0.35">
      <c r="A241" s="3">
        <v>4</v>
      </c>
      <c r="B241" s="5" t="str">
        <f>IFERROR(INDEX('Perhitungan IPH Mingguan 2026'!$B$6:$B$25,MATCH(LARGE('Perhitungan IPH Mingguan 2026'!$GR$6:$GR$25,4),'Perhitungan IPH Mingguan 2026'!$GR$6:$GR$25,0)),"-")</f>
        <v>daging sapi 01121001</v>
      </c>
      <c r="C241" s="17">
        <f>IFERROR(INDEX('Perhitungan IPH Mingguan 2026'!$C$6:$C$25,MATCH(LARGE('Perhitungan IPH Mingguan 2026'!$GR$6:$GR$25,4),'Perhitungan IPH Mingguan 2026'!$GR$6:$GR$25,0)),"")</f>
        <v>5.98704213474298E-2</v>
      </c>
      <c r="D241" s="12">
        <f>IFERROR(INDEX('Perhitungan IPH Mingguan 2026'!$CN$6:$CN$25,MATCH(LARGE('Perhitungan IPH Mingguan 2026'!$GR$6:$GR$25,4),'Perhitungan IPH Mingguan 2026'!$GR$6:$GR$25,0)),"")</f>
        <v>2.2091722595078229</v>
      </c>
      <c r="E241" s="4">
        <f>IFERROR(INDEX('Perhitungan IPH Mingguan 2026'!$CO$6:$CO$25,MATCH(LARGE('Perhitungan IPH Mingguan 2026'!$GR$6:$GR$25,4),'Perhitungan IPH Mingguan 2026'!$GR$6:$GR$25,0)),"")</f>
        <v>0.13226407400578688</v>
      </c>
      <c r="F241" s="18" t="str">
        <f>IF(ISNUMBER(E241),IF(E241&gt;0,"Penyumbang KENAIKAN IPH","Penyumbang PENURUNAN IPH"),"-")</f>
        <v>Penyumbang KENAIKAN IPH</v>
      </c>
    </row>
    <row r="242" spans="1:6" x14ac:dyDescent="0.35">
      <c r="A242" s="3">
        <v>5</v>
      </c>
      <c r="B242" s="5" t="str">
        <f>IFERROR(INDEX('Perhitungan IPH Mingguan 2026'!$B$6:$B$25,MATCH(LARGE('Perhitungan IPH Mingguan 2026'!$GR$6:$GR$25,5),'Perhitungan IPH Mingguan 2026'!$GR$6:$GR$25,0)),"-")</f>
        <v>telur ayam ras 01147002</v>
      </c>
      <c r="C242" s="17">
        <f>IFERROR(INDEX('Perhitungan IPH Mingguan 2026'!$C$6:$C$25,MATCH(LARGE('Perhitungan IPH Mingguan 2026'!$GR$6:$GR$25,5),'Perhitungan IPH Mingguan 2026'!$GR$6:$GR$25,0)),"")</f>
        <v>2.9877791079459301E-2</v>
      </c>
      <c r="D242" s="12">
        <f>IFERROR(INDEX('Perhitungan IPH Mingguan 2026'!$CN$6:$CN$25,MATCH(LARGE('Perhitungan IPH Mingguan 2026'!$GR$6:$GR$25,5),'Perhitungan IPH Mingguan 2026'!$GR$6:$GR$25,0)),"")</f>
        <v>3.9598997493734278</v>
      </c>
      <c r="E242" s="4">
        <f>IFERROR(INDEX('Perhitungan IPH Mingguan 2026'!$CO$6:$CO$25,MATCH(LARGE('Perhitungan IPH Mingguan 2026'!$GR$6:$GR$25,5),'Perhitungan IPH Mingguan 2026'!$GR$6:$GR$25,0)),"")</f>
        <v>0.11831305740738253</v>
      </c>
      <c r="F242" s="18" t="str">
        <f>IF(ISNUMBER(E242),IF(E242&gt;0,"Penyumbang KENAIKAN IPH","Penyumbang PENURUNAN IPH"),"-")</f>
        <v>Penyumbang KENAIKAN IPH</v>
      </c>
    </row>
    <row r="244" spans="1:6" x14ac:dyDescent="0.35">
      <c r="A244" s="32" t="s">
        <v>480</v>
      </c>
      <c r="B244" s="32"/>
      <c r="C244" s="32"/>
      <c r="D244" s="32"/>
      <c r="E244" s="32"/>
      <c r="F244" s="32"/>
    </row>
    <row r="245" spans="1:6" x14ac:dyDescent="0.35">
      <c r="A245" s="8" t="s">
        <v>150</v>
      </c>
      <c r="B245" s="8" t="s">
        <v>151</v>
      </c>
      <c r="C245" s="8" t="s">
        <v>63</v>
      </c>
      <c r="D245" s="8" t="s">
        <v>152</v>
      </c>
      <c r="E245" s="8" t="s">
        <v>153</v>
      </c>
      <c r="F245" s="8" t="s">
        <v>154</v>
      </c>
    </row>
    <row r="246" spans="1:6" x14ac:dyDescent="0.35">
      <c r="A246" s="3">
        <v>1</v>
      </c>
      <c r="B246" s="5" t="str">
        <f>IFERROR(INDEX('Perhitungan IPH Mingguan 2026'!$B$6:$B$25,MATCH(LARGE('Perhitungan IPH Mingguan 2026'!$GS$6:$GS$25,1),'Perhitungan IPH Mingguan 2026'!$GS$6:$GS$25,0)),"-")</f>
        <v>daging ayam ras 1124003</v>
      </c>
      <c r="C246" s="17">
        <f>IFERROR(INDEX('Perhitungan IPH Mingguan 2026'!$C$6:$C$25,MATCH(LARGE('Perhitungan IPH Mingguan 2026'!$GS$6:$GS$25,1),'Perhitungan IPH Mingguan 2026'!$GS$6:$GS$25,0)),"")</f>
        <v>4.7910777785027697E-2</v>
      </c>
      <c r="D246" s="12">
        <f>IFERROR(INDEX('Perhitungan IPH Mingguan 2026'!$CQ$6:$CQ$25,MATCH(LARGE('Perhitungan IPH Mingguan 2026'!$GS$6:$GS$25,1),'Perhitungan IPH Mingguan 2026'!$GS$6:$GS$25,0)),"")</f>
        <v>14.774566473988443</v>
      </c>
      <c r="E246" s="4">
        <f>IFERROR(INDEX('Perhitungan IPH Mingguan 2026'!$CR$6:$CR$25,MATCH(LARGE('Perhitungan IPH Mingguan 2026'!$GS$6:$GS$25,1),'Perhitungan IPH Mingguan 2026'!$GS$6:$GS$25,0)),"")</f>
        <v>0.7078609712053805</v>
      </c>
      <c r="F246" s="18" t="str">
        <f>IF(ISNUMBER(E246),IF(E246&gt;0,"Penyumbang KENAIKAN IPH","Penyumbang PENURUNAN IPH"),"-")</f>
        <v>Penyumbang KENAIKAN IPH</v>
      </c>
    </row>
    <row r="247" spans="1:6" x14ac:dyDescent="0.35">
      <c r="A247" s="3">
        <v>2</v>
      </c>
      <c r="B247" s="5" t="str">
        <f>IFERROR(INDEX('Perhitungan IPH Mingguan 2026'!$B$6:$B$25,MATCH(LARGE('Perhitungan IPH Mingguan 2026'!$GS$6:$GS$25,2),'Perhitungan IPH Mingguan 2026'!$GS$6:$GS$25,0)),"-")</f>
        <v>cabai rawit 01173013</v>
      </c>
      <c r="C247" s="17">
        <f>IFERROR(INDEX('Perhitungan IPH Mingguan 2026'!$C$6:$C$25,MATCH(LARGE('Perhitungan IPH Mingguan 2026'!$GS$6:$GS$25,2),'Perhitungan IPH Mingguan 2026'!$GS$6:$GS$25,0)),"")</f>
        <v>1.7701732362870599E-2</v>
      </c>
      <c r="D247" s="12">
        <f>IFERROR(INDEX('Perhitungan IPH Mingguan 2026'!$CQ$6:$CQ$25,MATCH(LARGE('Perhitungan IPH Mingguan 2026'!$GS$6:$GS$25,2),'Perhitungan IPH Mingguan 2026'!$GS$6:$GS$25,0)),"")</f>
        <v>19.953271028037385</v>
      </c>
      <c r="E247" s="4">
        <f>IFERROR(INDEX('Perhitungan IPH Mingguan 2026'!$CR$6:$CR$25,MATCH(LARGE('Perhitungan IPH Mingguan 2026'!$GS$6:$GS$25,2),'Perhitungan IPH Mingguan 2026'!$GS$6:$GS$25,0)),"")</f>
        <v>0.35320746350213766</v>
      </c>
      <c r="F247" s="18" t="str">
        <f>IF(ISNUMBER(E247),IF(E247&gt;0,"Penyumbang KENAIKAN IPH","Penyumbang PENURUNAN IPH"),"-")</f>
        <v>Penyumbang KENAIKAN IPH</v>
      </c>
    </row>
    <row r="248" spans="1:6" x14ac:dyDescent="0.35">
      <c r="A248" s="3">
        <v>3</v>
      </c>
      <c r="B248" s="5" t="str">
        <f>IFERROR(INDEX('Perhitungan IPH Mingguan 2026'!$B$6:$B$25,MATCH(LARGE('Perhitungan IPH Mingguan 2026'!$GS$6:$GS$25,3),'Perhitungan IPH Mingguan 2026'!$GS$6:$GS$25,0)),"-")</f>
        <v>tepung terigu 01115005</v>
      </c>
      <c r="C248" s="17">
        <f>IFERROR(INDEX('Perhitungan IPH Mingguan 2026'!$C$6:$C$25,MATCH(LARGE('Perhitungan IPH Mingguan 2026'!$GS$6:$GS$25,3),'Perhitungan IPH Mingguan 2026'!$GS$6:$GS$25,0)),"")</f>
        <v>7.9366404905036603E-3</v>
      </c>
      <c r="D248" s="12">
        <f>IFERROR(INDEX('Perhitungan IPH Mingguan 2026'!$CQ$6:$CQ$25,MATCH(LARGE('Perhitungan IPH Mingguan 2026'!$GS$6:$GS$25,3),'Perhitungan IPH Mingguan 2026'!$GS$6:$GS$25,0)),"")</f>
        <v>20.307692307692317</v>
      </c>
      <c r="E248" s="4">
        <f>IFERROR(INDEX('Perhitungan IPH Mingguan 2026'!$CR$6:$CR$25,MATCH(LARGE('Perhitungan IPH Mingguan 2026'!$GS$6:$GS$25,3),'Perhitungan IPH Mingguan 2026'!$GS$6:$GS$25,0)),"")</f>
        <v>0.16117485303792056</v>
      </c>
      <c r="F248" s="18" t="str">
        <f>IF(ISNUMBER(E248),IF(E248&gt;0,"Penyumbang KENAIKAN IPH","Penyumbang PENURUNAN IPH"),"-")</f>
        <v>Penyumbang KENAIKAN IPH</v>
      </c>
    </row>
    <row r="249" spans="1:6" x14ac:dyDescent="0.35">
      <c r="A249" s="3">
        <v>4</v>
      </c>
      <c r="B249" s="5" t="str">
        <f>IFERROR(INDEX('Perhitungan IPH Mingguan 2026'!$B$6:$B$25,MATCH(LARGE('Perhitungan IPH Mingguan 2026'!$GS$6:$GS$25,4),'Perhitungan IPH Mingguan 2026'!$GS$6:$GS$25,0)),"-")</f>
        <v>cabai merah 01173012</v>
      </c>
      <c r="C249" s="17">
        <f>IFERROR(INDEX('Perhitungan IPH Mingguan 2026'!$C$6:$C$25,MATCH(LARGE('Perhitungan IPH Mingguan 2026'!$GS$6:$GS$25,4),'Perhitungan IPH Mingguan 2026'!$GS$6:$GS$25,0)),"")</f>
        <v>1.10208839376634E-2</v>
      </c>
      <c r="D249" s="12">
        <f>IFERROR(INDEX('Perhitungan IPH Mingguan 2026'!$CQ$6:$CQ$25,MATCH(LARGE('Perhitungan IPH Mingguan 2026'!$GS$6:$GS$25,4),'Perhitungan IPH Mingguan 2026'!$GS$6:$GS$25,0)),"")</f>
        <v>-9.3071593533487338</v>
      </c>
      <c r="E249" s="4">
        <f>IFERROR(INDEX('Perhitungan IPH Mingguan 2026'!$CR$6:$CR$25,MATCH(LARGE('Perhitungan IPH Mingguan 2026'!$GS$6:$GS$25,4),'Perhitungan IPH Mingguan 2026'!$GS$6:$GS$25,0)),"")</f>
        <v>-0.10257312302259475</v>
      </c>
      <c r="F249" s="18" t="str">
        <f>IF(ISNUMBER(E249),IF(E249&gt;0,"Penyumbang KENAIKAN IPH","Penyumbang PENURUNAN IPH"),"-")</f>
        <v>Penyumbang PENURUNAN IPH</v>
      </c>
    </row>
    <row r="250" spans="1:6" x14ac:dyDescent="0.35">
      <c r="A250" s="3">
        <v>5</v>
      </c>
      <c r="B250" s="5" t="str">
        <f>IFERROR(INDEX('Perhitungan IPH Mingguan 2026'!$B$6:$B$25,MATCH(LARGE('Perhitungan IPH Mingguan 2026'!$GS$6:$GS$25,5),'Perhitungan IPH Mingguan 2026'!$GS$6:$GS$25,0)),"-")</f>
        <v>telur ayam ras 01147002</v>
      </c>
      <c r="C250" s="17">
        <f>IFERROR(INDEX('Perhitungan IPH Mingguan 2026'!$C$6:$C$25,MATCH(LARGE('Perhitungan IPH Mingguan 2026'!$GS$6:$GS$25,5),'Perhitungan IPH Mingguan 2026'!$GS$6:$GS$25,0)),"")</f>
        <v>2.9877791079459301E-2</v>
      </c>
      <c r="D250" s="12">
        <f>IFERROR(INDEX('Perhitungan IPH Mingguan 2026'!$CQ$6:$CQ$25,MATCH(LARGE('Perhitungan IPH Mingguan 2026'!$GS$6:$GS$25,5),'Perhitungan IPH Mingguan 2026'!$GS$6:$GS$25,0)),"")</f>
        <v>3.1077694235588917</v>
      </c>
      <c r="E250" s="4">
        <f>IFERROR(INDEX('Perhitungan IPH Mingguan 2026'!$CR$6:$CR$25,MATCH(LARGE('Perhitungan IPH Mingguan 2026'!$GS$6:$GS$25,5),'Perhitungan IPH Mingguan 2026'!$GS$6:$GS$25,0)),"")</f>
        <v>9.2853285560224236E-2</v>
      </c>
      <c r="F250" s="18" t="str">
        <f>IF(ISNUMBER(E250),IF(E250&gt;0,"Penyumbang KENAIKAN IPH","Penyumbang PENURUNAN IPH"),"-")</f>
        <v>Penyumbang KENAIKAN IPH</v>
      </c>
    </row>
    <row r="252" spans="1:6" x14ac:dyDescent="0.35">
      <c r="A252" s="32" t="s">
        <v>481</v>
      </c>
      <c r="B252" s="32"/>
      <c r="C252" s="32"/>
      <c r="D252" s="32"/>
      <c r="E252" s="32"/>
      <c r="F252" s="32"/>
    </row>
    <row r="253" spans="1:6" x14ac:dyDescent="0.35">
      <c r="A253" s="8" t="s">
        <v>150</v>
      </c>
      <c r="B253" s="8" t="s">
        <v>151</v>
      </c>
      <c r="C253" s="8" t="s">
        <v>63</v>
      </c>
      <c r="D253" s="8" t="s">
        <v>152</v>
      </c>
      <c r="E253" s="8" t="s">
        <v>153</v>
      </c>
      <c r="F253" s="8" t="s">
        <v>154</v>
      </c>
    </row>
    <row r="254" spans="1:6" x14ac:dyDescent="0.35">
      <c r="A254" s="3">
        <v>1</v>
      </c>
      <c r="B254" s="5" t="str">
        <f>IFERROR(INDEX('Perhitungan IPH Mingguan 2026'!$B$6:$B$25,MATCH(LARGE('Perhitungan IPH Mingguan 2026'!$GT$6:$GT$25,1),'Perhitungan IPH Mingguan 2026'!$GT$6:$GT$25,0)),"-")</f>
        <v>daging ayam ras 1124003</v>
      </c>
      <c r="C254" s="17">
        <f>IFERROR(INDEX('Perhitungan IPH Mingguan 2026'!$C$6:$C$25,MATCH(LARGE('Perhitungan IPH Mingguan 2026'!$GT$6:$GT$25,1),'Perhitungan IPH Mingguan 2026'!$GT$6:$GT$25,0)),"")</f>
        <v>4.7910777785027697E-2</v>
      </c>
      <c r="D254" s="12">
        <f>IFERROR(INDEX('Perhitungan IPH Mingguan 2026'!$CT$6:$CT$25,MATCH(LARGE('Perhitungan IPH Mingguan 2026'!$GT$6:$GT$25,1),'Perhitungan IPH Mingguan 2026'!$GT$6:$GT$25,0)),"")</f>
        <v>17.919075144508675</v>
      </c>
      <c r="E254" s="4">
        <f>IFERROR(INDEX('Perhitungan IPH Mingguan 2026'!$CU$6:$CU$25,MATCH(LARGE('Perhitungan IPH Mingguan 2026'!$GT$6:$GT$25,1),'Perhitungan IPH Mingguan 2026'!$GT$6:$GT$25,0)),"")</f>
        <v>0.85851682736176815</v>
      </c>
      <c r="F254" s="18" t="str">
        <f>IF(ISNUMBER(E254),IF(E254&gt;0,"Penyumbang KENAIKAN IPH","Penyumbang PENURUNAN IPH"),"-")</f>
        <v>Penyumbang KENAIKAN IPH</v>
      </c>
    </row>
    <row r="255" spans="1:6" x14ac:dyDescent="0.35">
      <c r="A255" s="3">
        <v>2</v>
      </c>
      <c r="B255" s="5" t="str">
        <f>IFERROR(INDEX('Perhitungan IPH Mingguan 2026'!$B$6:$B$25,MATCH(LARGE('Perhitungan IPH Mingguan 2026'!$GT$6:$GT$25,2),'Perhitungan IPH Mingguan 2026'!$GT$6:$GT$25,0)),"-")</f>
        <v>beras 1111001</v>
      </c>
      <c r="C255" s="17">
        <f>IFERROR(INDEX('Perhitungan IPH Mingguan 2026'!$C$6:$C$25,MATCH(LARGE('Perhitungan IPH Mingguan 2026'!$GT$6:$GT$25,2),'Perhitungan IPH Mingguan 2026'!$GT$6:$GT$25,0)),"")</f>
        <v>0.12508905675934601</v>
      </c>
      <c r="D255" s="12">
        <f>IFERROR(INDEX('Perhitungan IPH Mingguan 2026'!$CT$6:$CT$25,MATCH(LARGE('Perhitungan IPH Mingguan 2026'!$GT$6:$GT$25,2),'Perhitungan IPH Mingguan 2026'!$GT$6:$GT$25,0)),"")</f>
        <v>5.3333333333333286</v>
      </c>
      <c r="E255" s="4">
        <f>IFERROR(INDEX('Perhitungan IPH Mingguan 2026'!$CU$6:$CU$25,MATCH(LARGE('Perhitungan IPH Mingguan 2026'!$GT$6:$GT$25,2),'Perhitungan IPH Mingguan 2026'!$GT$6:$GT$25,0)),"")</f>
        <v>0.66714163604984478</v>
      </c>
      <c r="F255" s="18" t="str">
        <f>IF(ISNUMBER(E255),IF(E255&gt;0,"Penyumbang KENAIKAN IPH","Penyumbang PENURUNAN IPH"),"-")</f>
        <v>Penyumbang KENAIKAN IPH</v>
      </c>
    </row>
    <row r="256" spans="1:6" x14ac:dyDescent="0.35">
      <c r="A256" s="3">
        <v>3</v>
      </c>
      <c r="B256" s="5" t="str">
        <f>IFERROR(INDEX('Perhitungan IPH Mingguan 2026'!$B$6:$B$25,MATCH(LARGE('Perhitungan IPH Mingguan 2026'!$GT$6:$GT$25,3),'Perhitungan IPH Mingguan 2026'!$GT$6:$GT$25,0)),"-")</f>
        <v>cabai rawit 01173013</v>
      </c>
      <c r="C256" s="17">
        <f>IFERROR(INDEX('Perhitungan IPH Mingguan 2026'!$C$6:$C$25,MATCH(LARGE('Perhitungan IPH Mingguan 2026'!$GT$6:$GT$25,3),'Perhitungan IPH Mingguan 2026'!$GT$6:$GT$25,0)),"")</f>
        <v>1.7701732362870599E-2</v>
      </c>
      <c r="D256" s="12">
        <f>IFERROR(INDEX('Perhitungan IPH Mingguan 2026'!$CT$6:$CT$25,MATCH(LARGE('Perhitungan IPH Mingguan 2026'!$GT$6:$GT$25,3),'Perhitungan IPH Mingguan 2026'!$GT$6:$GT$25,0)),"")</f>
        <v>19.158878504672899</v>
      </c>
      <c r="E256" s="4">
        <f>IFERROR(INDEX('Perhitungan IPH Mingguan 2026'!$CU$6:$CU$25,MATCH(LARGE('Perhitungan IPH Mingguan 2026'!$GT$6:$GT$25,3),'Perhitungan IPH Mingguan 2026'!$GT$6:$GT$25,0)),"")</f>
        <v>0.33914533966247412</v>
      </c>
      <c r="F256" s="18" t="str">
        <f>IF(ISNUMBER(E256),IF(E256&gt;0,"Penyumbang KENAIKAN IPH","Penyumbang PENURUNAN IPH"),"-")</f>
        <v>Penyumbang KENAIKAN IPH</v>
      </c>
    </row>
    <row r="257" spans="1:6" x14ac:dyDescent="0.35">
      <c r="A257" s="3">
        <v>4</v>
      </c>
      <c r="B257" s="5" t="str">
        <f>IFERROR(INDEX('Perhitungan IPH Mingguan 2026'!$B$6:$B$25,MATCH(LARGE('Perhitungan IPH Mingguan 2026'!$GT$6:$GT$25,4),'Perhitungan IPH Mingguan 2026'!$GT$6:$GT$25,0)),"-")</f>
        <v>telur ayam ras 01147002</v>
      </c>
      <c r="C257" s="17">
        <f>IFERROR(INDEX('Perhitungan IPH Mingguan 2026'!$C$6:$C$25,MATCH(LARGE('Perhitungan IPH Mingguan 2026'!$GT$6:$GT$25,4),'Perhitungan IPH Mingguan 2026'!$GT$6:$GT$25,0)),"")</f>
        <v>2.9877791079459301E-2</v>
      </c>
      <c r="D257" s="12">
        <f>IFERROR(INDEX('Perhitungan IPH Mingguan 2026'!$CT$6:$CT$25,MATCH(LARGE('Perhitungan IPH Mingguan 2026'!$GT$6:$GT$25,4),'Perhitungan IPH Mingguan 2026'!$GT$6:$GT$25,0)),"")</f>
        <v>6.5162907268170365</v>
      </c>
      <c r="E257" s="4">
        <f>IFERROR(INDEX('Perhitungan IPH Mingguan 2026'!$CU$6:$CU$25,MATCH(LARGE('Perhitungan IPH Mingguan 2026'!$GT$6:$GT$25,4),'Perhitungan IPH Mingguan 2026'!$GT$6:$GT$25,0)),"")</f>
        <v>0.19469237294885741</v>
      </c>
      <c r="F257" s="18" t="str">
        <f>IF(ISNUMBER(E257),IF(E257&gt;0,"Penyumbang KENAIKAN IPH","Penyumbang PENURUNAN IPH"),"-")</f>
        <v>Penyumbang KENAIKAN IPH</v>
      </c>
    </row>
    <row r="258" spans="1:6" x14ac:dyDescent="0.35">
      <c r="A258" s="3">
        <v>5</v>
      </c>
      <c r="B258" s="5" t="str">
        <f>IFERROR(INDEX('Perhitungan IPH Mingguan 2026'!$B$6:$B$25,MATCH(LARGE('Perhitungan IPH Mingguan 2026'!$GT$6:$GT$25,5),'Perhitungan IPH Mingguan 2026'!$GT$6:$GT$25,0)),"-")</f>
        <v>bawang merah 1174006</v>
      </c>
      <c r="C258" s="17">
        <f>IFERROR(INDEX('Perhitungan IPH Mingguan 2026'!$C$6:$C$25,MATCH(LARGE('Perhitungan IPH Mingguan 2026'!$GT$6:$GT$25,5),'Perhitungan IPH Mingguan 2026'!$GT$6:$GT$25,0)),"")</f>
        <v>1.94434650422287E-2</v>
      </c>
      <c r="D258" s="12">
        <f>IFERROR(INDEX('Perhitungan IPH Mingguan 2026'!$CT$6:$CT$25,MATCH(LARGE('Perhitungan IPH Mingguan 2026'!$GT$6:$GT$25,5),'Perhitungan IPH Mingguan 2026'!$GT$6:$GT$25,0)),"")</f>
        <v>9.4252873563218404</v>
      </c>
      <c r="E258" s="4">
        <f>IFERROR(INDEX('Perhitungan IPH Mingguan 2026'!$CU$6:$CU$25,MATCH(LARGE('Perhitungan IPH Mingguan 2026'!$GT$6:$GT$25,5),'Perhitungan IPH Mingguan 2026'!$GT$6:$GT$25,0)),"")</f>
        <v>0.18326024522560386</v>
      </c>
      <c r="F258" s="18" t="str">
        <f>IF(ISNUMBER(E258),IF(E258&gt;0,"Penyumbang KENAIKAN IPH","Penyumbang PENURUNAN IPH"),"-")</f>
        <v>Penyumbang KENAIKAN IPH</v>
      </c>
    </row>
    <row r="260" spans="1:6" x14ac:dyDescent="0.35">
      <c r="A260" s="32" t="s">
        <v>482</v>
      </c>
      <c r="B260" s="32"/>
      <c r="C260" s="32"/>
      <c r="D260" s="32"/>
      <c r="E260" s="32"/>
      <c r="F260" s="32"/>
    </row>
    <row r="261" spans="1:6" x14ac:dyDescent="0.35">
      <c r="A261" s="8" t="s">
        <v>150</v>
      </c>
      <c r="B261" s="8" t="s">
        <v>151</v>
      </c>
      <c r="C261" s="8" t="s">
        <v>63</v>
      </c>
      <c r="D261" s="8" t="s">
        <v>152</v>
      </c>
      <c r="E261" s="8" t="s">
        <v>153</v>
      </c>
      <c r="F261" s="8" t="s">
        <v>154</v>
      </c>
    </row>
    <row r="262" spans="1:6" x14ac:dyDescent="0.35">
      <c r="A262" s="3">
        <v>1</v>
      </c>
      <c r="B262" s="5" t="str">
        <f>IFERROR(INDEX('Perhitungan IPH Mingguan 2026'!$B$6:$B$25,MATCH(LARGE('Perhitungan IPH Mingguan 2026'!$GU$6:$GU$25,1),'Perhitungan IPH Mingguan 2026'!$GU$6:$GU$25,0)),"-")</f>
        <v>daging ayam ras 1124003</v>
      </c>
      <c r="C262" s="17">
        <f>IFERROR(INDEX('Perhitungan IPH Mingguan 2026'!$C$6:$C$25,MATCH(LARGE('Perhitungan IPH Mingguan 2026'!$GU$6:$GU$25,1),'Perhitungan IPH Mingguan 2026'!$GU$6:$GU$25,0)),"")</f>
        <v>4.7910777785027697E-2</v>
      </c>
      <c r="D262" s="12">
        <f>IFERROR(INDEX('Perhitungan IPH Mingguan 2026'!$CW$6:$CW$25,MATCH(LARGE('Perhitungan IPH Mingguan 2026'!$GU$6:$GU$25,1),'Perhitungan IPH Mingguan 2026'!$GU$6:$GU$25,0)),"")</f>
        <v>14.971098265895957</v>
      </c>
      <c r="E262" s="4">
        <f>IFERROR(INDEX('Perhitungan IPH Mingguan 2026'!$CX$6:$CX$25,MATCH(LARGE('Perhitungan IPH Mingguan 2026'!$GU$6:$GU$25,1),'Perhitungan IPH Mingguan 2026'!$GU$6:$GU$25,0)),"")</f>
        <v>0.71727696221515469</v>
      </c>
      <c r="F262" s="18" t="str">
        <f>IF(ISNUMBER(E262),IF(E262&gt;0,"Penyumbang KENAIKAN IPH","Penyumbang PENURUNAN IPH"),"-")</f>
        <v>Penyumbang KENAIKAN IPH</v>
      </c>
    </row>
    <row r="263" spans="1:6" x14ac:dyDescent="0.35">
      <c r="A263" s="3">
        <v>2</v>
      </c>
      <c r="B263" s="5" t="str">
        <f>IFERROR(INDEX('Perhitungan IPH Mingguan 2026'!$B$6:$B$25,MATCH(LARGE('Perhitungan IPH Mingguan 2026'!$GU$6:$GU$25,2),'Perhitungan IPH Mingguan 2026'!$GU$6:$GU$25,0)),"-")</f>
        <v>beras 1111001</v>
      </c>
      <c r="C263" s="17">
        <f>IFERROR(INDEX('Perhitungan IPH Mingguan 2026'!$C$6:$C$25,MATCH(LARGE('Perhitungan IPH Mingguan 2026'!$GU$6:$GU$25,2),'Perhitungan IPH Mingguan 2026'!$GU$6:$GU$25,0)),"")</f>
        <v>0.12508905675934601</v>
      </c>
      <c r="D263" s="12">
        <f>IFERROR(INDEX('Perhitungan IPH Mingguan 2026'!$CW$6:$CW$25,MATCH(LARGE('Perhitungan IPH Mingguan 2026'!$GU$6:$GU$25,2),'Perhitungan IPH Mingguan 2026'!$GU$6:$GU$25,0)),"")</f>
        <v>5.3333333333333286</v>
      </c>
      <c r="E263" s="4">
        <f>IFERROR(INDEX('Perhitungan IPH Mingguan 2026'!$CX$6:$CX$25,MATCH(LARGE('Perhitungan IPH Mingguan 2026'!$GU$6:$GU$25,2),'Perhitungan IPH Mingguan 2026'!$GU$6:$GU$25,0)),"")</f>
        <v>0.66714163604984478</v>
      </c>
      <c r="F263" s="18" t="str">
        <f>IF(ISNUMBER(E263),IF(E263&gt;0,"Penyumbang KENAIKAN IPH","Penyumbang PENURUNAN IPH"),"-")</f>
        <v>Penyumbang KENAIKAN IPH</v>
      </c>
    </row>
    <row r="264" spans="1:6" x14ac:dyDescent="0.35">
      <c r="A264" s="3">
        <v>3</v>
      </c>
      <c r="B264" s="5" t="str">
        <f>IFERROR(INDEX('Perhitungan IPH Mingguan 2026'!$B$6:$B$25,MATCH(LARGE('Perhitungan IPH Mingguan 2026'!$GU$6:$GU$25,3),'Perhitungan IPH Mingguan 2026'!$GU$6:$GU$25,0)),"-")</f>
        <v>cabai rawit 01173013</v>
      </c>
      <c r="C264" s="17">
        <f>IFERROR(INDEX('Perhitungan IPH Mingguan 2026'!$C$6:$C$25,MATCH(LARGE('Perhitungan IPH Mingguan 2026'!$GU$6:$GU$25,3),'Perhitungan IPH Mingguan 2026'!$GU$6:$GU$25,0)),"")</f>
        <v>1.7701732362870599E-2</v>
      </c>
      <c r="D264" s="12">
        <f>IFERROR(INDEX('Perhitungan IPH Mingguan 2026'!$CW$6:$CW$25,MATCH(LARGE('Perhitungan IPH Mingguan 2026'!$GU$6:$GU$25,3),'Perhitungan IPH Mingguan 2026'!$GU$6:$GU$25,0)),"")</f>
        <v>13.200934579439256</v>
      </c>
      <c r="E264" s="4">
        <f>IFERROR(INDEX('Perhitungan IPH Mingguan 2026'!$CX$6:$CX$25,MATCH(LARGE('Perhitungan IPH Mingguan 2026'!$GU$6:$GU$25,3),'Perhitungan IPH Mingguan 2026'!$GU$6:$GU$25,0)),"")</f>
        <v>0.23367941086499747</v>
      </c>
      <c r="F264" s="18" t="str">
        <f>IF(ISNUMBER(E264),IF(E264&gt;0,"Penyumbang KENAIKAN IPH","Penyumbang PENURUNAN IPH"),"-")</f>
        <v>Penyumbang KENAIKAN IPH</v>
      </c>
    </row>
    <row r="265" spans="1:6" x14ac:dyDescent="0.35">
      <c r="A265" s="3">
        <v>4</v>
      </c>
      <c r="B265" s="5" t="str">
        <f>IFERROR(INDEX('Perhitungan IPH Mingguan 2026'!$B$6:$B$25,MATCH(LARGE('Perhitungan IPH Mingguan 2026'!$GU$6:$GU$25,4),'Perhitungan IPH Mingguan 2026'!$GU$6:$GU$25,0)),"-")</f>
        <v>bawang merah 1174006</v>
      </c>
      <c r="C265" s="17">
        <f>IFERROR(INDEX('Perhitungan IPH Mingguan 2026'!$C$6:$C$25,MATCH(LARGE('Perhitungan IPH Mingguan 2026'!$GU$6:$GU$25,4),'Perhitungan IPH Mingguan 2026'!$GU$6:$GU$25,0)),"")</f>
        <v>1.94434650422287E-2</v>
      </c>
      <c r="D265" s="12">
        <f>IFERROR(INDEX('Perhitungan IPH Mingguan 2026'!$CW$6:$CW$25,MATCH(LARGE('Perhitungan IPH Mingguan 2026'!$GU$6:$GU$25,4),'Perhitungan IPH Mingguan 2026'!$GU$6:$GU$25,0)),"")</f>
        <v>9.4252873563218404</v>
      </c>
      <c r="E265" s="4">
        <f>IFERROR(INDEX('Perhitungan IPH Mingguan 2026'!$CX$6:$CX$25,MATCH(LARGE('Perhitungan IPH Mingguan 2026'!$GU$6:$GU$25,4),'Perhitungan IPH Mingguan 2026'!$GU$6:$GU$25,0)),"")</f>
        <v>0.18326024522560386</v>
      </c>
      <c r="F265" s="18" t="str">
        <f>IF(ISNUMBER(E265),IF(E265&gt;0,"Penyumbang KENAIKAN IPH","Penyumbang PENURUNAN IPH"),"-")</f>
        <v>Penyumbang KENAIKAN IPH</v>
      </c>
    </row>
    <row r="266" spans="1:6" x14ac:dyDescent="0.35">
      <c r="A266" s="3">
        <v>5</v>
      </c>
      <c r="B266" s="5" t="str">
        <f>IFERROR(INDEX('Perhitungan IPH Mingguan 2026'!$B$6:$B$25,MATCH(LARGE('Perhitungan IPH Mingguan 2026'!$GU$6:$GU$25,5),'Perhitungan IPH Mingguan 2026'!$GU$6:$GU$25,0)),"-")</f>
        <v>tepung terigu 01115005</v>
      </c>
      <c r="C266" s="17">
        <f>IFERROR(INDEX('Perhitungan IPH Mingguan 2026'!$C$6:$C$25,MATCH(LARGE('Perhitungan IPH Mingguan 2026'!$GU$6:$GU$25,5),'Perhitungan IPH Mingguan 2026'!$GU$6:$GU$25,0)),"")</f>
        <v>7.9366404905036603E-3</v>
      </c>
      <c r="D266" s="12">
        <f>IFERROR(INDEX('Perhitungan IPH Mingguan 2026'!$CW$6:$CW$25,MATCH(LARGE('Perhitungan IPH Mingguan 2026'!$GU$6:$GU$25,5),'Perhitungan IPH Mingguan 2026'!$GU$6:$GU$25,0)),"")</f>
        <v>20.307692307692317</v>
      </c>
      <c r="E266" s="4">
        <f>IFERROR(INDEX('Perhitungan IPH Mingguan 2026'!$CX$6:$CX$25,MATCH(LARGE('Perhitungan IPH Mingguan 2026'!$GU$6:$GU$25,5),'Perhitungan IPH Mingguan 2026'!$GU$6:$GU$25,0)),"")</f>
        <v>0.16117485303792056</v>
      </c>
      <c r="F266" s="18" t="str">
        <f>IF(ISNUMBER(E266),IF(E266&gt;0,"Penyumbang KENAIKAN IPH","Penyumbang PENURUNAN IPH"),"-")</f>
        <v>Penyumbang KENAIKAN IPH</v>
      </c>
    </row>
    <row r="268" spans="1:6" x14ac:dyDescent="0.35">
      <c r="A268" s="32" t="s">
        <v>483</v>
      </c>
      <c r="B268" s="32"/>
      <c r="C268" s="32"/>
      <c r="D268" s="32"/>
      <c r="E268" s="32"/>
      <c r="F268" s="32"/>
    </row>
    <row r="269" spans="1:6" x14ac:dyDescent="0.35">
      <c r="A269" s="8" t="s">
        <v>150</v>
      </c>
      <c r="B269" s="8" t="s">
        <v>151</v>
      </c>
      <c r="C269" s="8" t="s">
        <v>63</v>
      </c>
      <c r="D269" s="8" t="s">
        <v>152</v>
      </c>
      <c r="E269" s="8" t="s">
        <v>153</v>
      </c>
      <c r="F269" s="8" t="s">
        <v>154</v>
      </c>
    </row>
    <row r="270" spans="1:6" x14ac:dyDescent="0.35">
      <c r="A270" s="3">
        <v>1</v>
      </c>
      <c r="B270" s="5" t="str">
        <f>IFERROR(INDEX('Perhitungan IPH Mingguan 2026'!$B$6:$B$25,MATCH(LARGE('Perhitungan IPH Mingguan 2026'!$GV$6:$GV$25,1),'Perhitungan IPH Mingguan 2026'!$GV$6:$GV$25,0)),"-")</f>
        <v>susu bubuk bayi 01143001/2</v>
      </c>
      <c r="C270" s="17">
        <f>IFERROR(INDEX('Perhitungan IPH Mingguan 2026'!$C$6:$C$25,MATCH(LARGE('Perhitungan IPH Mingguan 2026'!$GV$6:$GV$25,1),'Perhitungan IPH Mingguan 2026'!$GV$6:$GV$25,0)),"")</f>
        <v>0.21946420178649401</v>
      </c>
      <c r="D270" s="12">
        <f>IFERROR(INDEX('Perhitungan IPH Mingguan 2026'!$CZ$6:$CZ$25,MATCH(LARGE('Perhitungan IPH Mingguan 2026'!$GV$6:$GV$25,1),'Perhitungan IPH Mingguan 2026'!$GV$6:$GV$25,0)),"")</f>
        <v>-100</v>
      </c>
      <c r="E270" s="4">
        <f>IFERROR(INDEX('Perhitungan IPH Mingguan 2026'!$DA$6:$DA$25,MATCH(LARGE('Perhitungan IPH Mingguan 2026'!$GV$6:$GV$25,1),'Perhitungan IPH Mingguan 2026'!$GV$6:$GV$25,0)),"")</f>
        <v>-21.946420178649401</v>
      </c>
      <c r="F270" s="18" t="str">
        <f>IF(ISNUMBER(E270),IF(E270&gt;0,"Penyumbang KENAIKAN IPH","Penyumbang PENURUNAN IPH"),"-")</f>
        <v>Penyumbang PENURUNAN IPH</v>
      </c>
    </row>
    <row r="271" spans="1:6" x14ac:dyDescent="0.35">
      <c r="A271" s="3">
        <v>2</v>
      </c>
      <c r="B271" s="5" t="str">
        <f>IFERROR(INDEX('Perhitungan IPH Mingguan 2026'!$B$6:$B$25,MATCH(LARGE('Perhitungan IPH Mingguan 2026'!$GV$6:$GV$25,2),'Perhitungan IPH Mingguan 2026'!$GV$6:$GV$25,0)),"-")</f>
        <v>susu bubuk 01143001/2</v>
      </c>
      <c r="C271" s="17">
        <f>IFERROR(INDEX('Perhitungan IPH Mingguan 2026'!$C$6:$C$25,MATCH(LARGE('Perhitungan IPH Mingguan 2026'!$GV$6:$GV$25,2),'Perhitungan IPH Mingguan 2026'!$GV$6:$GV$25,0)),"")</f>
        <v>0.18461346650329299</v>
      </c>
      <c r="D271" s="12">
        <f>IFERROR(INDEX('Perhitungan IPH Mingguan 2026'!$CZ$6:$CZ$25,MATCH(LARGE('Perhitungan IPH Mingguan 2026'!$GV$6:$GV$25,2),'Perhitungan IPH Mingguan 2026'!$GV$6:$GV$25,0)),"")</f>
        <v>-100</v>
      </c>
      <c r="E271" s="4">
        <f>IFERROR(INDEX('Perhitungan IPH Mingguan 2026'!$DA$6:$DA$25,MATCH(LARGE('Perhitungan IPH Mingguan 2026'!$GV$6:$GV$25,2),'Perhitungan IPH Mingguan 2026'!$GV$6:$GV$25,0)),"")</f>
        <v>-18.4613466503293</v>
      </c>
      <c r="F271" s="18" t="str">
        <f>IF(ISNUMBER(E271),IF(E271&gt;0,"Penyumbang KENAIKAN IPH","Penyumbang PENURUNAN IPH"),"-")</f>
        <v>Penyumbang PENURUNAN IPH</v>
      </c>
    </row>
    <row r="272" spans="1:6" x14ac:dyDescent="0.35">
      <c r="A272" s="3">
        <v>3</v>
      </c>
      <c r="B272" s="5" t="str">
        <f>IFERROR(INDEX('Perhitungan IPH Mingguan 2026'!$B$6:$B$25,MATCH(LARGE('Perhitungan IPH Mingguan 2026'!$GV$6:$GV$25,3),'Perhitungan IPH Mingguan 2026'!$GV$6:$GV$25,0)),"-")</f>
        <v>beras 1111001</v>
      </c>
      <c r="C272" s="17">
        <f>IFERROR(INDEX('Perhitungan IPH Mingguan 2026'!$C$6:$C$25,MATCH(LARGE('Perhitungan IPH Mingguan 2026'!$GV$6:$GV$25,3),'Perhitungan IPH Mingguan 2026'!$GV$6:$GV$25,0)),"")</f>
        <v>0.12508905675934601</v>
      </c>
      <c r="D272" s="12">
        <f>IFERROR(INDEX('Perhitungan IPH Mingguan 2026'!$CZ$6:$CZ$25,MATCH(LARGE('Perhitungan IPH Mingguan 2026'!$GV$6:$GV$25,3),'Perhitungan IPH Mingguan 2026'!$GV$6:$GV$25,0)),"")</f>
        <v>-100</v>
      </c>
      <c r="E272" s="4">
        <f>IFERROR(INDEX('Perhitungan IPH Mingguan 2026'!$DA$6:$DA$25,MATCH(LARGE('Perhitungan IPH Mingguan 2026'!$GV$6:$GV$25,3),'Perhitungan IPH Mingguan 2026'!$GV$6:$GV$25,0)),"")</f>
        <v>-12.508905675934601</v>
      </c>
      <c r="F272" s="18" t="str">
        <f>IF(ISNUMBER(E272),IF(E272&gt;0,"Penyumbang KENAIKAN IPH","Penyumbang PENURUNAN IPH"),"-")</f>
        <v>Penyumbang PENURUNAN IPH</v>
      </c>
    </row>
    <row r="273" spans="1:6" x14ac:dyDescent="0.35">
      <c r="A273" s="3">
        <v>4</v>
      </c>
      <c r="B273" s="5" t="str">
        <f>IFERROR(INDEX('Perhitungan IPH Mingguan 2026'!$B$6:$B$25,MATCH(LARGE('Perhitungan IPH Mingguan 2026'!$GV$6:$GV$25,4),'Perhitungan IPH Mingguan 2026'!$GV$6:$GV$25,0)),"-")</f>
        <v>daging sapi 01121001</v>
      </c>
      <c r="C273" s="17">
        <f>IFERROR(INDEX('Perhitungan IPH Mingguan 2026'!$C$6:$C$25,MATCH(LARGE('Perhitungan IPH Mingguan 2026'!$GV$6:$GV$25,4),'Perhitungan IPH Mingguan 2026'!$GV$6:$GV$25,0)),"")</f>
        <v>5.98704213474298E-2</v>
      </c>
      <c r="D273" s="12">
        <f>IFERROR(INDEX('Perhitungan IPH Mingguan 2026'!$CZ$6:$CZ$25,MATCH(LARGE('Perhitungan IPH Mingguan 2026'!$GV$6:$GV$25,4),'Perhitungan IPH Mingguan 2026'!$GV$6:$GV$25,0)),"")</f>
        <v>-100</v>
      </c>
      <c r="E273" s="4">
        <f>IFERROR(INDEX('Perhitungan IPH Mingguan 2026'!$DA$6:$DA$25,MATCH(LARGE('Perhitungan IPH Mingguan 2026'!$GV$6:$GV$25,4),'Perhitungan IPH Mingguan 2026'!$GV$6:$GV$25,0)),"")</f>
        <v>-5.9870421347429801</v>
      </c>
      <c r="F273" s="18" t="str">
        <f>IF(ISNUMBER(E273),IF(E273&gt;0,"Penyumbang KENAIKAN IPH","Penyumbang PENURUNAN IPH"),"-")</f>
        <v>Penyumbang PENURUNAN IPH</v>
      </c>
    </row>
    <row r="274" spans="1:6" x14ac:dyDescent="0.35">
      <c r="A274" s="3">
        <v>5</v>
      </c>
      <c r="B274" s="5" t="str">
        <f>IFERROR(INDEX('Perhitungan IPH Mingguan 2026'!$B$6:$B$25,MATCH(LARGE('Perhitungan IPH Mingguan 2026'!$GV$6:$GV$25,5),'Perhitungan IPH Mingguan 2026'!$GV$6:$GV$25,0)),"-")</f>
        <v>daging ayam ras 1124003</v>
      </c>
      <c r="C274" s="17">
        <f>IFERROR(INDEX('Perhitungan IPH Mingguan 2026'!$C$6:$C$25,MATCH(LARGE('Perhitungan IPH Mingguan 2026'!$GV$6:$GV$25,5),'Perhitungan IPH Mingguan 2026'!$GV$6:$GV$25,0)),"")</f>
        <v>4.7910777785027697E-2</v>
      </c>
      <c r="D274" s="12">
        <f>IFERROR(INDEX('Perhitungan IPH Mingguan 2026'!$CZ$6:$CZ$25,MATCH(LARGE('Perhitungan IPH Mingguan 2026'!$GV$6:$GV$25,5),'Perhitungan IPH Mingguan 2026'!$GV$6:$GV$25,0)),"")</f>
        <v>-100</v>
      </c>
      <c r="E274" s="4">
        <f>IFERROR(INDEX('Perhitungan IPH Mingguan 2026'!$DA$6:$DA$25,MATCH(LARGE('Perhitungan IPH Mingguan 2026'!$GV$6:$GV$25,5),'Perhitungan IPH Mingguan 2026'!$GV$6:$GV$25,0)),"")</f>
        <v>-4.7910777785027694</v>
      </c>
      <c r="F274" s="18" t="str">
        <f>IF(ISNUMBER(E274),IF(E274&gt;0,"Penyumbang KENAIKAN IPH","Penyumbang PENURUNAN IPH"),"-")</f>
        <v>Penyumbang PENURUNAN IPH</v>
      </c>
    </row>
    <row r="276" spans="1:6" x14ac:dyDescent="0.35">
      <c r="A276" s="32" t="s">
        <v>484</v>
      </c>
      <c r="B276" s="32"/>
      <c r="C276" s="32"/>
      <c r="D276" s="32"/>
      <c r="E276" s="32"/>
      <c r="F276" s="32"/>
    </row>
    <row r="277" spans="1:6" x14ac:dyDescent="0.35">
      <c r="A277" s="8" t="s">
        <v>150</v>
      </c>
      <c r="B277" s="8" t="s">
        <v>151</v>
      </c>
      <c r="C277" s="8" t="s">
        <v>63</v>
      </c>
      <c r="D277" s="8" t="s">
        <v>152</v>
      </c>
      <c r="E277" s="8" t="s">
        <v>153</v>
      </c>
      <c r="F277" s="8" t="s">
        <v>154</v>
      </c>
    </row>
    <row r="278" spans="1:6" x14ac:dyDescent="0.35">
      <c r="A278" s="3">
        <v>1</v>
      </c>
      <c r="B278" s="5" t="str">
        <f>IFERROR(INDEX('Perhitungan IPH Mingguan 2026'!$B$6:$B$25,MATCH(LARGE('Perhitungan IPH Mingguan 2026'!$GW$6:$GW$25,1),'Perhitungan IPH Mingguan 2026'!$GW$6:$GW$25,0)),"-")</f>
        <v>susu bubuk bayi 01143001/2</v>
      </c>
      <c r="C278" s="17">
        <f>IFERROR(INDEX('Perhitungan IPH Mingguan 2026'!$C$6:$C$25,MATCH(LARGE('Perhitungan IPH Mingguan 2026'!$GW$6:$GW$25,1),'Perhitungan IPH Mingguan 2026'!$GW$6:$GW$25,0)),"")</f>
        <v>0.21946420178649401</v>
      </c>
      <c r="D278" s="12">
        <f>IFERROR(INDEX('Perhitungan IPH Mingguan 2026'!$DC$6:$DC$25,MATCH(LARGE('Perhitungan IPH Mingguan 2026'!$GW$6:$GW$25,1),'Perhitungan IPH Mingguan 2026'!$GW$6:$GW$25,0)),"")</f>
        <v>-100</v>
      </c>
      <c r="E278" s="4">
        <f>IFERROR(INDEX('Perhitungan IPH Mingguan 2026'!$DD$6:$DD$25,MATCH(LARGE('Perhitungan IPH Mingguan 2026'!$GW$6:$GW$25,1),'Perhitungan IPH Mingguan 2026'!$GW$6:$GW$25,0)),"")</f>
        <v>-21.946420178649401</v>
      </c>
      <c r="F278" s="18" t="str">
        <f>IF(ISNUMBER(E278),IF(E278&gt;0,"Penyumbang KENAIKAN IPH","Penyumbang PENURUNAN IPH"),"-")</f>
        <v>Penyumbang PENURUNAN IPH</v>
      </c>
    </row>
    <row r="279" spans="1:6" x14ac:dyDescent="0.35">
      <c r="A279" s="3">
        <v>2</v>
      </c>
      <c r="B279" s="5" t="str">
        <f>IFERROR(INDEX('Perhitungan IPH Mingguan 2026'!$B$6:$B$25,MATCH(LARGE('Perhitungan IPH Mingguan 2026'!$GW$6:$GW$25,2),'Perhitungan IPH Mingguan 2026'!$GW$6:$GW$25,0)),"-")</f>
        <v>susu bubuk 01143001/2</v>
      </c>
      <c r="C279" s="17">
        <f>IFERROR(INDEX('Perhitungan IPH Mingguan 2026'!$C$6:$C$25,MATCH(LARGE('Perhitungan IPH Mingguan 2026'!$GW$6:$GW$25,2),'Perhitungan IPH Mingguan 2026'!$GW$6:$GW$25,0)),"")</f>
        <v>0.18461346650329299</v>
      </c>
      <c r="D279" s="12">
        <f>IFERROR(INDEX('Perhitungan IPH Mingguan 2026'!$DC$6:$DC$25,MATCH(LARGE('Perhitungan IPH Mingguan 2026'!$GW$6:$GW$25,2),'Perhitungan IPH Mingguan 2026'!$GW$6:$GW$25,0)),"")</f>
        <v>-100</v>
      </c>
      <c r="E279" s="4">
        <f>IFERROR(INDEX('Perhitungan IPH Mingguan 2026'!$DD$6:$DD$25,MATCH(LARGE('Perhitungan IPH Mingguan 2026'!$GW$6:$GW$25,2),'Perhitungan IPH Mingguan 2026'!$GW$6:$GW$25,0)),"")</f>
        <v>-18.4613466503293</v>
      </c>
      <c r="F279" s="18" t="str">
        <f>IF(ISNUMBER(E279),IF(E279&gt;0,"Penyumbang KENAIKAN IPH","Penyumbang PENURUNAN IPH"),"-")</f>
        <v>Penyumbang PENURUNAN IPH</v>
      </c>
    </row>
    <row r="280" spans="1:6" x14ac:dyDescent="0.35">
      <c r="A280" s="3">
        <v>3</v>
      </c>
      <c r="B280" s="5" t="str">
        <f>IFERROR(INDEX('Perhitungan IPH Mingguan 2026'!$B$6:$B$25,MATCH(LARGE('Perhitungan IPH Mingguan 2026'!$GW$6:$GW$25,3),'Perhitungan IPH Mingguan 2026'!$GW$6:$GW$25,0)),"-")</f>
        <v>beras 1111001</v>
      </c>
      <c r="C280" s="17">
        <f>IFERROR(INDEX('Perhitungan IPH Mingguan 2026'!$C$6:$C$25,MATCH(LARGE('Perhitungan IPH Mingguan 2026'!$GW$6:$GW$25,3),'Perhitungan IPH Mingguan 2026'!$GW$6:$GW$25,0)),"")</f>
        <v>0.12508905675934601</v>
      </c>
      <c r="D280" s="12">
        <f>IFERROR(INDEX('Perhitungan IPH Mingguan 2026'!$DC$6:$DC$25,MATCH(LARGE('Perhitungan IPH Mingguan 2026'!$GW$6:$GW$25,3),'Perhitungan IPH Mingguan 2026'!$GW$6:$GW$25,0)),"")</f>
        <v>-100</v>
      </c>
      <c r="E280" s="4">
        <f>IFERROR(INDEX('Perhitungan IPH Mingguan 2026'!$DD$6:$DD$25,MATCH(LARGE('Perhitungan IPH Mingguan 2026'!$GW$6:$GW$25,3),'Perhitungan IPH Mingguan 2026'!$GW$6:$GW$25,0)),"")</f>
        <v>-12.508905675934601</v>
      </c>
      <c r="F280" s="18" t="str">
        <f>IF(ISNUMBER(E280),IF(E280&gt;0,"Penyumbang KENAIKAN IPH","Penyumbang PENURUNAN IPH"),"-")</f>
        <v>Penyumbang PENURUNAN IPH</v>
      </c>
    </row>
    <row r="281" spans="1:6" x14ac:dyDescent="0.35">
      <c r="A281" s="3">
        <v>4</v>
      </c>
      <c r="B281" s="5" t="str">
        <f>IFERROR(INDEX('Perhitungan IPH Mingguan 2026'!$B$6:$B$25,MATCH(LARGE('Perhitungan IPH Mingguan 2026'!$GW$6:$GW$25,4),'Perhitungan IPH Mingguan 2026'!$GW$6:$GW$25,0)),"-")</f>
        <v>daging sapi 01121001</v>
      </c>
      <c r="C281" s="17">
        <f>IFERROR(INDEX('Perhitungan IPH Mingguan 2026'!$C$6:$C$25,MATCH(LARGE('Perhitungan IPH Mingguan 2026'!$GW$6:$GW$25,4),'Perhitungan IPH Mingguan 2026'!$GW$6:$GW$25,0)),"")</f>
        <v>5.98704213474298E-2</v>
      </c>
      <c r="D281" s="12">
        <f>IFERROR(INDEX('Perhitungan IPH Mingguan 2026'!$DC$6:$DC$25,MATCH(LARGE('Perhitungan IPH Mingguan 2026'!$GW$6:$GW$25,4),'Perhitungan IPH Mingguan 2026'!$GW$6:$GW$25,0)),"")</f>
        <v>-100</v>
      </c>
      <c r="E281" s="4">
        <f>IFERROR(INDEX('Perhitungan IPH Mingguan 2026'!$DD$6:$DD$25,MATCH(LARGE('Perhitungan IPH Mingguan 2026'!$GW$6:$GW$25,4),'Perhitungan IPH Mingguan 2026'!$GW$6:$GW$25,0)),"")</f>
        <v>-5.9870421347429801</v>
      </c>
      <c r="F281" s="18" t="str">
        <f>IF(ISNUMBER(E281),IF(E281&gt;0,"Penyumbang KENAIKAN IPH","Penyumbang PENURUNAN IPH"),"-")</f>
        <v>Penyumbang PENURUNAN IPH</v>
      </c>
    </row>
    <row r="282" spans="1:6" x14ac:dyDescent="0.35">
      <c r="A282" s="3">
        <v>5</v>
      </c>
      <c r="B282" s="5" t="str">
        <f>IFERROR(INDEX('Perhitungan IPH Mingguan 2026'!$B$6:$B$25,MATCH(LARGE('Perhitungan IPH Mingguan 2026'!$GW$6:$GW$25,5),'Perhitungan IPH Mingguan 2026'!$GW$6:$GW$25,0)),"-")</f>
        <v>daging ayam ras 1124003</v>
      </c>
      <c r="C282" s="17">
        <f>IFERROR(INDEX('Perhitungan IPH Mingguan 2026'!$C$6:$C$25,MATCH(LARGE('Perhitungan IPH Mingguan 2026'!$GW$6:$GW$25,5),'Perhitungan IPH Mingguan 2026'!$GW$6:$GW$25,0)),"")</f>
        <v>4.7910777785027697E-2</v>
      </c>
      <c r="D282" s="12">
        <f>IFERROR(INDEX('Perhitungan IPH Mingguan 2026'!$DC$6:$DC$25,MATCH(LARGE('Perhitungan IPH Mingguan 2026'!$GW$6:$GW$25,5),'Perhitungan IPH Mingguan 2026'!$GW$6:$GW$25,0)),"")</f>
        <v>-100</v>
      </c>
      <c r="E282" s="4">
        <f>IFERROR(INDEX('Perhitungan IPH Mingguan 2026'!$DD$6:$DD$25,MATCH(LARGE('Perhitungan IPH Mingguan 2026'!$GW$6:$GW$25,5),'Perhitungan IPH Mingguan 2026'!$GW$6:$GW$25,0)),"")</f>
        <v>-4.7910777785027694</v>
      </c>
      <c r="F282" s="18" t="str">
        <f>IF(ISNUMBER(E282),IF(E282&gt;0,"Penyumbang KENAIKAN IPH","Penyumbang PENURUNAN IPH"),"-")</f>
        <v>Penyumbang PENURUNAN IPH</v>
      </c>
    </row>
    <row r="284" spans="1:6" x14ac:dyDescent="0.35">
      <c r="A284" s="32" t="s">
        <v>485</v>
      </c>
      <c r="B284" s="32"/>
      <c r="C284" s="32"/>
      <c r="D284" s="32"/>
      <c r="E284" s="32"/>
      <c r="F284" s="32"/>
    </row>
    <row r="285" spans="1:6" x14ac:dyDescent="0.35">
      <c r="A285" s="8" t="s">
        <v>150</v>
      </c>
      <c r="B285" s="8" t="s">
        <v>151</v>
      </c>
      <c r="C285" s="8" t="s">
        <v>63</v>
      </c>
      <c r="D285" s="8" t="s">
        <v>152</v>
      </c>
      <c r="E285" s="8" t="s">
        <v>153</v>
      </c>
      <c r="F285" s="8" t="s">
        <v>154</v>
      </c>
    </row>
    <row r="286" spans="1:6" x14ac:dyDescent="0.35">
      <c r="A286" s="3">
        <v>1</v>
      </c>
      <c r="B286" s="5" t="str">
        <f>IFERROR(INDEX('Perhitungan IPH Mingguan 2026'!$B$6:$B$25,MATCH(LARGE('Perhitungan IPH Mingguan 2026'!$GX$6:$GX$25,1),'Perhitungan IPH Mingguan 2026'!$GX$6:$GX$25,0)),"-")</f>
        <v>susu bubuk bayi 01143001/2</v>
      </c>
      <c r="C286" s="17">
        <f>IFERROR(INDEX('Perhitungan IPH Mingguan 2026'!$C$6:$C$25,MATCH(LARGE('Perhitungan IPH Mingguan 2026'!$GX$6:$GX$25,1),'Perhitungan IPH Mingguan 2026'!$GX$6:$GX$25,0)),"")</f>
        <v>0.21946420178649401</v>
      </c>
      <c r="D286" s="12">
        <f>IFERROR(INDEX('Perhitungan IPH Mingguan 2026'!$DF$6:$DF$25,MATCH(LARGE('Perhitungan IPH Mingguan 2026'!$GX$6:$GX$25,1),'Perhitungan IPH Mingguan 2026'!$GX$6:$GX$25,0)),"")</f>
        <v>-100</v>
      </c>
      <c r="E286" s="4">
        <f>IFERROR(INDEX('Perhitungan IPH Mingguan 2026'!$DG$6:$DG$25,MATCH(LARGE('Perhitungan IPH Mingguan 2026'!$GX$6:$GX$25,1),'Perhitungan IPH Mingguan 2026'!$GX$6:$GX$25,0)),"")</f>
        <v>-21.946420178649401</v>
      </c>
      <c r="F286" s="18" t="str">
        <f>IF(ISNUMBER(E286),IF(E286&gt;0,"Penyumbang KENAIKAN IPH","Penyumbang PENURUNAN IPH"),"-")</f>
        <v>Penyumbang PENURUNAN IPH</v>
      </c>
    </row>
    <row r="287" spans="1:6" x14ac:dyDescent="0.35">
      <c r="A287" s="3">
        <v>2</v>
      </c>
      <c r="B287" s="5" t="str">
        <f>IFERROR(INDEX('Perhitungan IPH Mingguan 2026'!$B$6:$B$25,MATCH(LARGE('Perhitungan IPH Mingguan 2026'!$GX$6:$GX$25,2),'Perhitungan IPH Mingguan 2026'!$GX$6:$GX$25,0)),"-")</f>
        <v>susu bubuk 01143001/2</v>
      </c>
      <c r="C287" s="17">
        <f>IFERROR(INDEX('Perhitungan IPH Mingguan 2026'!$C$6:$C$25,MATCH(LARGE('Perhitungan IPH Mingguan 2026'!$GX$6:$GX$25,2),'Perhitungan IPH Mingguan 2026'!$GX$6:$GX$25,0)),"")</f>
        <v>0.18461346650329299</v>
      </c>
      <c r="D287" s="12">
        <f>IFERROR(INDEX('Perhitungan IPH Mingguan 2026'!$DF$6:$DF$25,MATCH(LARGE('Perhitungan IPH Mingguan 2026'!$GX$6:$GX$25,2),'Perhitungan IPH Mingguan 2026'!$GX$6:$GX$25,0)),"")</f>
        <v>-100</v>
      </c>
      <c r="E287" s="4">
        <f>IFERROR(INDEX('Perhitungan IPH Mingguan 2026'!$DG$6:$DG$25,MATCH(LARGE('Perhitungan IPH Mingguan 2026'!$GX$6:$GX$25,2),'Perhitungan IPH Mingguan 2026'!$GX$6:$GX$25,0)),"")</f>
        <v>-18.4613466503293</v>
      </c>
      <c r="F287" s="18" t="str">
        <f>IF(ISNUMBER(E287),IF(E287&gt;0,"Penyumbang KENAIKAN IPH","Penyumbang PENURUNAN IPH"),"-")</f>
        <v>Penyumbang PENURUNAN IPH</v>
      </c>
    </row>
    <row r="288" spans="1:6" x14ac:dyDescent="0.35">
      <c r="A288" s="3">
        <v>3</v>
      </c>
      <c r="B288" s="5" t="str">
        <f>IFERROR(INDEX('Perhitungan IPH Mingguan 2026'!$B$6:$B$25,MATCH(LARGE('Perhitungan IPH Mingguan 2026'!$GX$6:$GX$25,3),'Perhitungan IPH Mingguan 2026'!$GX$6:$GX$25,0)),"-")</f>
        <v>beras 1111001</v>
      </c>
      <c r="C288" s="17">
        <f>IFERROR(INDEX('Perhitungan IPH Mingguan 2026'!$C$6:$C$25,MATCH(LARGE('Perhitungan IPH Mingguan 2026'!$GX$6:$GX$25,3),'Perhitungan IPH Mingguan 2026'!$GX$6:$GX$25,0)),"")</f>
        <v>0.12508905675934601</v>
      </c>
      <c r="D288" s="12">
        <f>IFERROR(INDEX('Perhitungan IPH Mingguan 2026'!$DF$6:$DF$25,MATCH(LARGE('Perhitungan IPH Mingguan 2026'!$GX$6:$GX$25,3),'Perhitungan IPH Mingguan 2026'!$GX$6:$GX$25,0)),"")</f>
        <v>-100</v>
      </c>
      <c r="E288" s="4">
        <f>IFERROR(INDEX('Perhitungan IPH Mingguan 2026'!$DG$6:$DG$25,MATCH(LARGE('Perhitungan IPH Mingguan 2026'!$GX$6:$GX$25,3),'Perhitungan IPH Mingguan 2026'!$GX$6:$GX$25,0)),"")</f>
        <v>-12.508905675934601</v>
      </c>
      <c r="F288" s="18" t="str">
        <f>IF(ISNUMBER(E288),IF(E288&gt;0,"Penyumbang KENAIKAN IPH","Penyumbang PENURUNAN IPH"),"-")</f>
        <v>Penyumbang PENURUNAN IPH</v>
      </c>
    </row>
    <row r="289" spans="1:6" x14ac:dyDescent="0.35">
      <c r="A289" s="3">
        <v>4</v>
      </c>
      <c r="B289" s="5" t="str">
        <f>IFERROR(INDEX('Perhitungan IPH Mingguan 2026'!$B$6:$B$25,MATCH(LARGE('Perhitungan IPH Mingguan 2026'!$GX$6:$GX$25,4),'Perhitungan IPH Mingguan 2026'!$GX$6:$GX$25,0)),"-")</f>
        <v>daging sapi 01121001</v>
      </c>
      <c r="C289" s="17">
        <f>IFERROR(INDEX('Perhitungan IPH Mingguan 2026'!$C$6:$C$25,MATCH(LARGE('Perhitungan IPH Mingguan 2026'!$GX$6:$GX$25,4),'Perhitungan IPH Mingguan 2026'!$GX$6:$GX$25,0)),"")</f>
        <v>5.98704213474298E-2</v>
      </c>
      <c r="D289" s="12">
        <f>IFERROR(INDEX('Perhitungan IPH Mingguan 2026'!$DF$6:$DF$25,MATCH(LARGE('Perhitungan IPH Mingguan 2026'!$GX$6:$GX$25,4),'Perhitungan IPH Mingguan 2026'!$GX$6:$GX$25,0)),"")</f>
        <v>-100</v>
      </c>
      <c r="E289" s="4">
        <f>IFERROR(INDEX('Perhitungan IPH Mingguan 2026'!$DG$6:$DG$25,MATCH(LARGE('Perhitungan IPH Mingguan 2026'!$GX$6:$GX$25,4),'Perhitungan IPH Mingguan 2026'!$GX$6:$GX$25,0)),"")</f>
        <v>-5.9870421347429801</v>
      </c>
      <c r="F289" s="18" t="str">
        <f>IF(ISNUMBER(E289),IF(E289&gt;0,"Penyumbang KENAIKAN IPH","Penyumbang PENURUNAN IPH"),"-")</f>
        <v>Penyumbang PENURUNAN IPH</v>
      </c>
    </row>
    <row r="290" spans="1:6" x14ac:dyDescent="0.35">
      <c r="A290" s="3">
        <v>5</v>
      </c>
      <c r="B290" s="5" t="str">
        <f>IFERROR(INDEX('Perhitungan IPH Mingguan 2026'!$B$6:$B$25,MATCH(LARGE('Perhitungan IPH Mingguan 2026'!$GX$6:$GX$25,5),'Perhitungan IPH Mingguan 2026'!$GX$6:$GX$25,0)),"-")</f>
        <v>daging ayam ras 1124003</v>
      </c>
      <c r="C290" s="17">
        <f>IFERROR(INDEX('Perhitungan IPH Mingguan 2026'!$C$6:$C$25,MATCH(LARGE('Perhitungan IPH Mingguan 2026'!$GX$6:$GX$25,5),'Perhitungan IPH Mingguan 2026'!$GX$6:$GX$25,0)),"")</f>
        <v>4.7910777785027697E-2</v>
      </c>
      <c r="D290" s="12">
        <f>IFERROR(INDEX('Perhitungan IPH Mingguan 2026'!$DF$6:$DF$25,MATCH(LARGE('Perhitungan IPH Mingguan 2026'!$GX$6:$GX$25,5),'Perhitungan IPH Mingguan 2026'!$GX$6:$GX$25,0)),"")</f>
        <v>-100</v>
      </c>
      <c r="E290" s="4">
        <f>IFERROR(INDEX('Perhitungan IPH Mingguan 2026'!$DG$6:$DG$25,MATCH(LARGE('Perhitungan IPH Mingguan 2026'!$GX$6:$GX$25,5),'Perhitungan IPH Mingguan 2026'!$GX$6:$GX$25,0)),"")</f>
        <v>-4.7910777785027694</v>
      </c>
      <c r="F290" s="18" t="str">
        <f>IF(ISNUMBER(E290),IF(E290&gt;0,"Penyumbang KENAIKAN IPH","Penyumbang PENURUNAN IPH"),"-")</f>
        <v>Penyumbang PENURUNAN IPH</v>
      </c>
    </row>
    <row r="292" spans="1:6" x14ac:dyDescent="0.35">
      <c r="A292" s="32" t="s">
        <v>486</v>
      </c>
      <c r="B292" s="32"/>
      <c r="C292" s="32"/>
      <c r="D292" s="32"/>
      <c r="E292" s="32"/>
      <c r="F292" s="32"/>
    </row>
    <row r="293" spans="1:6" x14ac:dyDescent="0.35">
      <c r="A293" s="8" t="s">
        <v>150</v>
      </c>
      <c r="B293" s="8" t="s">
        <v>151</v>
      </c>
      <c r="C293" s="8" t="s">
        <v>63</v>
      </c>
      <c r="D293" s="8" t="s">
        <v>152</v>
      </c>
      <c r="E293" s="8" t="s">
        <v>153</v>
      </c>
      <c r="F293" s="8" t="s">
        <v>154</v>
      </c>
    </row>
    <row r="294" spans="1:6" x14ac:dyDescent="0.35">
      <c r="A294" s="3">
        <v>1</v>
      </c>
      <c r="B294" s="5" t="str">
        <f>IFERROR(INDEX('Perhitungan IPH Mingguan 2026'!$B$6:$B$25,MATCH(LARGE('Perhitungan IPH Mingguan 2026'!$GY$6:$GY$25,1),'Perhitungan IPH Mingguan 2026'!$GY$6:$GY$25,0)),"-")</f>
        <v>susu bubuk bayi 01143001/2</v>
      </c>
      <c r="C294" s="17">
        <f>IFERROR(INDEX('Perhitungan IPH Mingguan 2026'!$C$6:$C$25,MATCH(LARGE('Perhitungan IPH Mingguan 2026'!$GY$6:$GY$25,1),'Perhitungan IPH Mingguan 2026'!$GY$6:$GY$25,0)),"")</f>
        <v>0.21946420178649401</v>
      </c>
      <c r="D294" s="12">
        <f>IFERROR(INDEX('Perhitungan IPH Mingguan 2026'!$DI$6:$DI$25,MATCH(LARGE('Perhitungan IPH Mingguan 2026'!$GY$6:$GY$25,1),'Perhitungan IPH Mingguan 2026'!$GY$6:$GY$25,0)),"")</f>
        <v>-100</v>
      </c>
      <c r="E294" s="4">
        <f>IFERROR(INDEX('Perhitungan IPH Mingguan 2026'!$DJ$6:$DJ$25,MATCH(LARGE('Perhitungan IPH Mingguan 2026'!$GY$6:$GY$25,1),'Perhitungan IPH Mingguan 2026'!$GY$6:$GY$25,0)),"")</f>
        <v>-21.946420178649401</v>
      </c>
      <c r="F294" s="18" t="str">
        <f>IF(ISNUMBER(E294),IF(E294&gt;0,"Penyumbang KENAIKAN IPH","Penyumbang PENURUNAN IPH"),"-")</f>
        <v>Penyumbang PENURUNAN IPH</v>
      </c>
    </row>
    <row r="295" spans="1:6" x14ac:dyDescent="0.35">
      <c r="A295" s="3">
        <v>2</v>
      </c>
      <c r="B295" s="5" t="str">
        <f>IFERROR(INDEX('Perhitungan IPH Mingguan 2026'!$B$6:$B$25,MATCH(LARGE('Perhitungan IPH Mingguan 2026'!$GY$6:$GY$25,2),'Perhitungan IPH Mingguan 2026'!$GY$6:$GY$25,0)),"-")</f>
        <v>susu bubuk 01143001/2</v>
      </c>
      <c r="C295" s="17">
        <f>IFERROR(INDEX('Perhitungan IPH Mingguan 2026'!$C$6:$C$25,MATCH(LARGE('Perhitungan IPH Mingguan 2026'!$GY$6:$GY$25,2),'Perhitungan IPH Mingguan 2026'!$GY$6:$GY$25,0)),"")</f>
        <v>0.18461346650329299</v>
      </c>
      <c r="D295" s="12">
        <f>IFERROR(INDEX('Perhitungan IPH Mingguan 2026'!$DI$6:$DI$25,MATCH(LARGE('Perhitungan IPH Mingguan 2026'!$GY$6:$GY$25,2),'Perhitungan IPH Mingguan 2026'!$GY$6:$GY$25,0)),"")</f>
        <v>-100</v>
      </c>
      <c r="E295" s="4">
        <f>IFERROR(INDEX('Perhitungan IPH Mingguan 2026'!$DJ$6:$DJ$25,MATCH(LARGE('Perhitungan IPH Mingguan 2026'!$GY$6:$GY$25,2),'Perhitungan IPH Mingguan 2026'!$GY$6:$GY$25,0)),"")</f>
        <v>-18.4613466503293</v>
      </c>
      <c r="F295" s="18" t="str">
        <f>IF(ISNUMBER(E295),IF(E295&gt;0,"Penyumbang KENAIKAN IPH","Penyumbang PENURUNAN IPH"),"-")</f>
        <v>Penyumbang PENURUNAN IPH</v>
      </c>
    </row>
    <row r="296" spans="1:6" x14ac:dyDescent="0.35">
      <c r="A296" s="3">
        <v>3</v>
      </c>
      <c r="B296" s="5" t="str">
        <f>IFERROR(INDEX('Perhitungan IPH Mingguan 2026'!$B$6:$B$25,MATCH(LARGE('Perhitungan IPH Mingguan 2026'!$GY$6:$GY$25,3),'Perhitungan IPH Mingguan 2026'!$GY$6:$GY$25,0)),"-")</f>
        <v>beras 1111001</v>
      </c>
      <c r="C296" s="17">
        <f>IFERROR(INDEX('Perhitungan IPH Mingguan 2026'!$C$6:$C$25,MATCH(LARGE('Perhitungan IPH Mingguan 2026'!$GY$6:$GY$25,3),'Perhitungan IPH Mingguan 2026'!$GY$6:$GY$25,0)),"")</f>
        <v>0.12508905675934601</v>
      </c>
      <c r="D296" s="12">
        <f>IFERROR(INDEX('Perhitungan IPH Mingguan 2026'!$DI$6:$DI$25,MATCH(LARGE('Perhitungan IPH Mingguan 2026'!$GY$6:$GY$25,3),'Perhitungan IPH Mingguan 2026'!$GY$6:$GY$25,0)),"")</f>
        <v>-100</v>
      </c>
      <c r="E296" s="4">
        <f>IFERROR(INDEX('Perhitungan IPH Mingguan 2026'!$DJ$6:$DJ$25,MATCH(LARGE('Perhitungan IPH Mingguan 2026'!$GY$6:$GY$25,3),'Perhitungan IPH Mingguan 2026'!$GY$6:$GY$25,0)),"")</f>
        <v>-12.508905675934601</v>
      </c>
      <c r="F296" s="18" t="str">
        <f>IF(ISNUMBER(E296),IF(E296&gt;0,"Penyumbang KENAIKAN IPH","Penyumbang PENURUNAN IPH"),"-")</f>
        <v>Penyumbang PENURUNAN IPH</v>
      </c>
    </row>
    <row r="297" spans="1:6" x14ac:dyDescent="0.35">
      <c r="A297" s="3">
        <v>4</v>
      </c>
      <c r="B297" s="5" t="str">
        <f>IFERROR(INDEX('Perhitungan IPH Mingguan 2026'!$B$6:$B$25,MATCH(LARGE('Perhitungan IPH Mingguan 2026'!$GY$6:$GY$25,4),'Perhitungan IPH Mingguan 2026'!$GY$6:$GY$25,0)),"-")</f>
        <v>daging sapi 01121001</v>
      </c>
      <c r="C297" s="17">
        <f>IFERROR(INDEX('Perhitungan IPH Mingguan 2026'!$C$6:$C$25,MATCH(LARGE('Perhitungan IPH Mingguan 2026'!$GY$6:$GY$25,4),'Perhitungan IPH Mingguan 2026'!$GY$6:$GY$25,0)),"")</f>
        <v>5.98704213474298E-2</v>
      </c>
      <c r="D297" s="12">
        <f>IFERROR(INDEX('Perhitungan IPH Mingguan 2026'!$DI$6:$DI$25,MATCH(LARGE('Perhitungan IPH Mingguan 2026'!$GY$6:$GY$25,4),'Perhitungan IPH Mingguan 2026'!$GY$6:$GY$25,0)),"")</f>
        <v>-100</v>
      </c>
      <c r="E297" s="4">
        <f>IFERROR(INDEX('Perhitungan IPH Mingguan 2026'!$DJ$6:$DJ$25,MATCH(LARGE('Perhitungan IPH Mingguan 2026'!$GY$6:$GY$25,4),'Perhitungan IPH Mingguan 2026'!$GY$6:$GY$25,0)),"")</f>
        <v>-5.9870421347429801</v>
      </c>
      <c r="F297" s="18" t="str">
        <f>IF(ISNUMBER(E297),IF(E297&gt;0,"Penyumbang KENAIKAN IPH","Penyumbang PENURUNAN IPH"),"-")</f>
        <v>Penyumbang PENURUNAN IPH</v>
      </c>
    </row>
    <row r="298" spans="1:6" x14ac:dyDescent="0.35">
      <c r="A298" s="3">
        <v>5</v>
      </c>
      <c r="B298" s="5" t="str">
        <f>IFERROR(INDEX('Perhitungan IPH Mingguan 2026'!$B$6:$B$25,MATCH(LARGE('Perhitungan IPH Mingguan 2026'!$GY$6:$GY$25,5),'Perhitungan IPH Mingguan 2026'!$GY$6:$GY$25,0)),"-")</f>
        <v>daging ayam ras 1124003</v>
      </c>
      <c r="C298" s="17">
        <f>IFERROR(INDEX('Perhitungan IPH Mingguan 2026'!$C$6:$C$25,MATCH(LARGE('Perhitungan IPH Mingguan 2026'!$GY$6:$GY$25,5),'Perhitungan IPH Mingguan 2026'!$GY$6:$GY$25,0)),"")</f>
        <v>4.7910777785027697E-2</v>
      </c>
      <c r="D298" s="12">
        <f>IFERROR(INDEX('Perhitungan IPH Mingguan 2026'!$DI$6:$DI$25,MATCH(LARGE('Perhitungan IPH Mingguan 2026'!$GY$6:$GY$25,5),'Perhitungan IPH Mingguan 2026'!$GY$6:$GY$25,0)),"")</f>
        <v>-100</v>
      </c>
      <c r="E298" s="4">
        <f>IFERROR(INDEX('Perhitungan IPH Mingguan 2026'!$DJ$6:$DJ$25,MATCH(LARGE('Perhitungan IPH Mingguan 2026'!$GY$6:$GY$25,5),'Perhitungan IPH Mingguan 2026'!$GY$6:$GY$25,0)),"")</f>
        <v>-4.7910777785027694</v>
      </c>
      <c r="F298" s="18" t="str">
        <f>IF(ISNUMBER(E298),IF(E298&gt;0,"Penyumbang KENAIKAN IPH","Penyumbang PENURUNAN IPH"),"-")</f>
        <v>Penyumbang PENURUNAN IPH</v>
      </c>
    </row>
    <row r="300" spans="1:6" x14ac:dyDescent="0.35">
      <c r="A300" s="32" t="s">
        <v>487</v>
      </c>
      <c r="B300" s="32"/>
      <c r="C300" s="32"/>
      <c r="D300" s="32"/>
      <c r="E300" s="32"/>
      <c r="F300" s="32"/>
    </row>
    <row r="301" spans="1:6" x14ac:dyDescent="0.35">
      <c r="A301" s="8" t="s">
        <v>150</v>
      </c>
      <c r="B301" s="8" t="s">
        <v>151</v>
      </c>
      <c r="C301" s="8" t="s">
        <v>63</v>
      </c>
      <c r="D301" s="8" t="s">
        <v>152</v>
      </c>
      <c r="E301" s="8" t="s">
        <v>153</v>
      </c>
      <c r="F301" s="8" t="s">
        <v>154</v>
      </c>
    </row>
    <row r="302" spans="1:6" x14ac:dyDescent="0.35">
      <c r="A302" s="3">
        <v>1</v>
      </c>
      <c r="B302" s="5" t="str">
        <f>IFERROR(INDEX('Perhitungan IPH Mingguan 2026'!$B$6:$B$25,MATCH(LARGE('Perhitungan IPH Mingguan 2026'!$GZ$6:$GZ$25,1),'Perhitungan IPH Mingguan 2026'!$GZ$6:$GZ$25,0)),"-")</f>
        <v>beras 1111001</v>
      </c>
      <c r="C302" s="17">
        <f>IFERROR(INDEX('Perhitungan IPH Mingguan 2026'!$C$6:$C$25,MATCH(LARGE('Perhitungan IPH Mingguan 2026'!$GZ$6:$GZ$25,1),'Perhitungan IPH Mingguan 2026'!$GZ$6:$GZ$25,0)),"")</f>
        <v>0.12508905675934601</v>
      </c>
      <c r="D302" s="12" t="str">
        <f>IFERROR(INDEX('Perhitungan IPH Mingguan 2026'!$DL$6:$DL$25,MATCH(LARGE('Perhitungan IPH Mingguan 2026'!$GZ$6:$GZ$25,1),'Perhitungan IPH Mingguan 2026'!$GZ$6:$GZ$25,0)),"")</f>
        <v>n/a</v>
      </c>
      <c r="E302" s="4" t="str">
        <f>IFERROR(INDEX('Perhitungan IPH Mingguan 2026'!$DM$6:$DM$25,MATCH(LARGE('Perhitungan IPH Mingguan 2026'!$GZ$6:$GZ$25,1),'Perhitungan IPH Mingguan 2026'!$GZ$6:$GZ$25,0)),"")</f>
        <v>n/a</v>
      </c>
      <c r="F302" s="18" t="str">
        <f>IF(ISNUMBER(E302),IF(E302&gt;0,"Penyumbang KENAIKAN IPH","Penyumbang PENURUNAN IPH"),"-")</f>
        <v>-</v>
      </c>
    </row>
    <row r="303" spans="1:6" x14ac:dyDescent="0.35">
      <c r="A303" s="3">
        <v>2</v>
      </c>
      <c r="B303" s="5" t="str">
        <f>IFERROR(INDEX('Perhitungan IPH Mingguan 2026'!$B$6:$B$25,MATCH(LARGE('Perhitungan IPH Mingguan 2026'!$GZ$6:$GZ$25,2),'Perhitungan IPH Mingguan 2026'!$GZ$6:$GZ$25,0)),"-")</f>
        <v>beras 1111001</v>
      </c>
      <c r="C303" s="17">
        <f>IFERROR(INDEX('Perhitungan IPH Mingguan 2026'!$C$6:$C$25,MATCH(LARGE('Perhitungan IPH Mingguan 2026'!$GZ$6:$GZ$25,2),'Perhitungan IPH Mingguan 2026'!$GZ$6:$GZ$25,0)),"")</f>
        <v>0.12508905675934601</v>
      </c>
      <c r="D303" s="12" t="str">
        <f>IFERROR(INDEX('Perhitungan IPH Mingguan 2026'!$DL$6:$DL$25,MATCH(LARGE('Perhitungan IPH Mingguan 2026'!$GZ$6:$GZ$25,2),'Perhitungan IPH Mingguan 2026'!$GZ$6:$GZ$25,0)),"")</f>
        <v>n/a</v>
      </c>
      <c r="E303" s="4" t="str">
        <f>IFERROR(INDEX('Perhitungan IPH Mingguan 2026'!$DM$6:$DM$25,MATCH(LARGE('Perhitungan IPH Mingguan 2026'!$GZ$6:$GZ$25,2),'Perhitungan IPH Mingguan 2026'!$GZ$6:$GZ$25,0)),"")</f>
        <v>n/a</v>
      </c>
      <c r="F303" s="18" t="str">
        <f>IF(ISNUMBER(E303),IF(E303&gt;0,"Penyumbang KENAIKAN IPH","Penyumbang PENURUNAN IPH"),"-")</f>
        <v>-</v>
      </c>
    </row>
    <row r="304" spans="1:6" x14ac:dyDescent="0.35">
      <c r="A304" s="3">
        <v>3</v>
      </c>
      <c r="B304" s="5" t="str">
        <f>IFERROR(INDEX('Perhitungan IPH Mingguan 2026'!$B$6:$B$25,MATCH(LARGE('Perhitungan IPH Mingguan 2026'!$GZ$6:$GZ$25,3),'Perhitungan IPH Mingguan 2026'!$GZ$6:$GZ$25,0)),"-")</f>
        <v>beras 1111001</v>
      </c>
      <c r="C304" s="17">
        <f>IFERROR(INDEX('Perhitungan IPH Mingguan 2026'!$C$6:$C$25,MATCH(LARGE('Perhitungan IPH Mingguan 2026'!$GZ$6:$GZ$25,3),'Perhitungan IPH Mingguan 2026'!$GZ$6:$GZ$25,0)),"")</f>
        <v>0.12508905675934601</v>
      </c>
      <c r="D304" s="12" t="str">
        <f>IFERROR(INDEX('Perhitungan IPH Mingguan 2026'!$DL$6:$DL$25,MATCH(LARGE('Perhitungan IPH Mingguan 2026'!$GZ$6:$GZ$25,3),'Perhitungan IPH Mingguan 2026'!$GZ$6:$GZ$25,0)),"")</f>
        <v>n/a</v>
      </c>
      <c r="E304" s="4" t="str">
        <f>IFERROR(INDEX('Perhitungan IPH Mingguan 2026'!$DM$6:$DM$25,MATCH(LARGE('Perhitungan IPH Mingguan 2026'!$GZ$6:$GZ$25,3),'Perhitungan IPH Mingguan 2026'!$GZ$6:$GZ$25,0)),"")</f>
        <v>n/a</v>
      </c>
      <c r="F304" s="18" t="str">
        <f>IF(ISNUMBER(E304),IF(E304&gt;0,"Penyumbang KENAIKAN IPH","Penyumbang PENURUNAN IPH"),"-")</f>
        <v>-</v>
      </c>
    </row>
    <row r="305" spans="1:6" x14ac:dyDescent="0.35">
      <c r="A305" s="3">
        <v>4</v>
      </c>
      <c r="B305" s="5" t="str">
        <f>IFERROR(INDEX('Perhitungan IPH Mingguan 2026'!$B$6:$B$25,MATCH(LARGE('Perhitungan IPH Mingguan 2026'!$GZ$6:$GZ$25,4),'Perhitungan IPH Mingguan 2026'!$GZ$6:$GZ$25,0)),"-")</f>
        <v>beras 1111001</v>
      </c>
      <c r="C305" s="17">
        <f>IFERROR(INDEX('Perhitungan IPH Mingguan 2026'!$C$6:$C$25,MATCH(LARGE('Perhitungan IPH Mingguan 2026'!$GZ$6:$GZ$25,4),'Perhitungan IPH Mingguan 2026'!$GZ$6:$GZ$25,0)),"")</f>
        <v>0.12508905675934601</v>
      </c>
      <c r="D305" s="12" t="str">
        <f>IFERROR(INDEX('Perhitungan IPH Mingguan 2026'!$DL$6:$DL$25,MATCH(LARGE('Perhitungan IPH Mingguan 2026'!$GZ$6:$GZ$25,4),'Perhitungan IPH Mingguan 2026'!$GZ$6:$GZ$25,0)),"")</f>
        <v>n/a</v>
      </c>
      <c r="E305" s="4" t="str">
        <f>IFERROR(INDEX('Perhitungan IPH Mingguan 2026'!$DM$6:$DM$25,MATCH(LARGE('Perhitungan IPH Mingguan 2026'!$GZ$6:$GZ$25,4),'Perhitungan IPH Mingguan 2026'!$GZ$6:$GZ$25,0)),"")</f>
        <v>n/a</v>
      </c>
      <c r="F305" s="18" t="str">
        <f>IF(ISNUMBER(E305),IF(E305&gt;0,"Penyumbang KENAIKAN IPH","Penyumbang PENURUNAN IPH"),"-")</f>
        <v>-</v>
      </c>
    </row>
    <row r="306" spans="1:6" x14ac:dyDescent="0.35">
      <c r="A306" s="3">
        <v>5</v>
      </c>
      <c r="B306" s="5" t="str">
        <f>IFERROR(INDEX('Perhitungan IPH Mingguan 2026'!$B$6:$B$25,MATCH(LARGE('Perhitungan IPH Mingguan 2026'!$GZ$6:$GZ$25,5),'Perhitungan IPH Mingguan 2026'!$GZ$6:$GZ$25,0)),"-")</f>
        <v>beras 1111001</v>
      </c>
      <c r="C306" s="17">
        <f>IFERROR(INDEX('Perhitungan IPH Mingguan 2026'!$C$6:$C$25,MATCH(LARGE('Perhitungan IPH Mingguan 2026'!$GZ$6:$GZ$25,5),'Perhitungan IPH Mingguan 2026'!$GZ$6:$GZ$25,0)),"")</f>
        <v>0.12508905675934601</v>
      </c>
      <c r="D306" s="12" t="str">
        <f>IFERROR(INDEX('Perhitungan IPH Mingguan 2026'!$DL$6:$DL$25,MATCH(LARGE('Perhitungan IPH Mingguan 2026'!$GZ$6:$GZ$25,5),'Perhitungan IPH Mingguan 2026'!$GZ$6:$GZ$25,0)),"")</f>
        <v>n/a</v>
      </c>
      <c r="E306" s="4" t="str">
        <f>IFERROR(INDEX('Perhitungan IPH Mingguan 2026'!$DM$6:$DM$25,MATCH(LARGE('Perhitungan IPH Mingguan 2026'!$GZ$6:$GZ$25,5),'Perhitungan IPH Mingguan 2026'!$GZ$6:$GZ$25,0)),"")</f>
        <v>n/a</v>
      </c>
      <c r="F306" s="18" t="str">
        <f>IF(ISNUMBER(E306),IF(E306&gt;0,"Penyumbang KENAIKAN IPH","Penyumbang PENURUNAN IPH"),"-")</f>
        <v>-</v>
      </c>
    </row>
    <row r="308" spans="1:6" x14ac:dyDescent="0.35">
      <c r="A308" s="32" t="s">
        <v>488</v>
      </c>
      <c r="B308" s="32"/>
      <c r="C308" s="32"/>
      <c r="D308" s="32"/>
      <c r="E308" s="32"/>
      <c r="F308" s="32"/>
    </row>
    <row r="309" spans="1:6" x14ac:dyDescent="0.35">
      <c r="A309" s="8" t="s">
        <v>150</v>
      </c>
      <c r="B309" s="8" t="s">
        <v>151</v>
      </c>
      <c r="C309" s="8" t="s">
        <v>63</v>
      </c>
      <c r="D309" s="8" t="s">
        <v>152</v>
      </c>
      <c r="E309" s="8" t="s">
        <v>153</v>
      </c>
      <c r="F309" s="8" t="s">
        <v>154</v>
      </c>
    </row>
    <row r="310" spans="1:6" x14ac:dyDescent="0.35">
      <c r="A310" s="3">
        <v>1</v>
      </c>
      <c r="B310" s="5" t="str">
        <f>IFERROR(INDEX('Perhitungan IPH Mingguan 2026'!$B$6:$B$25,MATCH(LARGE('Perhitungan IPH Mingguan 2026'!$HA$6:$HA$25,1),'Perhitungan IPH Mingguan 2026'!$HA$6:$HA$25,0)),"-")</f>
        <v>beras 1111001</v>
      </c>
      <c r="C310" s="17">
        <f>IFERROR(INDEX('Perhitungan IPH Mingguan 2026'!$C$6:$C$25,MATCH(LARGE('Perhitungan IPH Mingguan 2026'!$HA$6:$HA$25,1),'Perhitungan IPH Mingguan 2026'!$HA$6:$HA$25,0)),"")</f>
        <v>0.12508905675934601</v>
      </c>
      <c r="D310" s="12" t="str">
        <f>IFERROR(INDEX('Perhitungan IPH Mingguan 2026'!$DO$6:$DO$25,MATCH(LARGE('Perhitungan IPH Mingguan 2026'!$HA$6:$HA$25,1),'Perhitungan IPH Mingguan 2026'!$HA$6:$HA$25,0)),"")</f>
        <v>n/a</v>
      </c>
      <c r="E310" s="4" t="str">
        <f>IFERROR(INDEX('Perhitungan IPH Mingguan 2026'!$DP$6:$DP$25,MATCH(LARGE('Perhitungan IPH Mingguan 2026'!$HA$6:$HA$25,1),'Perhitungan IPH Mingguan 2026'!$HA$6:$HA$25,0)),"")</f>
        <v>n/a</v>
      </c>
      <c r="F310" s="18" t="str">
        <f>IF(ISNUMBER(E310),IF(E310&gt;0,"Penyumbang KENAIKAN IPH","Penyumbang PENURUNAN IPH"),"-")</f>
        <v>-</v>
      </c>
    </row>
    <row r="311" spans="1:6" x14ac:dyDescent="0.35">
      <c r="A311" s="3">
        <v>2</v>
      </c>
      <c r="B311" s="5" t="str">
        <f>IFERROR(INDEX('Perhitungan IPH Mingguan 2026'!$B$6:$B$25,MATCH(LARGE('Perhitungan IPH Mingguan 2026'!$HA$6:$HA$25,2),'Perhitungan IPH Mingguan 2026'!$HA$6:$HA$25,0)),"-")</f>
        <v>beras 1111001</v>
      </c>
      <c r="C311" s="17">
        <f>IFERROR(INDEX('Perhitungan IPH Mingguan 2026'!$C$6:$C$25,MATCH(LARGE('Perhitungan IPH Mingguan 2026'!$HA$6:$HA$25,2),'Perhitungan IPH Mingguan 2026'!$HA$6:$HA$25,0)),"")</f>
        <v>0.12508905675934601</v>
      </c>
      <c r="D311" s="12" t="str">
        <f>IFERROR(INDEX('Perhitungan IPH Mingguan 2026'!$DO$6:$DO$25,MATCH(LARGE('Perhitungan IPH Mingguan 2026'!$HA$6:$HA$25,2),'Perhitungan IPH Mingguan 2026'!$HA$6:$HA$25,0)),"")</f>
        <v>n/a</v>
      </c>
      <c r="E311" s="4" t="str">
        <f>IFERROR(INDEX('Perhitungan IPH Mingguan 2026'!$DP$6:$DP$25,MATCH(LARGE('Perhitungan IPH Mingguan 2026'!$HA$6:$HA$25,2),'Perhitungan IPH Mingguan 2026'!$HA$6:$HA$25,0)),"")</f>
        <v>n/a</v>
      </c>
      <c r="F311" s="18" t="str">
        <f>IF(ISNUMBER(E311),IF(E311&gt;0,"Penyumbang KENAIKAN IPH","Penyumbang PENURUNAN IPH"),"-")</f>
        <v>-</v>
      </c>
    </row>
    <row r="312" spans="1:6" x14ac:dyDescent="0.35">
      <c r="A312" s="3">
        <v>3</v>
      </c>
      <c r="B312" s="5" t="str">
        <f>IFERROR(INDEX('Perhitungan IPH Mingguan 2026'!$B$6:$B$25,MATCH(LARGE('Perhitungan IPH Mingguan 2026'!$HA$6:$HA$25,3),'Perhitungan IPH Mingguan 2026'!$HA$6:$HA$25,0)),"-")</f>
        <v>beras 1111001</v>
      </c>
      <c r="C312" s="17">
        <f>IFERROR(INDEX('Perhitungan IPH Mingguan 2026'!$C$6:$C$25,MATCH(LARGE('Perhitungan IPH Mingguan 2026'!$HA$6:$HA$25,3),'Perhitungan IPH Mingguan 2026'!$HA$6:$HA$25,0)),"")</f>
        <v>0.12508905675934601</v>
      </c>
      <c r="D312" s="12" t="str">
        <f>IFERROR(INDEX('Perhitungan IPH Mingguan 2026'!$DO$6:$DO$25,MATCH(LARGE('Perhitungan IPH Mingguan 2026'!$HA$6:$HA$25,3),'Perhitungan IPH Mingguan 2026'!$HA$6:$HA$25,0)),"")</f>
        <v>n/a</v>
      </c>
      <c r="E312" s="4" t="str">
        <f>IFERROR(INDEX('Perhitungan IPH Mingguan 2026'!$DP$6:$DP$25,MATCH(LARGE('Perhitungan IPH Mingguan 2026'!$HA$6:$HA$25,3),'Perhitungan IPH Mingguan 2026'!$HA$6:$HA$25,0)),"")</f>
        <v>n/a</v>
      </c>
      <c r="F312" s="18" t="str">
        <f>IF(ISNUMBER(E312),IF(E312&gt;0,"Penyumbang KENAIKAN IPH","Penyumbang PENURUNAN IPH"),"-")</f>
        <v>-</v>
      </c>
    </row>
    <row r="313" spans="1:6" x14ac:dyDescent="0.35">
      <c r="A313" s="3">
        <v>4</v>
      </c>
      <c r="B313" s="5" t="str">
        <f>IFERROR(INDEX('Perhitungan IPH Mingguan 2026'!$B$6:$B$25,MATCH(LARGE('Perhitungan IPH Mingguan 2026'!$HA$6:$HA$25,4),'Perhitungan IPH Mingguan 2026'!$HA$6:$HA$25,0)),"-")</f>
        <v>beras 1111001</v>
      </c>
      <c r="C313" s="17">
        <f>IFERROR(INDEX('Perhitungan IPH Mingguan 2026'!$C$6:$C$25,MATCH(LARGE('Perhitungan IPH Mingguan 2026'!$HA$6:$HA$25,4),'Perhitungan IPH Mingguan 2026'!$HA$6:$HA$25,0)),"")</f>
        <v>0.12508905675934601</v>
      </c>
      <c r="D313" s="12" t="str">
        <f>IFERROR(INDEX('Perhitungan IPH Mingguan 2026'!$DO$6:$DO$25,MATCH(LARGE('Perhitungan IPH Mingguan 2026'!$HA$6:$HA$25,4),'Perhitungan IPH Mingguan 2026'!$HA$6:$HA$25,0)),"")</f>
        <v>n/a</v>
      </c>
      <c r="E313" s="4" t="str">
        <f>IFERROR(INDEX('Perhitungan IPH Mingguan 2026'!$DP$6:$DP$25,MATCH(LARGE('Perhitungan IPH Mingguan 2026'!$HA$6:$HA$25,4),'Perhitungan IPH Mingguan 2026'!$HA$6:$HA$25,0)),"")</f>
        <v>n/a</v>
      </c>
      <c r="F313" s="18" t="str">
        <f>IF(ISNUMBER(E313),IF(E313&gt;0,"Penyumbang KENAIKAN IPH","Penyumbang PENURUNAN IPH"),"-")</f>
        <v>-</v>
      </c>
    </row>
    <row r="314" spans="1:6" x14ac:dyDescent="0.35">
      <c r="A314" s="3">
        <v>5</v>
      </c>
      <c r="B314" s="5" t="str">
        <f>IFERROR(INDEX('Perhitungan IPH Mingguan 2026'!$B$6:$B$25,MATCH(LARGE('Perhitungan IPH Mingguan 2026'!$HA$6:$HA$25,5),'Perhitungan IPH Mingguan 2026'!$HA$6:$HA$25,0)),"-")</f>
        <v>beras 1111001</v>
      </c>
      <c r="C314" s="17">
        <f>IFERROR(INDEX('Perhitungan IPH Mingguan 2026'!$C$6:$C$25,MATCH(LARGE('Perhitungan IPH Mingguan 2026'!$HA$6:$HA$25,5),'Perhitungan IPH Mingguan 2026'!$HA$6:$HA$25,0)),"")</f>
        <v>0.12508905675934601</v>
      </c>
      <c r="D314" s="12" t="str">
        <f>IFERROR(INDEX('Perhitungan IPH Mingguan 2026'!$DO$6:$DO$25,MATCH(LARGE('Perhitungan IPH Mingguan 2026'!$HA$6:$HA$25,5),'Perhitungan IPH Mingguan 2026'!$HA$6:$HA$25,0)),"")</f>
        <v>n/a</v>
      </c>
      <c r="E314" s="4" t="str">
        <f>IFERROR(INDEX('Perhitungan IPH Mingguan 2026'!$DP$6:$DP$25,MATCH(LARGE('Perhitungan IPH Mingguan 2026'!$HA$6:$HA$25,5),'Perhitungan IPH Mingguan 2026'!$HA$6:$HA$25,0)),"")</f>
        <v>n/a</v>
      </c>
      <c r="F314" s="18" t="str">
        <f>IF(ISNUMBER(E314),IF(E314&gt;0,"Penyumbang KENAIKAN IPH","Penyumbang PENURUNAN IPH"),"-")</f>
        <v>-</v>
      </c>
    </row>
    <row r="316" spans="1:6" x14ac:dyDescent="0.35">
      <c r="A316" s="32" t="s">
        <v>489</v>
      </c>
      <c r="B316" s="32"/>
      <c r="C316" s="32"/>
      <c r="D316" s="32"/>
      <c r="E316" s="32"/>
      <c r="F316" s="32"/>
    </row>
    <row r="317" spans="1:6" x14ac:dyDescent="0.35">
      <c r="A317" s="8" t="s">
        <v>150</v>
      </c>
      <c r="B317" s="8" t="s">
        <v>151</v>
      </c>
      <c r="C317" s="8" t="s">
        <v>63</v>
      </c>
      <c r="D317" s="8" t="s">
        <v>152</v>
      </c>
      <c r="E317" s="8" t="s">
        <v>153</v>
      </c>
      <c r="F317" s="8" t="s">
        <v>154</v>
      </c>
    </row>
    <row r="318" spans="1:6" x14ac:dyDescent="0.35">
      <c r="A318" s="3">
        <v>1</v>
      </c>
      <c r="B318" s="5" t="str">
        <f>IFERROR(INDEX('Perhitungan IPH Mingguan 2026'!$B$6:$B$25,MATCH(LARGE('Perhitungan IPH Mingguan 2026'!$HB$6:$HB$25,1),'Perhitungan IPH Mingguan 2026'!$HB$6:$HB$25,0)),"-")</f>
        <v>beras 1111001</v>
      </c>
      <c r="C318" s="17">
        <f>IFERROR(INDEX('Perhitungan IPH Mingguan 2026'!$C$6:$C$25,MATCH(LARGE('Perhitungan IPH Mingguan 2026'!$HB$6:$HB$25,1),'Perhitungan IPH Mingguan 2026'!$HB$6:$HB$25,0)),"")</f>
        <v>0.12508905675934601</v>
      </c>
      <c r="D318" s="12" t="str">
        <f>IFERROR(INDEX('Perhitungan IPH Mingguan 2026'!$DR$6:$DR$25,MATCH(LARGE('Perhitungan IPH Mingguan 2026'!$HB$6:$HB$25,1),'Perhitungan IPH Mingguan 2026'!$HB$6:$HB$25,0)),"")</f>
        <v>n/a</v>
      </c>
      <c r="E318" s="4" t="str">
        <f>IFERROR(INDEX('Perhitungan IPH Mingguan 2026'!$DS$6:$DS$25,MATCH(LARGE('Perhitungan IPH Mingguan 2026'!$HB$6:$HB$25,1),'Perhitungan IPH Mingguan 2026'!$HB$6:$HB$25,0)),"")</f>
        <v>n/a</v>
      </c>
      <c r="F318" s="18" t="str">
        <f>IF(ISNUMBER(E318),IF(E318&gt;0,"Penyumbang KENAIKAN IPH","Penyumbang PENURUNAN IPH"),"-")</f>
        <v>-</v>
      </c>
    </row>
    <row r="319" spans="1:6" x14ac:dyDescent="0.35">
      <c r="A319" s="3">
        <v>2</v>
      </c>
      <c r="B319" s="5" t="str">
        <f>IFERROR(INDEX('Perhitungan IPH Mingguan 2026'!$B$6:$B$25,MATCH(LARGE('Perhitungan IPH Mingguan 2026'!$HB$6:$HB$25,2),'Perhitungan IPH Mingguan 2026'!$HB$6:$HB$25,0)),"-")</f>
        <v>beras 1111001</v>
      </c>
      <c r="C319" s="17">
        <f>IFERROR(INDEX('Perhitungan IPH Mingguan 2026'!$C$6:$C$25,MATCH(LARGE('Perhitungan IPH Mingguan 2026'!$HB$6:$HB$25,2),'Perhitungan IPH Mingguan 2026'!$HB$6:$HB$25,0)),"")</f>
        <v>0.12508905675934601</v>
      </c>
      <c r="D319" s="12" t="str">
        <f>IFERROR(INDEX('Perhitungan IPH Mingguan 2026'!$DR$6:$DR$25,MATCH(LARGE('Perhitungan IPH Mingguan 2026'!$HB$6:$HB$25,2),'Perhitungan IPH Mingguan 2026'!$HB$6:$HB$25,0)),"")</f>
        <v>n/a</v>
      </c>
      <c r="E319" s="4" t="str">
        <f>IFERROR(INDEX('Perhitungan IPH Mingguan 2026'!$DS$6:$DS$25,MATCH(LARGE('Perhitungan IPH Mingguan 2026'!$HB$6:$HB$25,2),'Perhitungan IPH Mingguan 2026'!$HB$6:$HB$25,0)),"")</f>
        <v>n/a</v>
      </c>
      <c r="F319" s="18" t="str">
        <f>IF(ISNUMBER(E319),IF(E319&gt;0,"Penyumbang KENAIKAN IPH","Penyumbang PENURUNAN IPH"),"-")</f>
        <v>-</v>
      </c>
    </row>
    <row r="320" spans="1:6" x14ac:dyDescent="0.35">
      <c r="A320" s="3">
        <v>3</v>
      </c>
      <c r="B320" s="5" t="str">
        <f>IFERROR(INDEX('Perhitungan IPH Mingguan 2026'!$B$6:$B$25,MATCH(LARGE('Perhitungan IPH Mingguan 2026'!$HB$6:$HB$25,3),'Perhitungan IPH Mingguan 2026'!$HB$6:$HB$25,0)),"-")</f>
        <v>beras 1111001</v>
      </c>
      <c r="C320" s="17">
        <f>IFERROR(INDEX('Perhitungan IPH Mingguan 2026'!$C$6:$C$25,MATCH(LARGE('Perhitungan IPH Mingguan 2026'!$HB$6:$HB$25,3),'Perhitungan IPH Mingguan 2026'!$HB$6:$HB$25,0)),"")</f>
        <v>0.12508905675934601</v>
      </c>
      <c r="D320" s="12" t="str">
        <f>IFERROR(INDEX('Perhitungan IPH Mingguan 2026'!$DR$6:$DR$25,MATCH(LARGE('Perhitungan IPH Mingguan 2026'!$HB$6:$HB$25,3),'Perhitungan IPH Mingguan 2026'!$HB$6:$HB$25,0)),"")</f>
        <v>n/a</v>
      </c>
      <c r="E320" s="4" t="str">
        <f>IFERROR(INDEX('Perhitungan IPH Mingguan 2026'!$DS$6:$DS$25,MATCH(LARGE('Perhitungan IPH Mingguan 2026'!$HB$6:$HB$25,3),'Perhitungan IPH Mingguan 2026'!$HB$6:$HB$25,0)),"")</f>
        <v>n/a</v>
      </c>
      <c r="F320" s="18" t="str">
        <f>IF(ISNUMBER(E320),IF(E320&gt;0,"Penyumbang KENAIKAN IPH","Penyumbang PENURUNAN IPH"),"-")</f>
        <v>-</v>
      </c>
    </row>
    <row r="321" spans="1:6" x14ac:dyDescent="0.35">
      <c r="A321" s="3">
        <v>4</v>
      </c>
      <c r="B321" s="5" t="str">
        <f>IFERROR(INDEX('Perhitungan IPH Mingguan 2026'!$B$6:$B$25,MATCH(LARGE('Perhitungan IPH Mingguan 2026'!$HB$6:$HB$25,4),'Perhitungan IPH Mingguan 2026'!$HB$6:$HB$25,0)),"-")</f>
        <v>beras 1111001</v>
      </c>
      <c r="C321" s="17">
        <f>IFERROR(INDEX('Perhitungan IPH Mingguan 2026'!$C$6:$C$25,MATCH(LARGE('Perhitungan IPH Mingguan 2026'!$HB$6:$HB$25,4),'Perhitungan IPH Mingguan 2026'!$HB$6:$HB$25,0)),"")</f>
        <v>0.12508905675934601</v>
      </c>
      <c r="D321" s="12" t="str">
        <f>IFERROR(INDEX('Perhitungan IPH Mingguan 2026'!$DR$6:$DR$25,MATCH(LARGE('Perhitungan IPH Mingguan 2026'!$HB$6:$HB$25,4),'Perhitungan IPH Mingguan 2026'!$HB$6:$HB$25,0)),"")</f>
        <v>n/a</v>
      </c>
      <c r="E321" s="4" t="str">
        <f>IFERROR(INDEX('Perhitungan IPH Mingguan 2026'!$DS$6:$DS$25,MATCH(LARGE('Perhitungan IPH Mingguan 2026'!$HB$6:$HB$25,4),'Perhitungan IPH Mingguan 2026'!$HB$6:$HB$25,0)),"")</f>
        <v>n/a</v>
      </c>
      <c r="F321" s="18" t="str">
        <f>IF(ISNUMBER(E321),IF(E321&gt;0,"Penyumbang KENAIKAN IPH","Penyumbang PENURUNAN IPH"),"-")</f>
        <v>-</v>
      </c>
    </row>
    <row r="322" spans="1:6" x14ac:dyDescent="0.35">
      <c r="A322" s="3">
        <v>5</v>
      </c>
      <c r="B322" s="5" t="str">
        <f>IFERROR(INDEX('Perhitungan IPH Mingguan 2026'!$B$6:$B$25,MATCH(LARGE('Perhitungan IPH Mingguan 2026'!$HB$6:$HB$25,5),'Perhitungan IPH Mingguan 2026'!$HB$6:$HB$25,0)),"-")</f>
        <v>beras 1111001</v>
      </c>
      <c r="C322" s="17">
        <f>IFERROR(INDEX('Perhitungan IPH Mingguan 2026'!$C$6:$C$25,MATCH(LARGE('Perhitungan IPH Mingguan 2026'!$HB$6:$HB$25,5),'Perhitungan IPH Mingguan 2026'!$HB$6:$HB$25,0)),"")</f>
        <v>0.12508905675934601</v>
      </c>
      <c r="D322" s="12" t="str">
        <f>IFERROR(INDEX('Perhitungan IPH Mingguan 2026'!$DR$6:$DR$25,MATCH(LARGE('Perhitungan IPH Mingguan 2026'!$HB$6:$HB$25,5),'Perhitungan IPH Mingguan 2026'!$HB$6:$HB$25,0)),"")</f>
        <v>n/a</v>
      </c>
      <c r="E322" s="4" t="str">
        <f>IFERROR(INDEX('Perhitungan IPH Mingguan 2026'!$DS$6:$DS$25,MATCH(LARGE('Perhitungan IPH Mingguan 2026'!$HB$6:$HB$25,5),'Perhitungan IPH Mingguan 2026'!$HB$6:$HB$25,0)),"")</f>
        <v>n/a</v>
      </c>
      <c r="F322" s="18" t="str">
        <f>IF(ISNUMBER(E322),IF(E322&gt;0,"Penyumbang KENAIKAN IPH","Penyumbang PENURUNAN IPH"),"-")</f>
        <v>-</v>
      </c>
    </row>
    <row r="324" spans="1:6" x14ac:dyDescent="0.35">
      <c r="A324" s="32" t="s">
        <v>490</v>
      </c>
      <c r="B324" s="32"/>
      <c r="C324" s="32"/>
      <c r="D324" s="32"/>
      <c r="E324" s="32"/>
      <c r="F324" s="32"/>
    </row>
    <row r="325" spans="1:6" x14ac:dyDescent="0.35">
      <c r="A325" s="8" t="s">
        <v>150</v>
      </c>
      <c r="B325" s="8" t="s">
        <v>151</v>
      </c>
      <c r="C325" s="8" t="s">
        <v>63</v>
      </c>
      <c r="D325" s="8" t="s">
        <v>152</v>
      </c>
      <c r="E325" s="8" t="s">
        <v>153</v>
      </c>
      <c r="F325" s="8" t="s">
        <v>154</v>
      </c>
    </row>
    <row r="326" spans="1:6" x14ac:dyDescent="0.35">
      <c r="A326" s="3">
        <v>1</v>
      </c>
      <c r="B326" s="5" t="str">
        <f>IFERROR(INDEX('Perhitungan IPH Mingguan 2026'!$B$6:$B$25,MATCH(LARGE('Perhitungan IPH Mingguan 2026'!$HC$6:$HC$25,1),'Perhitungan IPH Mingguan 2026'!$HC$6:$HC$25,0)),"-")</f>
        <v>beras 1111001</v>
      </c>
      <c r="C326" s="17">
        <f>IFERROR(INDEX('Perhitungan IPH Mingguan 2026'!$C$6:$C$25,MATCH(LARGE('Perhitungan IPH Mingguan 2026'!$HC$6:$HC$25,1),'Perhitungan IPH Mingguan 2026'!$HC$6:$HC$25,0)),"")</f>
        <v>0.12508905675934601</v>
      </c>
      <c r="D326" s="12" t="str">
        <f>IFERROR(INDEX('Perhitungan IPH Mingguan 2026'!$DU$6:$DU$25,MATCH(LARGE('Perhitungan IPH Mingguan 2026'!$HC$6:$HC$25,1),'Perhitungan IPH Mingguan 2026'!$HC$6:$HC$25,0)),"")</f>
        <v>n/a</v>
      </c>
      <c r="E326" s="4" t="str">
        <f>IFERROR(INDEX('Perhitungan IPH Mingguan 2026'!$DV$6:$DV$25,MATCH(LARGE('Perhitungan IPH Mingguan 2026'!$HC$6:$HC$25,1),'Perhitungan IPH Mingguan 2026'!$HC$6:$HC$25,0)),"")</f>
        <v>n/a</v>
      </c>
      <c r="F326" s="18" t="str">
        <f>IF(ISNUMBER(E326),IF(E326&gt;0,"Penyumbang KENAIKAN IPH","Penyumbang PENURUNAN IPH"),"-")</f>
        <v>-</v>
      </c>
    </row>
    <row r="327" spans="1:6" x14ac:dyDescent="0.35">
      <c r="A327" s="3">
        <v>2</v>
      </c>
      <c r="B327" s="5" t="str">
        <f>IFERROR(INDEX('Perhitungan IPH Mingguan 2026'!$B$6:$B$25,MATCH(LARGE('Perhitungan IPH Mingguan 2026'!$HC$6:$HC$25,2),'Perhitungan IPH Mingguan 2026'!$HC$6:$HC$25,0)),"-")</f>
        <v>beras 1111001</v>
      </c>
      <c r="C327" s="17">
        <f>IFERROR(INDEX('Perhitungan IPH Mingguan 2026'!$C$6:$C$25,MATCH(LARGE('Perhitungan IPH Mingguan 2026'!$HC$6:$HC$25,2),'Perhitungan IPH Mingguan 2026'!$HC$6:$HC$25,0)),"")</f>
        <v>0.12508905675934601</v>
      </c>
      <c r="D327" s="12" t="str">
        <f>IFERROR(INDEX('Perhitungan IPH Mingguan 2026'!$DU$6:$DU$25,MATCH(LARGE('Perhitungan IPH Mingguan 2026'!$HC$6:$HC$25,2),'Perhitungan IPH Mingguan 2026'!$HC$6:$HC$25,0)),"")</f>
        <v>n/a</v>
      </c>
      <c r="E327" s="4" t="str">
        <f>IFERROR(INDEX('Perhitungan IPH Mingguan 2026'!$DV$6:$DV$25,MATCH(LARGE('Perhitungan IPH Mingguan 2026'!$HC$6:$HC$25,2),'Perhitungan IPH Mingguan 2026'!$HC$6:$HC$25,0)),"")</f>
        <v>n/a</v>
      </c>
      <c r="F327" s="18" t="str">
        <f>IF(ISNUMBER(E327),IF(E327&gt;0,"Penyumbang KENAIKAN IPH","Penyumbang PENURUNAN IPH"),"-")</f>
        <v>-</v>
      </c>
    </row>
    <row r="328" spans="1:6" x14ac:dyDescent="0.35">
      <c r="A328" s="3">
        <v>3</v>
      </c>
      <c r="B328" s="5" t="str">
        <f>IFERROR(INDEX('Perhitungan IPH Mingguan 2026'!$B$6:$B$25,MATCH(LARGE('Perhitungan IPH Mingguan 2026'!$HC$6:$HC$25,3),'Perhitungan IPH Mingguan 2026'!$HC$6:$HC$25,0)),"-")</f>
        <v>beras 1111001</v>
      </c>
      <c r="C328" s="17">
        <f>IFERROR(INDEX('Perhitungan IPH Mingguan 2026'!$C$6:$C$25,MATCH(LARGE('Perhitungan IPH Mingguan 2026'!$HC$6:$HC$25,3),'Perhitungan IPH Mingguan 2026'!$HC$6:$HC$25,0)),"")</f>
        <v>0.12508905675934601</v>
      </c>
      <c r="D328" s="12" t="str">
        <f>IFERROR(INDEX('Perhitungan IPH Mingguan 2026'!$DU$6:$DU$25,MATCH(LARGE('Perhitungan IPH Mingguan 2026'!$HC$6:$HC$25,3),'Perhitungan IPH Mingguan 2026'!$HC$6:$HC$25,0)),"")</f>
        <v>n/a</v>
      </c>
      <c r="E328" s="4" t="str">
        <f>IFERROR(INDEX('Perhitungan IPH Mingguan 2026'!$DV$6:$DV$25,MATCH(LARGE('Perhitungan IPH Mingguan 2026'!$HC$6:$HC$25,3),'Perhitungan IPH Mingguan 2026'!$HC$6:$HC$25,0)),"")</f>
        <v>n/a</v>
      </c>
      <c r="F328" s="18" t="str">
        <f>IF(ISNUMBER(E328),IF(E328&gt;0,"Penyumbang KENAIKAN IPH","Penyumbang PENURUNAN IPH"),"-")</f>
        <v>-</v>
      </c>
    </row>
    <row r="329" spans="1:6" x14ac:dyDescent="0.35">
      <c r="A329" s="3">
        <v>4</v>
      </c>
      <c r="B329" s="5" t="str">
        <f>IFERROR(INDEX('Perhitungan IPH Mingguan 2026'!$B$6:$B$25,MATCH(LARGE('Perhitungan IPH Mingguan 2026'!$HC$6:$HC$25,4),'Perhitungan IPH Mingguan 2026'!$HC$6:$HC$25,0)),"-")</f>
        <v>beras 1111001</v>
      </c>
      <c r="C329" s="17">
        <f>IFERROR(INDEX('Perhitungan IPH Mingguan 2026'!$C$6:$C$25,MATCH(LARGE('Perhitungan IPH Mingguan 2026'!$HC$6:$HC$25,4),'Perhitungan IPH Mingguan 2026'!$HC$6:$HC$25,0)),"")</f>
        <v>0.12508905675934601</v>
      </c>
      <c r="D329" s="12" t="str">
        <f>IFERROR(INDEX('Perhitungan IPH Mingguan 2026'!$DU$6:$DU$25,MATCH(LARGE('Perhitungan IPH Mingguan 2026'!$HC$6:$HC$25,4),'Perhitungan IPH Mingguan 2026'!$HC$6:$HC$25,0)),"")</f>
        <v>n/a</v>
      </c>
      <c r="E329" s="4" t="str">
        <f>IFERROR(INDEX('Perhitungan IPH Mingguan 2026'!$DV$6:$DV$25,MATCH(LARGE('Perhitungan IPH Mingguan 2026'!$HC$6:$HC$25,4),'Perhitungan IPH Mingguan 2026'!$HC$6:$HC$25,0)),"")</f>
        <v>n/a</v>
      </c>
      <c r="F329" s="18" t="str">
        <f>IF(ISNUMBER(E329),IF(E329&gt;0,"Penyumbang KENAIKAN IPH","Penyumbang PENURUNAN IPH"),"-")</f>
        <v>-</v>
      </c>
    </row>
    <row r="330" spans="1:6" x14ac:dyDescent="0.35">
      <c r="A330" s="3">
        <v>5</v>
      </c>
      <c r="B330" s="5" t="str">
        <f>IFERROR(INDEX('Perhitungan IPH Mingguan 2026'!$B$6:$B$25,MATCH(LARGE('Perhitungan IPH Mingguan 2026'!$HC$6:$HC$25,5),'Perhitungan IPH Mingguan 2026'!$HC$6:$HC$25,0)),"-")</f>
        <v>beras 1111001</v>
      </c>
      <c r="C330" s="17">
        <f>IFERROR(INDEX('Perhitungan IPH Mingguan 2026'!$C$6:$C$25,MATCH(LARGE('Perhitungan IPH Mingguan 2026'!$HC$6:$HC$25,5),'Perhitungan IPH Mingguan 2026'!$HC$6:$HC$25,0)),"")</f>
        <v>0.12508905675934601</v>
      </c>
      <c r="D330" s="12" t="str">
        <f>IFERROR(INDEX('Perhitungan IPH Mingguan 2026'!$DU$6:$DU$25,MATCH(LARGE('Perhitungan IPH Mingguan 2026'!$HC$6:$HC$25,5),'Perhitungan IPH Mingguan 2026'!$HC$6:$HC$25,0)),"")</f>
        <v>n/a</v>
      </c>
      <c r="E330" s="4" t="str">
        <f>IFERROR(INDEX('Perhitungan IPH Mingguan 2026'!$DV$6:$DV$25,MATCH(LARGE('Perhitungan IPH Mingguan 2026'!$HC$6:$HC$25,5),'Perhitungan IPH Mingguan 2026'!$HC$6:$HC$25,0)),"")</f>
        <v>n/a</v>
      </c>
      <c r="F330" s="18" t="str">
        <f>IF(ISNUMBER(E330),IF(E330&gt;0,"Penyumbang KENAIKAN IPH","Penyumbang PENURUNAN IPH"),"-")</f>
        <v>-</v>
      </c>
    </row>
    <row r="332" spans="1:6" x14ac:dyDescent="0.35">
      <c r="A332" s="32" t="s">
        <v>491</v>
      </c>
      <c r="B332" s="32"/>
      <c r="C332" s="32"/>
      <c r="D332" s="32"/>
      <c r="E332" s="32"/>
      <c r="F332" s="32"/>
    </row>
    <row r="333" spans="1:6" x14ac:dyDescent="0.35">
      <c r="A333" s="8" t="s">
        <v>150</v>
      </c>
      <c r="B333" s="8" t="s">
        <v>151</v>
      </c>
      <c r="C333" s="8" t="s">
        <v>63</v>
      </c>
      <c r="D333" s="8" t="s">
        <v>152</v>
      </c>
      <c r="E333" s="8" t="s">
        <v>153</v>
      </c>
      <c r="F333" s="8" t="s">
        <v>154</v>
      </c>
    </row>
    <row r="334" spans="1:6" x14ac:dyDescent="0.35">
      <c r="A334" s="3">
        <v>1</v>
      </c>
      <c r="B334" s="5" t="str">
        <f>IFERROR(INDEX('Perhitungan IPH Mingguan 2026'!$B$6:$B$25,MATCH(LARGE('Perhitungan IPH Mingguan 2026'!$HD$6:$HD$25,1),'Perhitungan IPH Mingguan 2026'!$HD$6:$HD$25,0)),"-")</f>
        <v>beras 1111001</v>
      </c>
      <c r="C334" s="17">
        <f>IFERROR(INDEX('Perhitungan IPH Mingguan 2026'!$C$6:$C$25,MATCH(LARGE('Perhitungan IPH Mingguan 2026'!$HD$6:$HD$25,1),'Perhitungan IPH Mingguan 2026'!$HD$6:$HD$25,0)),"")</f>
        <v>0.12508905675934601</v>
      </c>
      <c r="D334" s="12" t="str">
        <f>IFERROR(INDEX('Perhitungan IPH Mingguan 2026'!$DX$6:$DX$25,MATCH(LARGE('Perhitungan IPH Mingguan 2026'!$HD$6:$HD$25,1),'Perhitungan IPH Mingguan 2026'!$HD$6:$HD$25,0)),"")</f>
        <v>n/a</v>
      </c>
      <c r="E334" s="4" t="str">
        <f>IFERROR(INDEX('Perhitungan IPH Mingguan 2026'!$DY$6:$DY$25,MATCH(LARGE('Perhitungan IPH Mingguan 2026'!$HD$6:$HD$25,1),'Perhitungan IPH Mingguan 2026'!$HD$6:$HD$25,0)),"")</f>
        <v>n/a</v>
      </c>
      <c r="F334" s="18" t="str">
        <f>IF(ISNUMBER(E334),IF(E334&gt;0,"Penyumbang KENAIKAN IPH","Penyumbang PENURUNAN IPH"),"-")</f>
        <v>-</v>
      </c>
    </row>
    <row r="335" spans="1:6" x14ac:dyDescent="0.35">
      <c r="A335" s="3">
        <v>2</v>
      </c>
      <c r="B335" s="5" t="str">
        <f>IFERROR(INDEX('Perhitungan IPH Mingguan 2026'!$B$6:$B$25,MATCH(LARGE('Perhitungan IPH Mingguan 2026'!$HD$6:$HD$25,2),'Perhitungan IPH Mingguan 2026'!$HD$6:$HD$25,0)),"-")</f>
        <v>beras 1111001</v>
      </c>
      <c r="C335" s="17">
        <f>IFERROR(INDEX('Perhitungan IPH Mingguan 2026'!$C$6:$C$25,MATCH(LARGE('Perhitungan IPH Mingguan 2026'!$HD$6:$HD$25,2),'Perhitungan IPH Mingguan 2026'!$HD$6:$HD$25,0)),"")</f>
        <v>0.12508905675934601</v>
      </c>
      <c r="D335" s="12" t="str">
        <f>IFERROR(INDEX('Perhitungan IPH Mingguan 2026'!$DX$6:$DX$25,MATCH(LARGE('Perhitungan IPH Mingguan 2026'!$HD$6:$HD$25,2),'Perhitungan IPH Mingguan 2026'!$HD$6:$HD$25,0)),"")</f>
        <v>n/a</v>
      </c>
      <c r="E335" s="4" t="str">
        <f>IFERROR(INDEX('Perhitungan IPH Mingguan 2026'!$DY$6:$DY$25,MATCH(LARGE('Perhitungan IPH Mingguan 2026'!$HD$6:$HD$25,2),'Perhitungan IPH Mingguan 2026'!$HD$6:$HD$25,0)),"")</f>
        <v>n/a</v>
      </c>
      <c r="F335" s="18" t="str">
        <f>IF(ISNUMBER(E335),IF(E335&gt;0,"Penyumbang KENAIKAN IPH","Penyumbang PENURUNAN IPH"),"-")</f>
        <v>-</v>
      </c>
    </row>
    <row r="336" spans="1:6" x14ac:dyDescent="0.35">
      <c r="A336" s="3">
        <v>3</v>
      </c>
      <c r="B336" s="5" t="str">
        <f>IFERROR(INDEX('Perhitungan IPH Mingguan 2026'!$B$6:$B$25,MATCH(LARGE('Perhitungan IPH Mingguan 2026'!$HD$6:$HD$25,3),'Perhitungan IPH Mingguan 2026'!$HD$6:$HD$25,0)),"-")</f>
        <v>beras 1111001</v>
      </c>
      <c r="C336" s="17">
        <f>IFERROR(INDEX('Perhitungan IPH Mingguan 2026'!$C$6:$C$25,MATCH(LARGE('Perhitungan IPH Mingguan 2026'!$HD$6:$HD$25,3),'Perhitungan IPH Mingguan 2026'!$HD$6:$HD$25,0)),"")</f>
        <v>0.12508905675934601</v>
      </c>
      <c r="D336" s="12" t="str">
        <f>IFERROR(INDEX('Perhitungan IPH Mingguan 2026'!$DX$6:$DX$25,MATCH(LARGE('Perhitungan IPH Mingguan 2026'!$HD$6:$HD$25,3),'Perhitungan IPH Mingguan 2026'!$HD$6:$HD$25,0)),"")</f>
        <v>n/a</v>
      </c>
      <c r="E336" s="4" t="str">
        <f>IFERROR(INDEX('Perhitungan IPH Mingguan 2026'!$DY$6:$DY$25,MATCH(LARGE('Perhitungan IPH Mingguan 2026'!$HD$6:$HD$25,3),'Perhitungan IPH Mingguan 2026'!$HD$6:$HD$25,0)),"")</f>
        <v>n/a</v>
      </c>
      <c r="F336" s="18" t="str">
        <f>IF(ISNUMBER(E336),IF(E336&gt;0,"Penyumbang KENAIKAN IPH","Penyumbang PENURUNAN IPH"),"-")</f>
        <v>-</v>
      </c>
    </row>
    <row r="337" spans="1:6" x14ac:dyDescent="0.35">
      <c r="A337" s="3">
        <v>4</v>
      </c>
      <c r="B337" s="5" t="str">
        <f>IFERROR(INDEX('Perhitungan IPH Mingguan 2026'!$B$6:$B$25,MATCH(LARGE('Perhitungan IPH Mingguan 2026'!$HD$6:$HD$25,4),'Perhitungan IPH Mingguan 2026'!$HD$6:$HD$25,0)),"-")</f>
        <v>beras 1111001</v>
      </c>
      <c r="C337" s="17">
        <f>IFERROR(INDEX('Perhitungan IPH Mingguan 2026'!$C$6:$C$25,MATCH(LARGE('Perhitungan IPH Mingguan 2026'!$HD$6:$HD$25,4),'Perhitungan IPH Mingguan 2026'!$HD$6:$HD$25,0)),"")</f>
        <v>0.12508905675934601</v>
      </c>
      <c r="D337" s="12" t="str">
        <f>IFERROR(INDEX('Perhitungan IPH Mingguan 2026'!$DX$6:$DX$25,MATCH(LARGE('Perhitungan IPH Mingguan 2026'!$HD$6:$HD$25,4),'Perhitungan IPH Mingguan 2026'!$HD$6:$HD$25,0)),"")</f>
        <v>n/a</v>
      </c>
      <c r="E337" s="4" t="str">
        <f>IFERROR(INDEX('Perhitungan IPH Mingguan 2026'!$DY$6:$DY$25,MATCH(LARGE('Perhitungan IPH Mingguan 2026'!$HD$6:$HD$25,4),'Perhitungan IPH Mingguan 2026'!$HD$6:$HD$25,0)),"")</f>
        <v>n/a</v>
      </c>
      <c r="F337" s="18" t="str">
        <f>IF(ISNUMBER(E337),IF(E337&gt;0,"Penyumbang KENAIKAN IPH","Penyumbang PENURUNAN IPH"),"-")</f>
        <v>-</v>
      </c>
    </row>
    <row r="338" spans="1:6" x14ac:dyDescent="0.35">
      <c r="A338" s="3">
        <v>5</v>
      </c>
      <c r="B338" s="5" t="str">
        <f>IFERROR(INDEX('Perhitungan IPH Mingguan 2026'!$B$6:$B$25,MATCH(LARGE('Perhitungan IPH Mingguan 2026'!$HD$6:$HD$25,5),'Perhitungan IPH Mingguan 2026'!$HD$6:$HD$25,0)),"-")</f>
        <v>beras 1111001</v>
      </c>
      <c r="C338" s="17">
        <f>IFERROR(INDEX('Perhitungan IPH Mingguan 2026'!$C$6:$C$25,MATCH(LARGE('Perhitungan IPH Mingguan 2026'!$HD$6:$HD$25,5),'Perhitungan IPH Mingguan 2026'!$HD$6:$HD$25,0)),"")</f>
        <v>0.12508905675934601</v>
      </c>
      <c r="D338" s="12" t="str">
        <f>IFERROR(INDEX('Perhitungan IPH Mingguan 2026'!$DX$6:$DX$25,MATCH(LARGE('Perhitungan IPH Mingguan 2026'!$HD$6:$HD$25,5),'Perhitungan IPH Mingguan 2026'!$HD$6:$HD$25,0)),"")</f>
        <v>n/a</v>
      </c>
      <c r="E338" s="4" t="str">
        <f>IFERROR(INDEX('Perhitungan IPH Mingguan 2026'!$DY$6:$DY$25,MATCH(LARGE('Perhitungan IPH Mingguan 2026'!$HD$6:$HD$25,5),'Perhitungan IPH Mingguan 2026'!$HD$6:$HD$25,0)),"")</f>
        <v>n/a</v>
      </c>
      <c r="F338" s="18" t="str">
        <f>IF(ISNUMBER(E338),IF(E338&gt;0,"Penyumbang KENAIKAN IPH","Penyumbang PENURUNAN IPH"),"-")</f>
        <v>-</v>
      </c>
    </row>
    <row r="340" spans="1:6" x14ac:dyDescent="0.35">
      <c r="A340" s="32" t="s">
        <v>492</v>
      </c>
      <c r="B340" s="32"/>
      <c r="C340" s="32"/>
      <c r="D340" s="32"/>
      <c r="E340" s="32"/>
      <c r="F340" s="32"/>
    </row>
    <row r="341" spans="1:6" x14ac:dyDescent="0.35">
      <c r="A341" s="8" t="s">
        <v>150</v>
      </c>
      <c r="B341" s="8" t="s">
        <v>151</v>
      </c>
      <c r="C341" s="8" t="s">
        <v>63</v>
      </c>
      <c r="D341" s="8" t="s">
        <v>152</v>
      </c>
      <c r="E341" s="8" t="s">
        <v>153</v>
      </c>
      <c r="F341" s="8" t="s">
        <v>154</v>
      </c>
    </row>
    <row r="342" spans="1:6" x14ac:dyDescent="0.35">
      <c r="A342" s="3">
        <v>1</v>
      </c>
      <c r="B342" s="5" t="str">
        <f>IFERROR(INDEX('Perhitungan IPH Mingguan 2026'!$B$6:$B$25,MATCH(LARGE('Perhitungan IPH Mingguan 2026'!$HE$6:$HE$25,1),'Perhitungan IPH Mingguan 2026'!$HE$6:$HE$25,0)),"-")</f>
        <v>beras 1111001</v>
      </c>
      <c r="C342" s="17">
        <f>IFERROR(INDEX('Perhitungan IPH Mingguan 2026'!$C$6:$C$25,MATCH(LARGE('Perhitungan IPH Mingguan 2026'!$HE$6:$HE$25,1),'Perhitungan IPH Mingguan 2026'!$HE$6:$HE$25,0)),"")</f>
        <v>0.12508905675934601</v>
      </c>
      <c r="D342" s="12" t="str">
        <f>IFERROR(INDEX('Perhitungan IPH Mingguan 2026'!$EA$6:$EA$25,MATCH(LARGE('Perhitungan IPH Mingguan 2026'!$HE$6:$HE$25,1),'Perhitungan IPH Mingguan 2026'!$HE$6:$HE$25,0)),"")</f>
        <v>n/a</v>
      </c>
      <c r="E342" s="4" t="str">
        <f>IFERROR(INDEX('Perhitungan IPH Mingguan 2026'!$EB$6:$EB$25,MATCH(LARGE('Perhitungan IPH Mingguan 2026'!$HE$6:$HE$25,1),'Perhitungan IPH Mingguan 2026'!$HE$6:$HE$25,0)),"")</f>
        <v>n/a</v>
      </c>
      <c r="F342" s="18" t="str">
        <f>IF(ISNUMBER(E342),IF(E342&gt;0,"Penyumbang KENAIKAN IPH","Penyumbang PENURUNAN IPH"),"-")</f>
        <v>-</v>
      </c>
    </row>
    <row r="343" spans="1:6" x14ac:dyDescent="0.35">
      <c r="A343" s="3">
        <v>2</v>
      </c>
      <c r="B343" s="5" t="str">
        <f>IFERROR(INDEX('Perhitungan IPH Mingguan 2026'!$B$6:$B$25,MATCH(LARGE('Perhitungan IPH Mingguan 2026'!$HE$6:$HE$25,2),'Perhitungan IPH Mingguan 2026'!$HE$6:$HE$25,0)),"-")</f>
        <v>beras 1111001</v>
      </c>
      <c r="C343" s="17">
        <f>IFERROR(INDEX('Perhitungan IPH Mingguan 2026'!$C$6:$C$25,MATCH(LARGE('Perhitungan IPH Mingguan 2026'!$HE$6:$HE$25,2),'Perhitungan IPH Mingguan 2026'!$HE$6:$HE$25,0)),"")</f>
        <v>0.12508905675934601</v>
      </c>
      <c r="D343" s="12" t="str">
        <f>IFERROR(INDEX('Perhitungan IPH Mingguan 2026'!$EA$6:$EA$25,MATCH(LARGE('Perhitungan IPH Mingguan 2026'!$HE$6:$HE$25,2),'Perhitungan IPH Mingguan 2026'!$HE$6:$HE$25,0)),"")</f>
        <v>n/a</v>
      </c>
      <c r="E343" s="4" t="str">
        <f>IFERROR(INDEX('Perhitungan IPH Mingguan 2026'!$EB$6:$EB$25,MATCH(LARGE('Perhitungan IPH Mingguan 2026'!$HE$6:$HE$25,2),'Perhitungan IPH Mingguan 2026'!$HE$6:$HE$25,0)),"")</f>
        <v>n/a</v>
      </c>
      <c r="F343" s="18" t="str">
        <f>IF(ISNUMBER(E343),IF(E343&gt;0,"Penyumbang KENAIKAN IPH","Penyumbang PENURUNAN IPH"),"-")</f>
        <v>-</v>
      </c>
    </row>
    <row r="344" spans="1:6" x14ac:dyDescent="0.35">
      <c r="A344" s="3">
        <v>3</v>
      </c>
      <c r="B344" s="5" t="str">
        <f>IFERROR(INDEX('Perhitungan IPH Mingguan 2026'!$B$6:$B$25,MATCH(LARGE('Perhitungan IPH Mingguan 2026'!$HE$6:$HE$25,3),'Perhitungan IPH Mingguan 2026'!$HE$6:$HE$25,0)),"-")</f>
        <v>beras 1111001</v>
      </c>
      <c r="C344" s="17">
        <f>IFERROR(INDEX('Perhitungan IPH Mingguan 2026'!$C$6:$C$25,MATCH(LARGE('Perhitungan IPH Mingguan 2026'!$HE$6:$HE$25,3),'Perhitungan IPH Mingguan 2026'!$HE$6:$HE$25,0)),"")</f>
        <v>0.12508905675934601</v>
      </c>
      <c r="D344" s="12" t="str">
        <f>IFERROR(INDEX('Perhitungan IPH Mingguan 2026'!$EA$6:$EA$25,MATCH(LARGE('Perhitungan IPH Mingguan 2026'!$HE$6:$HE$25,3),'Perhitungan IPH Mingguan 2026'!$HE$6:$HE$25,0)),"")</f>
        <v>n/a</v>
      </c>
      <c r="E344" s="4" t="str">
        <f>IFERROR(INDEX('Perhitungan IPH Mingguan 2026'!$EB$6:$EB$25,MATCH(LARGE('Perhitungan IPH Mingguan 2026'!$HE$6:$HE$25,3),'Perhitungan IPH Mingguan 2026'!$HE$6:$HE$25,0)),"")</f>
        <v>n/a</v>
      </c>
      <c r="F344" s="18" t="str">
        <f>IF(ISNUMBER(E344),IF(E344&gt;0,"Penyumbang KENAIKAN IPH","Penyumbang PENURUNAN IPH"),"-")</f>
        <v>-</v>
      </c>
    </row>
    <row r="345" spans="1:6" x14ac:dyDescent="0.35">
      <c r="A345" s="3">
        <v>4</v>
      </c>
      <c r="B345" s="5" t="str">
        <f>IFERROR(INDEX('Perhitungan IPH Mingguan 2026'!$B$6:$B$25,MATCH(LARGE('Perhitungan IPH Mingguan 2026'!$HE$6:$HE$25,4),'Perhitungan IPH Mingguan 2026'!$HE$6:$HE$25,0)),"-")</f>
        <v>beras 1111001</v>
      </c>
      <c r="C345" s="17">
        <f>IFERROR(INDEX('Perhitungan IPH Mingguan 2026'!$C$6:$C$25,MATCH(LARGE('Perhitungan IPH Mingguan 2026'!$HE$6:$HE$25,4),'Perhitungan IPH Mingguan 2026'!$HE$6:$HE$25,0)),"")</f>
        <v>0.12508905675934601</v>
      </c>
      <c r="D345" s="12" t="str">
        <f>IFERROR(INDEX('Perhitungan IPH Mingguan 2026'!$EA$6:$EA$25,MATCH(LARGE('Perhitungan IPH Mingguan 2026'!$HE$6:$HE$25,4),'Perhitungan IPH Mingguan 2026'!$HE$6:$HE$25,0)),"")</f>
        <v>n/a</v>
      </c>
      <c r="E345" s="4" t="str">
        <f>IFERROR(INDEX('Perhitungan IPH Mingguan 2026'!$EB$6:$EB$25,MATCH(LARGE('Perhitungan IPH Mingguan 2026'!$HE$6:$HE$25,4),'Perhitungan IPH Mingguan 2026'!$HE$6:$HE$25,0)),"")</f>
        <v>n/a</v>
      </c>
      <c r="F345" s="18" t="str">
        <f>IF(ISNUMBER(E345),IF(E345&gt;0,"Penyumbang KENAIKAN IPH","Penyumbang PENURUNAN IPH"),"-")</f>
        <v>-</v>
      </c>
    </row>
    <row r="346" spans="1:6" x14ac:dyDescent="0.35">
      <c r="A346" s="3">
        <v>5</v>
      </c>
      <c r="B346" s="5" t="str">
        <f>IFERROR(INDEX('Perhitungan IPH Mingguan 2026'!$B$6:$B$25,MATCH(LARGE('Perhitungan IPH Mingguan 2026'!$HE$6:$HE$25,5),'Perhitungan IPH Mingguan 2026'!$HE$6:$HE$25,0)),"-")</f>
        <v>beras 1111001</v>
      </c>
      <c r="C346" s="17">
        <f>IFERROR(INDEX('Perhitungan IPH Mingguan 2026'!$C$6:$C$25,MATCH(LARGE('Perhitungan IPH Mingguan 2026'!$HE$6:$HE$25,5),'Perhitungan IPH Mingguan 2026'!$HE$6:$HE$25,0)),"")</f>
        <v>0.12508905675934601</v>
      </c>
      <c r="D346" s="12" t="str">
        <f>IFERROR(INDEX('Perhitungan IPH Mingguan 2026'!$EA$6:$EA$25,MATCH(LARGE('Perhitungan IPH Mingguan 2026'!$HE$6:$HE$25,5),'Perhitungan IPH Mingguan 2026'!$HE$6:$HE$25,0)),"")</f>
        <v>n/a</v>
      </c>
      <c r="E346" s="4" t="str">
        <f>IFERROR(INDEX('Perhitungan IPH Mingguan 2026'!$EB$6:$EB$25,MATCH(LARGE('Perhitungan IPH Mingguan 2026'!$HE$6:$HE$25,5),'Perhitungan IPH Mingguan 2026'!$HE$6:$HE$25,0)),"")</f>
        <v>n/a</v>
      </c>
      <c r="F346" s="18" t="str">
        <f>IF(ISNUMBER(E346),IF(E346&gt;0,"Penyumbang KENAIKAN IPH","Penyumbang PENURUNAN IPH"),"-")</f>
        <v>-</v>
      </c>
    </row>
    <row r="348" spans="1:6" x14ac:dyDescent="0.35">
      <c r="A348" s="32" t="s">
        <v>493</v>
      </c>
      <c r="B348" s="32"/>
      <c r="C348" s="32"/>
      <c r="D348" s="32"/>
      <c r="E348" s="32"/>
      <c r="F348" s="32"/>
    </row>
    <row r="349" spans="1:6" x14ac:dyDescent="0.35">
      <c r="A349" s="8" t="s">
        <v>150</v>
      </c>
      <c r="B349" s="8" t="s">
        <v>151</v>
      </c>
      <c r="C349" s="8" t="s">
        <v>63</v>
      </c>
      <c r="D349" s="8" t="s">
        <v>152</v>
      </c>
      <c r="E349" s="8" t="s">
        <v>153</v>
      </c>
      <c r="F349" s="8" t="s">
        <v>154</v>
      </c>
    </row>
    <row r="350" spans="1:6" x14ac:dyDescent="0.35">
      <c r="A350" s="3">
        <v>1</v>
      </c>
      <c r="B350" s="5" t="str">
        <f>IFERROR(INDEX('Perhitungan IPH Mingguan 2026'!$B$6:$B$25,MATCH(LARGE('Perhitungan IPH Mingguan 2026'!$HF$6:$HF$25,1),'Perhitungan IPH Mingguan 2026'!$HF$6:$HF$25,0)),"-")</f>
        <v>beras 1111001</v>
      </c>
      <c r="C350" s="17">
        <f>IFERROR(INDEX('Perhitungan IPH Mingguan 2026'!$C$6:$C$25,MATCH(LARGE('Perhitungan IPH Mingguan 2026'!$HF$6:$HF$25,1),'Perhitungan IPH Mingguan 2026'!$HF$6:$HF$25,0)),"")</f>
        <v>0.12508905675934601</v>
      </c>
      <c r="D350" s="12" t="str">
        <f>IFERROR(INDEX('Perhitungan IPH Mingguan 2026'!$ED$6:$ED$25,MATCH(LARGE('Perhitungan IPH Mingguan 2026'!$HF$6:$HF$25,1),'Perhitungan IPH Mingguan 2026'!$HF$6:$HF$25,0)),"")</f>
        <v>n/a</v>
      </c>
      <c r="E350" s="4" t="str">
        <f>IFERROR(INDEX('Perhitungan IPH Mingguan 2026'!$EE$6:$EE$25,MATCH(LARGE('Perhitungan IPH Mingguan 2026'!$HF$6:$HF$25,1),'Perhitungan IPH Mingguan 2026'!$HF$6:$HF$25,0)),"")</f>
        <v>n/a</v>
      </c>
      <c r="F350" s="18" t="str">
        <f>IF(ISNUMBER(E350),IF(E350&gt;0,"Penyumbang KENAIKAN IPH","Penyumbang PENURUNAN IPH"),"-")</f>
        <v>-</v>
      </c>
    </row>
    <row r="351" spans="1:6" x14ac:dyDescent="0.35">
      <c r="A351" s="3">
        <v>2</v>
      </c>
      <c r="B351" s="5" t="str">
        <f>IFERROR(INDEX('Perhitungan IPH Mingguan 2026'!$B$6:$B$25,MATCH(LARGE('Perhitungan IPH Mingguan 2026'!$HF$6:$HF$25,2),'Perhitungan IPH Mingguan 2026'!$HF$6:$HF$25,0)),"-")</f>
        <v>beras 1111001</v>
      </c>
      <c r="C351" s="17">
        <f>IFERROR(INDEX('Perhitungan IPH Mingguan 2026'!$C$6:$C$25,MATCH(LARGE('Perhitungan IPH Mingguan 2026'!$HF$6:$HF$25,2),'Perhitungan IPH Mingguan 2026'!$HF$6:$HF$25,0)),"")</f>
        <v>0.12508905675934601</v>
      </c>
      <c r="D351" s="12" t="str">
        <f>IFERROR(INDEX('Perhitungan IPH Mingguan 2026'!$ED$6:$ED$25,MATCH(LARGE('Perhitungan IPH Mingguan 2026'!$HF$6:$HF$25,2),'Perhitungan IPH Mingguan 2026'!$HF$6:$HF$25,0)),"")</f>
        <v>n/a</v>
      </c>
      <c r="E351" s="4" t="str">
        <f>IFERROR(INDEX('Perhitungan IPH Mingguan 2026'!$EE$6:$EE$25,MATCH(LARGE('Perhitungan IPH Mingguan 2026'!$HF$6:$HF$25,2),'Perhitungan IPH Mingguan 2026'!$HF$6:$HF$25,0)),"")</f>
        <v>n/a</v>
      </c>
      <c r="F351" s="18" t="str">
        <f>IF(ISNUMBER(E351),IF(E351&gt;0,"Penyumbang KENAIKAN IPH","Penyumbang PENURUNAN IPH"),"-")</f>
        <v>-</v>
      </c>
    </row>
    <row r="352" spans="1:6" x14ac:dyDescent="0.35">
      <c r="A352" s="3">
        <v>3</v>
      </c>
      <c r="B352" s="5" t="str">
        <f>IFERROR(INDEX('Perhitungan IPH Mingguan 2026'!$B$6:$B$25,MATCH(LARGE('Perhitungan IPH Mingguan 2026'!$HF$6:$HF$25,3),'Perhitungan IPH Mingguan 2026'!$HF$6:$HF$25,0)),"-")</f>
        <v>beras 1111001</v>
      </c>
      <c r="C352" s="17">
        <f>IFERROR(INDEX('Perhitungan IPH Mingguan 2026'!$C$6:$C$25,MATCH(LARGE('Perhitungan IPH Mingguan 2026'!$HF$6:$HF$25,3),'Perhitungan IPH Mingguan 2026'!$HF$6:$HF$25,0)),"")</f>
        <v>0.12508905675934601</v>
      </c>
      <c r="D352" s="12" t="str">
        <f>IFERROR(INDEX('Perhitungan IPH Mingguan 2026'!$ED$6:$ED$25,MATCH(LARGE('Perhitungan IPH Mingguan 2026'!$HF$6:$HF$25,3),'Perhitungan IPH Mingguan 2026'!$HF$6:$HF$25,0)),"")</f>
        <v>n/a</v>
      </c>
      <c r="E352" s="4" t="str">
        <f>IFERROR(INDEX('Perhitungan IPH Mingguan 2026'!$EE$6:$EE$25,MATCH(LARGE('Perhitungan IPH Mingguan 2026'!$HF$6:$HF$25,3),'Perhitungan IPH Mingguan 2026'!$HF$6:$HF$25,0)),"")</f>
        <v>n/a</v>
      </c>
      <c r="F352" s="18" t="str">
        <f>IF(ISNUMBER(E352),IF(E352&gt;0,"Penyumbang KENAIKAN IPH","Penyumbang PENURUNAN IPH"),"-")</f>
        <v>-</v>
      </c>
    </row>
    <row r="353" spans="1:6" x14ac:dyDescent="0.35">
      <c r="A353" s="3">
        <v>4</v>
      </c>
      <c r="B353" s="5" t="str">
        <f>IFERROR(INDEX('Perhitungan IPH Mingguan 2026'!$B$6:$B$25,MATCH(LARGE('Perhitungan IPH Mingguan 2026'!$HF$6:$HF$25,4),'Perhitungan IPH Mingguan 2026'!$HF$6:$HF$25,0)),"-")</f>
        <v>beras 1111001</v>
      </c>
      <c r="C353" s="17">
        <f>IFERROR(INDEX('Perhitungan IPH Mingguan 2026'!$C$6:$C$25,MATCH(LARGE('Perhitungan IPH Mingguan 2026'!$HF$6:$HF$25,4),'Perhitungan IPH Mingguan 2026'!$HF$6:$HF$25,0)),"")</f>
        <v>0.12508905675934601</v>
      </c>
      <c r="D353" s="12" t="str">
        <f>IFERROR(INDEX('Perhitungan IPH Mingguan 2026'!$ED$6:$ED$25,MATCH(LARGE('Perhitungan IPH Mingguan 2026'!$HF$6:$HF$25,4),'Perhitungan IPH Mingguan 2026'!$HF$6:$HF$25,0)),"")</f>
        <v>n/a</v>
      </c>
      <c r="E353" s="4" t="str">
        <f>IFERROR(INDEX('Perhitungan IPH Mingguan 2026'!$EE$6:$EE$25,MATCH(LARGE('Perhitungan IPH Mingguan 2026'!$HF$6:$HF$25,4),'Perhitungan IPH Mingguan 2026'!$HF$6:$HF$25,0)),"")</f>
        <v>n/a</v>
      </c>
      <c r="F353" s="18" t="str">
        <f>IF(ISNUMBER(E353),IF(E353&gt;0,"Penyumbang KENAIKAN IPH","Penyumbang PENURUNAN IPH"),"-")</f>
        <v>-</v>
      </c>
    </row>
    <row r="354" spans="1:6" x14ac:dyDescent="0.35">
      <c r="A354" s="3">
        <v>5</v>
      </c>
      <c r="B354" s="5" t="str">
        <f>IFERROR(INDEX('Perhitungan IPH Mingguan 2026'!$B$6:$B$25,MATCH(LARGE('Perhitungan IPH Mingguan 2026'!$HF$6:$HF$25,5),'Perhitungan IPH Mingguan 2026'!$HF$6:$HF$25,0)),"-")</f>
        <v>beras 1111001</v>
      </c>
      <c r="C354" s="17">
        <f>IFERROR(INDEX('Perhitungan IPH Mingguan 2026'!$C$6:$C$25,MATCH(LARGE('Perhitungan IPH Mingguan 2026'!$HF$6:$HF$25,5),'Perhitungan IPH Mingguan 2026'!$HF$6:$HF$25,0)),"")</f>
        <v>0.12508905675934601</v>
      </c>
      <c r="D354" s="12" t="str">
        <f>IFERROR(INDEX('Perhitungan IPH Mingguan 2026'!$ED$6:$ED$25,MATCH(LARGE('Perhitungan IPH Mingguan 2026'!$HF$6:$HF$25,5),'Perhitungan IPH Mingguan 2026'!$HF$6:$HF$25,0)),"")</f>
        <v>n/a</v>
      </c>
      <c r="E354" s="4" t="str">
        <f>IFERROR(INDEX('Perhitungan IPH Mingguan 2026'!$EE$6:$EE$25,MATCH(LARGE('Perhitungan IPH Mingguan 2026'!$HF$6:$HF$25,5),'Perhitungan IPH Mingguan 2026'!$HF$6:$HF$25,0)),"")</f>
        <v>n/a</v>
      </c>
      <c r="F354" s="18" t="str">
        <f>IF(ISNUMBER(E354),IF(E354&gt;0,"Penyumbang KENAIKAN IPH","Penyumbang PENURUNAN IPH"),"-")</f>
        <v>-</v>
      </c>
    </row>
    <row r="356" spans="1:6" x14ac:dyDescent="0.35">
      <c r="A356" s="32" t="s">
        <v>494</v>
      </c>
      <c r="B356" s="32"/>
      <c r="C356" s="32"/>
      <c r="D356" s="32"/>
      <c r="E356" s="32"/>
      <c r="F356" s="32"/>
    </row>
    <row r="357" spans="1:6" x14ac:dyDescent="0.35">
      <c r="A357" s="8" t="s">
        <v>150</v>
      </c>
      <c r="B357" s="8" t="s">
        <v>151</v>
      </c>
      <c r="C357" s="8" t="s">
        <v>63</v>
      </c>
      <c r="D357" s="8" t="s">
        <v>152</v>
      </c>
      <c r="E357" s="8" t="s">
        <v>153</v>
      </c>
      <c r="F357" s="8" t="s">
        <v>154</v>
      </c>
    </row>
    <row r="358" spans="1:6" x14ac:dyDescent="0.35">
      <c r="A358" s="3">
        <v>1</v>
      </c>
      <c r="B358" s="5" t="str">
        <f>IFERROR(INDEX('Perhitungan IPH Mingguan 2026'!$B$6:$B$25,MATCH(LARGE('Perhitungan IPH Mingguan 2026'!$HG$6:$HG$25,1),'Perhitungan IPH Mingguan 2026'!$HG$6:$HG$25,0)),"-")</f>
        <v>beras 1111001</v>
      </c>
      <c r="C358" s="17">
        <f>IFERROR(INDEX('Perhitungan IPH Mingguan 2026'!$C$6:$C$25,MATCH(LARGE('Perhitungan IPH Mingguan 2026'!$HG$6:$HG$25,1),'Perhitungan IPH Mingguan 2026'!$HG$6:$HG$25,0)),"")</f>
        <v>0.12508905675934601</v>
      </c>
      <c r="D358" s="12" t="str">
        <f>IFERROR(INDEX('Perhitungan IPH Mingguan 2026'!$EG$6:$EG$25,MATCH(LARGE('Perhitungan IPH Mingguan 2026'!$HG$6:$HG$25,1),'Perhitungan IPH Mingguan 2026'!$HG$6:$HG$25,0)),"")</f>
        <v>n/a</v>
      </c>
      <c r="E358" s="4" t="str">
        <f>IFERROR(INDEX('Perhitungan IPH Mingguan 2026'!$EH$6:$EH$25,MATCH(LARGE('Perhitungan IPH Mingguan 2026'!$HG$6:$HG$25,1),'Perhitungan IPH Mingguan 2026'!$HG$6:$HG$25,0)),"")</f>
        <v>n/a</v>
      </c>
      <c r="F358" s="18" t="str">
        <f>IF(ISNUMBER(E358),IF(E358&gt;0,"Penyumbang KENAIKAN IPH","Penyumbang PENURUNAN IPH"),"-")</f>
        <v>-</v>
      </c>
    </row>
    <row r="359" spans="1:6" x14ac:dyDescent="0.35">
      <c r="A359" s="3">
        <v>2</v>
      </c>
      <c r="B359" s="5" t="str">
        <f>IFERROR(INDEX('Perhitungan IPH Mingguan 2026'!$B$6:$B$25,MATCH(LARGE('Perhitungan IPH Mingguan 2026'!$HG$6:$HG$25,2),'Perhitungan IPH Mingguan 2026'!$HG$6:$HG$25,0)),"-")</f>
        <v>beras 1111001</v>
      </c>
      <c r="C359" s="17">
        <f>IFERROR(INDEX('Perhitungan IPH Mingguan 2026'!$C$6:$C$25,MATCH(LARGE('Perhitungan IPH Mingguan 2026'!$HG$6:$HG$25,2),'Perhitungan IPH Mingguan 2026'!$HG$6:$HG$25,0)),"")</f>
        <v>0.12508905675934601</v>
      </c>
      <c r="D359" s="12" t="str">
        <f>IFERROR(INDEX('Perhitungan IPH Mingguan 2026'!$EG$6:$EG$25,MATCH(LARGE('Perhitungan IPH Mingguan 2026'!$HG$6:$HG$25,2),'Perhitungan IPH Mingguan 2026'!$HG$6:$HG$25,0)),"")</f>
        <v>n/a</v>
      </c>
      <c r="E359" s="4" t="str">
        <f>IFERROR(INDEX('Perhitungan IPH Mingguan 2026'!$EH$6:$EH$25,MATCH(LARGE('Perhitungan IPH Mingguan 2026'!$HG$6:$HG$25,2),'Perhitungan IPH Mingguan 2026'!$HG$6:$HG$25,0)),"")</f>
        <v>n/a</v>
      </c>
      <c r="F359" s="18" t="str">
        <f>IF(ISNUMBER(E359),IF(E359&gt;0,"Penyumbang KENAIKAN IPH","Penyumbang PENURUNAN IPH"),"-")</f>
        <v>-</v>
      </c>
    </row>
    <row r="360" spans="1:6" x14ac:dyDescent="0.35">
      <c r="A360" s="3">
        <v>3</v>
      </c>
      <c r="B360" s="5" t="str">
        <f>IFERROR(INDEX('Perhitungan IPH Mingguan 2026'!$B$6:$B$25,MATCH(LARGE('Perhitungan IPH Mingguan 2026'!$HG$6:$HG$25,3),'Perhitungan IPH Mingguan 2026'!$HG$6:$HG$25,0)),"-")</f>
        <v>beras 1111001</v>
      </c>
      <c r="C360" s="17">
        <f>IFERROR(INDEX('Perhitungan IPH Mingguan 2026'!$C$6:$C$25,MATCH(LARGE('Perhitungan IPH Mingguan 2026'!$HG$6:$HG$25,3),'Perhitungan IPH Mingguan 2026'!$HG$6:$HG$25,0)),"")</f>
        <v>0.12508905675934601</v>
      </c>
      <c r="D360" s="12" t="str">
        <f>IFERROR(INDEX('Perhitungan IPH Mingguan 2026'!$EG$6:$EG$25,MATCH(LARGE('Perhitungan IPH Mingguan 2026'!$HG$6:$HG$25,3),'Perhitungan IPH Mingguan 2026'!$HG$6:$HG$25,0)),"")</f>
        <v>n/a</v>
      </c>
      <c r="E360" s="4" t="str">
        <f>IFERROR(INDEX('Perhitungan IPH Mingguan 2026'!$EH$6:$EH$25,MATCH(LARGE('Perhitungan IPH Mingguan 2026'!$HG$6:$HG$25,3),'Perhitungan IPH Mingguan 2026'!$HG$6:$HG$25,0)),"")</f>
        <v>n/a</v>
      </c>
      <c r="F360" s="18" t="str">
        <f>IF(ISNUMBER(E360),IF(E360&gt;0,"Penyumbang KENAIKAN IPH","Penyumbang PENURUNAN IPH"),"-")</f>
        <v>-</v>
      </c>
    </row>
    <row r="361" spans="1:6" x14ac:dyDescent="0.35">
      <c r="A361" s="3">
        <v>4</v>
      </c>
      <c r="B361" s="5" t="str">
        <f>IFERROR(INDEX('Perhitungan IPH Mingguan 2026'!$B$6:$B$25,MATCH(LARGE('Perhitungan IPH Mingguan 2026'!$HG$6:$HG$25,4),'Perhitungan IPH Mingguan 2026'!$HG$6:$HG$25,0)),"-")</f>
        <v>beras 1111001</v>
      </c>
      <c r="C361" s="17">
        <f>IFERROR(INDEX('Perhitungan IPH Mingguan 2026'!$C$6:$C$25,MATCH(LARGE('Perhitungan IPH Mingguan 2026'!$HG$6:$HG$25,4),'Perhitungan IPH Mingguan 2026'!$HG$6:$HG$25,0)),"")</f>
        <v>0.12508905675934601</v>
      </c>
      <c r="D361" s="12" t="str">
        <f>IFERROR(INDEX('Perhitungan IPH Mingguan 2026'!$EG$6:$EG$25,MATCH(LARGE('Perhitungan IPH Mingguan 2026'!$HG$6:$HG$25,4),'Perhitungan IPH Mingguan 2026'!$HG$6:$HG$25,0)),"")</f>
        <v>n/a</v>
      </c>
      <c r="E361" s="4" t="str">
        <f>IFERROR(INDEX('Perhitungan IPH Mingguan 2026'!$EH$6:$EH$25,MATCH(LARGE('Perhitungan IPH Mingguan 2026'!$HG$6:$HG$25,4),'Perhitungan IPH Mingguan 2026'!$HG$6:$HG$25,0)),"")</f>
        <v>n/a</v>
      </c>
      <c r="F361" s="18" t="str">
        <f>IF(ISNUMBER(E361),IF(E361&gt;0,"Penyumbang KENAIKAN IPH","Penyumbang PENURUNAN IPH"),"-")</f>
        <v>-</v>
      </c>
    </row>
    <row r="362" spans="1:6" x14ac:dyDescent="0.35">
      <c r="A362" s="3">
        <v>5</v>
      </c>
      <c r="B362" s="5" t="str">
        <f>IFERROR(INDEX('Perhitungan IPH Mingguan 2026'!$B$6:$B$25,MATCH(LARGE('Perhitungan IPH Mingguan 2026'!$HG$6:$HG$25,5),'Perhitungan IPH Mingguan 2026'!$HG$6:$HG$25,0)),"-")</f>
        <v>beras 1111001</v>
      </c>
      <c r="C362" s="17">
        <f>IFERROR(INDEX('Perhitungan IPH Mingguan 2026'!$C$6:$C$25,MATCH(LARGE('Perhitungan IPH Mingguan 2026'!$HG$6:$HG$25,5),'Perhitungan IPH Mingguan 2026'!$HG$6:$HG$25,0)),"")</f>
        <v>0.12508905675934601</v>
      </c>
      <c r="D362" s="12" t="str">
        <f>IFERROR(INDEX('Perhitungan IPH Mingguan 2026'!$EG$6:$EG$25,MATCH(LARGE('Perhitungan IPH Mingguan 2026'!$HG$6:$HG$25,5),'Perhitungan IPH Mingguan 2026'!$HG$6:$HG$25,0)),"")</f>
        <v>n/a</v>
      </c>
      <c r="E362" s="4" t="str">
        <f>IFERROR(INDEX('Perhitungan IPH Mingguan 2026'!$EH$6:$EH$25,MATCH(LARGE('Perhitungan IPH Mingguan 2026'!$HG$6:$HG$25,5),'Perhitungan IPH Mingguan 2026'!$HG$6:$HG$25,0)),"")</f>
        <v>n/a</v>
      </c>
      <c r="F362" s="18" t="str">
        <f>IF(ISNUMBER(E362),IF(E362&gt;0,"Penyumbang KENAIKAN IPH","Penyumbang PENURUNAN IPH"),"-")</f>
        <v>-</v>
      </c>
    </row>
    <row r="364" spans="1:6" x14ac:dyDescent="0.35">
      <c r="A364" s="32" t="s">
        <v>495</v>
      </c>
      <c r="B364" s="32"/>
      <c r="C364" s="32"/>
      <c r="D364" s="32"/>
      <c r="E364" s="32"/>
      <c r="F364" s="32"/>
    </row>
    <row r="365" spans="1:6" x14ac:dyDescent="0.35">
      <c r="A365" s="8" t="s">
        <v>150</v>
      </c>
      <c r="B365" s="8" t="s">
        <v>151</v>
      </c>
      <c r="C365" s="8" t="s">
        <v>63</v>
      </c>
      <c r="D365" s="8" t="s">
        <v>152</v>
      </c>
      <c r="E365" s="8" t="s">
        <v>153</v>
      </c>
      <c r="F365" s="8" t="s">
        <v>154</v>
      </c>
    </row>
    <row r="366" spans="1:6" x14ac:dyDescent="0.35">
      <c r="A366" s="3">
        <v>1</v>
      </c>
      <c r="B366" s="5" t="str">
        <f>IFERROR(INDEX('Perhitungan IPH Mingguan 2026'!$B$6:$B$25,MATCH(LARGE('Perhitungan IPH Mingguan 2026'!$HH$6:$HH$25,1),'Perhitungan IPH Mingguan 2026'!$HH$6:$HH$25,0)),"-")</f>
        <v>beras 1111001</v>
      </c>
      <c r="C366" s="17">
        <f>IFERROR(INDEX('Perhitungan IPH Mingguan 2026'!$C$6:$C$25,MATCH(LARGE('Perhitungan IPH Mingguan 2026'!$HH$6:$HH$25,1),'Perhitungan IPH Mingguan 2026'!$HH$6:$HH$25,0)),"")</f>
        <v>0.12508905675934601</v>
      </c>
      <c r="D366" s="12" t="str">
        <f>IFERROR(INDEX('Perhitungan IPH Mingguan 2026'!$EJ$6:$EJ$25,MATCH(LARGE('Perhitungan IPH Mingguan 2026'!$HH$6:$HH$25,1),'Perhitungan IPH Mingguan 2026'!$HH$6:$HH$25,0)),"")</f>
        <v>n/a</v>
      </c>
      <c r="E366" s="4" t="str">
        <f>IFERROR(INDEX('Perhitungan IPH Mingguan 2026'!$EK$6:$EK$25,MATCH(LARGE('Perhitungan IPH Mingguan 2026'!$HH$6:$HH$25,1),'Perhitungan IPH Mingguan 2026'!$HH$6:$HH$25,0)),"")</f>
        <v>n/a</v>
      </c>
      <c r="F366" s="18" t="str">
        <f>IF(ISNUMBER(E366),IF(E366&gt;0,"Penyumbang KENAIKAN IPH","Penyumbang PENURUNAN IPH"),"-")</f>
        <v>-</v>
      </c>
    </row>
    <row r="367" spans="1:6" x14ac:dyDescent="0.35">
      <c r="A367" s="3">
        <v>2</v>
      </c>
      <c r="B367" s="5" t="str">
        <f>IFERROR(INDEX('Perhitungan IPH Mingguan 2026'!$B$6:$B$25,MATCH(LARGE('Perhitungan IPH Mingguan 2026'!$HH$6:$HH$25,2),'Perhitungan IPH Mingguan 2026'!$HH$6:$HH$25,0)),"-")</f>
        <v>beras 1111001</v>
      </c>
      <c r="C367" s="17">
        <f>IFERROR(INDEX('Perhitungan IPH Mingguan 2026'!$C$6:$C$25,MATCH(LARGE('Perhitungan IPH Mingguan 2026'!$HH$6:$HH$25,2),'Perhitungan IPH Mingguan 2026'!$HH$6:$HH$25,0)),"")</f>
        <v>0.12508905675934601</v>
      </c>
      <c r="D367" s="12" t="str">
        <f>IFERROR(INDEX('Perhitungan IPH Mingguan 2026'!$EJ$6:$EJ$25,MATCH(LARGE('Perhitungan IPH Mingguan 2026'!$HH$6:$HH$25,2),'Perhitungan IPH Mingguan 2026'!$HH$6:$HH$25,0)),"")</f>
        <v>n/a</v>
      </c>
      <c r="E367" s="4" t="str">
        <f>IFERROR(INDEX('Perhitungan IPH Mingguan 2026'!$EK$6:$EK$25,MATCH(LARGE('Perhitungan IPH Mingguan 2026'!$HH$6:$HH$25,2),'Perhitungan IPH Mingguan 2026'!$HH$6:$HH$25,0)),"")</f>
        <v>n/a</v>
      </c>
      <c r="F367" s="18" t="str">
        <f>IF(ISNUMBER(E367),IF(E367&gt;0,"Penyumbang KENAIKAN IPH","Penyumbang PENURUNAN IPH"),"-")</f>
        <v>-</v>
      </c>
    </row>
    <row r="368" spans="1:6" x14ac:dyDescent="0.35">
      <c r="A368" s="3">
        <v>3</v>
      </c>
      <c r="B368" s="5" t="str">
        <f>IFERROR(INDEX('Perhitungan IPH Mingguan 2026'!$B$6:$B$25,MATCH(LARGE('Perhitungan IPH Mingguan 2026'!$HH$6:$HH$25,3),'Perhitungan IPH Mingguan 2026'!$HH$6:$HH$25,0)),"-")</f>
        <v>beras 1111001</v>
      </c>
      <c r="C368" s="17">
        <f>IFERROR(INDEX('Perhitungan IPH Mingguan 2026'!$C$6:$C$25,MATCH(LARGE('Perhitungan IPH Mingguan 2026'!$HH$6:$HH$25,3),'Perhitungan IPH Mingguan 2026'!$HH$6:$HH$25,0)),"")</f>
        <v>0.12508905675934601</v>
      </c>
      <c r="D368" s="12" t="str">
        <f>IFERROR(INDEX('Perhitungan IPH Mingguan 2026'!$EJ$6:$EJ$25,MATCH(LARGE('Perhitungan IPH Mingguan 2026'!$HH$6:$HH$25,3),'Perhitungan IPH Mingguan 2026'!$HH$6:$HH$25,0)),"")</f>
        <v>n/a</v>
      </c>
      <c r="E368" s="4" t="str">
        <f>IFERROR(INDEX('Perhitungan IPH Mingguan 2026'!$EK$6:$EK$25,MATCH(LARGE('Perhitungan IPH Mingguan 2026'!$HH$6:$HH$25,3),'Perhitungan IPH Mingguan 2026'!$HH$6:$HH$25,0)),"")</f>
        <v>n/a</v>
      </c>
      <c r="F368" s="18" t="str">
        <f>IF(ISNUMBER(E368),IF(E368&gt;0,"Penyumbang KENAIKAN IPH","Penyumbang PENURUNAN IPH"),"-")</f>
        <v>-</v>
      </c>
    </row>
    <row r="369" spans="1:6" x14ac:dyDescent="0.35">
      <c r="A369" s="3">
        <v>4</v>
      </c>
      <c r="B369" s="5" t="str">
        <f>IFERROR(INDEX('Perhitungan IPH Mingguan 2026'!$B$6:$B$25,MATCH(LARGE('Perhitungan IPH Mingguan 2026'!$HH$6:$HH$25,4),'Perhitungan IPH Mingguan 2026'!$HH$6:$HH$25,0)),"-")</f>
        <v>beras 1111001</v>
      </c>
      <c r="C369" s="17">
        <f>IFERROR(INDEX('Perhitungan IPH Mingguan 2026'!$C$6:$C$25,MATCH(LARGE('Perhitungan IPH Mingguan 2026'!$HH$6:$HH$25,4),'Perhitungan IPH Mingguan 2026'!$HH$6:$HH$25,0)),"")</f>
        <v>0.12508905675934601</v>
      </c>
      <c r="D369" s="12" t="str">
        <f>IFERROR(INDEX('Perhitungan IPH Mingguan 2026'!$EJ$6:$EJ$25,MATCH(LARGE('Perhitungan IPH Mingguan 2026'!$HH$6:$HH$25,4),'Perhitungan IPH Mingguan 2026'!$HH$6:$HH$25,0)),"")</f>
        <v>n/a</v>
      </c>
      <c r="E369" s="4" t="str">
        <f>IFERROR(INDEX('Perhitungan IPH Mingguan 2026'!$EK$6:$EK$25,MATCH(LARGE('Perhitungan IPH Mingguan 2026'!$HH$6:$HH$25,4),'Perhitungan IPH Mingguan 2026'!$HH$6:$HH$25,0)),"")</f>
        <v>n/a</v>
      </c>
      <c r="F369" s="18" t="str">
        <f>IF(ISNUMBER(E369),IF(E369&gt;0,"Penyumbang KENAIKAN IPH","Penyumbang PENURUNAN IPH"),"-")</f>
        <v>-</v>
      </c>
    </row>
    <row r="370" spans="1:6" x14ac:dyDescent="0.35">
      <c r="A370" s="3">
        <v>5</v>
      </c>
      <c r="B370" s="5" t="str">
        <f>IFERROR(INDEX('Perhitungan IPH Mingguan 2026'!$B$6:$B$25,MATCH(LARGE('Perhitungan IPH Mingguan 2026'!$HH$6:$HH$25,5),'Perhitungan IPH Mingguan 2026'!$HH$6:$HH$25,0)),"-")</f>
        <v>beras 1111001</v>
      </c>
      <c r="C370" s="17">
        <f>IFERROR(INDEX('Perhitungan IPH Mingguan 2026'!$C$6:$C$25,MATCH(LARGE('Perhitungan IPH Mingguan 2026'!$HH$6:$HH$25,5),'Perhitungan IPH Mingguan 2026'!$HH$6:$HH$25,0)),"")</f>
        <v>0.12508905675934601</v>
      </c>
      <c r="D370" s="12" t="str">
        <f>IFERROR(INDEX('Perhitungan IPH Mingguan 2026'!$EJ$6:$EJ$25,MATCH(LARGE('Perhitungan IPH Mingguan 2026'!$HH$6:$HH$25,5),'Perhitungan IPH Mingguan 2026'!$HH$6:$HH$25,0)),"")</f>
        <v>n/a</v>
      </c>
      <c r="E370" s="4" t="str">
        <f>IFERROR(INDEX('Perhitungan IPH Mingguan 2026'!$EK$6:$EK$25,MATCH(LARGE('Perhitungan IPH Mingguan 2026'!$HH$6:$HH$25,5),'Perhitungan IPH Mingguan 2026'!$HH$6:$HH$25,0)),"")</f>
        <v>n/a</v>
      </c>
      <c r="F370" s="18" t="str">
        <f>IF(ISNUMBER(E370),IF(E370&gt;0,"Penyumbang KENAIKAN IPH","Penyumbang PENURUNAN IPH"),"-")</f>
        <v>-</v>
      </c>
    </row>
    <row r="372" spans="1:6" x14ac:dyDescent="0.35">
      <c r="A372" s="32" t="s">
        <v>496</v>
      </c>
      <c r="B372" s="32"/>
      <c r="C372" s="32"/>
      <c r="D372" s="32"/>
      <c r="E372" s="32"/>
      <c r="F372" s="32"/>
    </row>
    <row r="373" spans="1:6" x14ac:dyDescent="0.35">
      <c r="A373" s="8" t="s">
        <v>150</v>
      </c>
      <c r="B373" s="8" t="s">
        <v>151</v>
      </c>
      <c r="C373" s="8" t="s">
        <v>63</v>
      </c>
      <c r="D373" s="8" t="s">
        <v>152</v>
      </c>
      <c r="E373" s="8" t="s">
        <v>153</v>
      </c>
      <c r="F373" s="8" t="s">
        <v>154</v>
      </c>
    </row>
    <row r="374" spans="1:6" x14ac:dyDescent="0.35">
      <c r="A374" s="3">
        <v>1</v>
      </c>
      <c r="B374" s="5" t="str">
        <f>IFERROR(INDEX('Perhitungan IPH Mingguan 2026'!$B$6:$B$25,MATCH(LARGE('Perhitungan IPH Mingguan 2026'!$HI$6:$HI$25,1),'Perhitungan IPH Mingguan 2026'!$HI$6:$HI$25,0)),"-")</f>
        <v>beras 1111001</v>
      </c>
      <c r="C374" s="17">
        <f>IFERROR(INDEX('Perhitungan IPH Mingguan 2026'!$C$6:$C$25,MATCH(LARGE('Perhitungan IPH Mingguan 2026'!$HI$6:$HI$25,1),'Perhitungan IPH Mingguan 2026'!$HI$6:$HI$25,0)),"")</f>
        <v>0.12508905675934601</v>
      </c>
      <c r="D374" s="12" t="str">
        <f>IFERROR(INDEX('Perhitungan IPH Mingguan 2026'!$EM$6:$EM$25,MATCH(LARGE('Perhitungan IPH Mingguan 2026'!$HI$6:$HI$25,1),'Perhitungan IPH Mingguan 2026'!$HI$6:$HI$25,0)),"")</f>
        <v>n/a</v>
      </c>
      <c r="E374" s="4" t="str">
        <f>IFERROR(INDEX('Perhitungan IPH Mingguan 2026'!$EN$6:$EN$25,MATCH(LARGE('Perhitungan IPH Mingguan 2026'!$HI$6:$HI$25,1),'Perhitungan IPH Mingguan 2026'!$HI$6:$HI$25,0)),"")</f>
        <v>n/a</v>
      </c>
      <c r="F374" s="18" t="str">
        <f>IF(ISNUMBER(E374),IF(E374&gt;0,"Penyumbang KENAIKAN IPH","Penyumbang PENURUNAN IPH"),"-")</f>
        <v>-</v>
      </c>
    </row>
    <row r="375" spans="1:6" x14ac:dyDescent="0.35">
      <c r="A375" s="3">
        <v>2</v>
      </c>
      <c r="B375" s="5" t="str">
        <f>IFERROR(INDEX('Perhitungan IPH Mingguan 2026'!$B$6:$B$25,MATCH(LARGE('Perhitungan IPH Mingguan 2026'!$HI$6:$HI$25,2),'Perhitungan IPH Mingguan 2026'!$HI$6:$HI$25,0)),"-")</f>
        <v>beras 1111001</v>
      </c>
      <c r="C375" s="17">
        <f>IFERROR(INDEX('Perhitungan IPH Mingguan 2026'!$C$6:$C$25,MATCH(LARGE('Perhitungan IPH Mingguan 2026'!$HI$6:$HI$25,2),'Perhitungan IPH Mingguan 2026'!$HI$6:$HI$25,0)),"")</f>
        <v>0.12508905675934601</v>
      </c>
      <c r="D375" s="12" t="str">
        <f>IFERROR(INDEX('Perhitungan IPH Mingguan 2026'!$EM$6:$EM$25,MATCH(LARGE('Perhitungan IPH Mingguan 2026'!$HI$6:$HI$25,2),'Perhitungan IPH Mingguan 2026'!$HI$6:$HI$25,0)),"")</f>
        <v>n/a</v>
      </c>
      <c r="E375" s="4" t="str">
        <f>IFERROR(INDEX('Perhitungan IPH Mingguan 2026'!$EN$6:$EN$25,MATCH(LARGE('Perhitungan IPH Mingguan 2026'!$HI$6:$HI$25,2),'Perhitungan IPH Mingguan 2026'!$HI$6:$HI$25,0)),"")</f>
        <v>n/a</v>
      </c>
      <c r="F375" s="18" t="str">
        <f>IF(ISNUMBER(E375),IF(E375&gt;0,"Penyumbang KENAIKAN IPH","Penyumbang PENURUNAN IPH"),"-")</f>
        <v>-</v>
      </c>
    </row>
    <row r="376" spans="1:6" x14ac:dyDescent="0.35">
      <c r="A376" s="3">
        <v>3</v>
      </c>
      <c r="B376" s="5" t="str">
        <f>IFERROR(INDEX('Perhitungan IPH Mingguan 2026'!$B$6:$B$25,MATCH(LARGE('Perhitungan IPH Mingguan 2026'!$HI$6:$HI$25,3),'Perhitungan IPH Mingguan 2026'!$HI$6:$HI$25,0)),"-")</f>
        <v>beras 1111001</v>
      </c>
      <c r="C376" s="17">
        <f>IFERROR(INDEX('Perhitungan IPH Mingguan 2026'!$C$6:$C$25,MATCH(LARGE('Perhitungan IPH Mingguan 2026'!$HI$6:$HI$25,3),'Perhitungan IPH Mingguan 2026'!$HI$6:$HI$25,0)),"")</f>
        <v>0.12508905675934601</v>
      </c>
      <c r="D376" s="12" t="str">
        <f>IFERROR(INDEX('Perhitungan IPH Mingguan 2026'!$EM$6:$EM$25,MATCH(LARGE('Perhitungan IPH Mingguan 2026'!$HI$6:$HI$25,3),'Perhitungan IPH Mingguan 2026'!$HI$6:$HI$25,0)),"")</f>
        <v>n/a</v>
      </c>
      <c r="E376" s="4" t="str">
        <f>IFERROR(INDEX('Perhitungan IPH Mingguan 2026'!$EN$6:$EN$25,MATCH(LARGE('Perhitungan IPH Mingguan 2026'!$HI$6:$HI$25,3),'Perhitungan IPH Mingguan 2026'!$HI$6:$HI$25,0)),"")</f>
        <v>n/a</v>
      </c>
      <c r="F376" s="18" t="str">
        <f>IF(ISNUMBER(E376),IF(E376&gt;0,"Penyumbang KENAIKAN IPH","Penyumbang PENURUNAN IPH"),"-")</f>
        <v>-</v>
      </c>
    </row>
    <row r="377" spans="1:6" x14ac:dyDescent="0.35">
      <c r="A377" s="3">
        <v>4</v>
      </c>
      <c r="B377" s="5" t="str">
        <f>IFERROR(INDEX('Perhitungan IPH Mingguan 2026'!$B$6:$B$25,MATCH(LARGE('Perhitungan IPH Mingguan 2026'!$HI$6:$HI$25,4),'Perhitungan IPH Mingguan 2026'!$HI$6:$HI$25,0)),"-")</f>
        <v>beras 1111001</v>
      </c>
      <c r="C377" s="17">
        <f>IFERROR(INDEX('Perhitungan IPH Mingguan 2026'!$C$6:$C$25,MATCH(LARGE('Perhitungan IPH Mingguan 2026'!$HI$6:$HI$25,4),'Perhitungan IPH Mingguan 2026'!$HI$6:$HI$25,0)),"")</f>
        <v>0.12508905675934601</v>
      </c>
      <c r="D377" s="12" t="str">
        <f>IFERROR(INDEX('Perhitungan IPH Mingguan 2026'!$EM$6:$EM$25,MATCH(LARGE('Perhitungan IPH Mingguan 2026'!$HI$6:$HI$25,4),'Perhitungan IPH Mingguan 2026'!$HI$6:$HI$25,0)),"")</f>
        <v>n/a</v>
      </c>
      <c r="E377" s="4" t="str">
        <f>IFERROR(INDEX('Perhitungan IPH Mingguan 2026'!$EN$6:$EN$25,MATCH(LARGE('Perhitungan IPH Mingguan 2026'!$HI$6:$HI$25,4),'Perhitungan IPH Mingguan 2026'!$HI$6:$HI$25,0)),"")</f>
        <v>n/a</v>
      </c>
      <c r="F377" s="18" t="str">
        <f>IF(ISNUMBER(E377),IF(E377&gt;0,"Penyumbang KENAIKAN IPH","Penyumbang PENURUNAN IPH"),"-")</f>
        <v>-</v>
      </c>
    </row>
    <row r="378" spans="1:6" x14ac:dyDescent="0.35">
      <c r="A378" s="3">
        <v>5</v>
      </c>
      <c r="B378" s="5" t="str">
        <f>IFERROR(INDEX('Perhitungan IPH Mingguan 2026'!$B$6:$B$25,MATCH(LARGE('Perhitungan IPH Mingguan 2026'!$HI$6:$HI$25,5),'Perhitungan IPH Mingguan 2026'!$HI$6:$HI$25,0)),"-")</f>
        <v>beras 1111001</v>
      </c>
      <c r="C378" s="17">
        <f>IFERROR(INDEX('Perhitungan IPH Mingguan 2026'!$C$6:$C$25,MATCH(LARGE('Perhitungan IPH Mingguan 2026'!$HI$6:$HI$25,5),'Perhitungan IPH Mingguan 2026'!$HI$6:$HI$25,0)),"")</f>
        <v>0.12508905675934601</v>
      </c>
      <c r="D378" s="12" t="str">
        <f>IFERROR(INDEX('Perhitungan IPH Mingguan 2026'!$EM$6:$EM$25,MATCH(LARGE('Perhitungan IPH Mingguan 2026'!$HI$6:$HI$25,5),'Perhitungan IPH Mingguan 2026'!$HI$6:$HI$25,0)),"")</f>
        <v>n/a</v>
      </c>
      <c r="E378" s="4" t="str">
        <f>IFERROR(INDEX('Perhitungan IPH Mingguan 2026'!$EN$6:$EN$25,MATCH(LARGE('Perhitungan IPH Mingguan 2026'!$HI$6:$HI$25,5),'Perhitungan IPH Mingguan 2026'!$HI$6:$HI$25,0)),"")</f>
        <v>n/a</v>
      </c>
      <c r="F378" s="18" t="str">
        <f>IF(ISNUMBER(E378),IF(E378&gt;0,"Penyumbang KENAIKAN IPH","Penyumbang PENURUNAN IPH"),"-")</f>
        <v>-</v>
      </c>
    </row>
    <row r="380" spans="1:6" x14ac:dyDescent="0.35">
      <c r="A380" s="32" t="s">
        <v>497</v>
      </c>
      <c r="B380" s="32"/>
      <c r="C380" s="32"/>
      <c r="D380" s="32"/>
      <c r="E380" s="32"/>
      <c r="F380" s="32"/>
    </row>
    <row r="381" spans="1:6" x14ac:dyDescent="0.35">
      <c r="A381" s="8" t="s">
        <v>150</v>
      </c>
      <c r="B381" s="8" t="s">
        <v>151</v>
      </c>
      <c r="C381" s="8" t="s">
        <v>63</v>
      </c>
      <c r="D381" s="8" t="s">
        <v>152</v>
      </c>
      <c r="E381" s="8" t="s">
        <v>153</v>
      </c>
      <c r="F381" s="8" t="s">
        <v>154</v>
      </c>
    </row>
    <row r="382" spans="1:6" x14ac:dyDescent="0.35">
      <c r="A382" s="3">
        <v>1</v>
      </c>
      <c r="B382" s="5" t="str">
        <f>IFERROR(INDEX('Perhitungan IPH Mingguan 2026'!$B$6:$B$25,MATCH(LARGE('Perhitungan IPH Mingguan 2026'!$HJ$6:$HJ$25,1),'Perhitungan IPH Mingguan 2026'!$HJ$6:$HJ$25,0)),"-")</f>
        <v>beras 1111001</v>
      </c>
      <c r="C382" s="17">
        <f>IFERROR(INDEX('Perhitungan IPH Mingguan 2026'!$C$6:$C$25,MATCH(LARGE('Perhitungan IPH Mingguan 2026'!$HJ$6:$HJ$25,1),'Perhitungan IPH Mingguan 2026'!$HJ$6:$HJ$25,0)),"")</f>
        <v>0.12508905675934601</v>
      </c>
      <c r="D382" s="12" t="str">
        <f>IFERROR(INDEX('Perhitungan IPH Mingguan 2026'!$EP$6:$EP$25,MATCH(LARGE('Perhitungan IPH Mingguan 2026'!$HJ$6:$HJ$25,1),'Perhitungan IPH Mingguan 2026'!$HJ$6:$HJ$25,0)),"")</f>
        <v>n/a</v>
      </c>
      <c r="E382" s="4" t="str">
        <f>IFERROR(INDEX('Perhitungan IPH Mingguan 2026'!$EQ$6:$EQ$25,MATCH(LARGE('Perhitungan IPH Mingguan 2026'!$HJ$6:$HJ$25,1),'Perhitungan IPH Mingguan 2026'!$HJ$6:$HJ$25,0)),"")</f>
        <v>n/a</v>
      </c>
      <c r="F382" s="18" t="str">
        <f>IF(ISNUMBER(E382),IF(E382&gt;0,"Penyumbang KENAIKAN IPH","Penyumbang PENURUNAN IPH"),"-")</f>
        <v>-</v>
      </c>
    </row>
    <row r="383" spans="1:6" x14ac:dyDescent="0.35">
      <c r="A383" s="3">
        <v>2</v>
      </c>
      <c r="B383" s="5" t="str">
        <f>IFERROR(INDEX('Perhitungan IPH Mingguan 2026'!$B$6:$B$25,MATCH(LARGE('Perhitungan IPH Mingguan 2026'!$HJ$6:$HJ$25,2),'Perhitungan IPH Mingguan 2026'!$HJ$6:$HJ$25,0)),"-")</f>
        <v>beras 1111001</v>
      </c>
      <c r="C383" s="17">
        <f>IFERROR(INDEX('Perhitungan IPH Mingguan 2026'!$C$6:$C$25,MATCH(LARGE('Perhitungan IPH Mingguan 2026'!$HJ$6:$HJ$25,2),'Perhitungan IPH Mingguan 2026'!$HJ$6:$HJ$25,0)),"")</f>
        <v>0.12508905675934601</v>
      </c>
      <c r="D383" s="12" t="str">
        <f>IFERROR(INDEX('Perhitungan IPH Mingguan 2026'!$EP$6:$EP$25,MATCH(LARGE('Perhitungan IPH Mingguan 2026'!$HJ$6:$HJ$25,2),'Perhitungan IPH Mingguan 2026'!$HJ$6:$HJ$25,0)),"")</f>
        <v>n/a</v>
      </c>
      <c r="E383" s="4" t="str">
        <f>IFERROR(INDEX('Perhitungan IPH Mingguan 2026'!$EQ$6:$EQ$25,MATCH(LARGE('Perhitungan IPH Mingguan 2026'!$HJ$6:$HJ$25,2),'Perhitungan IPH Mingguan 2026'!$HJ$6:$HJ$25,0)),"")</f>
        <v>n/a</v>
      </c>
      <c r="F383" s="18" t="str">
        <f>IF(ISNUMBER(E383),IF(E383&gt;0,"Penyumbang KENAIKAN IPH","Penyumbang PENURUNAN IPH"),"-")</f>
        <v>-</v>
      </c>
    </row>
    <row r="384" spans="1:6" x14ac:dyDescent="0.35">
      <c r="A384" s="3">
        <v>3</v>
      </c>
      <c r="B384" s="5" t="str">
        <f>IFERROR(INDEX('Perhitungan IPH Mingguan 2026'!$B$6:$B$25,MATCH(LARGE('Perhitungan IPH Mingguan 2026'!$HJ$6:$HJ$25,3),'Perhitungan IPH Mingguan 2026'!$HJ$6:$HJ$25,0)),"-")</f>
        <v>beras 1111001</v>
      </c>
      <c r="C384" s="17">
        <f>IFERROR(INDEX('Perhitungan IPH Mingguan 2026'!$C$6:$C$25,MATCH(LARGE('Perhitungan IPH Mingguan 2026'!$HJ$6:$HJ$25,3),'Perhitungan IPH Mingguan 2026'!$HJ$6:$HJ$25,0)),"")</f>
        <v>0.12508905675934601</v>
      </c>
      <c r="D384" s="12" t="str">
        <f>IFERROR(INDEX('Perhitungan IPH Mingguan 2026'!$EP$6:$EP$25,MATCH(LARGE('Perhitungan IPH Mingguan 2026'!$HJ$6:$HJ$25,3),'Perhitungan IPH Mingguan 2026'!$HJ$6:$HJ$25,0)),"")</f>
        <v>n/a</v>
      </c>
      <c r="E384" s="4" t="str">
        <f>IFERROR(INDEX('Perhitungan IPH Mingguan 2026'!$EQ$6:$EQ$25,MATCH(LARGE('Perhitungan IPH Mingguan 2026'!$HJ$6:$HJ$25,3),'Perhitungan IPH Mingguan 2026'!$HJ$6:$HJ$25,0)),"")</f>
        <v>n/a</v>
      </c>
      <c r="F384" s="18" t="str">
        <f>IF(ISNUMBER(E384),IF(E384&gt;0,"Penyumbang KENAIKAN IPH","Penyumbang PENURUNAN IPH"),"-")</f>
        <v>-</v>
      </c>
    </row>
    <row r="385" spans="1:6" x14ac:dyDescent="0.35">
      <c r="A385" s="3">
        <v>4</v>
      </c>
      <c r="B385" s="5" t="str">
        <f>IFERROR(INDEX('Perhitungan IPH Mingguan 2026'!$B$6:$B$25,MATCH(LARGE('Perhitungan IPH Mingguan 2026'!$HJ$6:$HJ$25,4),'Perhitungan IPH Mingguan 2026'!$HJ$6:$HJ$25,0)),"-")</f>
        <v>beras 1111001</v>
      </c>
      <c r="C385" s="17">
        <f>IFERROR(INDEX('Perhitungan IPH Mingguan 2026'!$C$6:$C$25,MATCH(LARGE('Perhitungan IPH Mingguan 2026'!$HJ$6:$HJ$25,4),'Perhitungan IPH Mingguan 2026'!$HJ$6:$HJ$25,0)),"")</f>
        <v>0.12508905675934601</v>
      </c>
      <c r="D385" s="12" t="str">
        <f>IFERROR(INDEX('Perhitungan IPH Mingguan 2026'!$EP$6:$EP$25,MATCH(LARGE('Perhitungan IPH Mingguan 2026'!$HJ$6:$HJ$25,4),'Perhitungan IPH Mingguan 2026'!$HJ$6:$HJ$25,0)),"")</f>
        <v>n/a</v>
      </c>
      <c r="E385" s="4" t="str">
        <f>IFERROR(INDEX('Perhitungan IPH Mingguan 2026'!$EQ$6:$EQ$25,MATCH(LARGE('Perhitungan IPH Mingguan 2026'!$HJ$6:$HJ$25,4),'Perhitungan IPH Mingguan 2026'!$HJ$6:$HJ$25,0)),"")</f>
        <v>n/a</v>
      </c>
      <c r="F385" s="18" t="str">
        <f>IF(ISNUMBER(E385),IF(E385&gt;0,"Penyumbang KENAIKAN IPH","Penyumbang PENURUNAN IPH"),"-")</f>
        <v>-</v>
      </c>
    </row>
    <row r="386" spans="1:6" x14ac:dyDescent="0.35">
      <c r="A386" s="3">
        <v>5</v>
      </c>
      <c r="B386" s="5" t="str">
        <f>IFERROR(INDEX('Perhitungan IPH Mingguan 2026'!$B$6:$B$25,MATCH(LARGE('Perhitungan IPH Mingguan 2026'!$HJ$6:$HJ$25,5),'Perhitungan IPH Mingguan 2026'!$HJ$6:$HJ$25,0)),"-")</f>
        <v>beras 1111001</v>
      </c>
      <c r="C386" s="17">
        <f>IFERROR(INDEX('Perhitungan IPH Mingguan 2026'!$C$6:$C$25,MATCH(LARGE('Perhitungan IPH Mingguan 2026'!$HJ$6:$HJ$25,5),'Perhitungan IPH Mingguan 2026'!$HJ$6:$HJ$25,0)),"")</f>
        <v>0.12508905675934601</v>
      </c>
      <c r="D386" s="12" t="str">
        <f>IFERROR(INDEX('Perhitungan IPH Mingguan 2026'!$EP$6:$EP$25,MATCH(LARGE('Perhitungan IPH Mingguan 2026'!$HJ$6:$HJ$25,5),'Perhitungan IPH Mingguan 2026'!$HJ$6:$HJ$25,0)),"")</f>
        <v>n/a</v>
      </c>
      <c r="E386" s="4" t="str">
        <f>IFERROR(INDEX('Perhitungan IPH Mingguan 2026'!$EQ$6:$EQ$25,MATCH(LARGE('Perhitungan IPH Mingguan 2026'!$HJ$6:$HJ$25,5),'Perhitungan IPH Mingguan 2026'!$HJ$6:$HJ$25,0)),"")</f>
        <v>n/a</v>
      </c>
      <c r="F386" s="18" t="str">
        <f>IF(ISNUMBER(E386),IF(E386&gt;0,"Penyumbang KENAIKAN IPH","Penyumbang PENURUNAN IPH"),"-")</f>
        <v>-</v>
      </c>
    </row>
    <row r="388" spans="1:6" x14ac:dyDescent="0.35">
      <c r="A388" s="32" t="s">
        <v>498</v>
      </c>
      <c r="B388" s="32"/>
      <c r="C388" s="32"/>
      <c r="D388" s="32"/>
      <c r="E388" s="32"/>
      <c r="F388" s="32"/>
    </row>
    <row r="389" spans="1:6" x14ac:dyDescent="0.35">
      <c r="A389" s="8" t="s">
        <v>150</v>
      </c>
      <c r="B389" s="8" t="s">
        <v>151</v>
      </c>
      <c r="C389" s="8" t="s">
        <v>63</v>
      </c>
      <c r="D389" s="8" t="s">
        <v>152</v>
      </c>
      <c r="E389" s="8" t="s">
        <v>153</v>
      </c>
      <c r="F389" s="8" t="s">
        <v>154</v>
      </c>
    </row>
    <row r="390" spans="1:6" x14ac:dyDescent="0.35">
      <c r="A390" s="3">
        <v>1</v>
      </c>
      <c r="B390" s="5" t="str">
        <f>IFERROR(INDEX('Perhitungan IPH Mingguan 2026'!$B$6:$B$25,MATCH(LARGE('Perhitungan IPH Mingguan 2026'!$HK$6:$HK$25,1),'Perhitungan IPH Mingguan 2026'!$HK$6:$HK$25,0)),"-")</f>
        <v>beras 1111001</v>
      </c>
      <c r="C390" s="17">
        <f>IFERROR(INDEX('Perhitungan IPH Mingguan 2026'!$C$6:$C$25,MATCH(LARGE('Perhitungan IPH Mingguan 2026'!$HK$6:$HK$25,1),'Perhitungan IPH Mingguan 2026'!$HK$6:$HK$25,0)),"")</f>
        <v>0.12508905675934601</v>
      </c>
      <c r="D390" s="12" t="str">
        <f>IFERROR(INDEX('Perhitungan IPH Mingguan 2026'!$ES$6:$ES$25,MATCH(LARGE('Perhitungan IPH Mingguan 2026'!$HK$6:$HK$25,1),'Perhitungan IPH Mingguan 2026'!$HK$6:$HK$25,0)),"")</f>
        <v>n/a</v>
      </c>
      <c r="E390" s="4" t="str">
        <f>IFERROR(INDEX('Perhitungan IPH Mingguan 2026'!$ET$6:$ET$25,MATCH(LARGE('Perhitungan IPH Mingguan 2026'!$HK$6:$HK$25,1),'Perhitungan IPH Mingguan 2026'!$HK$6:$HK$25,0)),"")</f>
        <v>n/a</v>
      </c>
      <c r="F390" s="18" t="str">
        <f>IF(ISNUMBER(E390),IF(E390&gt;0,"Penyumbang KENAIKAN IPH","Penyumbang PENURUNAN IPH"),"-")</f>
        <v>-</v>
      </c>
    </row>
    <row r="391" spans="1:6" x14ac:dyDescent="0.35">
      <c r="A391" s="3">
        <v>2</v>
      </c>
      <c r="B391" s="5" t="str">
        <f>IFERROR(INDEX('Perhitungan IPH Mingguan 2026'!$B$6:$B$25,MATCH(LARGE('Perhitungan IPH Mingguan 2026'!$HK$6:$HK$25,2),'Perhitungan IPH Mingguan 2026'!$HK$6:$HK$25,0)),"-")</f>
        <v>beras 1111001</v>
      </c>
      <c r="C391" s="17">
        <f>IFERROR(INDEX('Perhitungan IPH Mingguan 2026'!$C$6:$C$25,MATCH(LARGE('Perhitungan IPH Mingguan 2026'!$HK$6:$HK$25,2),'Perhitungan IPH Mingguan 2026'!$HK$6:$HK$25,0)),"")</f>
        <v>0.12508905675934601</v>
      </c>
      <c r="D391" s="12" t="str">
        <f>IFERROR(INDEX('Perhitungan IPH Mingguan 2026'!$ES$6:$ES$25,MATCH(LARGE('Perhitungan IPH Mingguan 2026'!$HK$6:$HK$25,2),'Perhitungan IPH Mingguan 2026'!$HK$6:$HK$25,0)),"")</f>
        <v>n/a</v>
      </c>
      <c r="E391" s="4" t="str">
        <f>IFERROR(INDEX('Perhitungan IPH Mingguan 2026'!$ET$6:$ET$25,MATCH(LARGE('Perhitungan IPH Mingguan 2026'!$HK$6:$HK$25,2),'Perhitungan IPH Mingguan 2026'!$HK$6:$HK$25,0)),"")</f>
        <v>n/a</v>
      </c>
      <c r="F391" s="18" t="str">
        <f>IF(ISNUMBER(E391),IF(E391&gt;0,"Penyumbang KENAIKAN IPH","Penyumbang PENURUNAN IPH"),"-")</f>
        <v>-</v>
      </c>
    </row>
    <row r="392" spans="1:6" x14ac:dyDescent="0.35">
      <c r="A392" s="3">
        <v>3</v>
      </c>
      <c r="B392" s="5" t="str">
        <f>IFERROR(INDEX('Perhitungan IPH Mingguan 2026'!$B$6:$B$25,MATCH(LARGE('Perhitungan IPH Mingguan 2026'!$HK$6:$HK$25,3),'Perhitungan IPH Mingguan 2026'!$HK$6:$HK$25,0)),"-")</f>
        <v>beras 1111001</v>
      </c>
      <c r="C392" s="17">
        <f>IFERROR(INDEX('Perhitungan IPH Mingguan 2026'!$C$6:$C$25,MATCH(LARGE('Perhitungan IPH Mingguan 2026'!$HK$6:$HK$25,3),'Perhitungan IPH Mingguan 2026'!$HK$6:$HK$25,0)),"")</f>
        <v>0.12508905675934601</v>
      </c>
      <c r="D392" s="12" t="str">
        <f>IFERROR(INDEX('Perhitungan IPH Mingguan 2026'!$ES$6:$ES$25,MATCH(LARGE('Perhitungan IPH Mingguan 2026'!$HK$6:$HK$25,3),'Perhitungan IPH Mingguan 2026'!$HK$6:$HK$25,0)),"")</f>
        <v>n/a</v>
      </c>
      <c r="E392" s="4" t="str">
        <f>IFERROR(INDEX('Perhitungan IPH Mingguan 2026'!$ET$6:$ET$25,MATCH(LARGE('Perhitungan IPH Mingguan 2026'!$HK$6:$HK$25,3),'Perhitungan IPH Mingguan 2026'!$HK$6:$HK$25,0)),"")</f>
        <v>n/a</v>
      </c>
      <c r="F392" s="18" t="str">
        <f>IF(ISNUMBER(E392),IF(E392&gt;0,"Penyumbang KENAIKAN IPH","Penyumbang PENURUNAN IPH"),"-")</f>
        <v>-</v>
      </c>
    </row>
    <row r="393" spans="1:6" x14ac:dyDescent="0.35">
      <c r="A393" s="3">
        <v>4</v>
      </c>
      <c r="B393" s="5" t="str">
        <f>IFERROR(INDEX('Perhitungan IPH Mingguan 2026'!$B$6:$B$25,MATCH(LARGE('Perhitungan IPH Mingguan 2026'!$HK$6:$HK$25,4),'Perhitungan IPH Mingguan 2026'!$HK$6:$HK$25,0)),"-")</f>
        <v>beras 1111001</v>
      </c>
      <c r="C393" s="17">
        <f>IFERROR(INDEX('Perhitungan IPH Mingguan 2026'!$C$6:$C$25,MATCH(LARGE('Perhitungan IPH Mingguan 2026'!$HK$6:$HK$25,4),'Perhitungan IPH Mingguan 2026'!$HK$6:$HK$25,0)),"")</f>
        <v>0.12508905675934601</v>
      </c>
      <c r="D393" s="12" t="str">
        <f>IFERROR(INDEX('Perhitungan IPH Mingguan 2026'!$ES$6:$ES$25,MATCH(LARGE('Perhitungan IPH Mingguan 2026'!$HK$6:$HK$25,4),'Perhitungan IPH Mingguan 2026'!$HK$6:$HK$25,0)),"")</f>
        <v>n/a</v>
      </c>
      <c r="E393" s="4" t="str">
        <f>IFERROR(INDEX('Perhitungan IPH Mingguan 2026'!$ET$6:$ET$25,MATCH(LARGE('Perhitungan IPH Mingguan 2026'!$HK$6:$HK$25,4),'Perhitungan IPH Mingguan 2026'!$HK$6:$HK$25,0)),"")</f>
        <v>n/a</v>
      </c>
      <c r="F393" s="18" t="str">
        <f>IF(ISNUMBER(E393),IF(E393&gt;0,"Penyumbang KENAIKAN IPH","Penyumbang PENURUNAN IPH"),"-")</f>
        <v>-</v>
      </c>
    </row>
    <row r="394" spans="1:6" x14ac:dyDescent="0.35">
      <c r="A394" s="3">
        <v>5</v>
      </c>
      <c r="B394" s="5" t="str">
        <f>IFERROR(INDEX('Perhitungan IPH Mingguan 2026'!$B$6:$B$25,MATCH(LARGE('Perhitungan IPH Mingguan 2026'!$HK$6:$HK$25,5),'Perhitungan IPH Mingguan 2026'!$HK$6:$HK$25,0)),"-")</f>
        <v>beras 1111001</v>
      </c>
      <c r="C394" s="17">
        <f>IFERROR(INDEX('Perhitungan IPH Mingguan 2026'!$C$6:$C$25,MATCH(LARGE('Perhitungan IPH Mingguan 2026'!$HK$6:$HK$25,5),'Perhitungan IPH Mingguan 2026'!$HK$6:$HK$25,0)),"")</f>
        <v>0.12508905675934601</v>
      </c>
      <c r="D394" s="12" t="str">
        <f>IFERROR(INDEX('Perhitungan IPH Mingguan 2026'!$ES$6:$ES$25,MATCH(LARGE('Perhitungan IPH Mingguan 2026'!$HK$6:$HK$25,5),'Perhitungan IPH Mingguan 2026'!$HK$6:$HK$25,0)),"")</f>
        <v>n/a</v>
      </c>
      <c r="E394" s="4" t="str">
        <f>IFERROR(INDEX('Perhitungan IPH Mingguan 2026'!$ET$6:$ET$25,MATCH(LARGE('Perhitungan IPH Mingguan 2026'!$HK$6:$HK$25,5),'Perhitungan IPH Mingguan 2026'!$HK$6:$HK$25,0)),"")</f>
        <v>n/a</v>
      </c>
      <c r="F394" s="18" t="str">
        <f>IF(ISNUMBER(E394),IF(E394&gt;0,"Penyumbang KENAIKAN IPH","Penyumbang PENURUNAN IPH"),"-")</f>
        <v>-</v>
      </c>
    </row>
    <row r="396" spans="1:6" x14ac:dyDescent="0.35">
      <c r="A396" s="32" t="s">
        <v>499</v>
      </c>
      <c r="B396" s="32"/>
      <c r="C396" s="32"/>
      <c r="D396" s="32"/>
      <c r="E396" s="32"/>
      <c r="F396" s="32"/>
    </row>
    <row r="397" spans="1:6" x14ac:dyDescent="0.35">
      <c r="A397" s="8" t="s">
        <v>150</v>
      </c>
      <c r="B397" s="8" t="s">
        <v>151</v>
      </c>
      <c r="C397" s="8" t="s">
        <v>63</v>
      </c>
      <c r="D397" s="8" t="s">
        <v>152</v>
      </c>
      <c r="E397" s="8" t="s">
        <v>153</v>
      </c>
      <c r="F397" s="8" t="s">
        <v>154</v>
      </c>
    </row>
    <row r="398" spans="1:6" x14ac:dyDescent="0.35">
      <c r="A398" s="3">
        <v>1</v>
      </c>
      <c r="B398" s="5" t="str">
        <f>IFERROR(INDEX('Perhitungan IPH Mingguan 2026'!$B$6:$B$25,MATCH(LARGE('Perhitungan IPH Mingguan 2026'!$HL$6:$HL$25,1),'Perhitungan IPH Mingguan 2026'!$HL$6:$HL$25,0)),"-")</f>
        <v>beras 1111001</v>
      </c>
      <c r="C398" s="17">
        <f>IFERROR(INDEX('Perhitungan IPH Mingguan 2026'!$C$6:$C$25,MATCH(LARGE('Perhitungan IPH Mingguan 2026'!$HL$6:$HL$25,1),'Perhitungan IPH Mingguan 2026'!$HL$6:$HL$25,0)),"")</f>
        <v>0.12508905675934601</v>
      </c>
      <c r="D398" s="12" t="str">
        <f>IFERROR(INDEX('Perhitungan IPH Mingguan 2026'!$EV$6:$EV$25,MATCH(LARGE('Perhitungan IPH Mingguan 2026'!$HL$6:$HL$25,1),'Perhitungan IPH Mingguan 2026'!$HL$6:$HL$25,0)),"")</f>
        <v>n/a</v>
      </c>
      <c r="E398" s="4" t="str">
        <f>IFERROR(INDEX('Perhitungan IPH Mingguan 2026'!$EW$6:$EW$25,MATCH(LARGE('Perhitungan IPH Mingguan 2026'!$HL$6:$HL$25,1),'Perhitungan IPH Mingguan 2026'!$HL$6:$HL$25,0)),"")</f>
        <v>n/a</v>
      </c>
      <c r="F398" s="18" t="str">
        <f>IF(ISNUMBER(E398),IF(E398&gt;0,"Penyumbang KENAIKAN IPH","Penyumbang PENURUNAN IPH"),"-")</f>
        <v>-</v>
      </c>
    </row>
    <row r="399" spans="1:6" x14ac:dyDescent="0.35">
      <c r="A399" s="3">
        <v>2</v>
      </c>
      <c r="B399" s="5" t="str">
        <f>IFERROR(INDEX('Perhitungan IPH Mingguan 2026'!$B$6:$B$25,MATCH(LARGE('Perhitungan IPH Mingguan 2026'!$HL$6:$HL$25,2),'Perhitungan IPH Mingguan 2026'!$HL$6:$HL$25,0)),"-")</f>
        <v>beras 1111001</v>
      </c>
      <c r="C399" s="17">
        <f>IFERROR(INDEX('Perhitungan IPH Mingguan 2026'!$C$6:$C$25,MATCH(LARGE('Perhitungan IPH Mingguan 2026'!$HL$6:$HL$25,2),'Perhitungan IPH Mingguan 2026'!$HL$6:$HL$25,0)),"")</f>
        <v>0.12508905675934601</v>
      </c>
      <c r="D399" s="12" t="str">
        <f>IFERROR(INDEX('Perhitungan IPH Mingguan 2026'!$EV$6:$EV$25,MATCH(LARGE('Perhitungan IPH Mingguan 2026'!$HL$6:$HL$25,2),'Perhitungan IPH Mingguan 2026'!$HL$6:$HL$25,0)),"")</f>
        <v>n/a</v>
      </c>
      <c r="E399" s="4" t="str">
        <f>IFERROR(INDEX('Perhitungan IPH Mingguan 2026'!$EW$6:$EW$25,MATCH(LARGE('Perhitungan IPH Mingguan 2026'!$HL$6:$HL$25,2),'Perhitungan IPH Mingguan 2026'!$HL$6:$HL$25,0)),"")</f>
        <v>n/a</v>
      </c>
      <c r="F399" s="18" t="str">
        <f>IF(ISNUMBER(E399),IF(E399&gt;0,"Penyumbang KENAIKAN IPH","Penyumbang PENURUNAN IPH"),"-")</f>
        <v>-</v>
      </c>
    </row>
    <row r="400" spans="1:6" x14ac:dyDescent="0.35">
      <c r="A400" s="3">
        <v>3</v>
      </c>
      <c r="B400" s="5" t="str">
        <f>IFERROR(INDEX('Perhitungan IPH Mingguan 2026'!$B$6:$B$25,MATCH(LARGE('Perhitungan IPH Mingguan 2026'!$HL$6:$HL$25,3),'Perhitungan IPH Mingguan 2026'!$HL$6:$HL$25,0)),"-")</f>
        <v>beras 1111001</v>
      </c>
      <c r="C400" s="17">
        <f>IFERROR(INDEX('Perhitungan IPH Mingguan 2026'!$C$6:$C$25,MATCH(LARGE('Perhitungan IPH Mingguan 2026'!$HL$6:$HL$25,3),'Perhitungan IPH Mingguan 2026'!$HL$6:$HL$25,0)),"")</f>
        <v>0.12508905675934601</v>
      </c>
      <c r="D400" s="12" t="str">
        <f>IFERROR(INDEX('Perhitungan IPH Mingguan 2026'!$EV$6:$EV$25,MATCH(LARGE('Perhitungan IPH Mingguan 2026'!$HL$6:$HL$25,3),'Perhitungan IPH Mingguan 2026'!$HL$6:$HL$25,0)),"")</f>
        <v>n/a</v>
      </c>
      <c r="E400" s="4" t="str">
        <f>IFERROR(INDEX('Perhitungan IPH Mingguan 2026'!$EW$6:$EW$25,MATCH(LARGE('Perhitungan IPH Mingguan 2026'!$HL$6:$HL$25,3),'Perhitungan IPH Mingguan 2026'!$HL$6:$HL$25,0)),"")</f>
        <v>n/a</v>
      </c>
      <c r="F400" s="18" t="str">
        <f>IF(ISNUMBER(E400),IF(E400&gt;0,"Penyumbang KENAIKAN IPH","Penyumbang PENURUNAN IPH"),"-")</f>
        <v>-</v>
      </c>
    </row>
    <row r="401" spans="1:6" x14ac:dyDescent="0.35">
      <c r="A401" s="3">
        <v>4</v>
      </c>
      <c r="B401" s="5" t="str">
        <f>IFERROR(INDEX('Perhitungan IPH Mingguan 2026'!$B$6:$B$25,MATCH(LARGE('Perhitungan IPH Mingguan 2026'!$HL$6:$HL$25,4),'Perhitungan IPH Mingguan 2026'!$HL$6:$HL$25,0)),"-")</f>
        <v>beras 1111001</v>
      </c>
      <c r="C401" s="17">
        <f>IFERROR(INDEX('Perhitungan IPH Mingguan 2026'!$C$6:$C$25,MATCH(LARGE('Perhitungan IPH Mingguan 2026'!$HL$6:$HL$25,4),'Perhitungan IPH Mingguan 2026'!$HL$6:$HL$25,0)),"")</f>
        <v>0.12508905675934601</v>
      </c>
      <c r="D401" s="12" t="str">
        <f>IFERROR(INDEX('Perhitungan IPH Mingguan 2026'!$EV$6:$EV$25,MATCH(LARGE('Perhitungan IPH Mingguan 2026'!$HL$6:$HL$25,4),'Perhitungan IPH Mingguan 2026'!$HL$6:$HL$25,0)),"")</f>
        <v>n/a</v>
      </c>
      <c r="E401" s="4" t="str">
        <f>IFERROR(INDEX('Perhitungan IPH Mingguan 2026'!$EW$6:$EW$25,MATCH(LARGE('Perhitungan IPH Mingguan 2026'!$HL$6:$HL$25,4),'Perhitungan IPH Mingguan 2026'!$HL$6:$HL$25,0)),"")</f>
        <v>n/a</v>
      </c>
      <c r="F401" s="18" t="str">
        <f>IF(ISNUMBER(E401),IF(E401&gt;0,"Penyumbang KENAIKAN IPH","Penyumbang PENURUNAN IPH"),"-")</f>
        <v>-</v>
      </c>
    </row>
    <row r="402" spans="1:6" x14ac:dyDescent="0.35">
      <c r="A402" s="3">
        <v>5</v>
      </c>
      <c r="B402" s="5" t="str">
        <f>IFERROR(INDEX('Perhitungan IPH Mingguan 2026'!$B$6:$B$25,MATCH(LARGE('Perhitungan IPH Mingguan 2026'!$HL$6:$HL$25,5),'Perhitungan IPH Mingguan 2026'!$HL$6:$HL$25,0)),"-")</f>
        <v>beras 1111001</v>
      </c>
      <c r="C402" s="17">
        <f>IFERROR(INDEX('Perhitungan IPH Mingguan 2026'!$C$6:$C$25,MATCH(LARGE('Perhitungan IPH Mingguan 2026'!$HL$6:$HL$25,5),'Perhitungan IPH Mingguan 2026'!$HL$6:$HL$25,0)),"")</f>
        <v>0.12508905675934601</v>
      </c>
      <c r="D402" s="12" t="str">
        <f>IFERROR(INDEX('Perhitungan IPH Mingguan 2026'!$EV$6:$EV$25,MATCH(LARGE('Perhitungan IPH Mingguan 2026'!$HL$6:$HL$25,5),'Perhitungan IPH Mingguan 2026'!$HL$6:$HL$25,0)),"")</f>
        <v>n/a</v>
      </c>
      <c r="E402" s="4" t="str">
        <f>IFERROR(INDEX('Perhitungan IPH Mingguan 2026'!$EW$6:$EW$25,MATCH(LARGE('Perhitungan IPH Mingguan 2026'!$HL$6:$HL$25,5),'Perhitungan IPH Mingguan 2026'!$HL$6:$HL$25,0)),"")</f>
        <v>n/a</v>
      </c>
      <c r="F402" s="18" t="str">
        <f>IF(ISNUMBER(E402),IF(E402&gt;0,"Penyumbang KENAIKAN IPH","Penyumbang PENURUNAN IPH"),"-")</f>
        <v>-</v>
      </c>
    </row>
    <row r="404" spans="1:6" x14ac:dyDescent="0.35">
      <c r="A404" s="32" t="s">
        <v>500</v>
      </c>
      <c r="B404" s="32"/>
      <c r="C404" s="32"/>
      <c r="D404" s="32"/>
      <c r="E404" s="32"/>
      <c r="F404" s="32"/>
    </row>
    <row r="405" spans="1:6" x14ac:dyDescent="0.35">
      <c r="A405" s="8" t="s">
        <v>150</v>
      </c>
      <c r="B405" s="8" t="s">
        <v>151</v>
      </c>
      <c r="C405" s="8" t="s">
        <v>63</v>
      </c>
      <c r="D405" s="8" t="s">
        <v>152</v>
      </c>
      <c r="E405" s="8" t="s">
        <v>153</v>
      </c>
      <c r="F405" s="8" t="s">
        <v>154</v>
      </c>
    </row>
    <row r="406" spans="1:6" x14ac:dyDescent="0.35">
      <c r="A406" s="3">
        <v>1</v>
      </c>
      <c r="B406" s="5" t="str">
        <f>IFERROR(INDEX('Perhitungan IPH Mingguan 2026'!$B$6:$B$25,MATCH(LARGE('Perhitungan IPH Mingguan 2026'!$HM$6:$HM$25,1),'Perhitungan IPH Mingguan 2026'!$HM$6:$HM$25,0)),"-")</f>
        <v>beras 1111001</v>
      </c>
      <c r="C406" s="17">
        <f>IFERROR(INDEX('Perhitungan IPH Mingguan 2026'!$C$6:$C$25,MATCH(LARGE('Perhitungan IPH Mingguan 2026'!$HM$6:$HM$25,1),'Perhitungan IPH Mingguan 2026'!$HM$6:$HM$25,0)),"")</f>
        <v>0.12508905675934601</v>
      </c>
      <c r="D406" s="12" t="str">
        <f>IFERROR(INDEX('Perhitungan IPH Mingguan 2026'!$EY$6:$EY$25,MATCH(LARGE('Perhitungan IPH Mingguan 2026'!$HM$6:$HM$25,1),'Perhitungan IPH Mingguan 2026'!$HM$6:$HM$25,0)),"")</f>
        <v>n/a</v>
      </c>
      <c r="E406" s="4" t="str">
        <f>IFERROR(INDEX('Perhitungan IPH Mingguan 2026'!$EZ$6:$EZ$25,MATCH(LARGE('Perhitungan IPH Mingguan 2026'!$HM$6:$HM$25,1),'Perhitungan IPH Mingguan 2026'!$HM$6:$HM$25,0)),"")</f>
        <v>n/a</v>
      </c>
      <c r="F406" s="18" t="str">
        <f>IF(ISNUMBER(E406),IF(E406&gt;0,"Penyumbang KENAIKAN IPH","Penyumbang PENURUNAN IPH"),"-")</f>
        <v>-</v>
      </c>
    </row>
    <row r="407" spans="1:6" x14ac:dyDescent="0.35">
      <c r="A407" s="3">
        <v>2</v>
      </c>
      <c r="B407" s="5" t="str">
        <f>IFERROR(INDEX('Perhitungan IPH Mingguan 2026'!$B$6:$B$25,MATCH(LARGE('Perhitungan IPH Mingguan 2026'!$HM$6:$HM$25,2),'Perhitungan IPH Mingguan 2026'!$HM$6:$HM$25,0)),"-")</f>
        <v>beras 1111001</v>
      </c>
      <c r="C407" s="17">
        <f>IFERROR(INDEX('Perhitungan IPH Mingguan 2026'!$C$6:$C$25,MATCH(LARGE('Perhitungan IPH Mingguan 2026'!$HM$6:$HM$25,2),'Perhitungan IPH Mingguan 2026'!$HM$6:$HM$25,0)),"")</f>
        <v>0.12508905675934601</v>
      </c>
      <c r="D407" s="12" t="str">
        <f>IFERROR(INDEX('Perhitungan IPH Mingguan 2026'!$EY$6:$EY$25,MATCH(LARGE('Perhitungan IPH Mingguan 2026'!$HM$6:$HM$25,2),'Perhitungan IPH Mingguan 2026'!$HM$6:$HM$25,0)),"")</f>
        <v>n/a</v>
      </c>
      <c r="E407" s="4" t="str">
        <f>IFERROR(INDEX('Perhitungan IPH Mingguan 2026'!$EZ$6:$EZ$25,MATCH(LARGE('Perhitungan IPH Mingguan 2026'!$HM$6:$HM$25,2),'Perhitungan IPH Mingguan 2026'!$HM$6:$HM$25,0)),"")</f>
        <v>n/a</v>
      </c>
      <c r="F407" s="18" t="str">
        <f>IF(ISNUMBER(E407),IF(E407&gt;0,"Penyumbang KENAIKAN IPH","Penyumbang PENURUNAN IPH"),"-")</f>
        <v>-</v>
      </c>
    </row>
    <row r="408" spans="1:6" x14ac:dyDescent="0.35">
      <c r="A408" s="3">
        <v>3</v>
      </c>
      <c r="B408" s="5" t="str">
        <f>IFERROR(INDEX('Perhitungan IPH Mingguan 2026'!$B$6:$B$25,MATCH(LARGE('Perhitungan IPH Mingguan 2026'!$HM$6:$HM$25,3),'Perhitungan IPH Mingguan 2026'!$HM$6:$HM$25,0)),"-")</f>
        <v>beras 1111001</v>
      </c>
      <c r="C408" s="17">
        <f>IFERROR(INDEX('Perhitungan IPH Mingguan 2026'!$C$6:$C$25,MATCH(LARGE('Perhitungan IPH Mingguan 2026'!$HM$6:$HM$25,3),'Perhitungan IPH Mingguan 2026'!$HM$6:$HM$25,0)),"")</f>
        <v>0.12508905675934601</v>
      </c>
      <c r="D408" s="12" t="str">
        <f>IFERROR(INDEX('Perhitungan IPH Mingguan 2026'!$EY$6:$EY$25,MATCH(LARGE('Perhitungan IPH Mingguan 2026'!$HM$6:$HM$25,3),'Perhitungan IPH Mingguan 2026'!$HM$6:$HM$25,0)),"")</f>
        <v>n/a</v>
      </c>
      <c r="E408" s="4" t="str">
        <f>IFERROR(INDEX('Perhitungan IPH Mingguan 2026'!$EZ$6:$EZ$25,MATCH(LARGE('Perhitungan IPH Mingguan 2026'!$HM$6:$HM$25,3),'Perhitungan IPH Mingguan 2026'!$HM$6:$HM$25,0)),"")</f>
        <v>n/a</v>
      </c>
      <c r="F408" s="18" t="str">
        <f>IF(ISNUMBER(E408),IF(E408&gt;0,"Penyumbang KENAIKAN IPH","Penyumbang PENURUNAN IPH"),"-")</f>
        <v>-</v>
      </c>
    </row>
    <row r="409" spans="1:6" x14ac:dyDescent="0.35">
      <c r="A409" s="3">
        <v>4</v>
      </c>
      <c r="B409" s="5" t="str">
        <f>IFERROR(INDEX('Perhitungan IPH Mingguan 2026'!$B$6:$B$25,MATCH(LARGE('Perhitungan IPH Mingguan 2026'!$HM$6:$HM$25,4),'Perhitungan IPH Mingguan 2026'!$HM$6:$HM$25,0)),"-")</f>
        <v>beras 1111001</v>
      </c>
      <c r="C409" s="17">
        <f>IFERROR(INDEX('Perhitungan IPH Mingguan 2026'!$C$6:$C$25,MATCH(LARGE('Perhitungan IPH Mingguan 2026'!$HM$6:$HM$25,4),'Perhitungan IPH Mingguan 2026'!$HM$6:$HM$25,0)),"")</f>
        <v>0.12508905675934601</v>
      </c>
      <c r="D409" s="12" t="str">
        <f>IFERROR(INDEX('Perhitungan IPH Mingguan 2026'!$EY$6:$EY$25,MATCH(LARGE('Perhitungan IPH Mingguan 2026'!$HM$6:$HM$25,4),'Perhitungan IPH Mingguan 2026'!$HM$6:$HM$25,0)),"")</f>
        <v>n/a</v>
      </c>
      <c r="E409" s="4" t="str">
        <f>IFERROR(INDEX('Perhitungan IPH Mingguan 2026'!$EZ$6:$EZ$25,MATCH(LARGE('Perhitungan IPH Mingguan 2026'!$HM$6:$HM$25,4),'Perhitungan IPH Mingguan 2026'!$HM$6:$HM$25,0)),"")</f>
        <v>n/a</v>
      </c>
      <c r="F409" s="18" t="str">
        <f>IF(ISNUMBER(E409),IF(E409&gt;0,"Penyumbang KENAIKAN IPH","Penyumbang PENURUNAN IPH"),"-")</f>
        <v>-</v>
      </c>
    </row>
    <row r="410" spans="1:6" x14ac:dyDescent="0.35">
      <c r="A410" s="3">
        <v>5</v>
      </c>
      <c r="B410" s="5" t="str">
        <f>IFERROR(INDEX('Perhitungan IPH Mingguan 2026'!$B$6:$B$25,MATCH(LARGE('Perhitungan IPH Mingguan 2026'!$HM$6:$HM$25,5),'Perhitungan IPH Mingguan 2026'!$HM$6:$HM$25,0)),"-")</f>
        <v>beras 1111001</v>
      </c>
      <c r="C410" s="17">
        <f>IFERROR(INDEX('Perhitungan IPH Mingguan 2026'!$C$6:$C$25,MATCH(LARGE('Perhitungan IPH Mingguan 2026'!$HM$6:$HM$25,5),'Perhitungan IPH Mingguan 2026'!$HM$6:$HM$25,0)),"")</f>
        <v>0.12508905675934601</v>
      </c>
      <c r="D410" s="12" t="str">
        <f>IFERROR(INDEX('Perhitungan IPH Mingguan 2026'!$EY$6:$EY$25,MATCH(LARGE('Perhitungan IPH Mingguan 2026'!$HM$6:$HM$25,5),'Perhitungan IPH Mingguan 2026'!$HM$6:$HM$25,0)),"")</f>
        <v>n/a</v>
      </c>
      <c r="E410" s="4" t="str">
        <f>IFERROR(INDEX('Perhitungan IPH Mingguan 2026'!$EZ$6:$EZ$25,MATCH(LARGE('Perhitungan IPH Mingguan 2026'!$HM$6:$HM$25,5),'Perhitungan IPH Mingguan 2026'!$HM$6:$HM$25,0)),"")</f>
        <v>n/a</v>
      </c>
      <c r="F410" s="18" t="str">
        <f>IF(ISNUMBER(E410),IF(E410&gt;0,"Penyumbang KENAIKAN IPH","Penyumbang PENURUNAN IPH"),"-")</f>
        <v>-</v>
      </c>
    </row>
    <row r="412" spans="1:6" x14ac:dyDescent="0.35">
      <c r="A412" s="32" t="s">
        <v>501</v>
      </c>
      <c r="B412" s="32"/>
      <c r="C412" s="32"/>
      <c r="D412" s="32"/>
      <c r="E412" s="32"/>
      <c r="F412" s="32"/>
    </row>
    <row r="413" spans="1:6" x14ac:dyDescent="0.35">
      <c r="A413" s="8" t="s">
        <v>150</v>
      </c>
      <c r="B413" s="8" t="s">
        <v>151</v>
      </c>
      <c r="C413" s="8" t="s">
        <v>63</v>
      </c>
      <c r="D413" s="8" t="s">
        <v>152</v>
      </c>
      <c r="E413" s="8" t="s">
        <v>153</v>
      </c>
      <c r="F413" s="8" t="s">
        <v>154</v>
      </c>
    </row>
    <row r="414" spans="1:6" x14ac:dyDescent="0.35">
      <c r="A414" s="3">
        <v>1</v>
      </c>
      <c r="B414" s="5" t="str">
        <f>IFERROR(INDEX('Perhitungan IPH Mingguan 2026'!$B$6:$B$25,MATCH(LARGE('Perhitungan IPH Mingguan 2026'!$HN$6:$HN$25,1),'Perhitungan IPH Mingguan 2026'!$HN$6:$HN$25,0)),"-")</f>
        <v>beras 1111001</v>
      </c>
      <c r="C414" s="17">
        <f>IFERROR(INDEX('Perhitungan IPH Mingguan 2026'!$C$6:$C$25,MATCH(LARGE('Perhitungan IPH Mingguan 2026'!$HN$6:$HN$25,1),'Perhitungan IPH Mingguan 2026'!$HN$6:$HN$25,0)),"")</f>
        <v>0.12508905675934601</v>
      </c>
      <c r="D414" s="12" t="str">
        <f>IFERROR(INDEX('Perhitungan IPH Mingguan 2026'!$FB$6:$FB$25,MATCH(LARGE('Perhitungan IPH Mingguan 2026'!$HN$6:$HN$25,1),'Perhitungan IPH Mingguan 2026'!$HN$6:$HN$25,0)),"")</f>
        <v>n/a</v>
      </c>
      <c r="E414" s="4" t="str">
        <f>IFERROR(INDEX('Perhitungan IPH Mingguan 2026'!$FC$6:$FC$25,MATCH(LARGE('Perhitungan IPH Mingguan 2026'!$HN$6:$HN$25,1),'Perhitungan IPH Mingguan 2026'!$HN$6:$HN$25,0)),"")</f>
        <v>n/a</v>
      </c>
      <c r="F414" s="18" t="str">
        <f>IF(ISNUMBER(E414),IF(E414&gt;0,"Penyumbang KENAIKAN IPH","Penyumbang PENURUNAN IPH"),"-")</f>
        <v>-</v>
      </c>
    </row>
    <row r="415" spans="1:6" x14ac:dyDescent="0.35">
      <c r="A415" s="3">
        <v>2</v>
      </c>
      <c r="B415" s="5" t="str">
        <f>IFERROR(INDEX('Perhitungan IPH Mingguan 2026'!$B$6:$B$25,MATCH(LARGE('Perhitungan IPH Mingguan 2026'!$HN$6:$HN$25,2),'Perhitungan IPH Mingguan 2026'!$HN$6:$HN$25,0)),"-")</f>
        <v>beras 1111001</v>
      </c>
      <c r="C415" s="17">
        <f>IFERROR(INDEX('Perhitungan IPH Mingguan 2026'!$C$6:$C$25,MATCH(LARGE('Perhitungan IPH Mingguan 2026'!$HN$6:$HN$25,2),'Perhitungan IPH Mingguan 2026'!$HN$6:$HN$25,0)),"")</f>
        <v>0.12508905675934601</v>
      </c>
      <c r="D415" s="12" t="str">
        <f>IFERROR(INDEX('Perhitungan IPH Mingguan 2026'!$FB$6:$FB$25,MATCH(LARGE('Perhitungan IPH Mingguan 2026'!$HN$6:$HN$25,2),'Perhitungan IPH Mingguan 2026'!$HN$6:$HN$25,0)),"")</f>
        <v>n/a</v>
      </c>
      <c r="E415" s="4" t="str">
        <f>IFERROR(INDEX('Perhitungan IPH Mingguan 2026'!$FC$6:$FC$25,MATCH(LARGE('Perhitungan IPH Mingguan 2026'!$HN$6:$HN$25,2),'Perhitungan IPH Mingguan 2026'!$HN$6:$HN$25,0)),"")</f>
        <v>n/a</v>
      </c>
      <c r="F415" s="18" t="str">
        <f>IF(ISNUMBER(E415),IF(E415&gt;0,"Penyumbang KENAIKAN IPH","Penyumbang PENURUNAN IPH"),"-")</f>
        <v>-</v>
      </c>
    </row>
    <row r="416" spans="1:6" x14ac:dyDescent="0.35">
      <c r="A416" s="3">
        <v>3</v>
      </c>
      <c r="B416" s="5" t="str">
        <f>IFERROR(INDEX('Perhitungan IPH Mingguan 2026'!$B$6:$B$25,MATCH(LARGE('Perhitungan IPH Mingguan 2026'!$HN$6:$HN$25,3),'Perhitungan IPH Mingguan 2026'!$HN$6:$HN$25,0)),"-")</f>
        <v>beras 1111001</v>
      </c>
      <c r="C416" s="17">
        <f>IFERROR(INDEX('Perhitungan IPH Mingguan 2026'!$C$6:$C$25,MATCH(LARGE('Perhitungan IPH Mingguan 2026'!$HN$6:$HN$25,3),'Perhitungan IPH Mingguan 2026'!$HN$6:$HN$25,0)),"")</f>
        <v>0.12508905675934601</v>
      </c>
      <c r="D416" s="12" t="str">
        <f>IFERROR(INDEX('Perhitungan IPH Mingguan 2026'!$FB$6:$FB$25,MATCH(LARGE('Perhitungan IPH Mingguan 2026'!$HN$6:$HN$25,3),'Perhitungan IPH Mingguan 2026'!$HN$6:$HN$25,0)),"")</f>
        <v>n/a</v>
      </c>
      <c r="E416" s="4" t="str">
        <f>IFERROR(INDEX('Perhitungan IPH Mingguan 2026'!$FC$6:$FC$25,MATCH(LARGE('Perhitungan IPH Mingguan 2026'!$HN$6:$HN$25,3),'Perhitungan IPH Mingguan 2026'!$HN$6:$HN$25,0)),"")</f>
        <v>n/a</v>
      </c>
      <c r="F416" s="18" t="str">
        <f>IF(ISNUMBER(E416),IF(E416&gt;0,"Penyumbang KENAIKAN IPH","Penyumbang PENURUNAN IPH"),"-")</f>
        <v>-</v>
      </c>
    </row>
    <row r="417" spans="1:6" x14ac:dyDescent="0.35">
      <c r="A417" s="3">
        <v>4</v>
      </c>
      <c r="B417" s="5" t="str">
        <f>IFERROR(INDEX('Perhitungan IPH Mingguan 2026'!$B$6:$B$25,MATCH(LARGE('Perhitungan IPH Mingguan 2026'!$HN$6:$HN$25,4),'Perhitungan IPH Mingguan 2026'!$HN$6:$HN$25,0)),"-")</f>
        <v>beras 1111001</v>
      </c>
      <c r="C417" s="17">
        <f>IFERROR(INDEX('Perhitungan IPH Mingguan 2026'!$C$6:$C$25,MATCH(LARGE('Perhitungan IPH Mingguan 2026'!$HN$6:$HN$25,4),'Perhitungan IPH Mingguan 2026'!$HN$6:$HN$25,0)),"")</f>
        <v>0.12508905675934601</v>
      </c>
      <c r="D417" s="12" t="str">
        <f>IFERROR(INDEX('Perhitungan IPH Mingguan 2026'!$FB$6:$FB$25,MATCH(LARGE('Perhitungan IPH Mingguan 2026'!$HN$6:$HN$25,4),'Perhitungan IPH Mingguan 2026'!$HN$6:$HN$25,0)),"")</f>
        <v>n/a</v>
      </c>
      <c r="E417" s="4" t="str">
        <f>IFERROR(INDEX('Perhitungan IPH Mingguan 2026'!$FC$6:$FC$25,MATCH(LARGE('Perhitungan IPH Mingguan 2026'!$HN$6:$HN$25,4),'Perhitungan IPH Mingguan 2026'!$HN$6:$HN$25,0)),"")</f>
        <v>n/a</v>
      </c>
      <c r="F417" s="18" t="str">
        <f>IF(ISNUMBER(E417),IF(E417&gt;0,"Penyumbang KENAIKAN IPH","Penyumbang PENURUNAN IPH"),"-")</f>
        <v>-</v>
      </c>
    </row>
    <row r="418" spans="1:6" x14ac:dyDescent="0.35">
      <c r="A418" s="3">
        <v>5</v>
      </c>
      <c r="B418" s="5" t="str">
        <f>IFERROR(INDEX('Perhitungan IPH Mingguan 2026'!$B$6:$B$25,MATCH(LARGE('Perhitungan IPH Mingguan 2026'!$HN$6:$HN$25,5),'Perhitungan IPH Mingguan 2026'!$HN$6:$HN$25,0)),"-")</f>
        <v>beras 1111001</v>
      </c>
      <c r="C418" s="17">
        <f>IFERROR(INDEX('Perhitungan IPH Mingguan 2026'!$C$6:$C$25,MATCH(LARGE('Perhitungan IPH Mingguan 2026'!$HN$6:$HN$25,5),'Perhitungan IPH Mingguan 2026'!$HN$6:$HN$25,0)),"")</f>
        <v>0.12508905675934601</v>
      </c>
      <c r="D418" s="12" t="str">
        <f>IFERROR(INDEX('Perhitungan IPH Mingguan 2026'!$FB$6:$FB$25,MATCH(LARGE('Perhitungan IPH Mingguan 2026'!$HN$6:$HN$25,5),'Perhitungan IPH Mingguan 2026'!$HN$6:$HN$25,0)),"")</f>
        <v>n/a</v>
      </c>
      <c r="E418" s="4" t="str">
        <f>IFERROR(INDEX('Perhitungan IPH Mingguan 2026'!$FC$6:$FC$25,MATCH(LARGE('Perhitungan IPH Mingguan 2026'!$HN$6:$HN$25,5),'Perhitungan IPH Mingguan 2026'!$HN$6:$HN$25,0)),"")</f>
        <v>n/a</v>
      </c>
      <c r="F418" s="18" t="str">
        <f>IF(ISNUMBER(E418),IF(E418&gt;0,"Penyumbang KENAIKAN IPH","Penyumbang PENURUNAN IPH"),"-")</f>
        <v>-</v>
      </c>
    </row>
    <row r="420" spans="1:6" x14ac:dyDescent="0.35">
      <c r="A420" s="32" t="s">
        <v>502</v>
      </c>
      <c r="B420" s="32"/>
      <c r="C420" s="32"/>
      <c r="D420" s="32"/>
      <c r="E420" s="32"/>
      <c r="F420" s="32"/>
    </row>
    <row r="421" spans="1:6" x14ac:dyDescent="0.35">
      <c r="A421" s="8" t="s">
        <v>150</v>
      </c>
      <c r="B421" s="8" t="s">
        <v>151</v>
      </c>
      <c r="C421" s="8" t="s">
        <v>63</v>
      </c>
      <c r="D421" s="8" t="s">
        <v>152</v>
      </c>
      <c r="E421" s="8" t="s">
        <v>153</v>
      </c>
      <c r="F421" s="8" t="s">
        <v>154</v>
      </c>
    </row>
    <row r="422" spans="1:6" x14ac:dyDescent="0.35">
      <c r="A422" s="3">
        <v>1</v>
      </c>
      <c r="B422" s="5" t="str">
        <f>IFERROR(INDEX('Perhitungan IPH Mingguan 2026'!$B$6:$B$25,MATCH(LARGE('Perhitungan IPH Mingguan 2026'!$HO$6:$HO$25,1),'Perhitungan IPH Mingguan 2026'!$HO$6:$HO$25,0)),"-")</f>
        <v>beras 1111001</v>
      </c>
      <c r="C422" s="17">
        <f>IFERROR(INDEX('Perhitungan IPH Mingguan 2026'!$C$6:$C$25,MATCH(LARGE('Perhitungan IPH Mingguan 2026'!$HO$6:$HO$25,1),'Perhitungan IPH Mingguan 2026'!$HO$6:$HO$25,0)),"")</f>
        <v>0.12508905675934601</v>
      </c>
      <c r="D422" s="12" t="str">
        <f>IFERROR(INDEX('Perhitungan IPH Mingguan 2026'!$FE$6:$FE$25,MATCH(LARGE('Perhitungan IPH Mingguan 2026'!$HO$6:$HO$25,1),'Perhitungan IPH Mingguan 2026'!$HO$6:$HO$25,0)),"")</f>
        <v>n/a</v>
      </c>
      <c r="E422" s="4" t="str">
        <f>IFERROR(INDEX('Perhitungan IPH Mingguan 2026'!$FF$6:$FF$25,MATCH(LARGE('Perhitungan IPH Mingguan 2026'!$HO$6:$HO$25,1),'Perhitungan IPH Mingguan 2026'!$HO$6:$HO$25,0)),"")</f>
        <v>n/a</v>
      </c>
      <c r="F422" s="18" t="str">
        <f>IF(ISNUMBER(E422),IF(E422&gt;0,"Penyumbang KENAIKAN IPH","Penyumbang PENURUNAN IPH"),"-")</f>
        <v>-</v>
      </c>
    </row>
    <row r="423" spans="1:6" x14ac:dyDescent="0.35">
      <c r="A423" s="3">
        <v>2</v>
      </c>
      <c r="B423" s="5" t="str">
        <f>IFERROR(INDEX('Perhitungan IPH Mingguan 2026'!$B$6:$B$25,MATCH(LARGE('Perhitungan IPH Mingguan 2026'!$HO$6:$HO$25,2),'Perhitungan IPH Mingguan 2026'!$HO$6:$HO$25,0)),"-")</f>
        <v>beras 1111001</v>
      </c>
      <c r="C423" s="17">
        <f>IFERROR(INDEX('Perhitungan IPH Mingguan 2026'!$C$6:$C$25,MATCH(LARGE('Perhitungan IPH Mingguan 2026'!$HO$6:$HO$25,2),'Perhitungan IPH Mingguan 2026'!$HO$6:$HO$25,0)),"")</f>
        <v>0.12508905675934601</v>
      </c>
      <c r="D423" s="12" t="str">
        <f>IFERROR(INDEX('Perhitungan IPH Mingguan 2026'!$FE$6:$FE$25,MATCH(LARGE('Perhitungan IPH Mingguan 2026'!$HO$6:$HO$25,2),'Perhitungan IPH Mingguan 2026'!$HO$6:$HO$25,0)),"")</f>
        <v>n/a</v>
      </c>
      <c r="E423" s="4" t="str">
        <f>IFERROR(INDEX('Perhitungan IPH Mingguan 2026'!$FF$6:$FF$25,MATCH(LARGE('Perhitungan IPH Mingguan 2026'!$HO$6:$HO$25,2),'Perhitungan IPH Mingguan 2026'!$HO$6:$HO$25,0)),"")</f>
        <v>n/a</v>
      </c>
      <c r="F423" s="18" t="str">
        <f>IF(ISNUMBER(E423),IF(E423&gt;0,"Penyumbang KENAIKAN IPH","Penyumbang PENURUNAN IPH"),"-")</f>
        <v>-</v>
      </c>
    </row>
    <row r="424" spans="1:6" x14ac:dyDescent="0.35">
      <c r="A424" s="3">
        <v>3</v>
      </c>
      <c r="B424" s="5" t="str">
        <f>IFERROR(INDEX('Perhitungan IPH Mingguan 2026'!$B$6:$B$25,MATCH(LARGE('Perhitungan IPH Mingguan 2026'!$HO$6:$HO$25,3),'Perhitungan IPH Mingguan 2026'!$HO$6:$HO$25,0)),"-")</f>
        <v>beras 1111001</v>
      </c>
      <c r="C424" s="17">
        <f>IFERROR(INDEX('Perhitungan IPH Mingguan 2026'!$C$6:$C$25,MATCH(LARGE('Perhitungan IPH Mingguan 2026'!$HO$6:$HO$25,3),'Perhitungan IPH Mingguan 2026'!$HO$6:$HO$25,0)),"")</f>
        <v>0.12508905675934601</v>
      </c>
      <c r="D424" s="12" t="str">
        <f>IFERROR(INDEX('Perhitungan IPH Mingguan 2026'!$FE$6:$FE$25,MATCH(LARGE('Perhitungan IPH Mingguan 2026'!$HO$6:$HO$25,3),'Perhitungan IPH Mingguan 2026'!$HO$6:$HO$25,0)),"")</f>
        <v>n/a</v>
      </c>
      <c r="E424" s="4" t="str">
        <f>IFERROR(INDEX('Perhitungan IPH Mingguan 2026'!$FF$6:$FF$25,MATCH(LARGE('Perhitungan IPH Mingguan 2026'!$HO$6:$HO$25,3),'Perhitungan IPH Mingguan 2026'!$HO$6:$HO$25,0)),"")</f>
        <v>n/a</v>
      </c>
      <c r="F424" s="18" t="str">
        <f>IF(ISNUMBER(E424),IF(E424&gt;0,"Penyumbang KENAIKAN IPH","Penyumbang PENURUNAN IPH"),"-")</f>
        <v>-</v>
      </c>
    </row>
    <row r="425" spans="1:6" x14ac:dyDescent="0.35">
      <c r="A425" s="3">
        <v>4</v>
      </c>
      <c r="B425" s="5" t="str">
        <f>IFERROR(INDEX('Perhitungan IPH Mingguan 2026'!$B$6:$B$25,MATCH(LARGE('Perhitungan IPH Mingguan 2026'!$HO$6:$HO$25,4),'Perhitungan IPH Mingguan 2026'!$HO$6:$HO$25,0)),"-")</f>
        <v>beras 1111001</v>
      </c>
      <c r="C425" s="17">
        <f>IFERROR(INDEX('Perhitungan IPH Mingguan 2026'!$C$6:$C$25,MATCH(LARGE('Perhitungan IPH Mingguan 2026'!$HO$6:$HO$25,4),'Perhitungan IPH Mingguan 2026'!$HO$6:$HO$25,0)),"")</f>
        <v>0.12508905675934601</v>
      </c>
      <c r="D425" s="12" t="str">
        <f>IFERROR(INDEX('Perhitungan IPH Mingguan 2026'!$FE$6:$FE$25,MATCH(LARGE('Perhitungan IPH Mingguan 2026'!$HO$6:$HO$25,4),'Perhitungan IPH Mingguan 2026'!$HO$6:$HO$25,0)),"")</f>
        <v>n/a</v>
      </c>
      <c r="E425" s="4" t="str">
        <f>IFERROR(INDEX('Perhitungan IPH Mingguan 2026'!$FF$6:$FF$25,MATCH(LARGE('Perhitungan IPH Mingguan 2026'!$HO$6:$HO$25,4),'Perhitungan IPH Mingguan 2026'!$HO$6:$HO$25,0)),"")</f>
        <v>n/a</v>
      </c>
      <c r="F425" s="18" t="str">
        <f>IF(ISNUMBER(E425),IF(E425&gt;0,"Penyumbang KENAIKAN IPH","Penyumbang PENURUNAN IPH"),"-")</f>
        <v>-</v>
      </c>
    </row>
    <row r="426" spans="1:6" x14ac:dyDescent="0.35">
      <c r="A426" s="3">
        <v>5</v>
      </c>
      <c r="B426" s="5" t="str">
        <f>IFERROR(INDEX('Perhitungan IPH Mingguan 2026'!$B$6:$B$25,MATCH(LARGE('Perhitungan IPH Mingguan 2026'!$HO$6:$HO$25,5),'Perhitungan IPH Mingguan 2026'!$HO$6:$HO$25,0)),"-")</f>
        <v>beras 1111001</v>
      </c>
      <c r="C426" s="17">
        <f>IFERROR(INDEX('Perhitungan IPH Mingguan 2026'!$C$6:$C$25,MATCH(LARGE('Perhitungan IPH Mingguan 2026'!$HO$6:$HO$25,5),'Perhitungan IPH Mingguan 2026'!$HO$6:$HO$25,0)),"")</f>
        <v>0.12508905675934601</v>
      </c>
      <c r="D426" s="12" t="str">
        <f>IFERROR(INDEX('Perhitungan IPH Mingguan 2026'!$FE$6:$FE$25,MATCH(LARGE('Perhitungan IPH Mingguan 2026'!$HO$6:$HO$25,5),'Perhitungan IPH Mingguan 2026'!$HO$6:$HO$25,0)),"")</f>
        <v>n/a</v>
      </c>
      <c r="E426" s="4" t="str">
        <f>IFERROR(INDEX('Perhitungan IPH Mingguan 2026'!$FF$6:$FF$25,MATCH(LARGE('Perhitungan IPH Mingguan 2026'!$HO$6:$HO$25,5),'Perhitungan IPH Mingguan 2026'!$HO$6:$HO$25,0)),"")</f>
        <v>n/a</v>
      </c>
      <c r="F426" s="18" t="str">
        <f>IF(ISNUMBER(E426),IF(E426&gt;0,"Penyumbang KENAIKAN IPH","Penyumbang PENURUNAN IPH"),"-")</f>
        <v>-</v>
      </c>
    </row>
    <row r="428" spans="1:6" x14ac:dyDescent="0.35">
      <c r="A428" s="32" t="s">
        <v>503</v>
      </c>
      <c r="B428" s="32"/>
      <c r="C428" s="32"/>
      <c r="D428" s="32"/>
      <c r="E428" s="32"/>
      <c r="F428" s="32"/>
    </row>
    <row r="429" spans="1:6" x14ac:dyDescent="0.35">
      <c r="A429" s="8" t="s">
        <v>150</v>
      </c>
      <c r="B429" s="8" t="s">
        <v>151</v>
      </c>
      <c r="C429" s="8" t="s">
        <v>63</v>
      </c>
      <c r="D429" s="8" t="s">
        <v>152</v>
      </c>
      <c r="E429" s="8" t="s">
        <v>153</v>
      </c>
      <c r="F429" s="8" t="s">
        <v>154</v>
      </c>
    </row>
    <row r="430" spans="1:6" x14ac:dyDescent="0.35">
      <c r="A430" s="3">
        <v>1</v>
      </c>
      <c r="B430" s="5" t="str">
        <f>IFERROR(INDEX('Perhitungan IPH Mingguan 2026'!$B$6:$B$25,MATCH(LARGE('Perhitungan IPH Mingguan 2026'!$HP$6:$HP$25,1),'Perhitungan IPH Mingguan 2026'!$HP$6:$HP$25,0)),"-")</f>
        <v>beras 1111001</v>
      </c>
      <c r="C430" s="17">
        <f>IFERROR(INDEX('Perhitungan IPH Mingguan 2026'!$C$6:$C$25,MATCH(LARGE('Perhitungan IPH Mingguan 2026'!$HP$6:$HP$25,1),'Perhitungan IPH Mingguan 2026'!$HP$6:$HP$25,0)),"")</f>
        <v>0.12508905675934601</v>
      </c>
      <c r="D430" s="12" t="str">
        <f>IFERROR(INDEX('Perhitungan IPH Mingguan 2026'!$FH$6:$FH$25,MATCH(LARGE('Perhitungan IPH Mingguan 2026'!$HP$6:$HP$25,1),'Perhitungan IPH Mingguan 2026'!$HP$6:$HP$25,0)),"")</f>
        <v>n/a</v>
      </c>
      <c r="E430" s="4" t="str">
        <f>IFERROR(INDEX('Perhitungan IPH Mingguan 2026'!$FI$6:$FI$25,MATCH(LARGE('Perhitungan IPH Mingguan 2026'!$HP$6:$HP$25,1),'Perhitungan IPH Mingguan 2026'!$HP$6:$HP$25,0)),"")</f>
        <v>n/a</v>
      </c>
      <c r="F430" s="18" t="str">
        <f>IF(ISNUMBER(E430),IF(E430&gt;0,"Penyumbang KENAIKAN IPH","Penyumbang PENURUNAN IPH"),"-")</f>
        <v>-</v>
      </c>
    </row>
    <row r="431" spans="1:6" x14ac:dyDescent="0.35">
      <c r="A431" s="3">
        <v>2</v>
      </c>
      <c r="B431" s="5" t="str">
        <f>IFERROR(INDEX('Perhitungan IPH Mingguan 2026'!$B$6:$B$25,MATCH(LARGE('Perhitungan IPH Mingguan 2026'!$HP$6:$HP$25,2),'Perhitungan IPH Mingguan 2026'!$HP$6:$HP$25,0)),"-")</f>
        <v>beras 1111001</v>
      </c>
      <c r="C431" s="17">
        <f>IFERROR(INDEX('Perhitungan IPH Mingguan 2026'!$C$6:$C$25,MATCH(LARGE('Perhitungan IPH Mingguan 2026'!$HP$6:$HP$25,2),'Perhitungan IPH Mingguan 2026'!$HP$6:$HP$25,0)),"")</f>
        <v>0.12508905675934601</v>
      </c>
      <c r="D431" s="12" t="str">
        <f>IFERROR(INDEX('Perhitungan IPH Mingguan 2026'!$FH$6:$FH$25,MATCH(LARGE('Perhitungan IPH Mingguan 2026'!$HP$6:$HP$25,2),'Perhitungan IPH Mingguan 2026'!$HP$6:$HP$25,0)),"")</f>
        <v>n/a</v>
      </c>
      <c r="E431" s="4" t="str">
        <f>IFERROR(INDEX('Perhitungan IPH Mingguan 2026'!$FI$6:$FI$25,MATCH(LARGE('Perhitungan IPH Mingguan 2026'!$HP$6:$HP$25,2),'Perhitungan IPH Mingguan 2026'!$HP$6:$HP$25,0)),"")</f>
        <v>n/a</v>
      </c>
      <c r="F431" s="18" t="str">
        <f>IF(ISNUMBER(E431),IF(E431&gt;0,"Penyumbang KENAIKAN IPH","Penyumbang PENURUNAN IPH"),"-")</f>
        <v>-</v>
      </c>
    </row>
    <row r="432" spans="1:6" x14ac:dyDescent="0.35">
      <c r="A432" s="3">
        <v>3</v>
      </c>
      <c r="B432" s="5" t="str">
        <f>IFERROR(INDEX('Perhitungan IPH Mingguan 2026'!$B$6:$B$25,MATCH(LARGE('Perhitungan IPH Mingguan 2026'!$HP$6:$HP$25,3),'Perhitungan IPH Mingguan 2026'!$HP$6:$HP$25,0)),"-")</f>
        <v>beras 1111001</v>
      </c>
      <c r="C432" s="17">
        <f>IFERROR(INDEX('Perhitungan IPH Mingguan 2026'!$C$6:$C$25,MATCH(LARGE('Perhitungan IPH Mingguan 2026'!$HP$6:$HP$25,3),'Perhitungan IPH Mingguan 2026'!$HP$6:$HP$25,0)),"")</f>
        <v>0.12508905675934601</v>
      </c>
      <c r="D432" s="12" t="str">
        <f>IFERROR(INDEX('Perhitungan IPH Mingguan 2026'!$FH$6:$FH$25,MATCH(LARGE('Perhitungan IPH Mingguan 2026'!$HP$6:$HP$25,3),'Perhitungan IPH Mingguan 2026'!$HP$6:$HP$25,0)),"")</f>
        <v>n/a</v>
      </c>
      <c r="E432" s="4" t="str">
        <f>IFERROR(INDEX('Perhitungan IPH Mingguan 2026'!$FI$6:$FI$25,MATCH(LARGE('Perhitungan IPH Mingguan 2026'!$HP$6:$HP$25,3),'Perhitungan IPH Mingguan 2026'!$HP$6:$HP$25,0)),"")</f>
        <v>n/a</v>
      </c>
      <c r="F432" s="18" t="str">
        <f>IF(ISNUMBER(E432),IF(E432&gt;0,"Penyumbang KENAIKAN IPH","Penyumbang PENURUNAN IPH"),"-")</f>
        <v>-</v>
      </c>
    </row>
    <row r="433" spans="1:6" x14ac:dyDescent="0.35">
      <c r="A433" s="3">
        <v>4</v>
      </c>
      <c r="B433" s="5" t="str">
        <f>IFERROR(INDEX('Perhitungan IPH Mingguan 2026'!$B$6:$B$25,MATCH(LARGE('Perhitungan IPH Mingguan 2026'!$HP$6:$HP$25,4),'Perhitungan IPH Mingguan 2026'!$HP$6:$HP$25,0)),"-")</f>
        <v>beras 1111001</v>
      </c>
      <c r="C433" s="17">
        <f>IFERROR(INDEX('Perhitungan IPH Mingguan 2026'!$C$6:$C$25,MATCH(LARGE('Perhitungan IPH Mingguan 2026'!$HP$6:$HP$25,4),'Perhitungan IPH Mingguan 2026'!$HP$6:$HP$25,0)),"")</f>
        <v>0.12508905675934601</v>
      </c>
      <c r="D433" s="12" t="str">
        <f>IFERROR(INDEX('Perhitungan IPH Mingguan 2026'!$FH$6:$FH$25,MATCH(LARGE('Perhitungan IPH Mingguan 2026'!$HP$6:$HP$25,4),'Perhitungan IPH Mingguan 2026'!$HP$6:$HP$25,0)),"")</f>
        <v>n/a</v>
      </c>
      <c r="E433" s="4" t="str">
        <f>IFERROR(INDEX('Perhitungan IPH Mingguan 2026'!$FI$6:$FI$25,MATCH(LARGE('Perhitungan IPH Mingguan 2026'!$HP$6:$HP$25,4),'Perhitungan IPH Mingguan 2026'!$HP$6:$HP$25,0)),"")</f>
        <v>n/a</v>
      </c>
      <c r="F433" s="18" t="str">
        <f>IF(ISNUMBER(E433),IF(E433&gt;0,"Penyumbang KENAIKAN IPH","Penyumbang PENURUNAN IPH"),"-")</f>
        <v>-</v>
      </c>
    </row>
    <row r="434" spans="1:6" x14ac:dyDescent="0.35">
      <c r="A434" s="3">
        <v>5</v>
      </c>
      <c r="B434" s="5" t="str">
        <f>IFERROR(INDEX('Perhitungan IPH Mingguan 2026'!$B$6:$B$25,MATCH(LARGE('Perhitungan IPH Mingguan 2026'!$HP$6:$HP$25,5),'Perhitungan IPH Mingguan 2026'!$HP$6:$HP$25,0)),"-")</f>
        <v>beras 1111001</v>
      </c>
      <c r="C434" s="17">
        <f>IFERROR(INDEX('Perhitungan IPH Mingguan 2026'!$C$6:$C$25,MATCH(LARGE('Perhitungan IPH Mingguan 2026'!$HP$6:$HP$25,5),'Perhitungan IPH Mingguan 2026'!$HP$6:$HP$25,0)),"")</f>
        <v>0.12508905675934601</v>
      </c>
      <c r="D434" s="12" t="str">
        <f>IFERROR(INDEX('Perhitungan IPH Mingguan 2026'!$FH$6:$FH$25,MATCH(LARGE('Perhitungan IPH Mingguan 2026'!$HP$6:$HP$25,5),'Perhitungan IPH Mingguan 2026'!$HP$6:$HP$25,0)),"")</f>
        <v>n/a</v>
      </c>
      <c r="E434" s="4" t="str">
        <f>IFERROR(INDEX('Perhitungan IPH Mingguan 2026'!$FI$6:$FI$25,MATCH(LARGE('Perhitungan IPH Mingguan 2026'!$HP$6:$HP$25,5),'Perhitungan IPH Mingguan 2026'!$HP$6:$HP$25,0)),"")</f>
        <v>n/a</v>
      </c>
      <c r="F434" s="18" t="str">
        <f>IF(ISNUMBER(E434),IF(E434&gt;0,"Penyumbang KENAIKAN IPH","Penyumbang PENURUNAN IPH"),"-")</f>
        <v>-</v>
      </c>
    </row>
    <row r="436" spans="1:6" x14ac:dyDescent="0.35">
      <c r="A436" s="32" t="s">
        <v>504</v>
      </c>
      <c r="B436" s="32"/>
      <c r="C436" s="32"/>
      <c r="D436" s="32"/>
      <c r="E436" s="32"/>
      <c r="F436" s="32"/>
    </row>
    <row r="437" spans="1:6" x14ac:dyDescent="0.35">
      <c r="A437" s="8" t="s">
        <v>150</v>
      </c>
      <c r="B437" s="8" t="s">
        <v>151</v>
      </c>
      <c r="C437" s="8" t="s">
        <v>63</v>
      </c>
      <c r="D437" s="8" t="s">
        <v>152</v>
      </c>
      <c r="E437" s="8" t="s">
        <v>153</v>
      </c>
      <c r="F437" s="8" t="s">
        <v>154</v>
      </c>
    </row>
    <row r="438" spans="1:6" x14ac:dyDescent="0.35">
      <c r="A438" s="3">
        <v>1</v>
      </c>
      <c r="B438" s="5" t="str">
        <f>IFERROR(INDEX('Perhitungan IPH Mingguan 2026'!$B$6:$B$25,MATCH(LARGE('Perhitungan IPH Mingguan 2026'!$HQ$6:$HQ$25,1),'Perhitungan IPH Mingguan 2026'!$HQ$6:$HQ$25,0)),"-")</f>
        <v>beras 1111001</v>
      </c>
      <c r="C438" s="17">
        <f>IFERROR(INDEX('Perhitungan IPH Mingguan 2026'!$C$6:$C$25,MATCH(LARGE('Perhitungan IPH Mingguan 2026'!$HQ$6:$HQ$25,1),'Perhitungan IPH Mingguan 2026'!$HQ$6:$HQ$25,0)),"")</f>
        <v>0.12508905675934601</v>
      </c>
      <c r="D438" s="12" t="str">
        <f>IFERROR(INDEX('Perhitungan IPH Mingguan 2026'!$FK$6:$FK$25,MATCH(LARGE('Perhitungan IPH Mingguan 2026'!$HQ$6:$HQ$25,1),'Perhitungan IPH Mingguan 2026'!$HQ$6:$HQ$25,0)),"")</f>
        <v>n/a</v>
      </c>
      <c r="E438" s="4" t="str">
        <f>IFERROR(INDEX('Perhitungan IPH Mingguan 2026'!$FL$6:$FL$25,MATCH(LARGE('Perhitungan IPH Mingguan 2026'!$HQ$6:$HQ$25,1),'Perhitungan IPH Mingguan 2026'!$HQ$6:$HQ$25,0)),"")</f>
        <v>n/a</v>
      </c>
      <c r="F438" s="18" t="str">
        <f>IF(ISNUMBER(E438),IF(E438&gt;0,"Penyumbang KENAIKAN IPH","Penyumbang PENURUNAN IPH"),"-")</f>
        <v>-</v>
      </c>
    </row>
    <row r="439" spans="1:6" x14ac:dyDescent="0.35">
      <c r="A439" s="3">
        <v>2</v>
      </c>
      <c r="B439" s="5" t="str">
        <f>IFERROR(INDEX('Perhitungan IPH Mingguan 2026'!$B$6:$B$25,MATCH(LARGE('Perhitungan IPH Mingguan 2026'!$HQ$6:$HQ$25,2),'Perhitungan IPH Mingguan 2026'!$HQ$6:$HQ$25,0)),"-")</f>
        <v>beras 1111001</v>
      </c>
      <c r="C439" s="17">
        <f>IFERROR(INDEX('Perhitungan IPH Mingguan 2026'!$C$6:$C$25,MATCH(LARGE('Perhitungan IPH Mingguan 2026'!$HQ$6:$HQ$25,2),'Perhitungan IPH Mingguan 2026'!$HQ$6:$HQ$25,0)),"")</f>
        <v>0.12508905675934601</v>
      </c>
      <c r="D439" s="12" t="str">
        <f>IFERROR(INDEX('Perhitungan IPH Mingguan 2026'!$FK$6:$FK$25,MATCH(LARGE('Perhitungan IPH Mingguan 2026'!$HQ$6:$HQ$25,2),'Perhitungan IPH Mingguan 2026'!$HQ$6:$HQ$25,0)),"")</f>
        <v>n/a</v>
      </c>
      <c r="E439" s="4" t="str">
        <f>IFERROR(INDEX('Perhitungan IPH Mingguan 2026'!$FL$6:$FL$25,MATCH(LARGE('Perhitungan IPH Mingguan 2026'!$HQ$6:$HQ$25,2),'Perhitungan IPH Mingguan 2026'!$HQ$6:$HQ$25,0)),"")</f>
        <v>n/a</v>
      </c>
      <c r="F439" s="18" t="str">
        <f>IF(ISNUMBER(E439),IF(E439&gt;0,"Penyumbang KENAIKAN IPH","Penyumbang PENURUNAN IPH"),"-")</f>
        <v>-</v>
      </c>
    </row>
    <row r="440" spans="1:6" x14ac:dyDescent="0.35">
      <c r="A440" s="3">
        <v>3</v>
      </c>
      <c r="B440" s="5" t="str">
        <f>IFERROR(INDEX('Perhitungan IPH Mingguan 2026'!$B$6:$B$25,MATCH(LARGE('Perhitungan IPH Mingguan 2026'!$HQ$6:$HQ$25,3),'Perhitungan IPH Mingguan 2026'!$HQ$6:$HQ$25,0)),"-")</f>
        <v>beras 1111001</v>
      </c>
      <c r="C440" s="17">
        <f>IFERROR(INDEX('Perhitungan IPH Mingguan 2026'!$C$6:$C$25,MATCH(LARGE('Perhitungan IPH Mingguan 2026'!$HQ$6:$HQ$25,3),'Perhitungan IPH Mingguan 2026'!$HQ$6:$HQ$25,0)),"")</f>
        <v>0.12508905675934601</v>
      </c>
      <c r="D440" s="12" t="str">
        <f>IFERROR(INDEX('Perhitungan IPH Mingguan 2026'!$FK$6:$FK$25,MATCH(LARGE('Perhitungan IPH Mingguan 2026'!$HQ$6:$HQ$25,3),'Perhitungan IPH Mingguan 2026'!$HQ$6:$HQ$25,0)),"")</f>
        <v>n/a</v>
      </c>
      <c r="E440" s="4" t="str">
        <f>IFERROR(INDEX('Perhitungan IPH Mingguan 2026'!$FL$6:$FL$25,MATCH(LARGE('Perhitungan IPH Mingguan 2026'!$HQ$6:$HQ$25,3),'Perhitungan IPH Mingguan 2026'!$HQ$6:$HQ$25,0)),"")</f>
        <v>n/a</v>
      </c>
      <c r="F440" s="18" t="str">
        <f>IF(ISNUMBER(E440),IF(E440&gt;0,"Penyumbang KENAIKAN IPH","Penyumbang PENURUNAN IPH"),"-")</f>
        <v>-</v>
      </c>
    </row>
    <row r="441" spans="1:6" x14ac:dyDescent="0.35">
      <c r="A441" s="3">
        <v>4</v>
      </c>
      <c r="B441" s="5" t="str">
        <f>IFERROR(INDEX('Perhitungan IPH Mingguan 2026'!$B$6:$B$25,MATCH(LARGE('Perhitungan IPH Mingguan 2026'!$HQ$6:$HQ$25,4),'Perhitungan IPH Mingguan 2026'!$HQ$6:$HQ$25,0)),"-")</f>
        <v>beras 1111001</v>
      </c>
      <c r="C441" s="17">
        <f>IFERROR(INDEX('Perhitungan IPH Mingguan 2026'!$C$6:$C$25,MATCH(LARGE('Perhitungan IPH Mingguan 2026'!$HQ$6:$HQ$25,4),'Perhitungan IPH Mingguan 2026'!$HQ$6:$HQ$25,0)),"")</f>
        <v>0.12508905675934601</v>
      </c>
      <c r="D441" s="12" t="str">
        <f>IFERROR(INDEX('Perhitungan IPH Mingguan 2026'!$FK$6:$FK$25,MATCH(LARGE('Perhitungan IPH Mingguan 2026'!$HQ$6:$HQ$25,4),'Perhitungan IPH Mingguan 2026'!$HQ$6:$HQ$25,0)),"")</f>
        <v>n/a</v>
      </c>
      <c r="E441" s="4" t="str">
        <f>IFERROR(INDEX('Perhitungan IPH Mingguan 2026'!$FL$6:$FL$25,MATCH(LARGE('Perhitungan IPH Mingguan 2026'!$HQ$6:$HQ$25,4),'Perhitungan IPH Mingguan 2026'!$HQ$6:$HQ$25,0)),"")</f>
        <v>n/a</v>
      </c>
      <c r="F441" s="18" t="str">
        <f>IF(ISNUMBER(E441),IF(E441&gt;0,"Penyumbang KENAIKAN IPH","Penyumbang PENURUNAN IPH"),"-")</f>
        <v>-</v>
      </c>
    </row>
    <row r="442" spans="1:6" x14ac:dyDescent="0.35">
      <c r="A442" s="3">
        <v>5</v>
      </c>
      <c r="B442" s="5" t="str">
        <f>IFERROR(INDEX('Perhitungan IPH Mingguan 2026'!$B$6:$B$25,MATCH(LARGE('Perhitungan IPH Mingguan 2026'!$HQ$6:$HQ$25,5),'Perhitungan IPH Mingguan 2026'!$HQ$6:$HQ$25,0)),"-")</f>
        <v>beras 1111001</v>
      </c>
      <c r="C442" s="17">
        <f>IFERROR(INDEX('Perhitungan IPH Mingguan 2026'!$C$6:$C$25,MATCH(LARGE('Perhitungan IPH Mingguan 2026'!$HQ$6:$HQ$25,5),'Perhitungan IPH Mingguan 2026'!$HQ$6:$HQ$25,0)),"")</f>
        <v>0.12508905675934601</v>
      </c>
      <c r="D442" s="12" t="str">
        <f>IFERROR(INDEX('Perhitungan IPH Mingguan 2026'!$FK$6:$FK$25,MATCH(LARGE('Perhitungan IPH Mingguan 2026'!$HQ$6:$HQ$25,5),'Perhitungan IPH Mingguan 2026'!$HQ$6:$HQ$25,0)),"")</f>
        <v>n/a</v>
      </c>
      <c r="E442" s="4" t="str">
        <f>IFERROR(INDEX('Perhitungan IPH Mingguan 2026'!$FL$6:$FL$25,MATCH(LARGE('Perhitungan IPH Mingguan 2026'!$HQ$6:$HQ$25,5),'Perhitungan IPH Mingguan 2026'!$HQ$6:$HQ$25,0)),"")</f>
        <v>n/a</v>
      </c>
      <c r="F442" s="18" t="str">
        <f>IF(ISNUMBER(E442),IF(E442&gt;0,"Penyumbang KENAIKAN IPH","Penyumbang PENURUNAN IPH"),"-")</f>
        <v>-</v>
      </c>
    </row>
  </sheetData>
  <mergeCells count="56">
    <mergeCell ref="A1:F1"/>
    <mergeCell ref="A4:F4"/>
    <mergeCell ref="A12:F12"/>
    <mergeCell ref="A20:F20"/>
    <mergeCell ref="A28:F28"/>
    <mergeCell ref="A36:F36"/>
    <mergeCell ref="A44:F44"/>
    <mergeCell ref="A52:F52"/>
    <mergeCell ref="A60:F60"/>
    <mergeCell ref="A68:F68"/>
    <mergeCell ref="A76:F76"/>
    <mergeCell ref="A84:F84"/>
    <mergeCell ref="A92:F92"/>
    <mergeCell ref="A100:F100"/>
    <mergeCell ref="A108:F108"/>
    <mergeCell ref="A116:F116"/>
    <mergeCell ref="A124:F124"/>
    <mergeCell ref="A132:F132"/>
    <mergeCell ref="A140:F140"/>
    <mergeCell ref="A148:F148"/>
    <mergeCell ref="A156:F156"/>
    <mergeCell ref="A164:F164"/>
    <mergeCell ref="A172:F172"/>
    <mergeCell ref="A180:F180"/>
    <mergeCell ref="A188:F188"/>
    <mergeCell ref="A196:F196"/>
    <mergeCell ref="A204:F204"/>
    <mergeCell ref="A212:F212"/>
    <mergeCell ref="A220:F220"/>
    <mergeCell ref="A228:F228"/>
    <mergeCell ref="A236:F236"/>
    <mergeCell ref="A244:F244"/>
    <mergeCell ref="A252:F252"/>
    <mergeCell ref="A260:F260"/>
    <mergeCell ref="A268:F268"/>
    <mergeCell ref="A276:F276"/>
    <mergeCell ref="A284:F284"/>
    <mergeCell ref="A292:F292"/>
    <mergeCell ref="A300:F300"/>
    <mergeCell ref="A308:F308"/>
    <mergeCell ref="A316:F316"/>
    <mergeCell ref="A324:F324"/>
    <mergeCell ref="A332:F332"/>
    <mergeCell ref="A340:F340"/>
    <mergeCell ref="A348:F348"/>
    <mergeCell ref="A356:F356"/>
    <mergeCell ref="A364:F364"/>
    <mergeCell ref="A372:F372"/>
    <mergeCell ref="A380:F380"/>
    <mergeCell ref="A388:F388"/>
    <mergeCell ref="A436:F436"/>
    <mergeCell ref="A396:F396"/>
    <mergeCell ref="A404:F404"/>
    <mergeCell ref="A412:F412"/>
    <mergeCell ref="A420:F420"/>
    <mergeCell ref="A428:F428"/>
  </mergeCells>
  <conditionalFormatting sqref="E6:E10">
    <cfRule type="cellIs" dxfId="109" priority="2" operator="greaterThan">
      <formula>0</formula>
    </cfRule>
    <cfRule type="cellIs" dxfId="108" priority="3" operator="lessThan">
      <formula>0</formula>
    </cfRule>
  </conditionalFormatting>
  <conditionalFormatting sqref="E14:E18">
    <cfRule type="cellIs" dxfId="107" priority="4" operator="greaterThan">
      <formula>0</formula>
    </cfRule>
    <cfRule type="cellIs" dxfId="106" priority="5" operator="lessThan">
      <formula>0</formula>
    </cfRule>
  </conditionalFormatting>
  <conditionalFormatting sqref="E22:E26">
    <cfRule type="cellIs" dxfId="105" priority="6" operator="greaterThan">
      <formula>0</formula>
    </cfRule>
    <cfRule type="cellIs" dxfId="104" priority="7" operator="lessThan">
      <formula>0</formula>
    </cfRule>
  </conditionalFormatting>
  <conditionalFormatting sqref="E30:E34">
    <cfRule type="cellIs" dxfId="103" priority="8" operator="greaterThan">
      <formula>0</formula>
    </cfRule>
    <cfRule type="cellIs" dxfId="102" priority="9" operator="lessThan">
      <formula>0</formula>
    </cfRule>
  </conditionalFormatting>
  <conditionalFormatting sqref="E38:E42">
    <cfRule type="cellIs" dxfId="101" priority="10" operator="greaterThan">
      <formula>0</formula>
    </cfRule>
    <cfRule type="cellIs" dxfId="100" priority="11" operator="lessThan">
      <formula>0</formula>
    </cfRule>
  </conditionalFormatting>
  <conditionalFormatting sqref="E46:E50">
    <cfRule type="cellIs" dxfId="99" priority="12" operator="greaterThan">
      <formula>0</formula>
    </cfRule>
    <cfRule type="cellIs" dxfId="98" priority="13" operator="lessThan">
      <formula>0</formula>
    </cfRule>
  </conditionalFormatting>
  <conditionalFormatting sqref="E54:E58">
    <cfRule type="cellIs" dxfId="97" priority="14" operator="greaterThan">
      <formula>0</formula>
    </cfRule>
    <cfRule type="cellIs" dxfId="96" priority="15" operator="lessThan">
      <formula>0</formula>
    </cfRule>
  </conditionalFormatting>
  <conditionalFormatting sqref="E62:E66">
    <cfRule type="cellIs" dxfId="95" priority="16" operator="greaterThan">
      <formula>0</formula>
    </cfRule>
    <cfRule type="cellIs" dxfId="94" priority="17" operator="lessThan">
      <formula>0</formula>
    </cfRule>
  </conditionalFormatting>
  <conditionalFormatting sqref="E70:E74">
    <cfRule type="cellIs" dxfId="93" priority="18" operator="greaterThan">
      <formula>0</formula>
    </cfRule>
    <cfRule type="cellIs" dxfId="92" priority="19" operator="lessThan">
      <formula>0</formula>
    </cfRule>
  </conditionalFormatting>
  <conditionalFormatting sqref="E78:E82">
    <cfRule type="cellIs" dxfId="91" priority="20" operator="greaterThan">
      <formula>0</formula>
    </cfRule>
    <cfRule type="cellIs" dxfId="90" priority="21" operator="lessThan">
      <formula>0</formula>
    </cfRule>
  </conditionalFormatting>
  <conditionalFormatting sqref="E86:E90">
    <cfRule type="cellIs" dxfId="89" priority="22" operator="greaterThan">
      <formula>0</formula>
    </cfRule>
    <cfRule type="cellIs" dxfId="88" priority="23" operator="lessThan">
      <formula>0</formula>
    </cfRule>
  </conditionalFormatting>
  <conditionalFormatting sqref="E94:E98">
    <cfRule type="cellIs" dxfId="87" priority="24" operator="greaterThan">
      <formula>0</formula>
    </cfRule>
    <cfRule type="cellIs" dxfId="86" priority="25" operator="lessThan">
      <formula>0</formula>
    </cfRule>
  </conditionalFormatting>
  <conditionalFormatting sqref="E102:E106">
    <cfRule type="cellIs" dxfId="85" priority="26" operator="greaterThan">
      <formula>0</formula>
    </cfRule>
    <cfRule type="cellIs" dxfId="84" priority="27" operator="lessThan">
      <formula>0</formula>
    </cfRule>
  </conditionalFormatting>
  <conditionalFormatting sqref="E110:E114">
    <cfRule type="cellIs" dxfId="83" priority="28" operator="greaterThan">
      <formula>0</formula>
    </cfRule>
    <cfRule type="cellIs" dxfId="82" priority="29" operator="lessThan">
      <formula>0</formula>
    </cfRule>
  </conditionalFormatting>
  <conditionalFormatting sqref="E118:E122">
    <cfRule type="cellIs" dxfId="81" priority="30" operator="greaterThan">
      <formula>0</formula>
    </cfRule>
    <cfRule type="cellIs" dxfId="80" priority="31" operator="lessThan">
      <formula>0</formula>
    </cfRule>
  </conditionalFormatting>
  <conditionalFormatting sqref="E126:E130">
    <cfRule type="cellIs" dxfId="79" priority="32" operator="greaterThan">
      <formula>0</formula>
    </cfRule>
    <cfRule type="cellIs" dxfId="78" priority="33" operator="lessThan">
      <formula>0</formula>
    </cfRule>
  </conditionalFormatting>
  <conditionalFormatting sqref="E134:E138">
    <cfRule type="cellIs" dxfId="77" priority="34" operator="greaterThan">
      <formula>0</formula>
    </cfRule>
    <cfRule type="cellIs" dxfId="76" priority="35" operator="lessThan">
      <formula>0</formula>
    </cfRule>
  </conditionalFormatting>
  <conditionalFormatting sqref="E142:E146">
    <cfRule type="cellIs" dxfId="75" priority="36" operator="greaterThan">
      <formula>0</formula>
    </cfRule>
    <cfRule type="cellIs" dxfId="74" priority="37" operator="lessThan">
      <formula>0</formula>
    </cfRule>
  </conditionalFormatting>
  <conditionalFormatting sqref="E150:E154">
    <cfRule type="cellIs" dxfId="73" priority="38" operator="greaterThan">
      <formula>0</formula>
    </cfRule>
    <cfRule type="cellIs" dxfId="72" priority="39" operator="lessThan">
      <formula>0</formula>
    </cfRule>
  </conditionalFormatting>
  <conditionalFormatting sqref="E158:E162">
    <cfRule type="cellIs" dxfId="71" priority="40" operator="greaterThan">
      <formula>0</formula>
    </cfRule>
    <cfRule type="cellIs" dxfId="70" priority="41" operator="lessThan">
      <formula>0</formula>
    </cfRule>
  </conditionalFormatting>
  <conditionalFormatting sqref="E166:E170">
    <cfRule type="cellIs" dxfId="69" priority="42" operator="greaterThan">
      <formula>0</formula>
    </cfRule>
    <cfRule type="cellIs" dxfId="68" priority="43" operator="lessThan">
      <formula>0</formula>
    </cfRule>
  </conditionalFormatting>
  <conditionalFormatting sqref="E174:E178">
    <cfRule type="cellIs" dxfId="67" priority="44" operator="greaterThan">
      <formula>0</formula>
    </cfRule>
    <cfRule type="cellIs" dxfId="66" priority="45" operator="lessThan">
      <formula>0</formula>
    </cfRule>
  </conditionalFormatting>
  <conditionalFormatting sqref="E182:E186">
    <cfRule type="cellIs" dxfId="65" priority="46" operator="greaterThan">
      <formula>0</formula>
    </cfRule>
    <cfRule type="cellIs" dxfId="64" priority="47" operator="lessThan">
      <formula>0</formula>
    </cfRule>
  </conditionalFormatting>
  <conditionalFormatting sqref="E190:E194">
    <cfRule type="cellIs" dxfId="63" priority="48" operator="greaterThan">
      <formula>0</formula>
    </cfRule>
    <cfRule type="cellIs" dxfId="62" priority="49" operator="lessThan">
      <formula>0</formula>
    </cfRule>
  </conditionalFormatting>
  <conditionalFormatting sqref="E198:E202">
    <cfRule type="cellIs" dxfId="61" priority="50" operator="greaterThan">
      <formula>0</formula>
    </cfRule>
    <cfRule type="cellIs" dxfId="60" priority="51" operator="lessThan">
      <formula>0</formula>
    </cfRule>
  </conditionalFormatting>
  <conditionalFormatting sqref="E206:E210">
    <cfRule type="cellIs" dxfId="59" priority="52" operator="greaterThan">
      <formula>0</formula>
    </cfRule>
    <cfRule type="cellIs" dxfId="58" priority="53" operator="lessThan">
      <formula>0</formula>
    </cfRule>
  </conditionalFormatting>
  <conditionalFormatting sqref="E214:E218">
    <cfRule type="cellIs" dxfId="57" priority="54" operator="greaterThan">
      <formula>0</formula>
    </cfRule>
    <cfRule type="cellIs" dxfId="56" priority="55" operator="lessThan">
      <formula>0</formula>
    </cfRule>
  </conditionalFormatting>
  <conditionalFormatting sqref="E222:E226">
    <cfRule type="cellIs" dxfId="55" priority="56" operator="greaterThan">
      <formula>0</formula>
    </cfRule>
    <cfRule type="cellIs" dxfId="54" priority="57" operator="lessThan">
      <formula>0</formula>
    </cfRule>
  </conditionalFormatting>
  <conditionalFormatting sqref="E230:E234">
    <cfRule type="cellIs" dxfId="53" priority="58" operator="greaterThan">
      <formula>0</formula>
    </cfRule>
    <cfRule type="cellIs" dxfId="52" priority="59" operator="lessThan">
      <formula>0</formula>
    </cfRule>
  </conditionalFormatting>
  <conditionalFormatting sqref="E238:E242">
    <cfRule type="cellIs" dxfId="51" priority="60" operator="greaterThan">
      <formula>0</formula>
    </cfRule>
    <cfRule type="cellIs" dxfId="50" priority="61" operator="lessThan">
      <formula>0</formula>
    </cfRule>
  </conditionalFormatting>
  <conditionalFormatting sqref="E246:E250">
    <cfRule type="cellIs" dxfId="49" priority="62" operator="greaterThan">
      <formula>0</formula>
    </cfRule>
    <cfRule type="cellIs" dxfId="48" priority="63" operator="lessThan">
      <formula>0</formula>
    </cfRule>
  </conditionalFormatting>
  <conditionalFormatting sqref="E254:E258">
    <cfRule type="cellIs" dxfId="47" priority="64" operator="greaterThan">
      <formula>0</formula>
    </cfRule>
    <cfRule type="cellIs" dxfId="46" priority="65" operator="lessThan">
      <formula>0</formula>
    </cfRule>
  </conditionalFormatting>
  <conditionalFormatting sqref="E262:E266">
    <cfRule type="cellIs" dxfId="45" priority="66" operator="greaterThan">
      <formula>0</formula>
    </cfRule>
    <cfRule type="cellIs" dxfId="44" priority="67" operator="lessThan">
      <formula>0</formula>
    </cfRule>
  </conditionalFormatting>
  <conditionalFormatting sqref="E270:E274">
    <cfRule type="cellIs" dxfId="43" priority="68" operator="greaterThan">
      <formula>0</formula>
    </cfRule>
    <cfRule type="cellIs" dxfId="42" priority="69" operator="lessThan">
      <formula>0</formula>
    </cfRule>
  </conditionalFormatting>
  <conditionalFormatting sqref="E278:E282">
    <cfRule type="cellIs" dxfId="41" priority="70" operator="greaterThan">
      <formula>0</formula>
    </cfRule>
    <cfRule type="cellIs" dxfId="40" priority="71" operator="lessThan">
      <formula>0</formula>
    </cfRule>
  </conditionalFormatting>
  <conditionalFormatting sqref="E286:E290">
    <cfRule type="cellIs" dxfId="39" priority="72" operator="greaterThan">
      <formula>0</formula>
    </cfRule>
    <cfRule type="cellIs" dxfId="38" priority="73" operator="lessThan">
      <formula>0</formula>
    </cfRule>
  </conditionalFormatting>
  <conditionalFormatting sqref="E294:E298">
    <cfRule type="cellIs" dxfId="37" priority="74" operator="greaterThan">
      <formula>0</formula>
    </cfRule>
    <cfRule type="cellIs" dxfId="36" priority="75" operator="lessThan">
      <formula>0</formula>
    </cfRule>
  </conditionalFormatting>
  <conditionalFormatting sqref="E302:E306">
    <cfRule type="cellIs" dxfId="35" priority="76" operator="greaterThan">
      <formula>0</formula>
    </cfRule>
    <cfRule type="cellIs" dxfId="34" priority="77" operator="lessThan">
      <formula>0</formula>
    </cfRule>
  </conditionalFormatting>
  <conditionalFormatting sqref="E310:E314">
    <cfRule type="cellIs" dxfId="33" priority="78" operator="greaterThan">
      <formula>0</formula>
    </cfRule>
    <cfRule type="cellIs" dxfId="32" priority="79" operator="lessThan">
      <formula>0</formula>
    </cfRule>
  </conditionalFormatting>
  <conditionalFormatting sqref="E318:E322">
    <cfRule type="cellIs" dxfId="31" priority="80" operator="greaterThan">
      <formula>0</formula>
    </cfRule>
    <cfRule type="cellIs" dxfId="30" priority="81" operator="lessThan">
      <formula>0</formula>
    </cfRule>
  </conditionalFormatting>
  <conditionalFormatting sqref="E326:E330">
    <cfRule type="cellIs" dxfId="29" priority="82" operator="greaterThan">
      <formula>0</formula>
    </cfRule>
    <cfRule type="cellIs" dxfId="28" priority="83" operator="lessThan">
      <formula>0</formula>
    </cfRule>
  </conditionalFormatting>
  <conditionalFormatting sqref="E334:E338">
    <cfRule type="cellIs" dxfId="27" priority="84" operator="greaterThan">
      <formula>0</formula>
    </cfRule>
    <cfRule type="cellIs" dxfId="26" priority="85" operator="lessThan">
      <formula>0</formula>
    </cfRule>
  </conditionalFormatting>
  <conditionalFormatting sqref="E342:E346">
    <cfRule type="cellIs" dxfId="25" priority="86" operator="greaterThan">
      <formula>0</formula>
    </cfRule>
    <cfRule type="cellIs" dxfId="24" priority="87" operator="lessThan">
      <formula>0</formula>
    </cfRule>
  </conditionalFormatting>
  <conditionalFormatting sqref="E350:E354">
    <cfRule type="cellIs" dxfId="23" priority="88" operator="greaterThan">
      <formula>0</formula>
    </cfRule>
    <cfRule type="cellIs" dxfId="22" priority="89" operator="lessThan">
      <formula>0</formula>
    </cfRule>
  </conditionalFormatting>
  <conditionalFormatting sqref="E358:E362">
    <cfRule type="cellIs" dxfId="21" priority="90" operator="greaterThan">
      <formula>0</formula>
    </cfRule>
    <cfRule type="cellIs" dxfId="20" priority="91" operator="lessThan">
      <formula>0</formula>
    </cfRule>
  </conditionalFormatting>
  <conditionalFormatting sqref="E366:E370">
    <cfRule type="cellIs" dxfId="19" priority="92" operator="greaterThan">
      <formula>0</formula>
    </cfRule>
    <cfRule type="cellIs" dxfId="18" priority="93" operator="lessThan">
      <formula>0</formula>
    </cfRule>
  </conditionalFormatting>
  <conditionalFormatting sqref="E374:E378">
    <cfRule type="cellIs" dxfId="17" priority="94" operator="greaterThan">
      <formula>0</formula>
    </cfRule>
    <cfRule type="cellIs" dxfId="16" priority="95" operator="lessThan">
      <formula>0</formula>
    </cfRule>
  </conditionalFormatting>
  <conditionalFormatting sqref="E382:E386">
    <cfRule type="cellIs" dxfId="15" priority="96" operator="greaterThan">
      <formula>0</formula>
    </cfRule>
    <cfRule type="cellIs" dxfId="14" priority="97" operator="lessThan">
      <formula>0</formula>
    </cfRule>
  </conditionalFormatting>
  <conditionalFormatting sqref="E390:E394">
    <cfRule type="cellIs" dxfId="13" priority="98" operator="greaterThan">
      <formula>0</formula>
    </cfRule>
    <cfRule type="cellIs" dxfId="12" priority="99" operator="lessThan">
      <formula>0</formula>
    </cfRule>
  </conditionalFormatting>
  <conditionalFormatting sqref="E398:E402">
    <cfRule type="cellIs" dxfId="11" priority="100" operator="greaterThan">
      <formula>0</formula>
    </cfRule>
    <cfRule type="cellIs" dxfId="10" priority="101" operator="lessThan">
      <formula>0</formula>
    </cfRule>
  </conditionalFormatting>
  <conditionalFormatting sqref="E406:E410">
    <cfRule type="cellIs" dxfId="9" priority="102" operator="greaterThan">
      <formula>0</formula>
    </cfRule>
    <cfRule type="cellIs" dxfId="8" priority="103" operator="lessThan">
      <formula>0</formula>
    </cfRule>
  </conditionalFormatting>
  <conditionalFormatting sqref="E414:E418">
    <cfRule type="cellIs" dxfId="7" priority="104" operator="greaterThan">
      <formula>0</formula>
    </cfRule>
    <cfRule type="cellIs" dxfId="6" priority="105" operator="lessThan">
      <formula>0</formula>
    </cfRule>
  </conditionalFormatting>
  <conditionalFormatting sqref="E422:E426">
    <cfRule type="cellIs" dxfId="5" priority="106" operator="greaterThan">
      <formula>0</formula>
    </cfRule>
    <cfRule type="cellIs" dxfId="4" priority="107" operator="lessThan">
      <formula>0</formula>
    </cfRule>
  </conditionalFormatting>
  <conditionalFormatting sqref="E430:E434">
    <cfRule type="cellIs" dxfId="3" priority="108" operator="greaterThan">
      <formula>0</formula>
    </cfRule>
    <cfRule type="cellIs" dxfId="2" priority="109" operator="lessThan">
      <formula>0</formula>
    </cfRule>
  </conditionalFormatting>
  <conditionalFormatting sqref="E438:E442">
    <cfRule type="cellIs" dxfId="1" priority="110" operator="greaterThan">
      <formula>0</formula>
    </cfRule>
    <cfRule type="cellIs" dxfId="0" priority="111" operator="lessThan">
      <formula>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8"/>
  <sheetViews>
    <sheetView showGridLines="0" zoomScaleNormal="100" workbookViewId="0">
      <selection sqref="A1:F1"/>
    </sheetView>
  </sheetViews>
  <sheetFormatPr defaultColWidth="8.6328125" defaultRowHeight="14.5" x14ac:dyDescent="0.35"/>
  <cols>
    <col min="1" max="1" width="130" customWidth="1"/>
    <col min="2" max="6" width="2" customWidth="1"/>
  </cols>
  <sheetData>
    <row r="1" spans="1:6" ht="16.5" x14ac:dyDescent="0.35">
      <c r="A1" s="30" t="s">
        <v>155</v>
      </c>
      <c r="B1" s="30"/>
      <c r="C1" s="30"/>
      <c r="D1" s="30"/>
      <c r="E1" s="30"/>
      <c r="F1" s="30"/>
    </row>
    <row r="2" spans="1:6" x14ac:dyDescent="0.35">
      <c r="A2" s="6" t="s">
        <v>156</v>
      </c>
    </row>
    <row r="4" spans="1:6" x14ac:dyDescent="0.35">
      <c r="A4" s="34" t="s">
        <v>157</v>
      </c>
      <c r="B4" s="34"/>
      <c r="C4" s="34"/>
      <c r="D4" s="34"/>
      <c r="E4" s="34"/>
      <c r="F4" s="34"/>
    </row>
    <row r="5" spans="1:6" ht="15" customHeight="1" x14ac:dyDescent="0.35">
      <c r="A5" s="33" t="s">
        <v>158</v>
      </c>
      <c r="B5" s="33"/>
      <c r="C5" s="33"/>
      <c r="D5" s="33"/>
      <c r="E5" s="33"/>
      <c r="F5" s="33"/>
    </row>
    <row r="6" spans="1:6" x14ac:dyDescent="0.35">
      <c r="A6" s="33"/>
      <c r="B6" s="33"/>
      <c r="C6" s="33"/>
      <c r="D6" s="33"/>
      <c r="E6" s="33"/>
      <c r="F6" s="33"/>
    </row>
    <row r="7" spans="1:6" x14ac:dyDescent="0.35">
      <c r="A7" s="33"/>
      <c r="B7" s="33"/>
      <c r="C7" s="33"/>
      <c r="D7" s="33"/>
      <c r="E7" s="33"/>
      <c r="F7" s="33"/>
    </row>
    <row r="8" spans="1:6" x14ac:dyDescent="0.35">
      <c r="A8" s="33"/>
      <c r="B8" s="33"/>
      <c r="C8" s="33"/>
      <c r="D8" s="33"/>
      <c r="E8" s="33"/>
      <c r="F8" s="33"/>
    </row>
    <row r="9" spans="1:6" x14ac:dyDescent="0.35">
      <c r="A9" s="33"/>
      <c r="B9" s="33"/>
      <c r="C9" s="33"/>
      <c r="D9" s="33"/>
      <c r="E9" s="33"/>
      <c r="F9" s="33"/>
    </row>
    <row r="10" spans="1:6" x14ac:dyDescent="0.35">
      <c r="A10" s="33"/>
      <c r="B10" s="33"/>
      <c r="C10" s="33"/>
      <c r="D10" s="33"/>
      <c r="E10" s="33"/>
      <c r="F10" s="33"/>
    </row>
    <row r="12" spans="1:6" x14ac:dyDescent="0.35">
      <c r="A12" s="34" t="s">
        <v>159</v>
      </c>
      <c r="B12" s="34"/>
      <c r="C12" s="34"/>
      <c r="D12" s="34"/>
      <c r="E12" s="34"/>
      <c r="F12" s="34"/>
    </row>
    <row r="13" spans="1:6" ht="15" customHeight="1" x14ac:dyDescent="0.35">
      <c r="A13" s="33" t="s">
        <v>160</v>
      </c>
      <c r="B13" s="33"/>
      <c r="C13" s="33"/>
      <c r="D13" s="33"/>
      <c r="E13" s="33"/>
      <c r="F13" s="33"/>
    </row>
    <row r="14" spans="1:6" x14ac:dyDescent="0.35">
      <c r="A14" s="33"/>
      <c r="B14" s="33"/>
      <c r="C14" s="33"/>
      <c r="D14" s="33"/>
      <c r="E14" s="33"/>
      <c r="F14" s="33"/>
    </row>
    <row r="15" spans="1:6" x14ac:dyDescent="0.35">
      <c r="A15" s="33"/>
      <c r="B15" s="33"/>
      <c r="C15" s="33"/>
      <c r="D15" s="33"/>
      <c r="E15" s="33"/>
      <c r="F15" s="33"/>
    </row>
    <row r="16" spans="1:6" x14ac:dyDescent="0.35">
      <c r="A16" s="33"/>
      <c r="B16" s="33"/>
      <c r="C16" s="33"/>
      <c r="D16" s="33"/>
      <c r="E16" s="33"/>
      <c r="F16" s="33"/>
    </row>
    <row r="17" spans="1:6" x14ac:dyDescent="0.35">
      <c r="A17" s="33"/>
      <c r="B17" s="33"/>
      <c r="C17" s="33"/>
      <c r="D17" s="33"/>
      <c r="E17" s="33"/>
      <c r="F17" s="33"/>
    </row>
    <row r="18" spans="1:6" x14ac:dyDescent="0.35">
      <c r="A18" s="33"/>
      <c r="B18" s="33"/>
      <c r="C18" s="33"/>
      <c r="D18" s="33"/>
      <c r="E18" s="33"/>
      <c r="F18" s="33"/>
    </row>
    <row r="19" spans="1:6" x14ac:dyDescent="0.35">
      <c r="A19" s="33"/>
      <c r="B19" s="33"/>
      <c r="C19" s="33"/>
      <c r="D19" s="33"/>
      <c r="E19" s="33"/>
      <c r="F19" s="33"/>
    </row>
    <row r="21" spans="1:6" x14ac:dyDescent="0.35">
      <c r="A21" s="34" t="s">
        <v>161</v>
      </c>
      <c r="B21" s="34"/>
      <c r="C21" s="34"/>
      <c r="D21" s="34"/>
      <c r="E21" s="34"/>
      <c r="F21" s="34"/>
    </row>
    <row r="22" spans="1:6" ht="15" customHeight="1" x14ac:dyDescent="0.35">
      <c r="A22" s="33" t="s">
        <v>162</v>
      </c>
      <c r="B22" s="33"/>
      <c r="C22" s="33"/>
      <c r="D22" s="33"/>
      <c r="E22" s="33"/>
      <c r="F22" s="33"/>
    </row>
    <row r="23" spans="1:6" x14ac:dyDescent="0.35">
      <c r="A23" s="33"/>
      <c r="B23" s="33"/>
      <c r="C23" s="33"/>
      <c r="D23" s="33"/>
      <c r="E23" s="33"/>
      <c r="F23" s="33"/>
    </row>
    <row r="24" spans="1:6" x14ac:dyDescent="0.35">
      <c r="A24" s="33"/>
      <c r="B24" s="33"/>
      <c r="C24" s="33"/>
      <c r="D24" s="33"/>
      <c r="E24" s="33"/>
      <c r="F24" s="33"/>
    </row>
    <row r="25" spans="1:6" x14ac:dyDescent="0.35">
      <c r="A25" s="33"/>
      <c r="B25" s="33"/>
      <c r="C25" s="33"/>
      <c r="D25" s="33"/>
      <c r="E25" s="33"/>
      <c r="F25" s="33"/>
    </row>
    <row r="26" spans="1:6" x14ac:dyDescent="0.35">
      <c r="A26" s="33"/>
      <c r="B26" s="33"/>
      <c r="C26" s="33"/>
      <c r="D26" s="33"/>
      <c r="E26" s="33"/>
      <c r="F26" s="33"/>
    </row>
    <row r="27" spans="1:6" x14ac:dyDescent="0.35">
      <c r="A27" s="33"/>
      <c r="B27" s="33"/>
      <c r="C27" s="33"/>
      <c r="D27" s="33"/>
      <c r="E27" s="33"/>
      <c r="F27" s="33"/>
    </row>
    <row r="29" spans="1:6" x14ac:dyDescent="0.35">
      <c r="A29" s="34" t="s">
        <v>163</v>
      </c>
      <c r="B29" s="34"/>
      <c r="C29" s="34"/>
      <c r="D29" s="34"/>
      <c r="E29" s="34"/>
      <c r="F29" s="34"/>
    </row>
    <row r="30" spans="1:6" ht="15" customHeight="1" x14ac:dyDescent="0.35">
      <c r="A30" s="33" t="s">
        <v>164</v>
      </c>
      <c r="B30" s="33"/>
      <c r="C30" s="33"/>
      <c r="D30" s="33"/>
      <c r="E30" s="33"/>
      <c r="F30" s="33"/>
    </row>
    <row r="31" spans="1:6" x14ac:dyDescent="0.35">
      <c r="A31" s="33"/>
      <c r="B31" s="33"/>
      <c r="C31" s="33"/>
      <c r="D31" s="33"/>
      <c r="E31" s="33"/>
      <c r="F31" s="33"/>
    </row>
    <row r="32" spans="1:6" x14ac:dyDescent="0.35">
      <c r="A32" s="33"/>
      <c r="B32" s="33"/>
      <c r="C32" s="33"/>
      <c r="D32" s="33"/>
      <c r="E32" s="33"/>
      <c r="F32" s="33"/>
    </row>
    <row r="33" spans="1:6" x14ac:dyDescent="0.35">
      <c r="A33" s="33"/>
      <c r="B33" s="33"/>
      <c r="C33" s="33"/>
      <c r="D33" s="33"/>
      <c r="E33" s="33"/>
      <c r="F33" s="33"/>
    </row>
    <row r="35" spans="1:6" ht="15" customHeight="1" x14ac:dyDescent="0.35">
      <c r="A35" s="33" t="s">
        <v>165</v>
      </c>
      <c r="B35" s="33"/>
      <c r="C35" s="33"/>
      <c r="D35" s="33"/>
      <c r="E35" s="33"/>
      <c r="F35" s="33"/>
    </row>
    <row r="36" spans="1:6" x14ac:dyDescent="0.35">
      <c r="A36" s="33"/>
      <c r="B36" s="33"/>
      <c r="C36" s="33"/>
      <c r="D36" s="33"/>
      <c r="E36" s="33"/>
      <c r="F36" s="33"/>
    </row>
    <row r="37" spans="1:6" x14ac:dyDescent="0.35">
      <c r="A37" s="33"/>
      <c r="B37" s="33"/>
      <c r="C37" s="33"/>
      <c r="D37" s="33"/>
      <c r="E37" s="33"/>
      <c r="F37" s="33"/>
    </row>
    <row r="38" spans="1:6" x14ac:dyDescent="0.35">
      <c r="A38" s="33"/>
      <c r="B38" s="33"/>
      <c r="C38" s="33"/>
      <c r="D38" s="33"/>
      <c r="E38" s="33"/>
      <c r="F38" s="33"/>
    </row>
    <row r="40" spans="1:6" ht="15" customHeight="1" x14ac:dyDescent="0.35">
      <c r="A40" s="33" t="s">
        <v>166</v>
      </c>
      <c r="B40" s="33"/>
      <c r="C40" s="33"/>
      <c r="D40" s="33"/>
      <c r="E40" s="33"/>
      <c r="F40" s="33"/>
    </row>
    <row r="41" spans="1:6" x14ac:dyDescent="0.35">
      <c r="A41" s="33"/>
      <c r="B41" s="33"/>
      <c r="C41" s="33"/>
      <c r="D41" s="33"/>
      <c r="E41" s="33"/>
      <c r="F41" s="33"/>
    </row>
    <row r="42" spans="1:6" x14ac:dyDescent="0.35">
      <c r="A42" s="33"/>
      <c r="B42" s="33"/>
      <c r="C42" s="33"/>
      <c r="D42" s="33"/>
      <c r="E42" s="33"/>
      <c r="F42" s="33"/>
    </row>
    <row r="43" spans="1:6" x14ac:dyDescent="0.35">
      <c r="A43" s="33"/>
      <c r="B43" s="33"/>
      <c r="C43" s="33"/>
      <c r="D43" s="33"/>
      <c r="E43" s="33"/>
      <c r="F43" s="33"/>
    </row>
    <row r="45" spans="1:6" ht="15" customHeight="1" x14ac:dyDescent="0.35">
      <c r="A45" s="33" t="s">
        <v>167</v>
      </c>
      <c r="B45" s="33"/>
      <c r="C45" s="33"/>
      <c r="D45" s="33"/>
      <c r="E45" s="33"/>
      <c r="F45" s="33"/>
    </row>
    <row r="46" spans="1:6" x14ac:dyDescent="0.35">
      <c r="A46" s="33"/>
      <c r="B46" s="33"/>
      <c r="C46" s="33"/>
      <c r="D46" s="33"/>
      <c r="E46" s="33"/>
      <c r="F46" s="33"/>
    </row>
    <row r="47" spans="1:6" x14ac:dyDescent="0.35">
      <c r="A47" s="33"/>
      <c r="B47" s="33"/>
      <c r="C47" s="33"/>
      <c r="D47" s="33"/>
      <c r="E47" s="33"/>
      <c r="F47" s="33"/>
    </row>
    <row r="48" spans="1:6" x14ac:dyDescent="0.35">
      <c r="A48" s="33"/>
      <c r="B48" s="33"/>
      <c r="C48" s="33"/>
      <c r="D48" s="33"/>
      <c r="E48" s="33"/>
      <c r="F48" s="33"/>
    </row>
    <row r="50" spans="1:6" ht="15" customHeight="1" x14ac:dyDescent="0.35">
      <c r="A50" s="33" t="s">
        <v>168</v>
      </c>
      <c r="B50" s="33"/>
      <c r="C50" s="33"/>
      <c r="D50" s="33"/>
      <c r="E50" s="33"/>
      <c r="F50" s="33"/>
    </row>
    <row r="51" spans="1:6" x14ac:dyDescent="0.35">
      <c r="A51" s="33"/>
      <c r="B51" s="33"/>
      <c r="C51" s="33"/>
      <c r="D51" s="33"/>
      <c r="E51" s="33"/>
      <c r="F51" s="33"/>
    </row>
    <row r="52" spans="1:6" x14ac:dyDescent="0.35">
      <c r="A52" s="33"/>
      <c r="B52" s="33"/>
      <c r="C52" s="33"/>
      <c r="D52" s="33"/>
      <c r="E52" s="33"/>
      <c r="F52" s="33"/>
    </row>
    <row r="53" spans="1:6" x14ac:dyDescent="0.35">
      <c r="A53" s="33"/>
      <c r="B53" s="33"/>
      <c r="C53" s="33"/>
      <c r="D53" s="33"/>
      <c r="E53" s="33"/>
      <c r="F53" s="33"/>
    </row>
    <row r="55" spans="1:6" ht="15" customHeight="1" x14ac:dyDescent="0.35">
      <c r="A55" s="33" t="s">
        <v>169</v>
      </c>
      <c r="B55" s="33"/>
      <c r="C55" s="33"/>
      <c r="D55" s="33"/>
      <c r="E55" s="33"/>
      <c r="F55" s="33"/>
    </row>
    <row r="56" spans="1:6" x14ac:dyDescent="0.35">
      <c r="A56" s="33"/>
      <c r="B56" s="33"/>
      <c r="C56" s="33"/>
      <c r="D56" s="33"/>
      <c r="E56" s="33"/>
      <c r="F56" s="33"/>
    </row>
    <row r="57" spans="1:6" x14ac:dyDescent="0.35">
      <c r="A57" s="33"/>
      <c r="B57" s="33"/>
      <c r="C57" s="33"/>
      <c r="D57" s="33"/>
      <c r="E57" s="33"/>
      <c r="F57" s="33"/>
    </row>
    <row r="58" spans="1:6" x14ac:dyDescent="0.35">
      <c r="A58" s="33"/>
      <c r="B58" s="33"/>
      <c r="C58" s="33"/>
      <c r="D58" s="33"/>
      <c r="E58" s="33"/>
      <c r="F58" s="33"/>
    </row>
  </sheetData>
  <mergeCells count="14">
    <mergeCell ref="A1:F1"/>
    <mergeCell ref="A4:F4"/>
    <mergeCell ref="A5:F10"/>
    <mergeCell ref="A12:F12"/>
    <mergeCell ref="A13:F19"/>
    <mergeCell ref="A40:F43"/>
    <mergeCell ref="A45:F48"/>
    <mergeCell ref="A50:F53"/>
    <mergeCell ref="A55:F58"/>
    <mergeCell ref="A21:F21"/>
    <mergeCell ref="A22:F27"/>
    <mergeCell ref="A29:F29"/>
    <mergeCell ref="A30:F33"/>
    <mergeCell ref="A35:F3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R32"/>
  <sheetViews>
    <sheetView showGridLines="0" zoomScaleNormal="100" workbookViewId="0"/>
  </sheetViews>
  <sheetFormatPr defaultColWidth="8.6328125" defaultRowHeight="14.5" x14ac:dyDescent="0.35"/>
  <cols>
    <col min="1" max="1" width="30" customWidth="1"/>
    <col min="2" max="2" width="32" customWidth="1"/>
    <col min="3" max="3" width="45" customWidth="1"/>
    <col min="4" max="70" width="11" customWidth="1"/>
  </cols>
  <sheetData>
    <row r="1" spans="1:70" ht="16.5" x14ac:dyDescent="0.35">
      <c r="A1" s="30" t="s">
        <v>170</v>
      </c>
      <c r="B1" s="30"/>
      <c r="C1" s="30"/>
    </row>
    <row r="2" spans="1:70" x14ac:dyDescent="0.35">
      <c r="A2" s="6" t="s">
        <v>171</v>
      </c>
    </row>
    <row r="4" spans="1:70" ht="22" x14ac:dyDescent="0.35">
      <c r="A4" s="2" t="s">
        <v>62</v>
      </c>
      <c r="B4" s="2" t="s">
        <v>172</v>
      </c>
      <c r="C4" s="2" t="s">
        <v>67</v>
      </c>
      <c r="D4" s="19" t="s">
        <v>173</v>
      </c>
      <c r="E4" s="19" t="s">
        <v>174</v>
      </c>
      <c r="F4" s="19" t="s">
        <v>175</v>
      </c>
      <c r="G4" s="19" t="s">
        <v>176</v>
      </c>
      <c r="H4" s="19" t="s">
        <v>177</v>
      </c>
      <c r="I4" s="19" t="s">
        <v>178</v>
      </c>
      <c r="J4" s="19" t="s">
        <v>179</v>
      </c>
      <c r="K4" s="19" t="s">
        <v>180</v>
      </c>
      <c r="L4" s="19" t="s">
        <v>181</v>
      </c>
      <c r="M4" s="19" t="s">
        <v>182</v>
      </c>
      <c r="N4" s="19" t="s">
        <v>183</v>
      </c>
      <c r="O4" s="19" t="s">
        <v>184</v>
      </c>
      <c r="P4" s="19" t="s">
        <v>185</v>
      </c>
      <c r="Q4" s="19" t="s">
        <v>186</v>
      </c>
      <c r="R4" s="19" t="s">
        <v>187</v>
      </c>
      <c r="S4" s="19" t="s">
        <v>188</v>
      </c>
      <c r="T4" s="19" t="s">
        <v>189</v>
      </c>
      <c r="U4" s="19" t="s">
        <v>190</v>
      </c>
      <c r="V4" s="19" t="s">
        <v>191</v>
      </c>
      <c r="W4" s="19" t="s">
        <v>192</v>
      </c>
      <c r="X4" s="19" t="s">
        <v>193</v>
      </c>
      <c r="Y4" s="19" t="s">
        <v>194</v>
      </c>
      <c r="Z4" s="19" t="s">
        <v>195</v>
      </c>
      <c r="AA4" s="19" t="s">
        <v>196</v>
      </c>
      <c r="AB4" s="19" t="s">
        <v>197</v>
      </c>
      <c r="AC4" s="19" t="s">
        <v>198</v>
      </c>
      <c r="AD4" s="19" t="s">
        <v>199</v>
      </c>
      <c r="AE4" s="19" t="s">
        <v>200</v>
      </c>
      <c r="AF4" s="19" t="s">
        <v>201</v>
      </c>
      <c r="AG4" s="19" t="s">
        <v>202</v>
      </c>
      <c r="AH4" s="19" t="s">
        <v>203</v>
      </c>
      <c r="AI4" s="19" t="s">
        <v>204</v>
      </c>
      <c r="AJ4" s="19" t="s">
        <v>205</v>
      </c>
      <c r="AK4" s="19" t="s">
        <v>206</v>
      </c>
      <c r="AL4" s="19" t="s">
        <v>207</v>
      </c>
      <c r="AM4" s="19" t="s">
        <v>208</v>
      </c>
      <c r="AN4" s="19" t="s">
        <v>209</v>
      </c>
      <c r="AO4" s="19" t="s">
        <v>210</v>
      </c>
      <c r="AP4" s="19" t="s">
        <v>211</v>
      </c>
      <c r="AQ4" s="19" t="s">
        <v>212</v>
      </c>
      <c r="AR4" s="19" t="s">
        <v>213</v>
      </c>
      <c r="AS4" s="19" t="s">
        <v>214</v>
      </c>
      <c r="AT4" s="19" t="s">
        <v>215</v>
      </c>
      <c r="AU4" s="19" t="s">
        <v>216</v>
      </c>
      <c r="AV4" s="19" t="s">
        <v>217</v>
      </c>
      <c r="AW4" s="19" t="s">
        <v>218</v>
      </c>
      <c r="AX4" s="19" t="s">
        <v>219</v>
      </c>
      <c r="AY4" s="19" t="s">
        <v>220</v>
      </c>
      <c r="AZ4" s="19" t="s">
        <v>221</v>
      </c>
      <c r="BA4" s="19" t="s">
        <v>222</v>
      </c>
      <c r="BB4" s="19" t="s">
        <v>223</v>
      </c>
      <c r="BC4" s="19" t="s">
        <v>224</v>
      </c>
      <c r="BD4" s="19" t="s">
        <v>225</v>
      </c>
      <c r="BE4" s="19" t="s">
        <v>226</v>
      </c>
      <c r="BF4" s="19" t="s">
        <v>227</v>
      </c>
      <c r="BG4" s="19" t="s">
        <v>228</v>
      </c>
      <c r="BH4" s="19" t="s">
        <v>229</v>
      </c>
      <c r="BI4" s="19" t="s">
        <v>230</v>
      </c>
      <c r="BJ4" s="19" t="s">
        <v>231</v>
      </c>
      <c r="BK4" s="19" t="s">
        <v>232</v>
      </c>
      <c r="BL4" s="19" t="s">
        <v>233</v>
      </c>
      <c r="BM4" s="19" t="s">
        <v>234</v>
      </c>
      <c r="BN4" s="19" t="s">
        <v>235</v>
      </c>
      <c r="BO4" s="19" t="s">
        <v>236</v>
      </c>
      <c r="BP4" s="19" t="s">
        <v>237</v>
      </c>
      <c r="BQ4" s="19" t="s">
        <v>238</v>
      </c>
      <c r="BR4" s="19" t="s">
        <v>239</v>
      </c>
    </row>
    <row r="5" spans="1:70" x14ac:dyDescent="0.35">
      <c r="A5" s="3" t="s">
        <v>123</v>
      </c>
      <c r="B5" s="20" t="s">
        <v>240</v>
      </c>
      <c r="C5" s="13"/>
      <c r="D5" s="21">
        <f>'Data Des 2025'!AB5</f>
        <v>12000</v>
      </c>
      <c r="E5" s="21">
        <f>'Data Jan 2026'!AF5</f>
        <v>12000</v>
      </c>
      <c r="F5" s="21">
        <f>'Data Feb 2026'!AB5</f>
        <v>12000</v>
      </c>
      <c r="G5" s="21">
        <f>'Data Mar 2026'!AD5</f>
        <v>12000</v>
      </c>
      <c r="H5" s="21">
        <f>'Data Apr 2025'!AE5</f>
        <v>12000</v>
      </c>
      <c r="I5" s="21">
        <f>'Data Mei 2026'!AE5</f>
        <v>12000</v>
      </c>
      <c r="J5" s="21">
        <f>'Data Jun 2026'!AB5</f>
        <v>12000</v>
      </c>
      <c r="K5" s="21">
        <f>'Data Jul 2026'!AF5</f>
        <v>12391.304347826086</v>
      </c>
      <c r="L5" s="21">
        <f>'DATAAGUSTUS 2026'!AB5</f>
        <v>0</v>
      </c>
      <c r="M5" s="21" t="e">
        <f>#REF!</f>
        <v>#REF!</v>
      </c>
      <c r="N5" s="21" t="e">
        <f>#REF!</f>
        <v>#REF!</v>
      </c>
      <c r="O5" s="21" t="e">
        <f>#REF!</f>
        <v>#REF!</v>
      </c>
      <c r="P5" s="21">
        <f>'Data Jan 2026'!AA5</f>
        <v>12000</v>
      </c>
      <c r="Q5" s="21">
        <f>'Data Jan 2026'!AB5</f>
        <v>12000</v>
      </c>
      <c r="R5" s="21">
        <f>'Data Jan 2026'!AC5</f>
        <v>12000</v>
      </c>
      <c r="S5" s="21">
        <f>'Data Jan 2026'!AD5</f>
        <v>12000</v>
      </c>
      <c r="T5" s="21">
        <f>'Data Jan 2026'!AE5</f>
        <v>12000</v>
      </c>
      <c r="U5" s="21">
        <f>'Data Feb 2026'!X5</f>
        <v>12000</v>
      </c>
      <c r="V5" s="21">
        <f>'Data Feb 2026'!Y5</f>
        <v>12000</v>
      </c>
      <c r="W5" s="21">
        <f>'Data Feb 2026'!Z5</f>
        <v>12000</v>
      </c>
      <c r="X5" s="21">
        <f>'Data Feb 2026'!AA5</f>
        <v>12000</v>
      </c>
      <c r="Y5" s="21">
        <f>'Data Mar 2026'!Y5</f>
        <v>12000</v>
      </c>
      <c r="Z5" s="21">
        <f>'Data Mar 2026'!Z5</f>
        <v>12000</v>
      </c>
      <c r="AA5" s="21">
        <f>'Data Mar 2026'!AA5</f>
        <v>12000</v>
      </c>
      <c r="AB5" s="21">
        <f>'Data Mar 2026'!AB5</f>
        <v>12000</v>
      </c>
      <c r="AC5" s="21" t="str">
        <f>'Data Mar 2026'!AC5</f>
        <v/>
      </c>
      <c r="AD5" s="21" t="str">
        <f>'Data Apr 2025'!Z5</f>
        <v/>
      </c>
      <c r="AE5" s="21">
        <f>'Data Apr 2025'!AA5</f>
        <v>12000</v>
      </c>
      <c r="AF5" s="21">
        <f>'Data Apr 2025'!AB5</f>
        <v>12000</v>
      </c>
      <c r="AG5" s="21">
        <f>'Data Apr 2025'!AC5</f>
        <v>12000</v>
      </c>
      <c r="AH5" s="21">
        <f>'Data Apr 2025'!AD5</f>
        <v>12000</v>
      </c>
      <c r="AI5" s="21">
        <f>'Data Mei 2026'!Z5</f>
        <v>12000</v>
      </c>
      <c r="AJ5" s="21">
        <f>'Data Mei 2026'!AA5</f>
        <v>12000</v>
      </c>
      <c r="AK5" s="21">
        <f>'Data Mei 2026'!AB5</f>
        <v>12000</v>
      </c>
      <c r="AL5" s="21">
        <f>'Data Mei 2026'!AC5</f>
        <v>12000</v>
      </c>
      <c r="AM5" s="21">
        <f>'Data Mei 2026'!AD5</f>
        <v>12000</v>
      </c>
      <c r="AN5" s="21">
        <f>'Data Jun 2026'!X5</f>
        <v>12000</v>
      </c>
      <c r="AO5" s="21">
        <f>'Data Jun 2026'!Y5</f>
        <v>12000</v>
      </c>
      <c r="AP5" s="21">
        <f>'Data Jun 2026'!Z5</f>
        <v>12000</v>
      </c>
      <c r="AQ5" s="21">
        <f>'Data Jun 2026'!AA5</f>
        <v>12000</v>
      </c>
      <c r="AR5" s="21">
        <f>'Data Jul 2026'!AA5</f>
        <v>12000</v>
      </c>
      <c r="AS5" s="21">
        <f>'Data Jul 2026'!AB5</f>
        <v>12000</v>
      </c>
      <c r="AT5" s="21">
        <f>'Data Jul 2026'!AC5</f>
        <v>12000</v>
      </c>
      <c r="AU5" s="21">
        <f>'Data Jul 2026'!AD5</f>
        <v>13000</v>
      </c>
      <c r="AV5" s="21">
        <f>'Data Jul 2026'!AE5</f>
        <v>13000</v>
      </c>
      <c r="AW5" s="21">
        <f>'DATAAGUSTUS 2026'!X5</f>
        <v>0</v>
      </c>
      <c r="AX5" s="21">
        <f>'DATAAGUSTUS 2026'!Y5</f>
        <v>0</v>
      </c>
      <c r="AY5" s="21">
        <f>'DATAAGUSTUS 2026'!Z5</f>
        <v>0</v>
      </c>
      <c r="AZ5" s="21">
        <f>'DATAAGUSTUS 2026'!AA5</f>
        <v>0</v>
      </c>
      <c r="BA5" s="21" t="e">
        <f>#REF!</f>
        <v>#REF!</v>
      </c>
      <c r="BB5" s="21" t="e">
        <f>#REF!</f>
        <v>#REF!</v>
      </c>
      <c r="BC5" s="21" t="e">
        <f>#REF!</f>
        <v>#REF!</v>
      </c>
      <c r="BD5" s="21" t="e">
        <f>#REF!</f>
        <v>#REF!</v>
      </c>
      <c r="BE5" s="21" t="e">
        <f>#REF!</f>
        <v>#REF!</v>
      </c>
      <c r="BF5" s="21" t="e">
        <f>#REF!</f>
        <v>#REF!</v>
      </c>
      <c r="BG5" s="21" t="e">
        <f>#REF!</f>
        <v>#REF!</v>
      </c>
      <c r="BH5" s="21" t="e">
        <f>#REF!</f>
        <v>#REF!</v>
      </c>
      <c r="BI5" s="21" t="e">
        <f>#REF!</f>
        <v>#REF!</v>
      </c>
      <c r="BJ5" s="21" t="e">
        <f>#REF!</f>
        <v>#REF!</v>
      </c>
      <c r="BK5" s="21" t="e">
        <f>#REF!</f>
        <v>#REF!</v>
      </c>
      <c r="BL5" s="21" t="e">
        <f>#REF!</f>
        <v>#REF!</v>
      </c>
      <c r="BM5" s="21" t="e">
        <f>#REF!</f>
        <v>#REF!</v>
      </c>
      <c r="BN5" s="21" t="e">
        <f>#REF!</f>
        <v>#REF!</v>
      </c>
      <c r="BO5" s="21" t="e">
        <f>#REF!</f>
        <v>#REF!</v>
      </c>
      <c r="BP5" s="21" t="e">
        <f>#REF!</f>
        <v>#REF!</v>
      </c>
      <c r="BQ5" s="21" t="e">
        <f>#REF!</f>
        <v>#REF!</v>
      </c>
      <c r="BR5" s="21" t="e">
        <f>#REF!</f>
        <v>#REF!</v>
      </c>
    </row>
    <row r="6" spans="1:70" x14ac:dyDescent="0.35">
      <c r="A6" s="3" t="s">
        <v>123</v>
      </c>
      <c r="B6" s="20" t="s">
        <v>241</v>
      </c>
      <c r="C6" s="13"/>
      <c r="D6" s="21">
        <f>'Data Des 2025'!AB6</f>
        <v>13000</v>
      </c>
      <c r="E6" s="21">
        <f>'Data Jan 2026'!AF6</f>
        <v>13000</v>
      </c>
      <c r="F6" s="21">
        <f>'Data Feb 2026'!AB6</f>
        <v>13000</v>
      </c>
      <c r="G6" s="21">
        <f>'Data Mar 2026'!AD6</f>
        <v>13000</v>
      </c>
      <c r="H6" s="21">
        <f>'Data Apr 2025'!AE6</f>
        <v>13000</v>
      </c>
      <c r="I6" s="21">
        <f>'Data Mei 2026'!AE6</f>
        <v>13000</v>
      </c>
      <c r="J6" s="21">
        <f>'Data Jun 2026'!AB6</f>
        <v>13000</v>
      </c>
      <c r="K6" s="21">
        <f>'Data Jul 2026'!AF6</f>
        <v>13391.304347826086</v>
      </c>
      <c r="L6" s="21">
        <f>'DATAAGUSTUS 2026'!AB6</f>
        <v>0</v>
      </c>
      <c r="M6" s="21" t="e">
        <f>#REF!</f>
        <v>#REF!</v>
      </c>
      <c r="N6" s="21" t="e">
        <f>#REF!</f>
        <v>#REF!</v>
      </c>
      <c r="O6" s="21" t="e">
        <f>#REF!</f>
        <v>#REF!</v>
      </c>
      <c r="P6" s="21">
        <f>'Data Jan 2026'!AA6</f>
        <v>13000</v>
      </c>
      <c r="Q6" s="21">
        <f>'Data Jan 2026'!AB6</f>
        <v>13000</v>
      </c>
      <c r="R6" s="21">
        <f>'Data Jan 2026'!AC6</f>
        <v>13000</v>
      </c>
      <c r="S6" s="21">
        <f>'Data Jan 2026'!AD6</f>
        <v>13000</v>
      </c>
      <c r="T6" s="21">
        <f>'Data Jan 2026'!AE6</f>
        <v>13000</v>
      </c>
      <c r="U6" s="21">
        <f>'Data Feb 2026'!X6</f>
        <v>13000</v>
      </c>
      <c r="V6" s="21">
        <f>'Data Feb 2026'!Y6</f>
        <v>13000</v>
      </c>
      <c r="W6" s="21">
        <f>'Data Feb 2026'!Z6</f>
        <v>13000</v>
      </c>
      <c r="X6" s="21">
        <f>'Data Feb 2026'!AA6</f>
        <v>13000</v>
      </c>
      <c r="Y6" s="21">
        <f>'Data Mar 2026'!Y6</f>
        <v>13000</v>
      </c>
      <c r="Z6" s="21">
        <f>'Data Mar 2026'!Z6</f>
        <v>13000</v>
      </c>
      <c r="AA6" s="21">
        <f>'Data Mar 2026'!AA6</f>
        <v>13000</v>
      </c>
      <c r="AB6" s="21">
        <f>'Data Mar 2026'!AB6</f>
        <v>13000</v>
      </c>
      <c r="AC6" s="21" t="str">
        <f>'Data Mar 2026'!AC6</f>
        <v/>
      </c>
      <c r="AD6" s="21" t="str">
        <f>'Data Apr 2025'!Z6</f>
        <v/>
      </c>
      <c r="AE6" s="21">
        <f>'Data Apr 2025'!AA6</f>
        <v>13000</v>
      </c>
      <c r="AF6" s="21">
        <f>'Data Apr 2025'!AB6</f>
        <v>13000</v>
      </c>
      <c r="AG6" s="21">
        <f>'Data Apr 2025'!AC6</f>
        <v>13000</v>
      </c>
      <c r="AH6" s="21">
        <f>'Data Apr 2025'!AD6</f>
        <v>13000</v>
      </c>
      <c r="AI6" s="21">
        <f>'Data Mei 2026'!Z6</f>
        <v>13000</v>
      </c>
      <c r="AJ6" s="21">
        <f>'Data Mei 2026'!AA6</f>
        <v>13000</v>
      </c>
      <c r="AK6" s="21">
        <f>'Data Mei 2026'!AB6</f>
        <v>13000</v>
      </c>
      <c r="AL6" s="21">
        <f>'Data Mei 2026'!AC6</f>
        <v>13000</v>
      </c>
      <c r="AM6" s="21">
        <f>'Data Mei 2026'!AD6</f>
        <v>13000</v>
      </c>
      <c r="AN6" s="21">
        <f>'Data Jun 2026'!X6</f>
        <v>13000</v>
      </c>
      <c r="AO6" s="21">
        <f>'Data Jun 2026'!Y6</f>
        <v>13000</v>
      </c>
      <c r="AP6" s="21">
        <f>'Data Jun 2026'!Z6</f>
        <v>13000</v>
      </c>
      <c r="AQ6" s="21">
        <f>'Data Jun 2026'!AA6</f>
        <v>13000</v>
      </c>
      <c r="AR6" s="21">
        <f>'Data Jul 2026'!AA6</f>
        <v>13000</v>
      </c>
      <c r="AS6" s="21">
        <f>'Data Jul 2026'!AB6</f>
        <v>13000</v>
      </c>
      <c r="AT6" s="21">
        <f>'Data Jul 2026'!AC6</f>
        <v>13000</v>
      </c>
      <c r="AU6" s="21">
        <f>'Data Jul 2026'!AD6</f>
        <v>14000</v>
      </c>
      <c r="AV6" s="21">
        <f>'Data Jul 2026'!AE6</f>
        <v>14000</v>
      </c>
      <c r="AW6" s="21">
        <f>'DATAAGUSTUS 2026'!X6</f>
        <v>0</v>
      </c>
      <c r="AX6" s="21">
        <f>'DATAAGUSTUS 2026'!Y6</f>
        <v>0</v>
      </c>
      <c r="AY6" s="21">
        <f>'DATAAGUSTUS 2026'!Z6</f>
        <v>0</v>
      </c>
      <c r="AZ6" s="21">
        <f>'DATAAGUSTUS 2026'!AA6</f>
        <v>0</v>
      </c>
      <c r="BA6" s="21" t="e">
        <f>#REF!</f>
        <v>#REF!</v>
      </c>
      <c r="BB6" s="21" t="e">
        <f>#REF!</f>
        <v>#REF!</v>
      </c>
      <c r="BC6" s="21" t="e">
        <f>#REF!</f>
        <v>#REF!</v>
      </c>
      <c r="BD6" s="21" t="e">
        <f>#REF!</f>
        <v>#REF!</v>
      </c>
      <c r="BE6" s="21" t="e">
        <f>#REF!</f>
        <v>#REF!</v>
      </c>
      <c r="BF6" s="21" t="e">
        <f>#REF!</f>
        <v>#REF!</v>
      </c>
      <c r="BG6" s="21" t="e">
        <f>#REF!</f>
        <v>#REF!</v>
      </c>
      <c r="BH6" s="21" t="e">
        <f>#REF!</f>
        <v>#REF!</v>
      </c>
      <c r="BI6" s="21" t="e">
        <f>#REF!</f>
        <v>#REF!</v>
      </c>
      <c r="BJ6" s="21" t="e">
        <f>#REF!</f>
        <v>#REF!</v>
      </c>
      <c r="BK6" s="21" t="e">
        <f>#REF!</f>
        <v>#REF!</v>
      </c>
      <c r="BL6" s="21" t="e">
        <f>#REF!</f>
        <v>#REF!</v>
      </c>
      <c r="BM6" s="21" t="e">
        <f>#REF!</f>
        <v>#REF!</v>
      </c>
      <c r="BN6" s="21" t="e">
        <f>#REF!</f>
        <v>#REF!</v>
      </c>
      <c r="BO6" s="21" t="e">
        <f>#REF!</f>
        <v>#REF!</v>
      </c>
      <c r="BP6" s="21" t="e">
        <f>#REF!</f>
        <v>#REF!</v>
      </c>
      <c r="BQ6" s="21" t="e">
        <f>#REF!</f>
        <v>#REF!</v>
      </c>
      <c r="BR6" s="21" t="e">
        <f>#REF!</f>
        <v>#REF!</v>
      </c>
    </row>
    <row r="7" spans="1:70" x14ac:dyDescent="0.35">
      <c r="A7" s="3" t="s">
        <v>123</v>
      </c>
      <c r="B7" s="20" t="s">
        <v>242</v>
      </c>
      <c r="C7" s="13"/>
      <c r="D7" s="21">
        <f>'Data Des 2025'!AB7</f>
        <v>12500</v>
      </c>
      <c r="E7" s="21">
        <f>'Data Jan 2026'!AF7</f>
        <v>12500</v>
      </c>
      <c r="F7" s="21">
        <f>'Data Feb 2026'!AB7</f>
        <v>12500</v>
      </c>
      <c r="G7" s="21">
        <f>'Data Mar 2026'!AD7</f>
        <v>12500</v>
      </c>
      <c r="H7" s="21">
        <f>'Data Apr 2025'!AE7</f>
        <v>12500</v>
      </c>
      <c r="I7" s="21" t="str">
        <f>'Data Mei 2026'!AE7</f>
        <v/>
      </c>
      <c r="J7" s="21" t="str">
        <f>'Data Jun 2026'!AB7</f>
        <v/>
      </c>
      <c r="K7" s="21">
        <f>'Data Jul 2026'!AF7</f>
        <v>12500</v>
      </c>
      <c r="L7" s="21">
        <f>'DATAAGUSTUS 2026'!AB7</f>
        <v>0</v>
      </c>
      <c r="M7" s="21" t="e">
        <f>#REF!</f>
        <v>#REF!</v>
      </c>
      <c r="N7" s="21" t="e">
        <f>#REF!</f>
        <v>#REF!</v>
      </c>
      <c r="O7" s="21" t="e">
        <f>#REF!</f>
        <v>#REF!</v>
      </c>
      <c r="P7" s="21">
        <f>'Data Jan 2026'!AA7</f>
        <v>12500</v>
      </c>
      <c r="Q7" s="21">
        <f>'Data Jan 2026'!AB7</f>
        <v>12500</v>
      </c>
      <c r="R7" s="21">
        <f>'Data Jan 2026'!AC7</f>
        <v>12500</v>
      </c>
      <c r="S7" s="21">
        <f>'Data Jan 2026'!AD7</f>
        <v>12500</v>
      </c>
      <c r="T7" s="21">
        <f>'Data Jan 2026'!AE7</f>
        <v>12500</v>
      </c>
      <c r="U7" s="21">
        <f>'Data Feb 2026'!X7</f>
        <v>12500</v>
      </c>
      <c r="V7" s="21">
        <f>'Data Feb 2026'!Y7</f>
        <v>12500</v>
      </c>
      <c r="W7" s="21" t="str">
        <f>'Data Feb 2026'!Z7</f>
        <v/>
      </c>
      <c r="X7" s="21" t="str">
        <f>'Data Feb 2026'!AA7</f>
        <v/>
      </c>
      <c r="Y7" s="21">
        <f>'Data Mar 2026'!Y7</f>
        <v>12500</v>
      </c>
      <c r="Z7" s="21">
        <f>'Data Mar 2026'!Z7</f>
        <v>12500</v>
      </c>
      <c r="AA7" s="21">
        <f>'Data Mar 2026'!AA7</f>
        <v>12500</v>
      </c>
      <c r="AB7" s="21">
        <f>'Data Mar 2026'!AB7</f>
        <v>12500</v>
      </c>
      <c r="AC7" s="21" t="str">
        <f>'Data Mar 2026'!AC7</f>
        <v/>
      </c>
      <c r="AD7" s="21" t="str">
        <f>'Data Apr 2025'!Z7</f>
        <v/>
      </c>
      <c r="AE7" s="21">
        <f>'Data Apr 2025'!AA7</f>
        <v>12500</v>
      </c>
      <c r="AF7" s="21" t="str">
        <f>'Data Apr 2025'!AB7</f>
        <v/>
      </c>
      <c r="AG7" s="21" t="str">
        <f>'Data Apr 2025'!AC7</f>
        <v/>
      </c>
      <c r="AH7" s="21" t="str">
        <f>'Data Apr 2025'!AD7</f>
        <v/>
      </c>
      <c r="AI7" s="21" t="str">
        <f>'Data Mei 2026'!Z7</f>
        <v/>
      </c>
      <c r="AJ7" s="21" t="str">
        <f>'Data Mei 2026'!AA7</f>
        <v/>
      </c>
      <c r="AK7" s="21" t="str">
        <f>'Data Mei 2026'!AB7</f>
        <v/>
      </c>
      <c r="AL7" s="21" t="str">
        <f>'Data Mei 2026'!AC7</f>
        <v/>
      </c>
      <c r="AM7" s="21" t="str">
        <f>'Data Mei 2026'!AD7</f>
        <v/>
      </c>
      <c r="AN7" s="21" t="str">
        <f>'Data Jun 2026'!X7</f>
        <v/>
      </c>
      <c r="AO7" s="21" t="str">
        <f>'Data Jun 2026'!Y7</f>
        <v/>
      </c>
      <c r="AP7" s="21" t="str">
        <f>'Data Jun 2026'!Z7</f>
        <v/>
      </c>
      <c r="AQ7" s="21" t="str">
        <f>'Data Jun 2026'!AA7</f>
        <v/>
      </c>
      <c r="AR7" s="21" t="str">
        <f>'Data Jul 2026'!AA7</f>
        <v/>
      </c>
      <c r="AS7" s="21" t="str">
        <f>'Data Jul 2026'!AB7</f>
        <v/>
      </c>
      <c r="AT7" s="21">
        <f>'Data Jul 2026'!AC7</f>
        <v>12500</v>
      </c>
      <c r="AU7" s="21">
        <f>'Data Jul 2026'!AD7</f>
        <v>12500</v>
      </c>
      <c r="AV7" s="21">
        <f>'Data Jul 2026'!AE7</f>
        <v>12500</v>
      </c>
      <c r="AW7" s="21">
        <f>'DATAAGUSTUS 2026'!X7</f>
        <v>0</v>
      </c>
      <c r="AX7" s="21">
        <f>'DATAAGUSTUS 2026'!Y7</f>
        <v>0</v>
      </c>
      <c r="AY7" s="21">
        <f>'DATAAGUSTUS 2026'!Z7</f>
        <v>0</v>
      </c>
      <c r="AZ7" s="21">
        <f>'DATAAGUSTUS 2026'!AA7</f>
        <v>0</v>
      </c>
      <c r="BA7" s="21" t="e">
        <f>#REF!</f>
        <v>#REF!</v>
      </c>
      <c r="BB7" s="21" t="e">
        <f>#REF!</f>
        <v>#REF!</v>
      </c>
      <c r="BC7" s="21" t="e">
        <f>#REF!</f>
        <v>#REF!</v>
      </c>
      <c r="BD7" s="21" t="e">
        <f>#REF!</f>
        <v>#REF!</v>
      </c>
      <c r="BE7" s="21" t="e">
        <f>#REF!</f>
        <v>#REF!</v>
      </c>
      <c r="BF7" s="21" t="e">
        <f>#REF!</f>
        <v>#REF!</v>
      </c>
      <c r="BG7" s="21" t="e">
        <f>#REF!</f>
        <v>#REF!</v>
      </c>
      <c r="BH7" s="21" t="e">
        <f>#REF!</f>
        <v>#REF!</v>
      </c>
      <c r="BI7" s="21" t="e">
        <f>#REF!</f>
        <v>#REF!</v>
      </c>
      <c r="BJ7" s="21" t="e">
        <f>#REF!</f>
        <v>#REF!</v>
      </c>
      <c r="BK7" s="21" t="e">
        <f>#REF!</f>
        <v>#REF!</v>
      </c>
      <c r="BL7" s="21" t="e">
        <f>#REF!</f>
        <v>#REF!</v>
      </c>
      <c r="BM7" s="21" t="e">
        <f>#REF!</f>
        <v>#REF!</v>
      </c>
      <c r="BN7" s="21" t="e">
        <f>#REF!</f>
        <v>#REF!</v>
      </c>
      <c r="BO7" s="21" t="e">
        <f>#REF!</f>
        <v>#REF!</v>
      </c>
      <c r="BP7" s="21" t="e">
        <f>#REF!</f>
        <v>#REF!</v>
      </c>
      <c r="BQ7" s="21" t="e">
        <f>#REF!</f>
        <v>#REF!</v>
      </c>
      <c r="BR7" s="21" t="e">
        <f>#REF!</f>
        <v>#REF!</v>
      </c>
    </row>
    <row r="8" spans="1:70" x14ac:dyDescent="0.35">
      <c r="A8" s="3" t="s">
        <v>124</v>
      </c>
      <c r="B8" s="20" t="s">
        <v>243</v>
      </c>
      <c r="C8" s="13"/>
      <c r="D8" s="21">
        <f>'Data Des 2025'!AB17</f>
        <v>9500</v>
      </c>
      <c r="E8" s="21">
        <f>'Data Jan 2026'!AF17</f>
        <v>9157.894736842105</v>
      </c>
      <c r="F8" s="21">
        <f>'Data Feb 2026'!AB17</f>
        <v>9000</v>
      </c>
      <c r="G8" s="21">
        <f>'Data Mar 2026'!AD17</f>
        <v>9000</v>
      </c>
      <c r="H8" s="21">
        <f>'Data Apr 2025'!AE17</f>
        <v>9000</v>
      </c>
      <c r="I8" s="21">
        <f>'Data Mei 2026'!AE17</f>
        <v>9000</v>
      </c>
      <c r="J8" s="21">
        <f>'Data Jun 2026'!AB17</f>
        <v>9558.823529411764</v>
      </c>
      <c r="K8" s="21">
        <f>'Data Jul 2026'!AF17</f>
        <v>11500</v>
      </c>
      <c r="L8" s="21">
        <f>'DATAAGUSTUS 2026'!AB17</f>
        <v>0</v>
      </c>
      <c r="M8" s="21" t="e">
        <f>#REF!</f>
        <v>#REF!</v>
      </c>
      <c r="N8" s="21" t="e">
        <f>#REF!</f>
        <v>#REF!</v>
      </c>
      <c r="O8" s="21" t="e">
        <f>#REF!</f>
        <v>#REF!</v>
      </c>
      <c r="P8" s="21">
        <f>'Data Jan 2026'!AA17</f>
        <v>9500</v>
      </c>
      <c r="Q8" s="21">
        <f>'Data Jan 2026'!AB17</f>
        <v>9400</v>
      </c>
      <c r="R8" s="21">
        <f>'Data Jan 2026'!AC17</f>
        <v>9000</v>
      </c>
      <c r="S8" s="21">
        <f>'Data Jan 2026'!AD17</f>
        <v>9000</v>
      </c>
      <c r="T8" s="21">
        <f>'Data Jan 2026'!AE17</f>
        <v>9000</v>
      </c>
      <c r="U8" s="21">
        <f>'Data Feb 2026'!X17</f>
        <v>9000</v>
      </c>
      <c r="V8" s="21">
        <f>'Data Feb 2026'!Y17</f>
        <v>9000</v>
      </c>
      <c r="W8" s="21">
        <f>'Data Feb 2026'!Z17</f>
        <v>9000</v>
      </c>
      <c r="X8" s="21">
        <f>'Data Feb 2026'!AA17</f>
        <v>9000</v>
      </c>
      <c r="Y8" s="21">
        <f>'Data Mar 2026'!Y17</f>
        <v>9000</v>
      </c>
      <c r="Z8" s="21">
        <f>'Data Mar 2026'!Z17</f>
        <v>9000</v>
      </c>
      <c r="AA8" s="21">
        <f>'Data Mar 2026'!AA17</f>
        <v>9000</v>
      </c>
      <c r="AB8" s="21">
        <f>'Data Mar 2026'!AB17</f>
        <v>9000</v>
      </c>
      <c r="AC8" s="21" t="str">
        <f>'Data Mar 2026'!AC17</f>
        <v/>
      </c>
      <c r="AD8" s="21" t="str">
        <f>'Data Apr 2025'!Z17</f>
        <v/>
      </c>
      <c r="AE8" s="21">
        <f>'Data Apr 2025'!AA17</f>
        <v>9000</v>
      </c>
      <c r="AF8" s="21">
        <f>'Data Apr 2025'!AB17</f>
        <v>9000</v>
      </c>
      <c r="AG8" s="21">
        <f>'Data Apr 2025'!AC17</f>
        <v>9000</v>
      </c>
      <c r="AH8" s="21">
        <f>'Data Apr 2025'!AD17</f>
        <v>9000</v>
      </c>
      <c r="AI8" s="21">
        <f>'Data Mei 2026'!Z17</f>
        <v>9000</v>
      </c>
      <c r="AJ8" s="21">
        <f>'Data Mei 2026'!AA17</f>
        <v>9000</v>
      </c>
      <c r="AK8" s="21">
        <f>'Data Mei 2026'!AB17</f>
        <v>9000</v>
      </c>
      <c r="AL8" s="21">
        <f>'Data Mei 2026'!AC17</f>
        <v>9000</v>
      </c>
      <c r="AM8" s="21">
        <f>'Data Mei 2026'!AD17</f>
        <v>9000</v>
      </c>
      <c r="AN8" s="21">
        <f>'Data Jun 2026'!X17</f>
        <v>9000</v>
      </c>
      <c r="AO8" s="21">
        <f>'Data Jun 2026'!Y17</f>
        <v>9000</v>
      </c>
      <c r="AP8" s="21">
        <f>'Data Jun 2026'!Z17</f>
        <v>9000</v>
      </c>
      <c r="AQ8" s="21">
        <f>'Data Jun 2026'!AA17</f>
        <v>11375</v>
      </c>
      <c r="AR8" s="21">
        <f>'Data Jul 2026'!AA17</f>
        <v>11500</v>
      </c>
      <c r="AS8" s="21">
        <f>'Data Jul 2026'!AB17</f>
        <v>11500</v>
      </c>
      <c r="AT8" s="21">
        <f>'Data Jul 2026'!AC17</f>
        <v>11500</v>
      </c>
      <c r="AU8" s="21">
        <f>'Data Jul 2026'!AD17</f>
        <v>11500</v>
      </c>
      <c r="AV8" s="21">
        <f>'Data Jul 2026'!AE17</f>
        <v>11500</v>
      </c>
      <c r="AW8" s="21">
        <f>'DATAAGUSTUS 2026'!X17</f>
        <v>0</v>
      </c>
      <c r="AX8" s="21">
        <f>'DATAAGUSTUS 2026'!Y17</f>
        <v>0</v>
      </c>
      <c r="AY8" s="21">
        <f>'DATAAGUSTUS 2026'!Z17</f>
        <v>0</v>
      </c>
      <c r="AZ8" s="21">
        <f>'DATAAGUSTUS 2026'!AA17</f>
        <v>0</v>
      </c>
      <c r="BA8" s="21" t="e">
        <f>#REF!</f>
        <v>#REF!</v>
      </c>
      <c r="BB8" s="21" t="e">
        <f>#REF!</f>
        <v>#REF!</v>
      </c>
      <c r="BC8" s="21" t="e">
        <f>#REF!</f>
        <v>#REF!</v>
      </c>
      <c r="BD8" s="21" t="e">
        <f>#REF!</f>
        <v>#REF!</v>
      </c>
      <c r="BE8" s="21" t="e">
        <f>#REF!</f>
        <v>#REF!</v>
      </c>
      <c r="BF8" s="21" t="e">
        <f>#REF!</f>
        <v>#REF!</v>
      </c>
      <c r="BG8" s="21" t="e">
        <f>#REF!</f>
        <v>#REF!</v>
      </c>
      <c r="BH8" s="21" t="e">
        <f>#REF!</f>
        <v>#REF!</v>
      </c>
      <c r="BI8" s="21" t="e">
        <f>#REF!</f>
        <v>#REF!</v>
      </c>
      <c r="BJ8" s="21" t="e">
        <f>#REF!</f>
        <v>#REF!</v>
      </c>
      <c r="BK8" s="21" t="e">
        <f>#REF!</f>
        <v>#REF!</v>
      </c>
      <c r="BL8" s="21" t="e">
        <f>#REF!</f>
        <v>#REF!</v>
      </c>
      <c r="BM8" s="21" t="e">
        <f>#REF!</f>
        <v>#REF!</v>
      </c>
      <c r="BN8" s="21" t="e">
        <f>#REF!</f>
        <v>#REF!</v>
      </c>
      <c r="BO8" s="21" t="e">
        <f>#REF!</f>
        <v>#REF!</v>
      </c>
      <c r="BP8" s="21" t="e">
        <f>#REF!</f>
        <v>#REF!</v>
      </c>
      <c r="BQ8" s="21" t="e">
        <f>#REF!</f>
        <v>#REF!</v>
      </c>
      <c r="BR8" s="21" t="e">
        <f>#REF!</f>
        <v>#REF!</v>
      </c>
    </row>
    <row r="9" spans="1:70" x14ac:dyDescent="0.35">
      <c r="A9" s="3" t="s">
        <v>125</v>
      </c>
      <c r="B9" s="20" t="s">
        <v>244</v>
      </c>
      <c r="C9" s="13"/>
      <c r="D9" s="21">
        <f>'Data Des 2025'!AB34</f>
        <v>4750</v>
      </c>
      <c r="E9" s="21">
        <f>'Data Jan 2026'!AF34</f>
        <v>4750</v>
      </c>
      <c r="F9" s="21">
        <f>'Data Feb 2026'!AB34</f>
        <v>4750</v>
      </c>
      <c r="G9" s="21">
        <f>'Data Mar 2026'!AD34</f>
        <v>4750</v>
      </c>
      <c r="H9" s="21">
        <f>'Data Apr 2025'!AE34</f>
        <v>4750</v>
      </c>
      <c r="I9" s="21">
        <f>'Data Mei 2026'!AE34</f>
        <v>4750</v>
      </c>
      <c r="J9" s="21">
        <f>'Data Jun 2026'!AB34</f>
        <v>4750</v>
      </c>
      <c r="K9" s="21">
        <f>'Data Jul 2026'!AF34</f>
        <v>4750</v>
      </c>
      <c r="L9" s="21">
        <f>'DATAAGUSTUS 2026'!AB34</f>
        <v>0</v>
      </c>
      <c r="M9" s="21" t="e">
        <f>#REF!</f>
        <v>#REF!</v>
      </c>
      <c r="N9" s="21" t="e">
        <f>#REF!</f>
        <v>#REF!</v>
      </c>
      <c r="O9" s="21" t="e">
        <f>#REF!</f>
        <v>#REF!</v>
      </c>
      <c r="P9" s="21">
        <f>'Data Jan 2026'!AA34</f>
        <v>4750</v>
      </c>
      <c r="Q9" s="21">
        <f>'Data Jan 2026'!AB34</f>
        <v>4750</v>
      </c>
      <c r="R9" s="21">
        <f>'Data Jan 2026'!AC34</f>
        <v>4750</v>
      </c>
      <c r="S9" s="21">
        <f>'Data Jan 2026'!AD34</f>
        <v>4750</v>
      </c>
      <c r="T9" s="21">
        <f>'Data Jan 2026'!AE34</f>
        <v>4750</v>
      </c>
      <c r="U9" s="21">
        <f>'Data Feb 2026'!X34</f>
        <v>4750</v>
      </c>
      <c r="V9" s="21">
        <f>'Data Feb 2026'!Y34</f>
        <v>4750</v>
      </c>
      <c r="W9" s="21">
        <f>'Data Feb 2026'!Z34</f>
        <v>4750</v>
      </c>
      <c r="X9" s="21">
        <f>'Data Feb 2026'!AA34</f>
        <v>4750</v>
      </c>
      <c r="Y9" s="21">
        <f>'Data Mar 2026'!Y34</f>
        <v>4750</v>
      </c>
      <c r="Z9" s="21">
        <f>'Data Mar 2026'!Z34</f>
        <v>4750</v>
      </c>
      <c r="AA9" s="21">
        <f>'Data Mar 2026'!AA34</f>
        <v>4750</v>
      </c>
      <c r="AB9" s="21">
        <f>'Data Mar 2026'!AB34</f>
        <v>4750</v>
      </c>
      <c r="AC9" s="21" t="str">
        <f>'Data Mar 2026'!AC34</f>
        <v/>
      </c>
      <c r="AD9" s="21" t="str">
        <f>'Data Apr 2025'!Z34</f>
        <v/>
      </c>
      <c r="AE9" s="21">
        <f>'Data Apr 2025'!AA34</f>
        <v>4750</v>
      </c>
      <c r="AF9" s="21">
        <f>'Data Apr 2025'!AB34</f>
        <v>4750</v>
      </c>
      <c r="AG9" s="21">
        <f>'Data Apr 2025'!AC34</f>
        <v>4750</v>
      </c>
      <c r="AH9" s="21">
        <f>'Data Apr 2025'!AD34</f>
        <v>4750</v>
      </c>
      <c r="AI9" s="21">
        <f>'Data Mei 2026'!Z34</f>
        <v>4750</v>
      </c>
      <c r="AJ9" s="21">
        <f>'Data Mei 2026'!AA34</f>
        <v>4750</v>
      </c>
      <c r="AK9" s="21">
        <f>'Data Mei 2026'!AB34</f>
        <v>4750</v>
      </c>
      <c r="AL9" s="21">
        <f>'Data Mei 2026'!AC34</f>
        <v>4750</v>
      </c>
      <c r="AM9" s="21">
        <f>'Data Mei 2026'!AD34</f>
        <v>4750</v>
      </c>
      <c r="AN9" s="21">
        <f>'Data Jun 2026'!X34</f>
        <v>4750</v>
      </c>
      <c r="AO9" s="21">
        <f>'Data Jun 2026'!Y34</f>
        <v>4750</v>
      </c>
      <c r="AP9" s="21">
        <f>'Data Jun 2026'!Z34</f>
        <v>4750</v>
      </c>
      <c r="AQ9" s="21">
        <f>'Data Jun 2026'!AA34</f>
        <v>4750</v>
      </c>
      <c r="AR9" s="21">
        <f>'Data Jul 2026'!AA34</f>
        <v>4750</v>
      </c>
      <c r="AS9" s="21">
        <f>'Data Jul 2026'!AB34</f>
        <v>4750</v>
      </c>
      <c r="AT9" s="21">
        <f>'Data Jul 2026'!AC34</f>
        <v>4750</v>
      </c>
      <c r="AU9" s="21">
        <f>'Data Jul 2026'!AD34</f>
        <v>4750</v>
      </c>
      <c r="AV9" s="21">
        <f>'Data Jul 2026'!AE34</f>
        <v>4750</v>
      </c>
      <c r="AW9" s="21">
        <f>'DATAAGUSTUS 2026'!X34</f>
        <v>0</v>
      </c>
      <c r="AX9" s="21">
        <f>'DATAAGUSTUS 2026'!Y34</f>
        <v>0</v>
      </c>
      <c r="AY9" s="21">
        <f>'DATAAGUSTUS 2026'!Z34</f>
        <v>0</v>
      </c>
      <c r="AZ9" s="21">
        <f>'DATAAGUSTUS 2026'!AA34</f>
        <v>0</v>
      </c>
      <c r="BA9" s="21" t="e">
        <f>#REF!</f>
        <v>#REF!</v>
      </c>
      <c r="BB9" s="21" t="e">
        <f>#REF!</f>
        <v>#REF!</v>
      </c>
      <c r="BC9" s="21" t="e">
        <f>#REF!</f>
        <v>#REF!</v>
      </c>
      <c r="BD9" s="21" t="e">
        <f>#REF!</f>
        <v>#REF!</v>
      </c>
      <c r="BE9" s="21" t="e">
        <f>#REF!</f>
        <v>#REF!</v>
      </c>
      <c r="BF9" s="21" t="e">
        <f>#REF!</f>
        <v>#REF!</v>
      </c>
      <c r="BG9" s="21" t="e">
        <f>#REF!</f>
        <v>#REF!</v>
      </c>
      <c r="BH9" s="21" t="e">
        <f>#REF!</f>
        <v>#REF!</v>
      </c>
      <c r="BI9" s="21" t="e">
        <f>#REF!</f>
        <v>#REF!</v>
      </c>
      <c r="BJ9" s="21" t="e">
        <f>#REF!</f>
        <v>#REF!</v>
      </c>
      <c r="BK9" s="21" t="e">
        <f>#REF!</f>
        <v>#REF!</v>
      </c>
      <c r="BL9" s="21" t="e">
        <f>#REF!</f>
        <v>#REF!</v>
      </c>
      <c r="BM9" s="21" t="e">
        <f>#REF!</f>
        <v>#REF!</v>
      </c>
      <c r="BN9" s="21" t="e">
        <f>#REF!</f>
        <v>#REF!</v>
      </c>
      <c r="BO9" s="21" t="e">
        <f>#REF!</f>
        <v>#REF!</v>
      </c>
      <c r="BP9" s="21" t="e">
        <f>#REF!</f>
        <v>#REF!</v>
      </c>
      <c r="BQ9" s="21" t="e">
        <f>#REF!</f>
        <v>#REF!</v>
      </c>
      <c r="BR9" s="21" t="e">
        <f>#REF!</f>
        <v>#REF!</v>
      </c>
    </row>
    <row r="10" spans="1:70" x14ac:dyDescent="0.35">
      <c r="A10" s="3" t="s">
        <v>126</v>
      </c>
      <c r="B10" s="20" t="s">
        <v>245</v>
      </c>
      <c r="C10" s="13"/>
      <c r="D10" s="21">
        <f>'Data Des 2025'!AB18</f>
        <v>31944.444444444445</v>
      </c>
      <c r="E10" s="21">
        <f>'Data Jan 2026'!AF18</f>
        <v>29631.57894736842</v>
      </c>
      <c r="F10" s="21">
        <f>'Data Feb 2026'!AB18</f>
        <v>30157.894736842107</v>
      </c>
      <c r="G10" s="21">
        <f>'Data Mar 2026'!AD18</f>
        <v>30105.263157894737</v>
      </c>
      <c r="H10" s="21">
        <f>'Data Apr 2025'!AE18</f>
        <v>26312.5</v>
      </c>
      <c r="I10" s="21">
        <f>'Data Mei 2026'!AE18</f>
        <v>26705.882352941175</v>
      </c>
      <c r="J10" s="21">
        <f>'Data Jun 2026'!AB18</f>
        <v>25441.176470588234</v>
      </c>
      <c r="K10" s="21">
        <f>'Data Jul 2026'!AF18</f>
        <v>29000</v>
      </c>
      <c r="L10" s="21">
        <f>'DATAAGUSTUS 2026'!AB18</f>
        <v>0</v>
      </c>
      <c r="M10" s="21" t="e">
        <f>#REF!</f>
        <v>#REF!</v>
      </c>
      <c r="N10" s="21" t="e">
        <f>#REF!</f>
        <v>#REF!</v>
      </c>
      <c r="O10" s="21" t="e">
        <f>#REF!</f>
        <v>#REF!</v>
      </c>
      <c r="P10" s="21">
        <f>'Data Jan 2026'!AA18</f>
        <v>33000</v>
      </c>
      <c r="Q10" s="21">
        <f>'Data Jan 2026'!AB18</f>
        <v>29800</v>
      </c>
      <c r="R10" s="21">
        <f>'Data Jan 2026'!AC18</f>
        <v>29000</v>
      </c>
      <c r="S10" s="21">
        <f>'Data Jan 2026'!AD18</f>
        <v>29000</v>
      </c>
      <c r="T10" s="21">
        <f>'Data Jan 2026'!AE18</f>
        <v>29000</v>
      </c>
      <c r="U10" s="21">
        <f>'Data Feb 2026'!X18</f>
        <v>29000</v>
      </c>
      <c r="V10" s="21">
        <f>'Data Feb 2026'!Y18</f>
        <v>30000</v>
      </c>
      <c r="W10" s="21">
        <f>'Data Feb 2026'!Z18</f>
        <v>30800</v>
      </c>
      <c r="X10" s="21">
        <f>'Data Feb 2026'!AA18</f>
        <v>31000</v>
      </c>
      <c r="Y10" s="21">
        <f>'Data Mar 2026'!Y18</f>
        <v>30600</v>
      </c>
      <c r="Z10" s="21">
        <f>'Data Mar 2026'!Z18</f>
        <v>30000</v>
      </c>
      <c r="AA10" s="21">
        <f>'Data Mar 2026'!AA18</f>
        <v>30000</v>
      </c>
      <c r="AB10" s="21">
        <f>'Data Mar 2026'!AB18</f>
        <v>29750</v>
      </c>
      <c r="AC10" s="21" t="str">
        <f>'Data Mar 2026'!AC18</f>
        <v/>
      </c>
      <c r="AD10" s="21" t="str">
        <f>'Data Apr 2025'!Z18</f>
        <v/>
      </c>
      <c r="AE10" s="21">
        <f>'Data Apr 2025'!AA18</f>
        <v>29500</v>
      </c>
      <c r="AF10" s="21">
        <f>'Data Apr 2025'!AB18</f>
        <v>25750</v>
      </c>
      <c r="AG10" s="21">
        <f>'Data Apr 2025'!AC18</f>
        <v>25000</v>
      </c>
      <c r="AH10" s="21">
        <f>'Data Apr 2025'!AD18</f>
        <v>25000</v>
      </c>
      <c r="AI10" s="21">
        <f>'Data Mei 2026'!Z18</f>
        <v>25000</v>
      </c>
      <c r="AJ10" s="21">
        <f>'Data Mei 2026'!AA18</f>
        <v>25800</v>
      </c>
      <c r="AK10" s="21">
        <f>'Data Mei 2026'!AB18</f>
        <v>27000</v>
      </c>
      <c r="AL10" s="21">
        <f>'Data Mei 2026'!AC18</f>
        <v>27000</v>
      </c>
      <c r="AM10" s="21">
        <f>'Data Mei 2026'!AD18</f>
        <v>28000</v>
      </c>
      <c r="AN10" s="21">
        <f>'Data Jun 2026'!X18</f>
        <v>29000</v>
      </c>
      <c r="AO10" s="21">
        <f>'Data Jun 2026'!Y18</f>
        <v>26875</v>
      </c>
      <c r="AP10" s="21">
        <f>'Data Jun 2026'!Z18</f>
        <v>23400</v>
      </c>
      <c r="AQ10" s="21">
        <f>'Data Jun 2026'!AA18</f>
        <v>23000</v>
      </c>
      <c r="AR10" s="21">
        <f>'Data Jul 2026'!AA18</f>
        <v>26000</v>
      </c>
      <c r="AS10" s="21">
        <f>'Data Jul 2026'!AB18</f>
        <v>30000</v>
      </c>
      <c r="AT10" s="21">
        <f>'Data Jul 2026'!AC18</f>
        <v>29200</v>
      </c>
      <c r="AU10" s="21">
        <f>'Data Jul 2026'!AD18</f>
        <v>30000</v>
      </c>
      <c r="AV10" s="21">
        <f>'Data Jul 2026'!AE18</f>
        <v>29250</v>
      </c>
      <c r="AW10" s="21">
        <f>'DATAAGUSTUS 2026'!X18</f>
        <v>0</v>
      </c>
      <c r="AX10" s="21">
        <f>'DATAAGUSTUS 2026'!Y18</f>
        <v>0</v>
      </c>
      <c r="AY10" s="21">
        <f>'DATAAGUSTUS 2026'!Z18</f>
        <v>0</v>
      </c>
      <c r="AZ10" s="21">
        <f>'DATAAGUSTUS 2026'!AA18</f>
        <v>0</v>
      </c>
      <c r="BA10" s="21" t="e">
        <f>#REF!</f>
        <v>#REF!</v>
      </c>
      <c r="BB10" s="21" t="e">
        <f>#REF!</f>
        <v>#REF!</v>
      </c>
      <c r="BC10" s="21" t="e">
        <f>#REF!</f>
        <v>#REF!</v>
      </c>
      <c r="BD10" s="21" t="e">
        <f>#REF!</f>
        <v>#REF!</v>
      </c>
      <c r="BE10" s="21" t="e">
        <f>#REF!</f>
        <v>#REF!</v>
      </c>
      <c r="BF10" s="21" t="e">
        <f>#REF!</f>
        <v>#REF!</v>
      </c>
      <c r="BG10" s="21" t="e">
        <f>#REF!</f>
        <v>#REF!</v>
      </c>
      <c r="BH10" s="21" t="e">
        <f>#REF!</f>
        <v>#REF!</v>
      </c>
      <c r="BI10" s="21" t="e">
        <f>#REF!</f>
        <v>#REF!</v>
      </c>
      <c r="BJ10" s="21" t="e">
        <f>#REF!</f>
        <v>#REF!</v>
      </c>
      <c r="BK10" s="21" t="e">
        <f>#REF!</f>
        <v>#REF!</v>
      </c>
      <c r="BL10" s="21" t="e">
        <f>#REF!</f>
        <v>#REF!</v>
      </c>
      <c r="BM10" s="21" t="e">
        <f>#REF!</f>
        <v>#REF!</v>
      </c>
      <c r="BN10" s="21" t="e">
        <f>#REF!</f>
        <v>#REF!</v>
      </c>
      <c r="BO10" s="21" t="e">
        <f>#REF!</f>
        <v>#REF!</v>
      </c>
      <c r="BP10" s="21" t="e">
        <f>#REF!</f>
        <v>#REF!</v>
      </c>
      <c r="BQ10" s="21" t="e">
        <f>#REF!</f>
        <v>#REF!</v>
      </c>
      <c r="BR10" s="21" t="e">
        <f>#REF!</f>
        <v>#REF!</v>
      </c>
    </row>
    <row r="11" spans="1:70" x14ac:dyDescent="0.35">
      <c r="A11" s="3" t="s">
        <v>127</v>
      </c>
      <c r="B11" s="20" t="s">
        <v>246</v>
      </c>
      <c r="C11" s="13"/>
      <c r="D11" s="21">
        <f>'Data Des 2025'!AB14</f>
        <v>15750</v>
      </c>
      <c r="E11" s="21">
        <f>'Data Jan 2026'!AF14</f>
        <v>15750</v>
      </c>
      <c r="F11" s="21">
        <f>'Data Feb 2026'!AB14</f>
        <v>15750</v>
      </c>
      <c r="G11" s="21">
        <f>'Data Mar 2026'!AD14</f>
        <v>15750</v>
      </c>
      <c r="H11" s="21">
        <f>'Data Apr 2025'!AE14</f>
        <v>15609.375</v>
      </c>
      <c r="I11" s="21">
        <f>'Data Mei 2026'!AE14</f>
        <v>15000</v>
      </c>
      <c r="J11" s="21">
        <f>'Data Jun 2026'!AB14</f>
        <v>15000</v>
      </c>
      <c r="K11" s="21">
        <f>'Data Jul 2026'!AF14</f>
        <v>15000</v>
      </c>
      <c r="L11" s="21">
        <f>'DATAAGUSTUS 2026'!AB14</f>
        <v>0</v>
      </c>
      <c r="M11" s="21" t="e">
        <f>#REF!</f>
        <v>#REF!</v>
      </c>
      <c r="N11" s="21" t="e">
        <f>#REF!</f>
        <v>#REF!</v>
      </c>
      <c r="O11" s="21" t="e">
        <f>#REF!</f>
        <v>#REF!</v>
      </c>
      <c r="P11" s="21">
        <f>'Data Jan 2026'!AA14</f>
        <v>15750</v>
      </c>
      <c r="Q11" s="21">
        <f>'Data Jan 2026'!AB14</f>
        <v>15750</v>
      </c>
      <c r="R11" s="21">
        <f>'Data Jan 2026'!AC14</f>
        <v>15750</v>
      </c>
      <c r="S11" s="21">
        <f>'Data Jan 2026'!AD14</f>
        <v>15750</v>
      </c>
      <c r="T11" s="21">
        <f>'Data Jan 2026'!AE14</f>
        <v>15750</v>
      </c>
      <c r="U11" s="21">
        <f>'Data Feb 2026'!X14</f>
        <v>15750</v>
      </c>
      <c r="V11" s="21">
        <f>'Data Feb 2026'!Y14</f>
        <v>15750</v>
      </c>
      <c r="W11" s="21">
        <f>'Data Feb 2026'!Z14</f>
        <v>15750</v>
      </c>
      <c r="X11" s="21">
        <f>'Data Feb 2026'!AA14</f>
        <v>15750</v>
      </c>
      <c r="Y11" s="21">
        <f>'Data Mar 2026'!Y14</f>
        <v>15750</v>
      </c>
      <c r="Z11" s="21">
        <f>'Data Mar 2026'!Z14</f>
        <v>15750</v>
      </c>
      <c r="AA11" s="21">
        <f>'Data Mar 2026'!AA14</f>
        <v>15750</v>
      </c>
      <c r="AB11" s="21">
        <f>'Data Mar 2026'!AB14</f>
        <v>15750</v>
      </c>
      <c r="AC11" s="21" t="str">
        <f>'Data Mar 2026'!AC14</f>
        <v/>
      </c>
      <c r="AD11" s="21" t="str">
        <f>'Data Apr 2025'!Z14</f>
        <v/>
      </c>
      <c r="AE11" s="21">
        <f>'Data Apr 2025'!AA14</f>
        <v>15750</v>
      </c>
      <c r="AF11" s="21">
        <f>'Data Apr 2025'!AB14</f>
        <v>15750</v>
      </c>
      <c r="AG11" s="21">
        <f>'Data Apr 2025'!AC14</f>
        <v>15750</v>
      </c>
      <c r="AH11" s="21">
        <f>'Data Apr 2025'!AD14</f>
        <v>15000</v>
      </c>
      <c r="AI11" s="21">
        <f>'Data Mei 2026'!Z14</f>
        <v>15000</v>
      </c>
      <c r="AJ11" s="21">
        <f>'Data Mei 2026'!AA14</f>
        <v>15000</v>
      </c>
      <c r="AK11" s="21">
        <f>'Data Mei 2026'!AB14</f>
        <v>15000</v>
      </c>
      <c r="AL11" s="21">
        <f>'Data Mei 2026'!AC14</f>
        <v>15000</v>
      </c>
      <c r="AM11" s="21">
        <f>'Data Mei 2026'!AD14</f>
        <v>15000</v>
      </c>
      <c r="AN11" s="21">
        <f>'Data Jun 2026'!X14</f>
        <v>15000</v>
      </c>
      <c r="AO11" s="21">
        <f>'Data Jun 2026'!Y14</f>
        <v>15000</v>
      </c>
      <c r="AP11" s="21">
        <f>'Data Jun 2026'!Z14</f>
        <v>15000</v>
      </c>
      <c r="AQ11" s="21">
        <f>'Data Jun 2026'!AA14</f>
        <v>15000</v>
      </c>
      <c r="AR11" s="21">
        <f>'Data Jul 2026'!AA14</f>
        <v>15000</v>
      </c>
      <c r="AS11" s="21">
        <f>'Data Jul 2026'!AB14</f>
        <v>15000</v>
      </c>
      <c r="AT11" s="21">
        <f>'Data Jul 2026'!AC14</f>
        <v>15000</v>
      </c>
      <c r="AU11" s="21">
        <f>'Data Jul 2026'!AD14</f>
        <v>15000</v>
      </c>
      <c r="AV11" s="21">
        <f>'Data Jul 2026'!AE14</f>
        <v>15000</v>
      </c>
      <c r="AW11" s="21">
        <f>'DATAAGUSTUS 2026'!X14</f>
        <v>0</v>
      </c>
      <c r="AX11" s="21">
        <f>'DATAAGUSTUS 2026'!Y14</f>
        <v>0</v>
      </c>
      <c r="AY11" s="21">
        <f>'DATAAGUSTUS 2026'!Z14</f>
        <v>0</v>
      </c>
      <c r="AZ11" s="21">
        <f>'DATAAGUSTUS 2026'!AA14</f>
        <v>0</v>
      </c>
      <c r="BA11" s="21" t="e">
        <f>#REF!</f>
        <v>#REF!</v>
      </c>
      <c r="BB11" s="21" t="e">
        <f>#REF!</f>
        <v>#REF!</v>
      </c>
      <c r="BC11" s="21" t="e">
        <f>#REF!</f>
        <v>#REF!</v>
      </c>
      <c r="BD11" s="21" t="e">
        <f>#REF!</f>
        <v>#REF!</v>
      </c>
      <c r="BE11" s="21" t="e">
        <f>#REF!</f>
        <v>#REF!</v>
      </c>
      <c r="BF11" s="21" t="e">
        <f>#REF!</f>
        <v>#REF!</v>
      </c>
      <c r="BG11" s="21" t="e">
        <f>#REF!</f>
        <v>#REF!</v>
      </c>
      <c r="BH11" s="21" t="e">
        <f>#REF!</f>
        <v>#REF!</v>
      </c>
      <c r="BI11" s="21" t="e">
        <f>#REF!</f>
        <v>#REF!</v>
      </c>
      <c r="BJ11" s="21" t="e">
        <f>#REF!</f>
        <v>#REF!</v>
      </c>
      <c r="BK11" s="21" t="e">
        <f>#REF!</f>
        <v>#REF!</v>
      </c>
      <c r="BL11" s="21" t="e">
        <f>#REF!</f>
        <v>#REF!</v>
      </c>
      <c r="BM11" s="21" t="e">
        <f>#REF!</f>
        <v>#REF!</v>
      </c>
      <c r="BN11" s="21" t="e">
        <f>#REF!</f>
        <v>#REF!</v>
      </c>
      <c r="BO11" s="21" t="e">
        <f>#REF!</f>
        <v>#REF!</v>
      </c>
      <c r="BP11" s="21" t="e">
        <f>#REF!</f>
        <v>#REF!</v>
      </c>
      <c r="BQ11" s="21" t="e">
        <f>#REF!</f>
        <v>#REF!</v>
      </c>
      <c r="BR11" s="21" t="e">
        <f>#REF!</f>
        <v>#REF!</v>
      </c>
    </row>
    <row r="12" spans="1:70" x14ac:dyDescent="0.35">
      <c r="A12" s="3" t="s">
        <v>127</v>
      </c>
      <c r="B12" s="20" t="s">
        <v>247</v>
      </c>
      <c r="C12" s="13"/>
      <c r="D12" s="21">
        <f>'Data Des 2025'!AB15</f>
        <v>18000</v>
      </c>
      <c r="E12" s="21">
        <f>'Data Jan 2026'!AF15</f>
        <v>18000</v>
      </c>
      <c r="F12" s="21">
        <f>'Data Feb 2026'!AB15</f>
        <v>18000</v>
      </c>
      <c r="G12" s="21">
        <f>'Data Mar 2026'!AD15</f>
        <v>18000</v>
      </c>
      <c r="H12" s="21">
        <f>'Data Apr 2025'!AE15</f>
        <v>18000</v>
      </c>
      <c r="I12" s="21">
        <f>'Data Mei 2026'!AE15</f>
        <v>18000</v>
      </c>
      <c r="J12" s="21">
        <f>'Data Jun 2026'!AB15</f>
        <v>18000</v>
      </c>
      <c r="K12" s="21">
        <f>'Data Jul 2026'!AF15</f>
        <v>18000</v>
      </c>
      <c r="L12" s="21">
        <f>'DATAAGUSTUS 2026'!AB15</f>
        <v>0</v>
      </c>
      <c r="M12" s="21" t="e">
        <f>#REF!</f>
        <v>#REF!</v>
      </c>
      <c r="N12" s="21" t="e">
        <f>#REF!</f>
        <v>#REF!</v>
      </c>
      <c r="O12" s="21" t="e">
        <f>#REF!</f>
        <v>#REF!</v>
      </c>
      <c r="P12" s="21">
        <f>'Data Jan 2026'!AA15</f>
        <v>18000</v>
      </c>
      <c r="Q12" s="21">
        <f>'Data Jan 2026'!AB15</f>
        <v>18000</v>
      </c>
      <c r="R12" s="21">
        <f>'Data Jan 2026'!AC15</f>
        <v>18000</v>
      </c>
      <c r="S12" s="21">
        <f>'Data Jan 2026'!AD15</f>
        <v>18000</v>
      </c>
      <c r="T12" s="21">
        <f>'Data Jan 2026'!AE15</f>
        <v>18000</v>
      </c>
      <c r="U12" s="21">
        <f>'Data Feb 2026'!X15</f>
        <v>18000</v>
      </c>
      <c r="V12" s="21">
        <f>'Data Feb 2026'!Y15</f>
        <v>18000</v>
      </c>
      <c r="W12" s="21">
        <f>'Data Feb 2026'!Z15</f>
        <v>18000</v>
      </c>
      <c r="X12" s="21">
        <f>'Data Feb 2026'!AA15</f>
        <v>18000</v>
      </c>
      <c r="Y12" s="21">
        <f>'Data Mar 2026'!Y15</f>
        <v>18000</v>
      </c>
      <c r="Z12" s="21">
        <f>'Data Mar 2026'!Z15</f>
        <v>18000</v>
      </c>
      <c r="AA12" s="21">
        <f>'Data Mar 2026'!AA15</f>
        <v>18000</v>
      </c>
      <c r="AB12" s="21">
        <f>'Data Mar 2026'!AB15</f>
        <v>18000</v>
      </c>
      <c r="AC12" s="21" t="str">
        <f>'Data Mar 2026'!AC15</f>
        <v/>
      </c>
      <c r="AD12" s="21" t="str">
        <f>'Data Apr 2025'!Z15</f>
        <v/>
      </c>
      <c r="AE12" s="21">
        <f>'Data Apr 2025'!AA15</f>
        <v>18000</v>
      </c>
      <c r="AF12" s="21">
        <f>'Data Apr 2025'!AB15</f>
        <v>18000</v>
      </c>
      <c r="AG12" s="21">
        <f>'Data Apr 2025'!AC15</f>
        <v>18000</v>
      </c>
      <c r="AH12" s="21">
        <f>'Data Apr 2025'!AD15</f>
        <v>18000</v>
      </c>
      <c r="AI12" s="21">
        <f>'Data Mei 2026'!Z15</f>
        <v>18000</v>
      </c>
      <c r="AJ12" s="21">
        <f>'Data Mei 2026'!AA15</f>
        <v>18000</v>
      </c>
      <c r="AK12" s="21">
        <f>'Data Mei 2026'!AB15</f>
        <v>18000</v>
      </c>
      <c r="AL12" s="21">
        <f>'Data Mei 2026'!AC15</f>
        <v>18000</v>
      </c>
      <c r="AM12" s="21">
        <f>'Data Mei 2026'!AD15</f>
        <v>18000</v>
      </c>
      <c r="AN12" s="21">
        <f>'Data Jun 2026'!X15</f>
        <v>18000</v>
      </c>
      <c r="AO12" s="21">
        <f>'Data Jun 2026'!Y15</f>
        <v>18000</v>
      </c>
      <c r="AP12" s="21">
        <f>'Data Jun 2026'!Z15</f>
        <v>18000</v>
      </c>
      <c r="AQ12" s="21">
        <f>'Data Jun 2026'!AA15</f>
        <v>18000</v>
      </c>
      <c r="AR12" s="21">
        <f>'Data Jul 2026'!AA15</f>
        <v>18000</v>
      </c>
      <c r="AS12" s="21">
        <f>'Data Jul 2026'!AB15</f>
        <v>18000</v>
      </c>
      <c r="AT12" s="21">
        <f>'Data Jul 2026'!AC15</f>
        <v>18000</v>
      </c>
      <c r="AU12" s="21">
        <f>'Data Jul 2026'!AD15</f>
        <v>18000</v>
      </c>
      <c r="AV12" s="21">
        <f>'Data Jul 2026'!AE15</f>
        <v>18000</v>
      </c>
      <c r="AW12" s="21">
        <f>'DATAAGUSTUS 2026'!X15</f>
        <v>0</v>
      </c>
      <c r="AX12" s="21">
        <f>'DATAAGUSTUS 2026'!Y15</f>
        <v>0</v>
      </c>
      <c r="AY12" s="21">
        <f>'DATAAGUSTUS 2026'!Z15</f>
        <v>0</v>
      </c>
      <c r="AZ12" s="21">
        <f>'DATAAGUSTUS 2026'!AA15</f>
        <v>0</v>
      </c>
      <c r="BA12" s="21" t="e">
        <f>#REF!</f>
        <v>#REF!</v>
      </c>
      <c r="BB12" s="21" t="e">
        <f>#REF!</f>
        <v>#REF!</v>
      </c>
      <c r="BC12" s="21" t="e">
        <f>#REF!</f>
        <v>#REF!</v>
      </c>
      <c r="BD12" s="21" t="e">
        <f>#REF!</f>
        <v>#REF!</v>
      </c>
      <c r="BE12" s="21" t="e">
        <f>#REF!</f>
        <v>#REF!</v>
      </c>
      <c r="BF12" s="21" t="e">
        <f>#REF!</f>
        <v>#REF!</v>
      </c>
      <c r="BG12" s="21" t="e">
        <f>#REF!</f>
        <v>#REF!</v>
      </c>
      <c r="BH12" s="21" t="e">
        <f>#REF!</f>
        <v>#REF!</v>
      </c>
      <c r="BI12" s="21" t="e">
        <f>#REF!</f>
        <v>#REF!</v>
      </c>
      <c r="BJ12" s="21" t="e">
        <f>#REF!</f>
        <v>#REF!</v>
      </c>
      <c r="BK12" s="21" t="e">
        <f>#REF!</f>
        <v>#REF!</v>
      </c>
      <c r="BL12" s="21" t="e">
        <f>#REF!</f>
        <v>#REF!</v>
      </c>
      <c r="BM12" s="21" t="e">
        <f>#REF!</f>
        <v>#REF!</v>
      </c>
      <c r="BN12" s="21" t="e">
        <f>#REF!</f>
        <v>#REF!</v>
      </c>
      <c r="BO12" s="21" t="e">
        <f>#REF!</f>
        <v>#REF!</v>
      </c>
      <c r="BP12" s="21" t="e">
        <f>#REF!</f>
        <v>#REF!</v>
      </c>
      <c r="BQ12" s="21" t="e">
        <f>#REF!</f>
        <v>#REF!</v>
      </c>
      <c r="BR12" s="21" t="e">
        <f>#REF!</f>
        <v>#REF!</v>
      </c>
    </row>
    <row r="13" spans="1:70" x14ac:dyDescent="0.35">
      <c r="A13" s="3" t="s">
        <v>127</v>
      </c>
      <c r="B13" s="20" t="s">
        <v>248</v>
      </c>
      <c r="C13" s="13"/>
      <c r="D13" s="21">
        <f>'Data Des 2025'!AB16</f>
        <v>15166.666666666666</v>
      </c>
      <c r="E13" s="21">
        <f>'Data Jan 2026'!AF16</f>
        <v>15000</v>
      </c>
      <c r="F13" s="21">
        <f>'Data Feb 2026'!AB16</f>
        <v>15368.421052631578</v>
      </c>
      <c r="G13" s="21">
        <f>'Data Mar 2026'!AD16</f>
        <v>15500</v>
      </c>
      <c r="H13" s="21">
        <f>'Data Apr 2025'!AE16</f>
        <v>15500</v>
      </c>
      <c r="I13" s="21">
        <f>'Data Mei 2026'!AE16</f>
        <v>15558.823529411764</v>
      </c>
      <c r="J13" s="21">
        <f>'Data Jun 2026'!AB16</f>
        <v>15911.764705882353</v>
      </c>
      <c r="K13" s="21">
        <f>'Data Jul 2026'!AF16</f>
        <v>15700</v>
      </c>
      <c r="L13" s="21">
        <f>'DATAAGUSTUS 2026'!AB16</f>
        <v>0</v>
      </c>
      <c r="M13" s="21" t="e">
        <f>#REF!</f>
        <v>#REF!</v>
      </c>
      <c r="N13" s="21" t="e">
        <f>#REF!</f>
        <v>#REF!</v>
      </c>
      <c r="O13" s="21" t="e">
        <f>#REF!</f>
        <v>#REF!</v>
      </c>
      <c r="P13" s="21">
        <f>'Data Jan 2026'!AA16</f>
        <v>15000</v>
      </c>
      <c r="Q13" s="21">
        <f>'Data Jan 2026'!AB16</f>
        <v>15000</v>
      </c>
      <c r="R13" s="21">
        <f>'Data Jan 2026'!AC16</f>
        <v>15000</v>
      </c>
      <c r="S13" s="21">
        <f>'Data Jan 2026'!AD16</f>
        <v>15000</v>
      </c>
      <c r="T13" s="21">
        <f>'Data Jan 2026'!AE16</f>
        <v>15000</v>
      </c>
      <c r="U13" s="21">
        <f>'Data Feb 2026'!X16</f>
        <v>15000</v>
      </c>
      <c r="V13" s="21">
        <f>'Data Feb 2026'!Y16</f>
        <v>15500</v>
      </c>
      <c r="W13" s="21">
        <f>'Data Feb 2026'!Z16</f>
        <v>15500</v>
      </c>
      <c r="X13" s="21">
        <f>'Data Feb 2026'!AA16</f>
        <v>15500</v>
      </c>
      <c r="Y13" s="21">
        <f>'Data Mar 2026'!Y16</f>
        <v>15500</v>
      </c>
      <c r="Z13" s="21">
        <f>'Data Mar 2026'!Z16</f>
        <v>15500</v>
      </c>
      <c r="AA13" s="21">
        <f>'Data Mar 2026'!AA16</f>
        <v>15500</v>
      </c>
      <c r="AB13" s="21">
        <f>'Data Mar 2026'!AB16</f>
        <v>15500</v>
      </c>
      <c r="AC13" s="21" t="str">
        <f>'Data Mar 2026'!AC16</f>
        <v/>
      </c>
      <c r="AD13" s="21" t="str">
        <f>'Data Apr 2025'!Z16</f>
        <v/>
      </c>
      <c r="AE13" s="21">
        <f>'Data Apr 2025'!AA16</f>
        <v>15500</v>
      </c>
      <c r="AF13" s="21">
        <f>'Data Apr 2025'!AB16</f>
        <v>15500</v>
      </c>
      <c r="AG13" s="21">
        <f>'Data Apr 2025'!AC16</f>
        <v>15500</v>
      </c>
      <c r="AH13" s="21">
        <f>'Data Apr 2025'!AD16</f>
        <v>15500</v>
      </c>
      <c r="AI13" s="21">
        <f>'Data Mei 2026'!Z16</f>
        <v>15500</v>
      </c>
      <c r="AJ13" s="21">
        <f>'Data Mei 2026'!AA16</f>
        <v>15500</v>
      </c>
      <c r="AK13" s="21">
        <f>'Data Mei 2026'!AB16</f>
        <v>15500</v>
      </c>
      <c r="AL13" s="21">
        <f>'Data Mei 2026'!AC16</f>
        <v>15500</v>
      </c>
      <c r="AM13" s="21">
        <f>'Data Mei 2026'!AD16</f>
        <v>15833.333333333334</v>
      </c>
      <c r="AN13" s="21">
        <f>'Data Jun 2026'!X16</f>
        <v>16000</v>
      </c>
      <c r="AO13" s="21">
        <f>'Data Jun 2026'!Y16</f>
        <v>16000</v>
      </c>
      <c r="AP13" s="21">
        <f>'Data Jun 2026'!Z16</f>
        <v>15940</v>
      </c>
      <c r="AQ13" s="21">
        <f>'Data Jun 2026'!AA16</f>
        <v>15700</v>
      </c>
      <c r="AR13" s="21">
        <f>'Data Jul 2026'!AA16</f>
        <v>15700</v>
      </c>
      <c r="AS13" s="21">
        <f>'Data Jul 2026'!AB16</f>
        <v>15700</v>
      </c>
      <c r="AT13" s="21">
        <f>'Data Jul 2026'!AC16</f>
        <v>15700</v>
      </c>
      <c r="AU13" s="21">
        <f>'Data Jul 2026'!AD16</f>
        <v>15700</v>
      </c>
      <c r="AV13" s="21">
        <f>'Data Jul 2026'!AE16</f>
        <v>15700</v>
      </c>
      <c r="AW13" s="21">
        <f>'DATAAGUSTUS 2026'!X16</f>
        <v>0</v>
      </c>
      <c r="AX13" s="21">
        <f>'DATAAGUSTUS 2026'!Y16</f>
        <v>0</v>
      </c>
      <c r="AY13" s="21">
        <f>'DATAAGUSTUS 2026'!Z16</f>
        <v>0</v>
      </c>
      <c r="AZ13" s="21">
        <f>'DATAAGUSTUS 2026'!AA16</f>
        <v>0</v>
      </c>
      <c r="BA13" s="21" t="e">
        <f>#REF!</f>
        <v>#REF!</v>
      </c>
      <c r="BB13" s="21" t="e">
        <f>#REF!</f>
        <v>#REF!</v>
      </c>
      <c r="BC13" s="21" t="e">
        <f>#REF!</f>
        <v>#REF!</v>
      </c>
      <c r="BD13" s="21" t="e">
        <f>#REF!</f>
        <v>#REF!</v>
      </c>
      <c r="BE13" s="21" t="e">
        <f>#REF!</f>
        <v>#REF!</v>
      </c>
      <c r="BF13" s="21" t="e">
        <f>#REF!</f>
        <v>#REF!</v>
      </c>
      <c r="BG13" s="21" t="e">
        <f>#REF!</f>
        <v>#REF!</v>
      </c>
      <c r="BH13" s="21" t="e">
        <f>#REF!</f>
        <v>#REF!</v>
      </c>
      <c r="BI13" s="21" t="e">
        <f>#REF!</f>
        <v>#REF!</v>
      </c>
      <c r="BJ13" s="21" t="e">
        <f>#REF!</f>
        <v>#REF!</v>
      </c>
      <c r="BK13" s="21" t="e">
        <f>#REF!</f>
        <v>#REF!</v>
      </c>
      <c r="BL13" s="21" t="e">
        <f>#REF!</f>
        <v>#REF!</v>
      </c>
      <c r="BM13" s="21" t="e">
        <f>#REF!</f>
        <v>#REF!</v>
      </c>
      <c r="BN13" s="21" t="e">
        <f>#REF!</f>
        <v>#REF!</v>
      </c>
      <c r="BO13" s="21" t="e">
        <f>#REF!</f>
        <v>#REF!</v>
      </c>
      <c r="BP13" s="21" t="e">
        <f>#REF!</f>
        <v>#REF!</v>
      </c>
      <c r="BQ13" s="21" t="e">
        <f>#REF!</f>
        <v>#REF!</v>
      </c>
      <c r="BR13" s="21" t="e">
        <f>#REF!</f>
        <v>#REF!</v>
      </c>
    </row>
    <row r="14" spans="1:70" x14ac:dyDescent="0.35">
      <c r="A14" s="3" t="s">
        <v>128</v>
      </c>
      <c r="B14" s="20" t="s">
        <v>249</v>
      </c>
      <c r="C14" s="13" t="s">
        <v>129</v>
      </c>
      <c r="D14" s="21">
        <f>'Data Des 2025'!AB35</f>
        <v>68000</v>
      </c>
      <c r="E14" s="21">
        <f>'Data Jan 2026'!AF35</f>
        <v>68000</v>
      </c>
      <c r="F14" s="21">
        <f>'Data Feb 2026'!AB35</f>
        <v>68000</v>
      </c>
      <c r="G14" s="21">
        <f>'Data Mar 2026'!AD35</f>
        <v>65315.789473684214</v>
      </c>
      <c r="H14" s="21">
        <f>'Data Apr 2025'!AE35</f>
        <v>61250</v>
      </c>
      <c r="I14" s="21">
        <f>'Data Mei 2026'!AE35</f>
        <v>60000</v>
      </c>
      <c r="J14" s="21">
        <f>'Data Jun 2026'!AB35</f>
        <v>58588.23529411765</v>
      </c>
      <c r="K14" s="21">
        <f>'Data Jul 2026'!AF35</f>
        <v>58000</v>
      </c>
      <c r="L14" s="21">
        <f>'DATAAGUSTUS 2026'!AB35</f>
        <v>0</v>
      </c>
      <c r="M14" s="21" t="e">
        <f>#REF!</f>
        <v>#REF!</v>
      </c>
      <c r="N14" s="21" t="e">
        <f>#REF!</f>
        <v>#REF!</v>
      </c>
      <c r="O14" s="21" t="e">
        <f>#REF!</f>
        <v>#REF!</v>
      </c>
      <c r="P14" s="21">
        <f>'Data Jan 2026'!AA35</f>
        <v>68000</v>
      </c>
      <c r="Q14" s="21">
        <f>'Data Jan 2026'!AB35</f>
        <v>68000</v>
      </c>
      <c r="R14" s="21">
        <f>'Data Jan 2026'!AC35</f>
        <v>68000</v>
      </c>
      <c r="S14" s="21">
        <f>'Data Jan 2026'!AD35</f>
        <v>68000</v>
      </c>
      <c r="T14" s="21">
        <f>'Data Jan 2026'!AE35</f>
        <v>68000</v>
      </c>
      <c r="U14" s="21">
        <f>'Data Feb 2026'!X35</f>
        <v>68000</v>
      </c>
      <c r="V14" s="21">
        <f>'Data Feb 2026'!Y35</f>
        <v>68000</v>
      </c>
      <c r="W14" s="21">
        <f>'Data Feb 2026'!Z35</f>
        <v>68000</v>
      </c>
      <c r="X14" s="21">
        <f>'Data Feb 2026'!AA35</f>
        <v>68000</v>
      </c>
      <c r="Y14" s="21">
        <f>'Data Mar 2026'!Y35</f>
        <v>66200</v>
      </c>
      <c r="Z14" s="21">
        <f>'Data Mar 2026'!Z35</f>
        <v>65000</v>
      </c>
      <c r="AA14" s="21">
        <f>'Data Mar 2026'!AA35</f>
        <v>65000</v>
      </c>
      <c r="AB14" s="21">
        <f>'Data Mar 2026'!AB35</f>
        <v>65000</v>
      </c>
      <c r="AC14" s="21" t="str">
        <f>'Data Mar 2026'!AC35</f>
        <v/>
      </c>
      <c r="AD14" s="21" t="str">
        <f>'Data Apr 2025'!Z35</f>
        <v/>
      </c>
      <c r="AE14" s="21">
        <f>'Data Apr 2025'!AA35</f>
        <v>65000</v>
      </c>
      <c r="AF14" s="21">
        <f>'Data Apr 2025'!AB35</f>
        <v>60000</v>
      </c>
      <c r="AG14" s="21">
        <f>'Data Apr 2025'!AC35</f>
        <v>60000</v>
      </c>
      <c r="AH14" s="21">
        <f>'Data Apr 2025'!AD35</f>
        <v>60000</v>
      </c>
      <c r="AI14" s="21">
        <f>'Data Mei 2026'!Z35</f>
        <v>60000</v>
      </c>
      <c r="AJ14" s="21">
        <f>'Data Mei 2026'!AA35</f>
        <v>60000</v>
      </c>
      <c r="AK14" s="21">
        <f>'Data Mei 2026'!AB35</f>
        <v>60000</v>
      </c>
      <c r="AL14" s="21">
        <f>'Data Mei 2026'!AC35</f>
        <v>60000</v>
      </c>
      <c r="AM14" s="21">
        <f>'Data Mei 2026'!AD35</f>
        <v>60000</v>
      </c>
      <c r="AN14" s="21">
        <f>'Data Jun 2026'!X35</f>
        <v>60000</v>
      </c>
      <c r="AO14" s="21">
        <f>'Data Jun 2026'!Y35</f>
        <v>58500</v>
      </c>
      <c r="AP14" s="21">
        <f>'Data Jun 2026'!Z35</f>
        <v>58000</v>
      </c>
      <c r="AQ14" s="21">
        <f>'Data Jun 2026'!AA35</f>
        <v>58000</v>
      </c>
      <c r="AR14" s="21">
        <f>'Data Jul 2026'!AA35</f>
        <v>58000</v>
      </c>
      <c r="AS14" s="21">
        <f>'Data Jul 2026'!AB35</f>
        <v>58000</v>
      </c>
      <c r="AT14" s="21">
        <f>'Data Jul 2026'!AC35</f>
        <v>58000</v>
      </c>
      <c r="AU14" s="21">
        <f>'Data Jul 2026'!AD35</f>
        <v>58000</v>
      </c>
      <c r="AV14" s="21">
        <f>'Data Jul 2026'!AE35</f>
        <v>58000</v>
      </c>
      <c r="AW14" s="21">
        <f>'DATAAGUSTUS 2026'!X35</f>
        <v>0</v>
      </c>
      <c r="AX14" s="21">
        <f>'DATAAGUSTUS 2026'!Y35</f>
        <v>0</v>
      </c>
      <c r="AY14" s="21">
        <f>'DATAAGUSTUS 2026'!Z35</f>
        <v>0</v>
      </c>
      <c r="AZ14" s="21">
        <f>'DATAAGUSTUS 2026'!AA35</f>
        <v>0</v>
      </c>
      <c r="BA14" s="21" t="e">
        <f>#REF!</f>
        <v>#REF!</v>
      </c>
      <c r="BB14" s="21" t="e">
        <f>#REF!</f>
        <v>#REF!</v>
      </c>
      <c r="BC14" s="21" t="e">
        <f>#REF!</f>
        <v>#REF!</v>
      </c>
      <c r="BD14" s="21" t="e">
        <f>#REF!</f>
        <v>#REF!</v>
      </c>
      <c r="BE14" s="21" t="e">
        <f>#REF!</f>
        <v>#REF!</v>
      </c>
      <c r="BF14" s="21" t="e">
        <f>#REF!</f>
        <v>#REF!</v>
      </c>
      <c r="BG14" s="21" t="e">
        <f>#REF!</f>
        <v>#REF!</v>
      </c>
      <c r="BH14" s="21" t="e">
        <f>#REF!</f>
        <v>#REF!</v>
      </c>
      <c r="BI14" s="21" t="e">
        <f>#REF!</f>
        <v>#REF!</v>
      </c>
      <c r="BJ14" s="21" t="e">
        <f>#REF!</f>
        <v>#REF!</v>
      </c>
      <c r="BK14" s="21" t="e">
        <f>#REF!</f>
        <v>#REF!</v>
      </c>
      <c r="BL14" s="21" t="e">
        <f>#REF!</f>
        <v>#REF!</v>
      </c>
      <c r="BM14" s="21" t="e">
        <f>#REF!</f>
        <v>#REF!</v>
      </c>
      <c r="BN14" s="21" t="e">
        <f>#REF!</f>
        <v>#REF!</v>
      </c>
      <c r="BO14" s="21" t="e">
        <f>#REF!</f>
        <v>#REF!</v>
      </c>
      <c r="BP14" s="21" t="e">
        <f>#REF!</f>
        <v>#REF!</v>
      </c>
      <c r="BQ14" s="21" t="e">
        <f>#REF!</f>
        <v>#REF!</v>
      </c>
      <c r="BR14" s="21" t="e">
        <f>#REF!</f>
        <v>#REF!</v>
      </c>
    </row>
    <row r="15" spans="1:70" x14ac:dyDescent="0.35">
      <c r="A15" s="3" t="s">
        <v>130</v>
      </c>
      <c r="B15" s="20" t="s">
        <v>250</v>
      </c>
      <c r="C15" s="13" t="s">
        <v>131</v>
      </c>
      <c r="D15" s="21">
        <f>'Data Des 2025'!AB36</f>
        <v>13000</v>
      </c>
      <c r="E15" s="21">
        <f>'Data Jan 2026'!AF36</f>
        <v>13000</v>
      </c>
      <c r="F15" s="21">
        <f>'Data Feb 2026'!AB36</f>
        <v>13000</v>
      </c>
      <c r="G15" s="21">
        <f>'Data Mar 2026'!AD36</f>
        <v>13000</v>
      </c>
      <c r="H15" s="21">
        <f>'Data Apr 2025'!AE36</f>
        <v>12687.5</v>
      </c>
      <c r="I15" s="21">
        <f>'Data Mei 2026'!AE36</f>
        <v>12000</v>
      </c>
      <c r="J15" s="21">
        <f>'Data Jun 2026'!AB36</f>
        <v>12000</v>
      </c>
      <c r="K15" s="21">
        <f>'Data Jul 2026'!AF36</f>
        <v>12000</v>
      </c>
      <c r="L15" s="21">
        <f>'DATAAGUSTUS 2026'!AB36</f>
        <v>0</v>
      </c>
      <c r="M15" s="21" t="e">
        <f>#REF!</f>
        <v>#REF!</v>
      </c>
      <c r="N15" s="21" t="e">
        <f>#REF!</f>
        <v>#REF!</v>
      </c>
      <c r="O15" s="21" t="e">
        <f>#REF!</f>
        <v>#REF!</v>
      </c>
      <c r="P15" s="21">
        <f>'Data Jan 2026'!AA36</f>
        <v>13000</v>
      </c>
      <c r="Q15" s="21">
        <f>'Data Jan 2026'!AB36</f>
        <v>13000</v>
      </c>
      <c r="R15" s="21">
        <f>'Data Jan 2026'!AC36</f>
        <v>13000</v>
      </c>
      <c r="S15" s="21">
        <f>'Data Jan 2026'!AD36</f>
        <v>13000</v>
      </c>
      <c r="T15" s="21">
        <f>'Data Jan 2026'!AE36</f>
        <v>13000</v>
      </c>
      <c r="U15" s="21">
        <f>'Data Feb 2026'!X36</f>
        <v>13000</v>
      </c>
      <c r="V15" s="21">
        <f>'Data Feb 2026'!Y36</f>
        <v>13000</v>
      </c>
      <c r="W15" s="21">
        <f>'Data Feb 2026'!Z36</f>
        <v>13000</v>
      </c>
      <c r="X15" s="21">
        <f>'Data Feb 2026'!AA36</f>
        <v>13000</v>
      </c>
      <c r="Y15" s="21">
        <f>'Data Mar 2026'!Y36</f>
        <v>13000</v>
      </c>
      <c r="Z15" s="21">
        <f>'Data Mar 2026'!Z36</f>
        <v>13000</v>
      </c>
      <c r="AA15" s="21">
        <f>'Data Mar 2026'!AA36</f>
        <v>13000</v>
      </c>
      <c r="AB15" s="21">
        <f>'Data Mar 2026'!AB36</f>
        <v>13000</v>
      </c>
      <c r="AC15" s="21" t="str">
        <f>'Data Mar 2026'!AC36</f>
        <v/>
      </c>
      <c r="AD15" s="21" t="str">
        <f>'Data Apr 2025'!Z36</f>
        <v/>
      </c>
      <c r="AE15" s="21">
        <f>'Data Apr 2025'!AA36</f>
        <v>13000</v>
      </c>
      <c r="AF15" s="21">
        <f>'Data Apr 2025'!AB36</f>
        <v>13000</v>
      </c>
      <c r="AG15" s="21">
        <f>'Data Apr 2025'!AC36</f>
        <v>12600</v>
      </c>
      <c r="AH15" s="21">
        <f>'Data Apr 2025'!AD36</f>
        <v>12000</v>
      </c>
      <c r="AI15" s="21">
        <f>'Data Mei 2026'!Z36</f>
        <v>12000</v>
      </c>
      <c r="AJ15" s="21">
        <f>'Data Mei 2026'!AA36</f>
        <v>12000</v>
      </c>
      <c r="AK15" s="21">
        <f>'Data Mei 2026'!AB36</f>
        <v>12000</v>
      </c>
      <c r="AL15" s="21">
        <f>'Data Mei 2026'!AC36</f>
        <v>12000</v>
      </c>
      <c r="AM15" s="21">
        <f>'Data Mei 2026'!AD36</f>
        <v>12000</v>
      </c>
      <c r="AN15" s="21">
        <f>'Data Jun 2026'!X36</f>
        <v>12000</v>
      </c>
      <c r="AO15" s="21">
        <f>'Data Jun 2026'!Y36</f>
        <v>12000</v>
      </c>
      <c r="AP15" s="21">
        <f>'Data Jun 2026'!Z36</f>
        <v>12000</v>
      </c>
      <c r="AQ15" s="21">
        <f>'Data Jun 2026'!AA36</f>
        <v>12000</v>
      </c>
      <c r="AR15" s="21">
        <f>'Data Jul 2026'!AA36</f>
        <v>12000</v>
      </c>
      <c r="AS15" s="21">
        <f>'Data Jul 2026'!AB36</f>
        <v>12000</v>
      </c>
      <c r="AT15" s="21">
        <f>'Data Jul 2026'!AC36</f>
        <v>12000</v>
      </c>
      <c r="AU15" s="21">
        <f>'Data Jul 2026'!AD36</f>
        <v>12000</v>
      </c>
      <c r="AV15" s="21">
        <f>'Data Jul 2026'!AE36</f>
        <v>12000</v>
      </c>
      <c r="AW15" s="21">
        <f>'DATAAGUSTUS 2026'!X36</f>
        <v>0</v>
      </c>
      <c r="AX15" s="21">
        <f>'DATAAGUSTUS 2026'!Y36</f>
        <v>0</v>
      </c>
      <c r="AY15" s="21">
        <f>'DATAAGUSTUS 2026'!Z36</f>
        <v>0</v>
      </c>
      <c r="AZ15" s="21">
        <f>'DATAAGUSTUS 2026'!AA36</f>
        <v>0</v>
      </c>
      <c r="BA15" s="21" t="e">
        <f>#REF!</f>
        <v>#REF!</v>
      </c>
      <c r="BB15" s="21" t="e">
        <f>#REF!</f>
        <v>#REF!</v>
      </c>
      <c r="BC15" s="21" t="e">
        <f>#REF!</f>
        <v>#REF!</v>
      </c>
      <c r="BD15" s="21" t="e">
        <f>#REF!</f>
        <v>#REF!</v>
      </c>
      <c r="BE15" s="21" t="e">
        <f>#REF!</f>
        <v>#REF!</v>
      </c>
      <c r="BF15" s="21" t="e">
        <f>#REF!</f>
        <v>#REF!</v>
      </c>
      <c r="BG15" s="21" t="e">
        <f>#REF!</f>
        <v>#REF!</v>
      </c>
      <c r="BH15" s="21" t="e">
        <f>#REF!</f>
        <v>#REF!</v>
      </c>
      <c r="BI15" s="21" t="e">
        <f>#REF!</f>
        <v>#REF!</v>
      </c>
      <c r="BJ15" s="21" t="e">
        <f>#REF!</f>
        <v>#REF!</v>
      </c>
      <c r="BK15" s="21" t="e">
        <f>#REF!</f>
        <v>#REF!</v>
      </c>
      <c r="BL15" s="21" t="e">
        <f>#REF!</f>
        <v>#REF!</v>
      </c>
      <c r="BM15" s="21" t="e">
        <f>#REF!</f>
        <v>#REF!</v>
      </c>
      <c r="BN15" s="21" t="e">
        <f>#REF!</f>
        <v>#REF!</v>
      </c>
      <c r="BO15" s="21" t="e">
        <f>#REF!</f>
        <v>#REF!</v>
      </c>
      <c r="BP15" s="21" t="e">
        <f>#REF!</f>
        <v>#REF!</v>
      </c>
      <c r="BQ15" s="21" t="e">
        <f>#REF!</f>
        <v>#REF!</v>
      </c>
      <c r="BR15" s="21" t="e">
        <f>#REF!</f>
        <v>#REF!</v>
      </c>
    </row>
    <row r="16" spans="1:70" x14ac:dyDescent="0.35">
      <c r="A16" s="3" t="s">
        <v>132</v>
      </c>
      <c r="B16" s="20" t="s">
        <v>251</v>
      </c>
      <c r="C16" s="13"/>
      <c r="D16" s="21">
        <f>'Data Des 2025'!AB11</f>
        <v>31166.666666666668</v>
      </c>
      <c r="E16" s="21">
        <f>'Data Jan 2026'!AF11</f>
        <v>46184.210526315786</v>
      </c>
      <c r="F16" s="21">
        <f>'Data Feb 2026'!AB11</f>
        <v>48315.789473684214</v>
      </c>
      <c r="G16" s="21">
        <f>'Data Mar 2026'!AD11</f>
        <v>46157.894736842107</v>
      </c>
      <c r="H16" s="21">
        <f>'Data Apr 2025'!AE11</f>
        <v>50500</v>
      </c>
      <c r="I16" s="21">
        <f>'Data Mei 2026'!AE11</f>
        <v>22705.882352941175</v>
      </c>
      <c r="J16" s="21">
        <f>'Data Jun 2026'!AB11</f>
        <v>25176.470588235294</v>
      </c>
      <c r="K16" s="21">
        <f>'Data Jul 2026'!AF11</f>
        <v>29130.434782608696</v>
      </c>
      <c r="L16" s="21">
        <f>'DATAAGUSTUS 2026'!AB11</f>
        <v>0</v>
      </c>
      <c r="M16" s="21" t="e">
        <f>#REF!</f>
        <v>#REF!</v>
      </c>
      <c r="N16" s="21" t="e">
        <f>#REF!</f>
        <v>#REF!</v>
      </c>
      <c r="O16" s="21" t="e">
        <f>#REF!</f>
        <v>#REF!</v>
      </c>
      <c r="P16" s="21">
        <f>'Data Jan 2026'!AA11</f>
        <v>45000</v>
      </c>
      <c r="Q16" s="21">
        <f>'Data Jan 2026'!AB11</f>
        <v>47000</v>
      </c>
      <c r="R16" s="21">
        <f>'Data Jan 2026'!AC11</f>
        <v>46600</v>
      </c>
      <c r="S16" s="21">
        <f>'Data Jan 2026'!AD11</f>
        <v>45100</v>
      </c>
      <c r="T16" s="21">
        <f>'Data Jan 2026'!AE11</f>
        <v>47000</v>
      </c>
      <c r="U16" s="21">
        <f>'Data Feb 2026'!X11</f>
        <v>47000</v>
      </c>
      <c r="V16" s="21">
        <f>'Data Feb 2026'!Y11</f>
        <v>47000</v>
      </c>
      <c r="W16" s="21">
        <f>'Data Feb 2026'!Z11</f>
        <v>49600</v>
      </c>
      <c r="X16" s="21">
        <f>'Data Feb 2026'!AA11</f>
        <v>50000</v>
      </c>
      <c r="Y16" s="21">
        <f>'Data Mar 2026'!Y11</f>
        <v>46000</v>
      </c>
      <c r="Z16" s="21">
        <f>'Data Mar 2026'!Z11</f>
        <v>45000</v>
      </c>
      <c r="AA16" s="21">
        <f>'Data Mar 2026'!AA11</f>
        <v>46200</v>
      </c>
      <c r="AB16" s="21">
        <f>'Data Mar 2026'!AB11</f>
        <v>47750</v>
      </c>
      <c r="AC16" s="21" t="str">
        <f>'Data Mar 2026'!AC11</f>
        <v/>
      </c>
      <c r="AD16" s="21" t="str">
        <f>'Data Apr 2025'!Z11</f>
        <v/>
      </c>
      <c r="AE16" s="21">
        <f>'Data Apr 2025'!AA11</f>
        <v>60000</v>
      </c>
      <c r="AF16" s="21">
        <f>'Data Apr 2025'!AB11</f>
        <v>59375</v>
      </c>
      <c r="AG16" s="21">
        <f>'Data Apr 2025'!AC11</f>
        <v>48900</v>
      </c>
      <c r="AH16" s="21">
        <f>'Data Apr 2025'!AD11</f>
        <v>28666.666666666668</v>
      </c>
      <c r="AI16" s="21">
        <f>'Data Mei 2026'!Z11</f>
        <v>28000</v>
      </c>
      <c r="AJ16" s="21">
        <f>'Data Mei 2026'!AA11</f>
        <v>26800</v>
      </c>
      <c r="AK16" s="21">
        <f>'Data Mei 2026'!AB11</f>
        <v>20000</v>
      </c>
      <c r="AL16" s="21">
        <f>'Data Mei 2026'!AC11</f>
        <v>20000</v>
      </c>
      <c r="AM16" s="21">
        <f>'Data Mei 2026'!AD11</f>
        <v>21333.333333333332</v>
      </c>
      <c r="AN16" s="21">
        <f>'Data Jun 2026'!X11</f>
        <v>32500</v>
      </c>
      <c r="AO16" s="21">
        <f>'Data Jun 2026'!Y11</f>
        <v>27000</v>
      </c>
      <c r="AP16" s="21">
        <f>'Data Jun 2026'!Z11</f>
        <v>20400</v>
      </c>
      <c r="AQ16" s="21">
        <f>'Data Jun 2026'!AA11</f>
        <v>22000</v>
      </c>
      <c r="AR16" s="21">
        <f>'Data Jul 2026'!AA11</f>
        <v>25500</v>
      </c>
      <c r="AS16" s="21">
        <f>'Data Jul 2026'!AB11</f>
        <v>30600</v>
      </c>
      <c r="AT16" s="21">
        <f>'Data Jul 2026'!AC11</f>
        <v>30200</v>
      </c>
      <c r="AU16" s="21">
        <f>'Data Jul 2026'!AD11</f>
        <v>30000</v>
      </c>
      <c r="AV16" s="21">
        <f>'Data Jul 2026'!AE11</f>
        <v>28500</v>
      </c>
      <c r="AW16" s="21">
        <f>'DATAAGUSTUS 2026'!X11</f>
        <v>0</v>
      </c>
      <c r="AX16" s="21">
        <f>'DATAAGUSTUS 2026'!Y11</f>
        <v>0</v>
      </c>
      <c r="AY16" s="21">
        <f>'DATAAGUSTUS 2026'!Z11</f>
        <v>0</v>
      </c>
      <c r="AZ16" s="21">
        <f>'DATAAGUSTUS 2026'!AA11</f>
        <v>0</v>
      </c>
      <c r="BA16" s="21" t="e">
        <f>#REF!</f>
        <v>#REF!</v>
      </c>
      <c r="BB16" s="21" t="e">
        <f>#REF!</f>
        <v>#REF!</v>
      </c>
      <c r="BC16" s="21" t="e">
        <f>#REF!</f>
        <v>#REF!</v>
      </c>
      <c r="BD16" s="21" t="e">
        <f>#REF!</f>
        <v>#REF!</v>
      </c>
      <c r="BE16" s="21" t="e">
        <f>#REF!</f>
        <v>#REF!</v>
      </c>
      <c r="BF16" s="21" t="e">
        <f>#REF!</f>
        <v>#REF!</v>
      </c>
      <c r="BG16" s="21" t="e">
        <f>#REF!</f>
        <v>#REF!</v>
      </c>
      <c r="BH16" s="21" t="e">
        <f>#REF!</f>
        <v>#REF!</v>
      </c>
      <c r="BI16" s="21" t="e">
        <f>#REF!</f>
        <v>#REF!</v>
      </c>
      <c r="BJ16" s="21" t="e">
        <f>#REF!</f>
        <v>#REF!</v>
      </c>
      <c r="BK16" s="21" t="e">
        <f>#REF!</f>
        <v>#REF!</v>
      </c>
      <c r="BL16" s="21" t="e">
        <f>#REF!</f>
        <v>#REF!</v>
      </c>
      <c r="BM16" s="21" t="e">
        <f>#REF!</f>
        <v>#REF!</v>
      </c>
      <c r="BN16" s="21" t="e">
        <f>#REF!</f>
        <v>#REF!</v>
      </c>
      <c r="BO16" s="21" t="e">
        <f>#REF!</f>
        <v>#REF!</v>
      </c>
      <c r="BP16" s="21" t="e">
        <f>#REF!</f>
        <v>#REF!</v>
      </c>
      <c r="BQ16" s="21" t="e">
        <f>#REF!</f>
        <v>#REF!</v>
      </c>
      <c r="BR16" s="21" t="e">
        <f>#REF!</f>
        <v>#REF!</v>
      </c>
    </row>
    <row r="17" spans="1:70" x14ac:dyDescent="0.35">
      <c r="A17" s="3" t="s">
        <v>133</v>
      </c>
      <c r="B17" s="20" t="s">
        <v>252</v>
      </c>
      <c r="C17" s="13"/>
      <c r="D17" s="21">
        <f>'Data Des 2025'!AB19</f>
        <v>26750</v>
      </c>
      <c r="E17" s="21">
        <f>'Data Jan 2026'!AF19</f>
        <v>25157.894736842107</v>
      </c>
      <c r="F17" s="21">
        <f>'Data Feb 2026'!AB19</f>
        <v>25710.526315789473</v>
      </c>
      <c r="G17" s="21">
        <f>'Data Mar 2026'!AD19</f>
        <v>25421.052631578947</v>
      </c>
      <c r="H17" s="21">
        <f>'Data Apr 2025'!AE19</f>
        <v>23406.25</v>
      </c>
      <c r="I17" s="21">
        <f>'Data Mei 2026'!AE19</f>
        <v>23147.058823529413</v>
      </c>
      <c r="J17" s="21">
        <f>'Data Jun 2026'!AB19</f>
        <v>23470.588235294119</v>
      </c>
      <c r="K17" s="21">
        <f>'Data Jul 2026'!AF19</f>
        <v>24195.652173913044</v>
      </c>
      <c r="L17" s="21">
        <f>'DATAAGUSTUS 2026'!AB19</f>
        <v>0</v>
      </c>
      <c r="M17" s="21" t="e">
        <f>#REF!</f>
        <v>#REF!</v>
      </c>
      <c r="N17" s="21" t="e">
        <f>#REF!</f>
        <v>#REF!</v>
      </c>
      <c r="O17" s="21" t="e">
        <f>#REF!</f>
        <v>#REF!</v>
      </c>
      <c r="P17" s="21">
        <f>'Data Jan 2026'!AA19</f>
        <v>27000</v>
      </c>
      <c r="Q17" s="21">
        <f>'Data Jan 2026'!AB19</f>
        <v>26900</v>
      </c>
      <c r="R17" s="21">
        <f>'Data Jan 2026'!AC19</f>
        <v>23600</v>
      </c>
      <c r="S17" s="21">
        <f>'Data Jan 2026'!AD19</f>
        <v>24500</v>
      </c>
      <c r="T17" s="21">
        <f>'Data Jan 2026'!AE19</f>
        <v>24500</v>
      </c>
      <c r="U17" s="21">
        <f>'Data Feb 2026'!X19</f>
        <v>24900</v>
      </c>
      <c r="V17" s="21">
        <f>'Data Feb 2026'!Y19</f>
        <v>25500</v>
      </c>
      <c r="W17" s="21">
        <f>'Data Feb 2026'!Z19</f>
        <v>26100</v>
      </c>
      <c r="X17" s="21">
        <f>'Data Feb 2026'!AA19</f>
        <v>26500</v>
      </c>
      <c r="Y17" s="21">
        <f>'Data Mar 2026'!Y19</f>
        <v>26100</v>
      </c>
      <c r="Z17" s="21">
        <f>'Data Mar 2026'!Z19</f>
        <v>25600</v>
      </c>
      <c r="AA17" s="21">
        <f>'Data Mar 2026'!AA19</f>
        <v>25000</v>
      </c>
      <c r="AB17" s="21">
        <f>'Data Mar 2026'!AB19</f>
        <v>24875</v>
      </c>
      <c r="AC17" s="21" t="str">
        <f>'Data Mar 2026'!AC19</f>
        <v/>
      </c>
      <c r="AD17" s="21" t="str">
        <f>'Data Apr 2025'!Z19</f>
        <v/>
      </c>
      <c r="AE17" s="21">
        <f>'Data Apr 2025'!AA19</f>
        <v>24250</v>
      </c>
      <c r="AF17" s="21">
        <f>'Data Apr 2025'!AB19</f>
        <v>23375</v>
      </c>
      <c r="AG17" s="21">
        <f>'Data Apr 2025'!AC19</f>
        <v>23000</v>
      </c>
      <c r="AH17" s="21">
        <f>'Data Apr 2025'!AD19</f>
        <v>23000</v>
      </c>
      <c r="AI17" s="21">
        <f>'Data Mei 2026'!Z19</f>
        <v>23000</v>
      </c>
      <c r="AJ17" s="21">
        <f>'Data Mei 2026'!AA19</f>
        <v>23000</v>
      </c>
      <c r="AK17" s="21">
        <f>'Data Mei 2026'!AB19</f>
        <v>23000</v>
      </c>
      <c r="AL17" s="21">
        <f>'Data Mei 2026'!AC19</f>
        <v>23000</v>
      </c>
      <c r="AM17" s="21">
        <f>'Data Mei 2026'!AD19</f>
        <v>23833.333333333332</v>
      </c>
      <c r="AN17" s="21">
        <f>'Data Jun 2026'!X19</f>
        <v>25000</v>
      </c>
      <c r="AO17" s="21">
        <f>'Data Jun 2026'!Y19</f>
        <v>24000</v>
      </c>
      <c r="AP17" s="21">
        <f>'Data Jun 2026'!Z19</f>
        <v>22200</v>
      </c>
      <c r="AQ17" s="21">
        <f>'Data Jun 2026'!AA19</f>
        <v>23000</v>
      </c>
      <c r="AR17" s="21">
        <f>'Data Jul 2026'!AA19</f>
        <v>23250</v>
      </c>
      <c r="AS17" s="21">
        <f>'Data Jul 2026'!AB19</f>
        <v>24400</v>
      </c>
      <c r="AT17" s="21">
        <f>'Data Jul 2026'!AC19</f>
        <v>24200</v>
      </c>
      <c r="AU17" s="21">
        <f>'Data Jul 2026'!AD19</f>
        <v>25000</v>
      </c>
      <c r="AV17" s="21">
        <f>'Data Jul 2026'!AE19</f>
        <v>23875</v>
      </c>
      <c r="AW17" s="21">
        <f>'DATAAGUSTUS 2026'!X19</f>
        <v>0</v>
      </c>
      <c r="AX17" s="21">
        <f>'DATAAGUSTUS 2026'!Y19</f>
        <v>0</v>
      </c>
      <c r="AY17" s="21">
        <f>'DATAAGUSTUS 2026'!Z19</f>
        <v>0</v>
      </c>
      <c r="AZ17" s="21">
        <f>'DATAAGUSTUS 2026'!AA19</f>
        <v>0</v>
      </c>
      <c r="BA17" s="21" t="e">
        <f>#REF!</f>
        <v>#REF!</v>
      </c>
      <c r="BB17" s="21" t="e">
        <f>#REF!</f>
        <v>#REF!</v>
      </c>
      <c r="BC17" s="21" t="e">
        <f>#REF!</f>
        <v>#REF!</v>
      </c>
      <c r="BD17" s="21" t="e">
        <f>#REF!</f>
        <v>#REF!</v>
      </c>
      <c r="BE17" s="21" t="e">
        <f>#REF!</f>
        <v>#REF!</v>
      </c>
      <c r="BF17" s="21" t="e">
        <f>#REF!</f>
        <v>#REF!</v>
      </c>
      <c r="BG17" s="21" t="e">
        <f>#REF!</f>
        <v>#REF!</v>
      </c>
      <c r="BH17" s="21" t="e">
        <f>#REF!</f>
        <v>#REF!</v>
      </c>
      <c r="BI17" s="21" t="e">
        <f>#REF!</f>
        <v>#REF!</v>
      </c>
      <c r="BJ17" s="21" t="e">
        <f>#REF!</f>
        <v>#REF!</v>
      </c>
      <c r="BK17" s="21" t="e">
        <f>#REF!</f>
        <v>#REF!</v>
      </c>
      <c r="BL17" s="21" t="e">
        <f>#REF!</f>
        <v>#REF!</v>
      </c>
      <c r="BM17" s="21" t="e">
        <f>#REF!</f>
        <v>#REF!</v>
      </c>
      <c r="BN17" s="21" t="e">
        <f>#REF!</f>
        <v>#REF!</v>
      </c>
      <c r="BO17" s="21" t="e">
        <f>#REF!</f>
        <v>#REF!</v>
      </c>
      <c r="BP17" s="21" t="e">
        <f>#REF!</f>
        <v>#REF!</v>
      </c>
      <c r="BQ17" s="21" t="e">
        <f>#REF!</f>
        <v>#REF!</v>
      </c>
      <c r="BR17" s="21" t="e">
        <f>#REF!</f>
        <v>#REF!</v>
      </c>
    </row>
    <row r="18" spans="1:70" x14ac:dyDescent="0.35">
      <c r="A18" s="3" t="s">
        <v>134</v>
      </c>
      <c r="B18" s="20" t="s">
        <v>253</v>
      </c>
      <c r="C18" s="13"/>
      <c r="D18" s="21">
        <f>'Data Des 2025'!AB13</f>
        <v>16500</v>
      </c>
      <c r="E18" s="21">
        <f>'Data Jan 2026'!AF13</f>
        <v>16500</v>
      </c>
      <c r="F18" s="21">
        <f>'Data Feb 2026'!AB13</f>
        <v>16500</v>
      </c>
      <c r="G18" s="21">
        <f>'Data Mar 2026'!AD13</f>
        <v>16500</v>
      </c>
      <c r="H18" s="21">
        <f>'Data Apr 2025'!AE13</f>
        <v>16125</v>
      </c>
      <c r="I18" s="21">
        <f>'Data Mei 2026'!AE13</f>
        <v>16088.235294117647</v>
      </c>
      <c r="J18" s="21">
        <f>'Data Jun 2026'!AB13</f>
        <v>16117.64705882353</v>
      </c>
      <c r="K18" s="21">
        <f>'Data Jul 2026'!AF13</f>
        <v>16000</v>
      </c>
      <c r="L18" s="21">
        <f>'DATAAGUSTUS 2026'!AB13</f>
        <v>0</v>
      </c>
      <c r="M18" s="21" t="e">
        <f>#REF!</f>
        <v>#REF!</v>
      </c>
      <c r="N18" s="21" t="e">
        <f>#REF!</f>
        <v>#REF!</v>
      </c>
      <c r="O18" s="21" t="e">
        <f>#REF!</f>
        <v>#REF!</v>
      </c>
      <c r="P18" s="21">
        <f>'Data Jan 2026'!AA13</f>
        <v>16500</v>
      </c>
      <c r="Q18" s="21">
        <f>'Data Jan 2026'!AB13</f>
        <v>16500</v>
      </c>
      <c r="R18" s="21">
        <f>'Data Jan 2026'!AC13</f>
        <v>16500</v>
      </c>
      <c r="S18" s="21">
        <f>'Data Jan 2026'!AD13</f>
        <v>16500</v>
      </c>
      <c r="T18" s="21">
        <f>'Data Jan 2026'!AE13</f>
        <v>16500</v>
      </c>
      <c r="U18" s="21">
        <f>'Data Feb 2026'!X13</f>
        <v>16500</v>
      </c>
      <c r="V18" s="21">
        <f>'Data Feb 2026'!Y13</f>
        <v>16500</v>
      </c>
      <c r="W18" s="21">
        <f>'Data Feb 2026'!Z13</f>
        <v>16500</v>
      </c>
      <c r="X18" s="21">
        <f>'Data Feb 2026'!AA13</f>
        <v>16500</v>
      </c>
      <c r="Y18" s="21">
        <f>'Data Mar 2026'!Y13</f>
        <v>16500</v>
      </c>
      <c r="Z18" s="21">
        <f>'Data Mar 2026'!Z13</f>
        <v>16500</v>
      </c>
      <c r="AA18" s="21">
        <f>'Data Mar 2026'!AA13</f>
        <v>16500</v>
      </c>
      <c r="AB18" s="21">
        <f>'Data Mar 2026'!AB13</f>
        <v>16500</v>
      </c>
      <c r="AC18" s="21" t="str">
        <f>'Data Mar 2026'!AC13</f>
        <v/>
      </c>
      <c r="AD18" s="21" t="str">
        <f>'Data Apr 2025'!Z13</f>
        <v/>
      </c>
      <c r="AE18" s="21">
        <f>'Data Apr 2025'!AA13</f>
        <v>16500</v>
      </c>
      <c r="AF18" s="21">
        <f>'Data Apr 2025'!AB13</f>
        <v>16000</v>
      </c>
      <c r="AG18" s="21">
        <f>'Data Apr 2025'!AC13</f>
        <v>16000</v>
      </c>
      <c r="AH18" s="21">
        <f>'Data Apr 2025'!AD13</f>
        <v>16000</v>
      </c>
      <c r="AI18" s="21">
        <f>'Data Mei 2026'!Z13</f>
        <v>16000</v>
      </c>
      <c r="AJ18" s="21">
        <f>'Data Mei 2026'!AA13</f>
        <v>16000</v>
      </c>
      <c r="AK18" s="21">
        <f>'Data Mei 2026'!AB13</f>
        <v>16000</v>
      </c>
      <c r="AL18" s="21">
        <f>'Data Mei 2026'!AC13</f>
        <v>16000</v>
      </c>
      <c r="AM18" s="21">
        <f>'Data Mei 2026'!AD13</f>
        <v>16500</v>
      </c>
      <c r="AN18" s="21">
        <f>'Data Jun 2026'!X13</f>
        <v>16500</v>
      </c>
      <c r="AO18" s="21">
        <f>'Data Jun 2026'!Y13</f>
        <v>16000</v>
      </c>
      <c r="AP18" s="21">
        <f>'Data Jun 2026'!Z13</f>
        <v>16000</v>
      </c>
      <c r="AQ18" s="21">
        <f>'Data Jun 2026'!AA13</f>
        <v>16000</v>
      </c>
      <c r="AR18" s="21">
        <f>'Data Jul 2026'!AA13</f>
        <v>16000</v>
      </c>
      <c r="AS18" s="21">
        <f>'Data Jul 2026'!AB13</f>
        <v>16000</v>
      </c>
      <c r="AT18" s="21">
        <f>'Data Jul 2026'!AC13</f>
        <v>16000</v>
      </c>
      <c r="AU18" s="21">
        <f>'Data Jul 2026'!AD13</f>
        <v>16000</v>
      </c>
      <c r="AV18" s="21">
        <f>'Data Jul 2026'!AE13</f>
        <v>16000</v>
      </c>
      <c r="AW18" s="21">
        <f>'DATAAGUSTUS 2026'!X13</f>
        <v>0</v>
      </c>
      <c r="AX18" s="21">
        <f>'DATAAGUSTUS 2026'!Y13</f>
        <v>0</v>
      </c>
      <c r="AY18" s="21">
        <f>'DATAAGUSTUS 2026'!Z13</f>
        <v>0</v>
      </c>
      <c r="AZ18" s="21">
        <f>'DATAAGUSTUS 2026'!AA13</f>
        <v>0</v>
      </c>
      <c r="BA18" s="21" t="e">
        <f>#REF!</f>
        <v>#REF!</v>
      </c>
      <c r="BB18" s="21" t="e">
        <f>#REF!</f>
        <v>#REF!</v>
      </c>
      <c r="BC18" s="21" t="e">
        <f>#REF!</f>
        <v>#REF!</v>
      </c>
      <c r="BD18" s="21" t="e">
        <f>#REF!</f>
        <v>#REF!</v>
      </c>
      <c r="BE18" s="21" t="e">
        <f>#REF!</f>
        <v>#REF!</v>
      </c>
      <c r="BF18" s="21" t="e">
        <f>#REF!</f>
        <v>#REF!</v>
      </c>
      <c r="BG18" s="21" t="e">
        <f>#REF!</f>
        <v>#REF!</v>
      </c>
      <c r="BH18" s="21" t="e">
        <f>#REF!</f>
        <v>#REF!</v>
      </c>
      <c r="BI18" s="21" t="e">
        <f>#REF!</f>
        <v>#REF!</v>
      </c>
      <c r="BJ18" s="21" t="e">
        <f>#REF!</f>
        <v>#REF!</v>
      </c>
      <c r="BK18" s="21" t="e">
        <f>#REF!</f>
        <v>#REF!</v>
      </c>
      <c r="BL18" s="21" t="e">
        <f>#REF!</f>
        <v>#REF!</v>
      </c>
      <c r="BM18" s="21" t="e">
        <f>#REF!</f>
        <v>#REF!</v>
      </c>
      <c r="BN18" s="21" t="e">
        <f>#REF!</f>
        <v>#REF!</v>
      </c>
      <c r="BO18" s="21" t="e">
        <f>#REF!</f>
        <v>#REF!</v>
      </c>
      <c r="BP18" s="21" t="e">
        <f>#REF!</f>
        <v>#REF!</v>
      </c>
      <c r="BQ18" s="21" t="e">
        <f>#REF!</f>
        <v>#REF!</v>
      </c>
      <c r="BR18" s="21" t="e">
        <f>#REF!</f>
        <v>#REF!</v>
      </c>
    </row>
    <row r="19" spans="1:70" x14ac:dyDescent="0.35">
      <c r="A19" s="3" t="s">
        <v>135</v>
      </c>
      <c r="B19" s="20" t="s">
        <v>254</v>
      </c>
      <c r="C19" s="13" t="s">
        <v>136</v>
      </c>
      <c r="D19" s="21">
        <f>'Data Des 2025'!AB24</f>
        <v>35000</v>
      </c>
      <c r="E19" s="21">
        <f>'Data Jan 2026'!AF24</f>
        <v>34368.42105263158</v>
      </c>
      <c r="F19" s="21">
        <f>'Data Feb 2026'!AB24</f>
        <v>35000</v>
      </c>
      <c r="G19" s="21">
        <f>'Data Mar 2026'!AD24</f>
        <v>35000</v>
      </c>
      <c r="H19" s="21">
        <f>'Data Apr 2025'!AE24</f>
        <v>34437.5</v>
      </c>
      <c r="I19" s="21">
        <f>'Data Mei 2026'!AE24</f>
        <v>30000</v>
      </c>
      <c r="J19" s="21">
        <f>'Data Jun 2026'!AB24</f>
        <v>28588.235294117647</v>
      </c>
      <c r="K19" s="21">
        <f>'Data Jul 2026'!AF24</f>
        <v>28000</v>
      </c>
      <c r="L19" s="21">
        <f>'DATAAGUSTUS 2026'!AB24</f>
        <v>0</v>
      </c>
      <c r="M19" s="21" t="e">
        <f>#REF!</f>
        <v>#REF!</v>
      </c>
      <c r="N19" s="21" t="e">
        <f>#REF!</f>
        <v>#REF!</v>
      </c>
      <c r="O19" s="21" t="e">
        <f>#REF!</f>
        <v>#REF!</v>
      </c>
      <c r="P19" s="21">
        <f>'Data Jan 2026'!AA24</f>
        <v>35000</v>
      </c>
      <c r="Q19" s="21">
        <f>'Data Jan 2026'!AB24</f>
        <v>32600</v>
      </c>
      <c r="R19" s="21">
        <f>'Data Jan 2026'!AC24</f>
        <v>35000</v>
      </c>
      <c r="S19" s="21">
        <f>'Data Jan 2026'!AD24</f>
        <v>35000</v>
      </c>
      <c r="T19" s="21">
        <f>'Data Jan 2026'!AE24</f>
        <v>35000</v>
      </c>
      <c r="U19" s="21">
        <f>'Data Feb 2026'!X24</f>
        <v>35000</v>
      </c>
      <c r="V19" s="21">
        <f>'Data Feb 2026'!Y24</f>
        <v>35000</v>
      </c>
      <c r="W19" s="21">
        <f>'Data Feb 2026'!Z24</f>
        <v>35000</v>
      </c>
      <c r="X19" s="21">
        <f>'Data Feb 2026'!AA24</f>
        <v>35000</v>
      </c>
      <c r="Y19" s="21">
        <f>'Data Mar 2026'!Y24</f>
        <v>35000</v>
      </c>
      <c r="Z19" s="21">
        <f>'Data Mar 2026'!Z24</f>
        <v>35000</v>
      </c>
      <c r="AA19" s="21">
        <f>'Data Mar 2026'!AA24</f>
        <v>35000</v>
      </c>
      <c r="AB19" s="21">
        <f>'Data Mar 2026'!AB24</f>
        <v>35000</v>
      </c>
      <c r="AC19" s="21" t="str">
        <f>'Data Mar 2026'!AC24</f>
        <v/>
      </c>
      <c r="AD19" s="21" t="str">
        <f>'Data Apr 2025'!Z24</f>
        <v/>
      </c>
      <c r="AE19" s="21">
        <f>'Data Apr 2025'!AA24</f>
        <v>35000</v>
      </c>
      <c r="AF19" s="21">
        <f>'Data Apr 2025'!AB24</f>
        <v>35000</v>
      </c>
      <c r="AG19" s="21">
        <f>'Data Apr 2025'!AC24</f>
        <v>35000</v>
      </c>
      <c r="AH19" s="21">
        <f>'Data Apr 2025'!AD24</f>
        <v>32000</v>
      </c>
      <c r="AI19" s="21">
        <f>'Data Mei 2026'!Z24</f>
        <v>30000</v>
      </c>
      <c r="AJ19" s="21">
        <f>'Data Mei 2026'!AA24</f>
        <v>30000</v>
      </c>
      <c r="AK19" s="21">
        <f>'Data Mei 2026'!AB24</f>
        <v>30000</v>
      </c>
      <c r="AL19" s="21">
        <f>'Data Mei 2026'!AC24</f>
        <v>30000</v>
      </c>
      <c r="AM19" s="21">
        <f>'Data Mei 2026'!AD24</f>
        <v>30000</v>
      </c>
      <c r="AN19" s="21">
        <f>'Data Jun 2026'!X24</f>
        <v>30000</v>
      </c>
      <c r="AO19" s="21">
        <f>'Data Jun 2026'!Y24</f>
        <v>28500</v>
      </c>
      <c r="AP19" s="21">
        <f>'Data Jun 2026'!Z24</f>
        <v>28000</v>
      </c>
      <c r="AQ19" s="21">
        <f>'Data Jun 2026'!AA24</f>
        <v>28000</v>
      </c>
      <c r="AR19" s="21">
        <f>'Data Jul 2026'!AA24</f>
        <v>28000</v>
      </c>
      <c r="AS19" s="21">
        <f>'Data Jul 2026'!AB24</f>
        <v>28000</v>
      </c>
      <c r="AT19" s="21">
        <f>'Data Jul 2026'!AC24</f>
        <v>28000</v>
      </c>
      <c r="AU19" s="21">
        <f>'Data Jul 2026'!AD24</f>
        <v>28000</v>
      </c>
      <c r="AV19" s="21">
        <f>'Data Jul 2026'!AE24</f>
        <v>28000</v>
      </c>
      <c r="AW19" s="21">
        <f>'DATAAGUSTUS 2026'!X24</f>
        <v>0</v>
      </c>
      <c r="AX19" s="21">
        <f>'DATAAGUSTUS 2026'!Y24</f>
        <v>0</v>
      </c>
      <c r="AY19" s="21">
        <f>'DATAAGUSTUS 2026'!Z24</f>
        <v>0</v>
      </c>
      <c r="AZ19" s="21">
        <f>'DATAAGUSTUS 2026'!AA24</f>
        <v>0</v>
      </c>
      <c r="BA19" s="21" t="e">
        <f>#REF!</f>
        <v>#REF!</v>
      </c>
      <c r="BB19" s="21" t="e">
        <f>#REF!</f>
        <v>#REF!</v>
      </c>
      <c r="BC19" s="21" t="e">
        <f>#REF!</f>
        <v>#REF!</v>
      </c>
      <c r="BD19" s="21" t="e">
        <f>#REF!</f>
        <v>#REF!</v>
      </c>
      <c r="BE19" s="21" t="e">
        <f>#REF!</f>
        <v>#REF!</v>
      </c>
      <c r="BF19" s="21" t="e">
        <f>#REF!</f>
        <v>#REF!</v>
      </c>
      <c r="BG19" s="21" t="e">
        <f>#REF!</f>
        <v>#REF!</v>
      </c>
      <c r="BH19" s="21" t="e">
        <f>#REF!</f>
        <v>#REF!</v>
      </c>
      <c r="BI19" s="21" t="e">
        <f>#REF!</f>
        <v>#REF!</v>
      </c>
      <c r="BJ19" s="21" t="e">
        <f>#REF!</f>
        <v>#REF!</v>
      </c>
      <c r="BK19" s="21" t="e">
        <f>#REF!</f>
        <v>#REF!</v>
      </c>
      <c r="BL19" s="21" t="e">
        <f>#REF!</f>
        <v>#REF!</v>
      </c>
      <c r="BM19" s="21" t="e">
        <f>#REF!</f>
        <v>#REF!</v>
      </c>
      <c r="BN19" s="21" t="e">
        <f>#REF!</f>
        <v>#REF!</v>
      </c>
      <c r="BO19" s="21" t="e">
        <f>#REF!</f>
        <v>#REF!</v>
      </c>
      <c r="BP19" s="21" t="e">
        <f>#REF!</f>
        <v>#REF!</v>
      </c>
      <c r="BQ19" s="21" t="e">
        <f>#REF!</f>
        <v>#REF!</v>
      </c>
      <c r="BR19" s="21" t="e">
        <f>#REF!</f>
        <v>#REF!</v>
      </c>
    </row>
    <row r="20" spans="1:70" x14ac:dyDescent="0.35">
      <c r="A20" s="3" t="s">
        <v>137</v>
      </c>
      <c r="B20" s="20" t="s">
        <v>255</v>
      </c>
      <c r="C20" s="13" t="s">
        <v>138</v>
      </c>
      <c r="D20" s="21">
        <f>'Data Des 2025'!AB32</f>
        <v>42000</v>
      </c>
      <c r="E20" s="21">
        <f>'Data Jan 2026'!AF32</f>
        <v>42000</v>
      </c>
      <c r="F20" s="21">
        <f>'Data Feb 2026'!AB32</f>
        <v>42000</v>
      </c>
      <c r="G20" s="21">
        <f>'Data Mar 2026'!AD32</f>
        <v>42000</v>
      </c>
      <c r="H20" s="21">
        <f>'Data Apr 2025'!AE32</f>
        <v>42000</v>
      </c>
      <c r="I20" s="21">
        <f>'Data Mei 2026'!AE32</f>
        <v>42000</v>
      </c>
      <c r="J20" s="21">
        <f>'Data Jun 2026'!AB32</f>
        <v>42000</v>
      </c>
      <c r="K20" s="21">
        <f>'Data Jul 2026'!AF32</f>
        <v>42000</v>
      </c>
      <c r="L20" s="21">
        <f>'DATAAGUSTUS 2026'!AB32</f>
        <v>0</v>
      </c>
      <c r="M20" s="21" t="e">
        <f>#REF!</f>
        <v>#REF!</v>
      </c>
      <c r="N20" s="21" t="e">
        <f>#REF!</f>
        <v>#REF!</v>
      </c>
      <c r="O20" s="21" t="e">
        <f>#REF!</f>
        <v>#REF!</v>
      </c>
      <c r="P20" s="21">
        <f>'Data Jan 2026'!AA32</f>
        <v>42000</v>
      </c>
      <c r="Q20" s="21">
        <f>'Data Jan 2026'!AB32</f>
        <v>42000</v>
      </c>
      <c r="R20" s="21">
        <f>'Data Jan 2026'!AC32</f>
        <v>42000</v>
      </c>
      <c r="S20" s="21">
        <f>'Data Jan 2026'!AD32</f>
        <v>42000</v>
      </c>
      <c r="T20" s="21">
        <f>'Data Jan 2026'!AE32</f>
        <v>42000</v>
      </c>
      <c r="U20" s="21">
        <f>'Data Feb 2026'!X32</f>
        <v>42000</v>
      </c>
      <c r="V20" s="21">
        <f>'Data Feb 2026'!Y32</f>
        <v>42000</v>
      </c>
      <c r="W20" s="21">
        <f>'Data Feb 2026'!Z32</f>
        <v>42000</v>
      </c>
      <c r="X20" s="21">
        <f>'Data Feb 2026'!AA32</f>
        <v>42000</v>
      </c>
      <c r="Y20" s="21">
        <f>'Data Mar 2026'!Y32</f>
        <v>42000</v>
      </c>
      <c r="Z20" s="21">
        <f>'Data Mar 2026'!Z32</f>
        <v>42000</v>
      </c>
      <c r="AA20" s="21">
        <f>'Data Mar 2026'!AA32</f>
        <v>42000</v>
      </c>
      <c r="AB20" s="21">
        <f>'Data Mar 2026'!AB32</f>
        <v>42000</v>
      </c>
      <c r="AC20" s="21" t="str">
        <f>'Data Mar 2026'!AC32</f>
        <v/>
      </c>
      <c r="AD20" s="21" t="str">
        <f>'Data Apr 2025'!Z32</f>
        <v/>
      </c>
      <c r="AE20" s="21">
        <f>'Data Apr 2025'!AA32</f>
        <v>42000</v>
      </c>
      <c r="AF20" s="21">
        <f>'Data Apr 2025'!AB32</f>
        <v>42000</v>
      </c>
      <c r="AG20" s="21">
        <f>'Data Apr 2025'!AC32</f>
        <v>42000</v>
      </c>
      <c r="AH20" s="21">
        <f>'Data Apr 2025'!AD32</f>
        <v>42000</v>
      </c>
      <c r="AI20" s="21">
        <f>'Data Mei 2026'!Z32</f>
        <v>42000</v>
      </c>
      <c r="AJ20" s="21">
        <f>'Data Mei 2026'!AA32</f>
        <v>42000</v>
      </c>
      <c r="AK20" s="21">
        <f>'Data Mei 2026'!AB32</f>
        <v>42000</v>
      </c>
      <c r="AL20" s="21">
        <f>'Data Mei 2026'!AC32</f>
        <v>42000</v>
      </c>
      <c r="AM20" s="21">
        <f>'Data Mei 2026'!AD32</f>
        <v>42000</v>
      </c>
      <c r="AN20" s="21">
        <f>'Data Jun 2026'!X32</f>
        <v>42000</v>
      </c>
      <c r="AO20" s="21">
        <f>'Data Jun 2026'!Y32</f>
        <v>42000</v>
      </c>
      <c r="AP20" s="21">
        <f>'Data Jun 2026'!Z32</f>
        <v>42000</v>
      </c>
      <c r="AQ20" s="21">
        <f>'Data Jun 2026'!AA32</f>
        <v>42000</v>
      </c>
      <c r="AR20" s="21">
        <f>'Data Jul 2026'!AA32</f>
        <v>42000</v>
      </c>
      <c r="AS20" s="21">
        <f>'Data Jul 2026'!AB32</f>
        <v>42000</v>
      </c>
      <c r="AT20" s="21">
        <f>'Data Jul 2026'!AC32</f>
        <v>42000</v>
      </c>
      <c r="AU20" s="21">
        <f>'Data Jul 2026'!AD32</f>
        <v>42000</v>
      </c>
      <c r="AV20" s="21">
        <f>'Data Jul 2026'!AE32</f>
        <v>42000</v>
      </c>
      <c r="AW20" s="21">
        <f>'DATAAGUSTUS 2026'!X32</f>
        <v>0</v>
      </c>
      <c r="AX20" s="21">
        <f>'DATAAGUSTUS 2026'!Y32</f>
        <v>0</v>
      </c>
      <c r="AY20" s="21">
        <f>'DATAAGUSTUS 2026'!Z32</f>
        <v>0</v>
      </c>
      <c r="AZ20" s="21">
        <f>'DATAAGUSTUS 2026'!AA32</f>
        <v>0</v>
      </c>
      <c r="BA20" s="21" t="e">
        <f>#REF!</f>
        <v>#REF!</v>
      </c>
      <c r="BB20" s="21" t="e">
        <f>#REF!</f>
        <v>#REF!</v>
      </c>
      <c r="BC20" s="21" t="e">
        <f>#REF!</f>
        <v>#REF!</v>
      </c>
      <c r="BD20" s="21" t="e">
        <f>#REF!</f>
        <v>#REF!</v>
      </c>
      <c r="BE20" s="21" t="e">
        <f>#REF!</f>
        <v>#REF!</v>
      </c>
      <c r="BF20" s="21" t="e">
        <f>#REF!</f>
        <v>#REF!</v>
      </c>
      <c r="BG20" s="21" t="e">
        <f>#REF!</f>
        <v>#REF!</v>
      </c>
      <c r="BH20" s="21" t="e">
        <f>#REF!</f>
        <v>#REF!</v>
      </c>
      <c r="BI20" s="21" t="e">
        <f>#REF!</f>
        <v>#REF!</v>
      </c>
      <c r="BJ20" s="21" t="e">
        <f>#REF!</f>
        <v>#REF!</v>
      </c>
      <c r="BK20" s="21" t="e">
        <f>#REF!</f>
        <v>#REF!</v>
      </c>
      <c r="BL20" s="21" t="e">
        <f>#REF!</f>
        <v>#REF!</v>
      </c>
      <c r="BM20" s="21" t="e">
        <f>#REF!</f>
        <v>#REF!</v>
      </c>
      <c r="BN20" s="21" t="e">
        <f>#REF!</f>
        <v>#REF!</v>
      </c>
      <c r="BO20" s="21" t="e">
        <f>#REF!</f>
        <v>#REF!</v>
      </c>
      <c r="BP20" s="21" t="e">
        <f>#REF!</f>
        <v>#REF!</v>
      </c>
      <c r="BQ20" s="21" t="e">
        <f>#REF!</f>
        <v>#REF!</v>
      </c>
      <c r="BR20" s="21" t="e">
        <f>#REF!</f>
        <v>#REF!</v>
      </c>
    </row>
    <row r="21" spans="1:70" x14ac:dyDescent="0.35">
      <c r="A21" s="3" t="s">
        <v>139</v>
      </c>
      <c r="B21" s="20" t="s">
        <v>256</v>
      </c>
      <c r="C21" s="13"/>
      <c r="D21" s="21">
        <f>'Data Des 2025'!AB12</f>
        <v>27500</v>
      </c>
      <c r="E21" s="21">
        <f>'Data Jan 2026'!AF12</f>
        <v>23631.57894736842</v>
      </c>
      <c r="F21" s="21">
        <f>'Data Feb 2026'!AB12</f>
        <v>23776.315789473683</v>
      </c>
      <c r="G21" s="21">
        <f>'Data Mar 2026'!AD12</f>
        <v>24947.36842105263</v>
      </c>
      <c r="H21" s="21">
        <f>'Data Apr 2025'!AE12</f>
        <v>33812.5</v>
      </c>
      <c r="I21" s="21">
        <f>'Data Mei 2026'!AE12</f>
        <v>29529.411764705881</v>
      </c>
      <c r="J21" s="21">
        <f>'Data Jun 2026'!AB12</f>
        <v>25588.235294117647</v>
      </c>
      <c r="K21" s="21">
        <f>'Data Jul 2026'!AF12</f>
        <v>26347.82608695652</v>
      </c>
      <c r="L21" s="21">
        <f>'DATAAGUSTUS 2026'!AB12</f>
        <v>0</v>
      </c>
      <c r="M21" s="21" t="e">
        <f>#REF!</f>
        <v>#REF!</v>
      </c>
      <c r="N21" s="21" t="e">
        <f>#REF!</f>
        <v>#REF!</v>
      </c>
      <c r="O21" s="21" t="e">
        <f>#REF!</f>
        <v>#REF!</v>
      </c>
      <c r="P21" s="21">
        <f>'Data Jan 2026'!AA12</f>
        <v>24000</v>
      </c>
      <c r="Q21" s="21">
        <f>'Data Jan 2026'!AB12</f>
        <v>24000</v>
      </c>
      <c r="R21" s="21">
        <f>'Data Jan 2026'!AC12</f>
        <v>24000</v>
      </c>
      <c r="S21" s="21">
        <f>'Data Jan 2026'!AD12</f>
        <v>23000</v>
      </c>
      <c r="T21" s="21">
        <f>'Data Jan 2026'!AE12</f>
        <v>23000</v>
      </c>
      <c r="U21" s="21">
        <f>'Data Feb 2026'!X12</f>
        <v>23150</v>
      </c>
      <c r="V21" s="21">
        <f>'Data Feb 2026'!Y12</f>
        <v>24000</v>
      </c>
      <c r="W21" s="21">
        <f>'Data Feb 2026'!Z12</f>
        <v>24000</v>
      </c>
      <c r="X21" s="21">
        <f>'Data Feb 2026'!AA12</f>
        <v>24000</v>
      </c>
      <c r="Y21" s="21">
        <f>'Data Mar 2026'!Y12</f>
        <v>24000</v>
      </c>
      <c r="Z21" s="21">
        <f>'Data Mar 2026'!Z12</f>
        <v>24000</v>
      </c>
      <c r="AA21" s="21">
        <f>'Data Mar 2026'!AA12</f>
        <v>25200</v>
      </c>
      <c r="AB21" s="21">
        <f>'Data Mar 2026'!AB12</f>
        <v>27000</v>
      </c>
      <c r="AC21" s="21" t="str">
        <f>'Data Mar 2026'!AC12</f>
        <v/>
      </c>
      <c r="AD21" s="21" t="str">
        <f>'Data Apr 2025'!Z12</f>
        <v/>
      </c>
      <c r="AE21" s="21">
        <f>'Data Apr 2025'!AA12</f>
        <v>35000</v>
      </c>
      <c r="AF21" s="21">
        <f>'Data Apr 2025'!AB12</f>
        <v>35000</v>
      </c>
      <c r="AG21" s="21">
        <f>'Data Apr 2025'!AC12</f>
        <v>34600</v>
      </c>
      <c r="AH21" s="21">
        <f>'Data Apr 2025'!AD12</f>
        <v>29333.333333333332</v>
      </c>
      <c r="AI21" s="21">
        <f>'Data Mei 2026'!Z12</f>
        <v>29000</v>
      </c>
      <c r="AJ21" s="21">
        <f>'Data Mei 2026'!AA12</f>
        <v>29400</v>
      </c>
      <c r="AK21" s="21">
        <f>'Data Mei 2026'!AB12</f>
        <v>30000</v>
      </c>
      <c r="AL21" s="21">
        <f>'Data Mei 2026'!AC12</f>
        <v>30000</v>
      </c>
      <c r="AM21" s="21">
        <f>'Data Mei 2026'!AD12</f>
        <v>28666.666666666668</v>
      </c>
      <c r="AN21" s="21">
        <f>'Data Jun 2026'!X12</f>
        <v>32750</v>
      </c>
      <c r="AO21" s="21">
        <f>'Data Jun 2026'!Y12</f>
        <v>27500</v>
      </c>
      <c r="AP21" s="21">
        <f>'Data Jun 2026'!Z12</f>
        <v>21200</v>
      </c>
      <c r="AQ21" s="21">
        <f>'Data Jun 2026'!AA12</f>
        <v>22000</v>
      </c>
      <c r="AR21" s="21">
        <f>'Data Jul 2026'!AA12</f>
        <v>22500</v>
      </c>
      <c r="AS21" s="21">
        <f>'Data Jul 2026'!AB12</f>
        <v>26600</v>
      </c>
      <c r="AT21" s="21">
        <f>'Data Jul 2026'!AC12</f>
        <v>26200</v>
      </c>
      <c r="AU21" s="21">
        <f>'Data Jul 2026'!AD12</f>
        <v>28000</v>
      </c>
      <c r="AV21" s="21">
        <f>'Data Jul 2026'!AE12</f>
        <v>28000</v>
      </c>
      <c r="AW21" s="21">
        <f>'DATAAGUSTUS 2026'!X12</f>
        <v>0</v>
      </c>
      <c r="AX21" s="21">
        <f>'DATAAGUSTUS 2026'!Y12</f>
        <v>0</v>
      </c>
      <c r="AY21" s="21">
        <f>'DATAAGUSTUS 2026'!Z12</f>
        <v>0</v>
      </c>
      <c r="AZ21" s="21">
        <f>'DATAAGUSTUS 2026'!AA12</f>
        <v>0</v>
      </c>
      <c r="BA21" s="21" t="e">
        <f>#REF!</f>
        <v>#REF!</v>
      </c>
      <c r="BB21" s="21" t="e">
        <f>#REF!</f>
        <v>#REF!</v>
      </c>
      <c r="BC21" s="21" t="e">
        <f>#REF!</f>
        <v>#REF!</v>
      </c>
      <c r="BD21" s="21" t="e">
        <f>#REF!</f>
        <v>#REF!</v>
      </c>
      <c r="BE21" s="21" t="e">
        <f>#REF!</f>
        <v>#REF!</v>
      </c>
      <c r="BF21" s="21" t="e">
        <f>#REF!</f>
        <v>#REF!</v>
      </c>
      <c r="BG21" s="21" t="e">
        <f>#REF!</f>
        <v>#REF!</v>
      </c>
      <c r="BH21" s="21" t="e">
        <f>#REF!</f>
        <v>#REF!</v>
      </c>
      <c r="BI21" s="21" t="e">
        <f>#REF!</f>
        <v>#REF!</v>
      </c>
      <c r="BJ21" s="21" t="e">
        <f>#REF!</f>
        <v>#REF!</v>
      </c>
      <c r="BK21" s="21" t="e">
        <f>#REF!</f>
        <v>#REF!</v>
      </c>
      <c r="BL21" s="21" t="e">
        <f>#REF!</f>
        <v>#REF!</v>
      </c>
      <c r="BM21" s="21" t="e">
        <f>#REF!</f>
        <v>#REF!</v>
      </c>
      <c r="BN21" s="21" t="e">
        <f>#REF!</f>
        <v>#REF!</v>
      </c>
      <c r="BO21" s="21" t="e">
        <f>#REF!</f>
        <v>#REF!</v>
      </c>
      <c r="BP21" s="21" t="e">
        <f>#REF!</f>
        <v>#REF!</v>
      </c>
      <c r="BQ21" s="21" t="e">
        <f>#REF!</f>
        <v>#REF!</v>
      </c>
      <c r="BR21" s="21" t="e">
        <f>#REF!</f>
        <v>#REF!</v>
      </c>
    </row>
    <row r="22" spans="1:70" x14ac:dyDescent="0.35">
      <c r="A22" s="3" t="s">
        <v>140</v>
      </c>
      <c r="B22" s="20" t="s">
        <v>257</v>
      </c>
      <c r="C22" s="13"/>
      <c r="D22" s="21">
        <f>'Data Des 2025'!AB27</f>
        <v>35444.444444444445</v>
      </c>
      <c r="E22" s="21">
        <f>'Data Jan 2026'!AF27</f>
        <v>34000</v>
      </c>
      <c r="F22" s="21">
        <f>'Data Feb 2026'!AB27</f>
        <v>35210.526315789473</v>
      </c>
      <c r="G22" s="21">
        <f>'Data Mar 2026'!AD27</f>
        <v>36105.26315789474</v>
      </c>
      <c r="H22" s="21">
        <f>'Data Apr 2025'!AE27</f>
        <v>35312.5</v>
      </c>
      <c r="I22" s="21">
        <f>'Data Mei 2026'!AE27</f>
        <v>32000</v>
      </c>
      <c r="J22" s="21">
        <f>'Data Jun 2026'!AB27</f>
        <v>26058.823529411766</v>
      </c>
      <c r="K22" s="21">
        <f>'Data Jul 2026'!AF27</f>
        <v>25391.304347826088</v>
      </c>
      <c r="L22" s="21">
        <f>'DATAAGUSTUS 2026'!AB27</f>
        <v>0</v>
      </c>
      <c r="M22" s="21" t="e">
        <f>#REF!</f>
        <v>#REF!</v>
      </c>
      <c r="N22" s="21" t="e">
        <f>#REF!</f>
        <v>#REF!</v>
      </c>
      <c r="O22" s="21" t="e">
        <f>#REF!</f>
        <v>#REF!</v>
      </c>
      <c r="P22" s="21">
        <f>'Data Jan 2026'!AA27</f>
        <v>34000</v>
      </c>
      <c r="Q22" s="21">
        <f>'Data Jan 2026'!AB27</f>
        <v>34000</v>
      </c>
      <c r="R22" s="21">
        <f>'Data Jan 2026'!AC27</f>
        <v>34000</v>
      </c>
      <c r="S22" s="21">
        <f>'Data Jan 2026'!AD27</f>
        <v>34000</v>
      </c>
      <c r="T22" s="21">
        <f>'Data Jan 2026'!AE27</f>
        <v>34000</v>
      </c>
      <c r="U22" s="21">
        <f>'Data Feb 2026'!X27</f>
        <v>34000</v>
      </c>
      <c r="V22" s="21">
        <f>'Data Feb 2026'!Y27</f>
        <v>35000</v>
      </c>
      <c r="W22" s="21">
        <f>'Data Feb 2026'!Z27</f>
        <v>36000</v>
      </c>
      <c r="X22" s="21">
        <f>'Data Feb 2026'!AA27</f>
        <v>36000</v>
      </c>
      <c r="Y22" s="21">
        <f>'Data Mar 2026'!Y27</f>
        <v>36000</v>
      </c>
      <c r="Z22" s="21">
        <f>'Data Mar 2026'!Z27</f>
        <v>36000</v>
      </c>
      <c r="AA22" s="21">
        <f>'Data Mar 2026'!AA27</f>
        <v>36000</v>
      </c>
      <c r="AB22" s="21">
        <f>'Data Mar 2026'!AB27</f>
        <v>36500</v>
      </c>
      <c r="AC22" s="21" t="str">
        <f>'Data Mar 2026'!AC27</f>
        <v/>
      </c>
      <c r="AD22" s="21" t="str">
        <f>'Data Apr 2025'!Z27</f>
        <v/>
      </c>
      <c r="AE22" s="21">
        <f>'Data Apr 2025'!AA27</f>
        <v>39000</v>
      </c>
      <c r="AF22" s="21">
        <f>'Data Apr 2025'!AB27</f>
        <v>35000</v>
      </c>
      <c r="AG22" s="21">
        <f>'Data Apr 2025'!AC27</f>
        <v>34600</v>
      </c>
      <c r="AH22" s="21">
        <f>'Data Apr 2025'!AD27</f>
        <v>32000</v>
      </c>
      <c r="AI22" s="21">
        <f>'Data Mei 2026'!Z27</f>
        <v>32000</v>
      </c>
      <c r="AJ22" s="21">
        <f>'Data Mei 2026'!AA27</f>
        <v>32000</v>
      </c>
      <c r="AK22" s="21">
        <f>'Data Mei 2026'!AB27</f>
        <v>32000</v>
      </c>
      <c r="AL22" s="21">
        <f>'Data Mei 2026'!AC27</f>
        <v>32000</v>
      </c>
      <c r="AM22" s="21">
        <f>'Data Mei 2026'!AD27</f>
        <v>32000</v>
      </c>
      <c r="AN22" s="21">
        <f>'Data Jun 2026'!X27</f>
        <v>27000</v>
      </c>
      <c r="AO22" s="21">
        <f>'Data Jun 2026'!Y27</f>
        <v>27000</v>
      </c>
      <c r="AP22" s="21">
        <f>'Data Jun 2026'!Z27</f>
        <v>25400</v>
      </c>
      <c r="AQ22" s="21">
        <f>'Data Jun 2026'!AA27</f>
        <v>25000</v>
      </c>
      <c r="AR22" s="21">
        <f>'Data Jul 2026'!AA27</f>
        <v>25000</v>
      </c>
      <c r="AS22" s="21">
        <f>'Data Jul 2026'!AB27</f>
        <v>27000</v>
      </c>
      <c r="AT22" s="21">
        <f>'Data Jul 2026'!AC27</f>
        <v>25400</v>
      </c>
      <c r="AU22" s="21">
        <f>'Data Jul 2026'!AD27</f>
        <v>25000</v>
      </c>
      <c r="AV22" s="21">
        <f>'Data Jul 2026'!AE27</f>
        <v>24250</v>
      </c>
      <c r="AW22" s="21">
        <f>'DATAAGUSTUS 2026'!X27</f>
        <v>0</v>
      </c>
      <c r="AX22" s="21">
        <f>'DATAAGUSTUS 2026'!Y27</f>
        <v>0</v>
      </c>
      <c r="AY22" s="21">
        <f>'DATAAGUSTUS 2026'!Z27</f>
        <v>0</v>
      </c>
      <c r="AZ22" s="21">
        <f>'DATAAGUSTUS 2026'!AA27</f>
        <v>0</v>
      </c>
      <c r="BA22" s="21" t="e">
        <f>#REF!</f>
        <v>#REF!</v>
      </c>
      <c r="BB22" s="21" t="e">
        <f>#REF!</f>
        <v>#REF!</v>
      </c>
      <c r="BC22" s="21" t="e">
        <f>#REF!</f>
        <v>#REF!</v>
      </c>
      <c r="BD22" s="21" t="e">
        <f>#REF!</f>
        <v>#REF!</v>
      </c>
      <c r="BE22" s="21" t="e">
        <f>#REF!</f>
        <v>#REF!</v>
      </c>
      <c r="BF22" s="21" t="e">
        <f>#REF!</f>
        <v>#REF!</v>
      </c>
      <c r="BG22" s="21" t="e">
        <f>#REF!</f>
        <v>#REF!</v>
      </c>
      <c r="BH22" s="21" t="e">
        <f>#REF!</f>
        <v>#REF!</v>
      </c>
      <c r="BI22" s="21" t="e">
        <f>#REF!</f>
        <v>#REF!</v>
      </c>
      <c r="BJ22" s="21" t="e">
        <f>#REF!</f>
        <v>#REF!</v>
      </c>
      <c r="BK22" s="21" t="e">
        <f>#REF!</f>
        <v>#REF!</v>
      </c>
      <c r="BL22" s="21" t="e">
        <f>#REF!</f>
        <v>#REF!</v>
      </c>
      <c r="BM22" s="21" t="e">
        <f>#REF!</f>
        <v>#REF!</v>
      </c>
      <c r="BN22" s="21" t="e">
        <f>#REF!</f>
        <v>#REF!</v>
      </c>
      <c r="BO22" s="21" t="e">
        <f>#REF!</f>
        <v>#REF!</v>
      </c>
      <c r="BP22" s="21" t="e">
        <f>#REF!</f>
        <v>#REF!</v>
      </c>
      <c r="BQ22" s="21" t="e">
        <f>#REF!</f>
        <v>#REF!</v>
      </c>
      <c r="BR22" s="21" t="e">
        <f>#REF!</f>
        <v>#REF!</v>
      </c>
    </row>
    <row r="23" spans="1:70" x14ac:dyDescent="0.35">
      <c r="A23" s="3" t="s">
        <v>140</v>
      </c>
      <c r="B23" s="20" t="s">
        <v>258</v>
      </c>
      <c r="C23" s="13"/>
      <c r="D23" s="21">
        <f>'Data Des 2025'!AB28</f>
        <v>38166.666666666664</v>
      </c>
      <c r="E23" s="21">
        <f>'Data Jan 2026'!AF28</f>
        <v>38000</v>
      </c>
      <c r="F23" s="21">
        <f>'Data Feb 2026'!AB28</f>
        <v>38000</v>
      </c>
      <c r="G23" s="21">
        <f>'Data Mar 2026'!AD28</f>
        <v>36105.26315789474</v>
      </c>
      <c r="H23" s="21">
        <f>'Data Apr 2025'!AE28</f>
        <v>35312.5</v>
      </c>
      <c r="I23" s="21">
        <f>'Data Mei 2026'!AE28</f>
        <v>33000</v>
      </c>
      <c r="J23" s="21">
        <f>'Data Jun 2026'!AB28</f>
        <v>31588.235294117647</v>
      </c>
      <c r="K23" s="21">
        <f>'Data Jul 2026'!AF28</f>
        <v>30000</v>
      </c>
      <c r="L23" s="21">
        <f>'DATAAGUSTUS 2026'!AB28</f>
        <v>0</v>
      </c>
      <c r="M23" s="21" t="e">
        <f>#REF!</f>
        <v>#REF!</v>
      </c>
      <c r="N23" s="21" t="e">
        <f>#REF!</f>
        <v>#REF!</v>
      </c>
      <c r="O23" s="21" t="e">
        <f>#REF!</f>
        <v>#REF!</v>
      </c>
      <c r="P23" s="21">
        <f>'Data Jan 2026'!AA28</f>
        <v>38000</v>
      </c>
      <c r="Q23" s="21">
        <f>'Data Jan 2026'!AB28</f>
        <v>38000</v>
      </c>
      <c r="R23" s="21">
        <f>'Data Jan 2026'!AC28</f>
        <v>38000</v>
      </c>
      <c r="S23" s="21">
        <f>'Data Jan 2026'!AD28</f>
        <v>38000</v>
      </c>
      <c r="T23" s="21">
        <f>'Data Jan 2026'!AE28</f>
        <v>38000</v>
      </c>
      <c r="U23" s="21">
        <f>'Data Feb 2026'!X28</f>
        <v>38000</v>
      </c>
      <c r="V23" s="21">
        <f>'Data Feb 2026'!Y28</f>
        <v>38000</v>
      </c>
      <c r="W23" s="21">
        <f>'Data Feb 2026'!Z28</f>
        <v>38000</v>
      </c>
      <c r="X23" s="21">
        <f>'Data Feb 2026'!AA28</f>
        <v>38000</v>
      </c>
      <c r="Y23" s="21">
        <f>'Data Mar 2026'!Y28</f>
        <v>36400</v>
      </c>
      <c r="Z23" s="21">
        <f>'Data Mar 2026'!Z28</f>
        <v>36000</v>
      </c>
      <c r="AA23" s="21">
        <f>'Data Mar 2026'!AA28</f>
        <v>36000</v>
      </c>
      <c r="AB23" s="21">
        <f>'Data Mar 2026'!AB28</f>
        <v>36000</v>
      </c>
      <c r="AC23" s="21" t="str">
        <f>'Data Mar 2026'!AC28</f>
        <v/>
      </c>
      <c r="AD23" s="21" t="str">
        <f>'Data Apr 2025'!Z28</f>
        <v/>
      </c>
      <c r="AE23" s="21">
        <f>'Data Apr 2025'!AA28</f>
        <v>36000</v>
      </c>
      <c r="AF23" s="21">
        <f>'Data Apr 2025'!AB28</f>
        <v>36000</v>
      </c>
      <c r="AG23" s="21">
        <f>'Data Apr 2025'!AC28</f>
        <v>35600</v>
      </c>
      <c r="AH23" s="21">
        <f>'Data Apr 2025'!AD28</f>
        <v>33000</v>
      </c>
      <c r="AI23" s="21">
        <f>'Data Mei 2026'!Z28</f>
        <v>33000</v>
      </c>
      <c r="AJ23" s="21">
        <f>'Data Mei 2026'!AA28</f>
        <v>33000</v>
      </c>
      <c r="AK23" s="21">
        <f>'Data Mei 2026'!AB28</f>
        <v>33000</v>
      </c>
      <c r="AL23" s="21">
        <f>'Data Mei 2026'!AC28</f>
        <v>33000</v>
      </c>
      <c r="AM23" s="21">
        <f>'Data Mei 2026'!AD28</f>
        <v>33000</v>
      </c>
      <c r="AN23" s="21">
        <f>'Data Jun 2026'!X28</f>
        <v>33000</v>
      </c>
      <c r="AO23" s="21">
        <f>'Data Jun 2026'!Y28</f>
        <v>33000</v>
      </c>
      <c r="AP23" s="21">
        <f>'Data Jun 2026'!Z28</f>
        <v>30600</v>
      </c>
      <c r="AQ23" s="21">
        <f>'Data Jun 2026'!AA28</f>
        <v>30000</v>
      </c>
      <c r="AR23" s="21">
        <f>'Data Jul 2026'!AA28</f>
        <v>30000</v>
      </c>
      <c r="AS23" s="21">
        <f>'Data Jul 2026'!AB28</f>
        <v>30000</v>
      </c>
      <c r="AT23" s="21">
        <f>'Data Jul 2026'!AC28</f>
        <v>30000</v>
      </c>
      <c r="AU23" s="21">
        <f>'Data Jul 2026'!AD28</f>
        <v>30000</v>
      </c>
      <c r="AV23" s="21">
        <f>'Data Jul 2026'!AE28</f>
        <v>30000</v>
      </c>
      <c r="AW23" s="21">
        <f>'DATAAGUSTUS 2026'!X28</f>
        <v>0</v>
      </c>
      <c r="AX23" s="21">
        <f>'DATAAGUSTUS 2026'!Y28</f>
        <v>0</v>
      </c>
      <c r="AY23" s="21">
        <f>'DATAAGUSTUS 2026'!Z28</f>
        <v>0</v>
      </c>
      <c r="AZ23" s="21">
        <f>'DATAAGUSTUS 2026'!AA28</f>
        <v>0</v>
      </c>
      <c r="BA23" s="21" t="e">
        <f>#REF!</f>
        <v>#REF!</v>
      </c>
      <c r="BB23" s="21" t="e">
        <f>#REF!</f>
        <v>#REF!</v>
      </c>
      <c r="BC23" s="21" t="e">
        <f>#REF!</f>
        <v>#REF!</v>
      </c>
      <c r="BD23" s="21" t="e">
        <f>#REF!</f>
        <v>#REF!</v>
      </c>
      <c r="BE23" s="21" t="e">
        <f>#REF!</f>
        <v>#REF!</v>
      </c>
      <c r="BF23" s="21" t="e">
        <f>#REF!</f>
        <v>#REF!</v>
      </c>
      <c r="BG23" s="21" t="e">
        <f>#REF!</f>
        <v>#REF!</v>
      </c>
      <c r="BH23" s="21" t="e">
        <f>#REF!</f>
        <v>#REF!</v>
      </c>
      <c r="BI23" s="21" t="e">
        <f>#REF!</f>
        <v>#REF!</v>
      </c>
      <c r="BJ23" s="21" t="e">
        <f>#REF!</f>
        <v>#REF!</v>
      </c>
      <c r="BK23" s="21" t="e">
        <f>#REF!</f>
        <v>#REF!</v>
      </c>
      <c r="BL23" s="21" t="e">
        <f>#REF!</f>
        <v>#REF!</v>
      </c>
      <c r="BM23" s="21" t="e">
        <f>#REF!</f>
        <v>#REF!</v>
      </c>
      <c r="BN23" s="21" t="e">
        <f>#REF!</f>
        <v>#REF!</v>
      </c>
      <c r="BO23" s="21" t="e">
        <f>#REF!</f>
        <v>#REF!</v>
      </c>
      <c r="BP23" s="21" t="e">
        <f>#REF!</f>
        <v>#REF!</v>
      </c>
      <c r="BQ23" s="21" t="e">
        <f>#REF!</f>
        <v>#REF!</v>
      </c>
      <c r="BR23" s="21" t="e">
        <f>#REF!</f>
        <v>#REF!</v>
      </c>
    </row>
    <row r="24" spans="1:70" x14ac:dyDescent="0.35">
      <c r="A24" s="3" t="s">
        <v>141</v>
      </c>
      <c r="B24" s="20" t="s">
        <v>259</v>
      </c>
      <c r="C24" s="13"/>
      <c r="D24" s="21">
        <f>'Data Des 2025'!AB26</f>
        <v>2800</v>
      </c>
      <c r="E24" s="21">
        <f>'Data Jan 2026'!AF26</f>
        <v>2800</v>
      </c>
      <c r="F24" s="21">
        <f>'Data Feb 2026'!AB26</f>
        <v>2800</v>
      </c>
      <c r="G24" s="21">
        <f>'Data Mar 2026'!AD26</f>
        <v>2800</v>
      </c>
      <c r="H24" s="21">
        <f>'Data Apr 2025'!AE26</f>
        <v>2800</v>
      </c>
      <c r="I24" s="21">
        <f>'Data Mei 2026'!AE26</f>
        <v>2800</v>
      </c>
      <c r="J24" s="21">
        <f>'Data Jun 2026'!AB26</f>
        <v>2800</v>
      </c>
      <c r="K24" s="21">
        <f>'Data Jul 2026'!AF26</f>
        <v>2800</v>
      </c>
      <c r="L24" s="21">
        <f>'DATAAGUSTUS 2026'!AB26</f>
        <v>0</v>
      </c>
      <c r="M24" s="21" t="e">
        <f>#REF!</f>
        <v>#REF!</v>
      </c>
      <c r="N24" s="21" t="e">
        <f>#REF!</f>
        <v>#REF!</v>
      </c>
      <c r="O24" s="21" t="e">
        <f>#REF!</f>
        <v>#REF!</v>
      </c>
      <c r="P24" s="21">
        <f>'Data Jan 2026'!AA26</f>
        <v>2800</v>
      </c>
      <c r="Q24" s="21">
        <f>'Data Jan 2026'!AB26</f>
        <v>2800</v>
      </c>
      <c r="R24" s="21">
        <f>'Data Jan 2026'!AC26</f>
        <v>2800</v>
      </c>
      <c r="S24" s="21">
        <f>'Data Jan 2026'!AD26</f>
        <v>2800</v>
      </c>
      <c r="T24" s="21">
        <f>'Data Jan 2026'!AE26</f>
        <v>2800</v>
      </c>
      <c r="U24" s="21">
        <f>'Data Feb 2026'!X26</f>
        <v>2800</v>
      </c>
      <c r="V24" s="21">
        <f>'Data Feb 2026'!Y26</f>
        <v>2800</v>
      </c>
      <c r="W24" s="21">
        <f>'Data Feb 2026'!Z26</f>
        <v>2800</v>
      </c>
      <c r="X24" s="21">
        <f>'Data Feb 2026'!AA26</f>
        <v>2800</v>
      </c>
      <c r="Y24" s="21">
        <f>'Data Mar 2026'!Y26</f>
        <v>2800</v>
      </c>
      <c r="Z24" s="21">
        <f>'Data Mar 2026'!Z26</f>
        <v>2800</v>
      </c>
      <c r="AA24" s="21">
        <f>'Data Mar 2026'!AA26</f>
        <v>2800</v>
      </c>
      <c r="AB24" s="21">
        <f>'Data Mar 2026'!AB26</f>
        <v>2800</v>
      </c>
      <c r="AC24" s="21" t="str">
        <f>'Data Mar 2026'!AC26</f>
        <v/>
      </c>
      <c r="AD24" s="21" t="str">
        <f>'Data Apr 2025'!Z26</f>
        <v/>
      </c>
      <c r="AE24" s="21">
        <f>'Data Apr 2025'!AA26</f>
        <v>2800</v>
      </c>
      <c r="AF24" s="21">
        <f>'Data Apr 2025'!AB26</f>
        <v>2800</v>
      </c>
      <c r="AG24" s="21">
        <f>'Data Apr 2025'!AC26</f>
        <v>2800</v>
      </c>
      <c r="AH24" s="21">
        <f>'Data Apr 2025'!AD26</f>
        <v>2800</v>
      </c>
      <c r="AI24" s="21">
        <f>'Data Mei 2026'!Z26</f>
        <v>2800</v>
      </c>
      <c r="AJ24" s="21">
        <f>'Data Mei 2026'!AA26</f>
        <v>2800</v>
      </c>
      <c r="AK24" s="21">
        <f>'Data Mei 2026'!AB26</f>
        <v>2800</v>
      </c>
      <c r="AL24" s="21">
        <f>'Data Mei 2026'!AC26</f>
        <v>2800</v>
      </c>
      <c r="AM24" s="21">
        <f>'Data Mei 2026'!AD26</f>
        <v>2800</v>
      </c>
      <c r="AN24" s="21">
        <f>'Data Jun 2026'!X26</f>
        <v>2800</v>
      </c>
      <c r="AO24" s="21">
        <f>'Data Jun 2026'!Y26</f>
        <v>2800</v>
      </c>
      <c r="AP24" s="21">
        <f>'Data Jun 2026'!Z26</f>
        <v>2800</v>
      </c>
      <c r="AQ24" s="21">
        <f>'Data Jun 2026'!AA26</f>
        <v>2800</v>
      </c>
      <c r="AR24" s="21">
        <f>'Data Jul 2026'!AA26</f>
        <v>2800</v>
      </c>
      <c r="AS24" s="21">
        <f>'Data Jul 2026'!AB26</f>
        <v>2800</v>
      </c>
      <c r="AT24" s="21">
        <f>'Data Jul 2026'!AC26</f>
        <v>2800</v>
      </c>
      <c r="AU24" s="21">
        <f>'Data Jul 2026'!AD26</f>
        <v>2800</v>
      </c>
      <c r="AV24" s="21">
        <f>'Data Jul 2026'!AE26</f>
        <v>2800</v>
      </c>
      <c r="AW24" s="21">
        <f>'DATAAGUSTUS 2026'!X26</f>
        <v>0</v>
      </c>
      <c r="AX24" s="21">
        <f>'DATAAGUSTUS 2026'!Y26</f>
        <v>0</v>
      </c>
      <c r="AY24" s="21">
        <f>'DATAAGUSTUS 2026'!Z26</f>
        <v>0</v>
      </c>
      <c r="AZ24" s="21">
        <f>'DATAAGUSTUS 2026'!AA26</f>
        <v>0</v>
      </c>
      <c r="BA24" s="21" t="e">
        <f>#REF!</f>
        <v>#REF!</v>
      </c>
      <c r="BB24" s="21" t="e">
        <f>#REF!</f>
        <v>#REF!</v>
      </c>
      <c r="BC24" s="21" t="e">
        <f>#REF!</f>
        <v>#REF!</v>
      </c>
      <c r="BD24" s="21" t="e">
        <f>#REF!</f>
        <v>#REF!</v>
      </c>
      <c r="BE24" s="21" t="e">
        <f>#REF!</f>
        <v>#REF!</v>
      </c>
      <c r="BF24" s="21" t="e">
        <f>#REF!</f>
        <v>#REF!</v>
      </c>
      <c r="BG24" s="21" t="e">
        <f>#REF!</f>
        <v>#REF!</v>
      </c>
      <c r="BH24" s="21" t="e">
        <f>#REF!</f>
        <v>#REF!</v>
      </c>
      <c r="BI24" s="21" t="e">
        <f>#REF!</f>
        <v>#REF!</v>
      </c>
      <c r="BJ24" s="21" t="e">
        <f>#REF!</f>
        <v>#REF!</v>
      </c>
      <c r="BK24" s="21" t="e">
        <f>#REF!</f>
        <v>#REF!</v>
      </c>
      <c r="BL24" s="21" t="e">
        <f>#REF!</f>
        <v>#REF!</v>
      </c>
      <c r="BM24" s="21" t="e">
        <f>#REF!</f>
        <v>#REF!</v>
      </c>
      <c r="BN24" s="21" t="e">
        <f>#REF!</f>
        <v>#REF!</v>
      </c>
      <c r="BO24" s="21" t="e">
        <f>#REF!</f>
        <v>#REF!</v>
      </c>
      <c r="BP24" s="21" t="e">
        <f>#REF!</f>
        <v>#REF!</v>
      </c>
      <c r="BQ24" s="21" t="e">
        <f>#REF!</f>
        <v>#REF!</v>
      </c>
      <c r="BR24" s="21" t="e">
        <f>#REF!</f>
        <v>#REF!</v>
      </c>
    </row>
    <row r="25" spans="1:70" x14ac:dyDescent="0.35">
      <c r="A25" s="3" t="s">
        <v>142</v>
      </c>
      <c r="B25" s="20" t="s">
        <v>260</v>
      </c>
      <c r="C25" s="13" t="s">
        <v>143</v>
      </c>
      <c r="D25" s="21">
        <f>'Data Des 2025'!AB31</f>
        <v>10500</v>
      </c>
      <c r="E25" s="21">
        <f>'Data Jan 2026'!AF31</f>
        <v>10500</v>
      </c>
      <c r="F25" s="21">
        <f>'Data Feb 2026'!AB31</f>
        <v>10500</v>
      </c>
      <c r="G25" s="21">
        <f>'Data Mar 2026'!AD31</f>
        <v>10500</v>
      </c>
      <c r="H25" s="21">
        <f>'Data Apr 2025'!AE31</f>
        <v>10500</v>
      </c>
      <c r="I25" s="21">
        <f>'Data Mei 2026'!AE31</f>
        <v>10500</v>
      </c>
      <c r="J25" s="21">
        <f>'Data Jun 2026'!AB31</f>
        <v>10500</v>
      </c>
      <c r="K25" s="21">
        <f>'Data Jul 2026'!AF31</f>
        <v>10500</v>
      </c>
      <c r="L25" s="21">
        <f>'DATAAGUSTUS 2026'!AB31</f>
        <v>0</v>
      </c>
      <c r="M25" s="21" t="e">
        <f>#REF!</f>
        <v>#REF!</v>
      </c>
      <c r="N25" s="21" t="e">
        <f>#REF!</f>
        <v>#REF!</v>
      </c>
      <c r="O25" s="21" t="e">
        <f>#REF!</f>
        <v>#REF!</v>
      </c>
      <c r="P25" s="21">
        <f>'Data Jan 2026'!AA31</f>
        <v>10500</v>
      </c>
      <c r="Q25" s="21">
        <f>'Data Jan 2026'!AB31</f>
        <v>10500</v>
      </c>
      <c r="R25" s="21">
        <f>'Data Jan 2026'!AC31</f>
        <v>10500</v>
      </c>
      <c r="S25" s="21">
        <f>'Data Jan 2026'!AD31</f>
        <v>10500</v>
      </c>
      <c r="T25" s="21">
        <f>'Data Jan 2026'!AE31</f>
        <v>10500</v>
      </c>
      <c r="U25" s="21">
        <f>'Data Feb 2026'!X31</f>
        <v>10500</v>
      </c>
      <c r="V25" s="21">
        <f>'Data Feb 2026'!Y31</f>
        <v>10500</v>
      </c>
      <c r="W25" s="21">
        <f>'Data Feb 2026'!Z31</f>
        <v>10500</v>
      </c>
      <c r="X25" s="21">
        <f>'Data Feb 2026'!AA31</f>
        <v>10500</v>
      </c>
      <c r="Y25" s="21">
        <f>'Data Mar 2026'!Y31</f>
        <v>10500</v>
      </c>
      <c r="Z25" s="21">
        <f>'Data Mar 2026'!Z31</f>
        <v>10500</v>
      </c>
      <c r="AA25" s="21">
        <f>'Data Mar 2026'!AA31</f>
        <v>10500</v>
      </c>
      <c r="AB25" s="21">
        <f>'Data Mar 2026'!AB31</f>
        <v>10500</v>
      </c>
      <c r="AC25" s="21" t="str">
        <f>'Data Mar 2026'!AC31</f>
        <v/>
      </c>
      <c r="AD25" s="21" t="str">
        <f>'Data Apr 2025'!Z31</f>
        <v/>
      </c>
      <c r="AE25" s="21">
        <f>'Data Apr 2025'!AA31</f>
        <v>10500</v>
      </c>
      <c r="AF25" s="21">
        <f>'Data Apr 2025'!AB31</f>
        <v>10500</v>
      </c>
      <c r="AG25" s="21">
        <f>'Data Apr 2025'!AC31</f>
        <v>10500</v>
      </c>
      <c r="AH25" s="21">
        <f>'Data Apr 2025'!AD31</f>
        <v>10500</v>
      </c>
      <c r="AI25" s="21">
        <f>'Data Mei 2026'!Z31</f>
        <v>10500</v>
      </c>
      <c r="AJ25" s="21">
        <f>'Data Mei 2026'!AA31</f>
        <v>10500</v>
      </c>
      <c r="AK25" s="21">
        <f>'Data Mei 2026'!AB31</f>
        <v>10500</v>
      </c>
      <c r="AL25" s="21">
        <f>'Data Mei 2026'!AC31</f>
        <v>10500</v>
      </c>
      <c r="AM25" s="21">
        <f>'Data Mei 2026'!AD31</f>
        <v>10500</v>
      </c>
      <c r="AN25" s="21">
        <f>'Data Jun 2026'!X31</f>
        <v>10500</v>
      </c>
      <c r="AO25" s="21">
        <f>'Data Jun 2026'!Y31</f>
        <v>10500</v>
      </c>
      <c r="AP25" s="21">
        <f>'Data Jun 2026'!Z31</f>
        <v>10500</v>
      </c>
      <c r="AQ25" s="21">
        <f>'Data Jun 2026'!AA31</f>
        <v>10500</v>
      </c>
      <c r="AR25" s="21">
        <f>'Data Jul 2026'!AA31</f>
        <v>10500</v>
      </c>
      <c r="AS25" s="21">
        <f>'Data Jul 2026'!AB31</f>
        <v>10500</v>
      </c>
      <c r="AT25" s="21">
        <f>'Data Jul 2026'!AC31</f>
        <v>10500</v>
      </c>
      <c r="AU25" s="21">
        <f>'Data Jul 2026'!AD31</f>
        <v>10500</v>
      </c>
      <c r="AV25" s="21">
        <f>'Data Jul 2026'!AE31</f>
        <v>10500</v>
      </c>
      <c r="AW25" s="21">
        <f>'DATAAGUSTUS 2026'!X31</f>
        <v>0</v>
      </c>
      <c r="AX25" s="21">
        <f>'DATAAGUSTUS 2026'!Y31</f>
        <v>0</v>
      </c>
      <c r="AY25" s="21">
        <f>'DATAAGUSTUS 2026'!Z31</f>
        <v>0</v>
      </c>
      <c r="AZ25" s="21">
        <f>'DATAAGUSTUS 2026'!AA31</f>
        <v>0</v>
      </c>
      <c r="BA25" s="21" t="e">
        <f>#REF!</f>
        <v>#REF!</v>
      </c>
      <c r="BB25" s="21" t="e">
        <f>#REF!</f>
        <v>#REF!</v>
      </c>
      <c r="BC25" s="21" t="e">
        <f>#REF!</f>
        <v>#REF!</v>
      </c>
      <c r="BD25" s="21" t="e">
        <f>#REF!</f>
        <v>#REF!</v>
      </c>
      <c r="BE25" s="21" t="e">
        <f>#REF!</f>
        <v>#REF!</v>
      </c>
      <c r="BF25" s="21" t="e">
        <f>#REF!</f>
        <v>#REF!</v>
      </c>
      <c r="BG25" s="21" t="e">
        <f>#REF!</f>
        <v>#REF!</v>
      </c>
      <c r="BH25" s="21" t="e">
        <f>#REF!</f>
        <v>#REF!</v>
      </c>
      <c r="BI25" s="21" t="e">
        <f>#REF!</f>
        <v>#REF!</v>
      </c>
      <c r="BJ25" s="21" t="e">
        <f>#REF!</f>
        <v>#REF!</v>
      </c>
      <c r="BK25" s="21" t="e">
        <f>#REF!</f>
        <v>#REF!</v>
      </c>
      <c r="BL25" s="21" t="e">
        <f>#REF!</f>
        <v>#REF!</v>
      </c>
      <c r="BM25" s="21" t="e">
        <f>#REF!</f>
        <v>#REF!</v>
      </c>
      <c r="BN25" s="21" t="e">
        <f>#REF!</f>
        <v>#REF!</v>
      </c>
      <c r="BO25" s="21" t="e">
        <f>#REF!</f>
        <v>#REF!</v>
      </c>
      <c r="BP25" s="21" t="e">
        <f>#REF!</f>
        <v>#REF!</v>
      </c>
      <c r="BQ25" s="21" t="e">
        <f>#REF!</f>
        <v>#REF!</v>
      </c>
      <c r="BR25" s="21" t="e">
        <f>#REF!</f>
        <v>#REF!</v>
      </c>
    </row>
    <row r="26" spans="1:70" x14ac:dyDescent="0.35">
      <c r="A26" s="3" t="s">
        <v>144</v>
      </c>
      <c r="B26" s="20" t="s">
        <v>261</v>
      </c>
      <c r="C26" s="13"/>
      <c r="D26" s="21">
        <f>'Data Des 2025'!AB9</f>
        <v>21888.888888888891</v>
      </c>
      <c r="E26" s="21">
        <f>'Data Jan 2026'!AF9</f>
        <v>34236.84210526316</v>
      </c>
      <c r="F26" s="21">
        <f>'Data Feb 2026'!AB9</f>
        <v>35947.368421052633</v>
      </c>
      <c r="G26" s="21">
        <f>'Data Mar 2026'!AD9</f>
        <v>31210.526315789473</v>
      </c>
      <c r="H26" s="21">
        <f>'Data Apr 2025'!AE9</f>
        <v>35375</v>
      </c>
      <c r="I26" s="21">
        <f>'Data Mei 2026'!AE9</f>
        <v>26235.294117647059</v>
      </c>
      <c r="J26" s="21">
        <f>'Data Jun 2026'!AB9</f>
        <v>24941.176470588234</v>
      </c>
      <c r="K26" s="21">
        <f>'Data Jul 2026'!AF9</f>
        <v>25956.521739130436</v>
      </c>
      <c r="L26" s="21">
        <f>'DATAAGUSTUS 2026'!AB9</f>
        <v>0</v>
      </c>
      <c r="M26" s="21" t="e">
        <f>#REF!</f>
        <v>#REF!</v>
      </c>
      <c r="N26" s="21" t="e">
        <f>#REF!</f>
        <v>#REF!</v>
      </c>
      <c r="O26" s="21" t="e">
        <f>#REF!</f>
        <v>#REF!</v>
      </c>
      <c r="P26" s="21">
        <f>'Data Jan 2026'!AA9</f>
        <v>34000</v>
      </c>
      <c r="Q26" s="21">
        <f>'Data Jan 2026'!AB9</f>
        <v>34000</v>
      </c>
      <c r="R26" s="21">
        <f>'Data Jan 2026'!AC9</f>
        <v>34000</v>
      </c>
      <c r="S26" s="21">
        <f>'Data Jan 2026'!AD9</f>
        <v>34100</v>
      </c>
      <c r="T26" s="21">
        <f>'Data Jan 2026'!AE9</f>
        <v>36000</v>
      </c>
      <c r="U26" s="21">
        <f>'Data Feb 2026'!X9</f>
        <v>36000</v>
      </c>
      <c r="V26" s="21">
        <f>'Data Feb 2026'!Y9</f>
        <v>36000</v>
      </c>
      <c r="W26" s="21">
        <f>'Data Feb 2026'!Z9</f>
        <v>35800</v>
      </c>
      <c r="X26" s="21">
        <f>'Data Feb 2026'!AA9</f>
        <v>36000</v>
      </c>
      <c r="Y26" s="21">
        <f>'Data Mar 2026'!Y9</f>
        <v>31200</v>
      </c>
      <c r="Z26" s="21">
        <f>'Data Mar 2026'!Z9</f>
        <v>30000</v>
      </c>
      <c r="AA26" s="21">
        <f>'Data Mar 2026'!AA9</f>
        <v>31200</v>
      </c>
      <c r="AB26" s="21">
        <f>'Data Mar 2026'!AB9</f>
        <v>32750</v>
      </c>
      <c r="AC26" s="21" t="str">
        <f>'Data Mar 2026'!AC9</f>
        <v/>
      </c>
      <c r="AD26" s="21" t="str">
        <f>'Data Apr 2025'!Z9</f>
        <v/>
      </c>
      <c r="AE26" s="21">
        <f>'Data Apr 2025'!AA9</f>
        <v>40000</v>
      </c>
      <c r="AF26" s="21">
        <f>'Data Apr 2025'!AB9</f>
        <v>38750</v>
      </c>
      <c r="AG26" s="21">
        <f>'Data Apr 2025'!AC9</f>
        <v>35000</v>
      </c>
      <c r="AH26" s="21">
        <f>'Data Apr 2025'!AD9</f>
        <v>25333.333333333332</v>
      </c>
      <c r="AI26" s="21">
        <f>'Data Mei 2026'!Z9</f>
        <v>25000</v>
      </c>
      <c r="AJ26" s="21">
        <f>'Data Mei 2026'!AA9</f>
        <v>27400</v>
      </c>
      <c r="AK26" s="21">
        <f>'Data Mei 2026'!AB9</f>
        <v>24000</v>
      </c>
      <c r="AL26" s="21">
        <f>'Data Mei 2026'!AC9</f>
        <v>26400</v>
      </c>
      <c r="AM26" s="21">
        <f>'Data Mei 2026'!AD9</f>
        <v>26666.666666666668</v>
      </c>
      <c r="AN26" s="21">
        <f>'Data Jun 2026'!X9</f>
        <v>33500</v>
      </c>
      <c r="AO26" s="21">
        <f>'Data Jun 2026'!Y9</f>
        <v>27500</v>
      </c>
      <c r="AP26" s="21">
        <f>'Data Jun 2026'!Z9</f>
        <v>20000</v>
      </c>
      <c r="AQ26" s="21">
        <f>'Data Jun 2026'!AA9</f>
        <v>20000</v>
      </c>
      <c r="AR26" s="21">
        <f>'Data Jul 2026'!AA9</f>
        <v>22500</v>
      </c>
      <c r="AS26" s="21">
        <f>'Data Jul 2026'!AB9</f>
        <v>26600</v>
      </c>
      <c r="AT26" s="21">
        <f>'Data Jul 2026'!AC9</f>
        <v>26200</v>
      </c>
      <c r="AU26" s="21">
        <f>'Data Jul 2026'!AD9</f>
        <v>27000</v>
      </c>
      <c r="AV26" s="21">
        <f>'Data Jul 2026'!AE9</f>
        <v>27000</v>
      </c>
      <c r="AW26" s="21">
        <f>'DATAAGUSTUS 2026'!X9</f>
        <v>0</v>
      </c>
      <c r="AX26" s="21">
        <f>'DATAAGUSTUS 2026'!Y9</f>
        <v>0</v>
      </c>
      <c r="AY26" s="21">
        <f>'DATAAGUSTUS 2026'!Z9</f>
        <v>0</v>
      </c>
      <c r="AZ26" s="21">
        <f>'DATAAGUSTUS 2026'!AA9</f>
        <v>0</v>
      </c>
      <c r="BA26" s="21" t="e">
        <f>#REF!</f>
        <v>#REF!</v>
      </c>
      <c r="BB26" s="21" t="e">
        <f>#REF!</f>
        <v>#REF!</v>
      </c>
      <c r="BC26" s="21" t="e">
        <f>#REF!</f>
        <v>#REF!</v>
      </c>
      <c r="BD26" s="21" t="e">
        <f>#REF!</f>
        <v>#REF!</v>
      </c>
      <c r="BE26" s="21" t="e">
        <f>#REF!</f>
        <v>#REF!</v>
      </c>
      <c r="BF26" s="21" t="e">
        <f>#REF!</f>
        <v>#REF!</v>
      </c>
      <c r="BG26" s="21" t="e">
        <f>#REF!</f>
        <v>#REF!</v>
      </c>
      <c r="BH26" s="21" t="e">
        <f>#REF!</f>
        <v>#REF!</v>
      </c>
      <c r="BI26" s="21" t="e">
        <f>#REF!</f>
        <v>#REF!</v>
      </c>
      <c r="BJ26" s="21" t="e">
        <f>#REF!</f>
        <v>#REF!</v>
      </c>
      <c r="BK26" s="21" t="e">
        <f>#REF!</f>
        <v>#REF!</v>
      </c>
      <c r="BL26" s="21" t="e">
        <f>#REF!</f>
        <v>#REF!</v>
      </c>
      <c r="BM26" s="21" t="e">
        <f>#REF!</f>
        <v>#REF!</v>
      </c>
      <c r="BN26" s="21" t="e">
        <f>#REF!</f>
        <v>#REF!</v>
      </c>
      <c r="BO26" s="21" t="e">
        <f>#REF!</f>
        <v>#REF!</v>
      </c>
      <c r="BP26" s="21" t="e">
        <f>#REF!</f>
        <v>#REF!</v>
      </c>
      <c r="BQ26" s="21" t="e">
        <f>#REF!</f>
        <v>#REF!</v>
      </c>
      <c r="BR26" s="21" t="e">
        <f>#REF!</f>
        <v>#REF!</v>
      </c>
    </row>
    <row r="27" spans="1:70" x14ac:dyDescent="0.35">
      <c r="A27" s="3" t="s">
        <v>144</v>
      </c>
      <c r="B27" s="20" t="s">
        <v>262</v>
      </c>
      <c r="C27" s="13"/>
      <c r="D27" s="21">
        <f>'Data Des 2025'!AB10</f>
        <v>25722.222222222223</v>
      </c>
      <c r="E27" s="21">
        <f>'Data Jan 2026'!AF10</f>
        <v>34236.84210526316</v>
      </c>
      <c r="F27" s="21">
        <f>'Data Feb 2026'!AB10</f>
        <v>35947.368421052633</v>
      </c>
      <c r="G27" s="21">
        <f>'Data Mar 2026'!AD10</f>
        <v>31210.526315789473</v>
      </c>
      <c r="H27" s="21">
        <f>'Data Apr 2025'!AE10</f>
        <v>32812.5</v>
      </c>
      <c r="I27" s="21">
        <f>'Data Mei 2026'!AE10</f>
        <v>24941.176470588234</v>
      </c>
      <c r="J27" s="21">
        <f>'Data Jun 2026'!AB10</f>
        <v>26000</v>
      </c>
      <c r="K27" s="21">
        <f>'Data Jul 2026'!AF10</f>
        <v>21565.217391304348</v>
      </c>
      <c r="L27" s="21">
        <f>'DATAAGUSTUS 2026'!AB10</f>
        <v>0</v>
      </c>
      <c r="M27" s="21" t="e">
        <f>#REF!</f>
        <v>#REF!</v>
      </c>
      <c r="N27" s="21" t="e">
        <f>#REF!</f>
        <v>#REF!</v>
      </c>
      <c r="O27" s="21" t="e">
        <f>#REF!</f>
        <v>#REF!</v>
      </c>
      <c r="P27" s="21">
        <f>'Data Jan 2026'!AA10</f>
        <v>34000</v>
      </c>
      <c r="Q27" s="21">
        <f>'Data Jan 2026'!AB10</f>
        <v>34000</v>
      </c>
      <c r="R27" s="21">
        <f>'Data Jan 2026'!AC10</f>
        <v>34000</v>
      </c>
      <c r="S27" s="21">
        <f>'Data Jan 2026'!AD10</f>
        <v>34100</v>
      </c>
      <c r="T27" s="21">
        <f>'Data Jan 2026'!AE10</f>
        <v>36000</v>
      </c>
      <c r="U27" s="21">
        <f>'Data Feb 2026'!X10</f>
        <v>36000</v>
      </c>
      <c r="V27" s="21">
        <f>'Data Feb 2026'!Y10</f>
        <v>36000</v>
      </c>
      <c r="W27" s="21">
        <f>'Data Feb 2026'!Z10</f>
        <v>35800</v>
      </c>
      <c r="X27" s="21">
        <f>'Data Feb 2026'!AA10</f>
        <v>36000</v>
      </c>
      <c r="Y27" s="21">
        <f>'Data Mar 2026'!Y10</f>
        <v>31200</v>
      </c>
      <c r="Z27" s="21">
        <f>'Data Mar 2026'!Z10</f>
        <v>30000</v>
      </c>
      <c r="AA27" s="21">
        <f>'Data Mar 2026'!AA10</f>
        <v>31200</v>
      </c>
      <c r="AB27" s="21">
        <f>'Data Mar 2026'!AB10</f>
        <v>32750</v>
      </c>
      <c r="AC27" s="21" t="str">
        <f>'Data Mar 2026'!AC10</f>
        <v/>
      </c>
      <c r="AD27" s="21" t="str">
        <f>'Data Apr 2025'!Z10</f>
        <v/>
      </c>
      <c r="AE27" s="21">
        <f>'Data Apr 2025'!AA10</f>
        <v>40000</v>
      </c>
      <c r="AF27" s="21">
        <f>'Data Apr 2025'!AB10</f>
        <v>35000</v>
      </c>
      <c r="AG27" s="21">
        <f>'Data Apr 2025'!AC10</f>
        <v>30000</v>
      </c>
      <c r="AH27" s="21">
        <f>'Data Apr 2025'!AD10</f>
        <v>25000</v>
      </c>
      <c r="AI27" s="21">
        <f>'Data Mei 2026'!Z10</f>
        <v>25000</v>
      </c>
      <c r="AJ27" s="21">
        <f>'Data Mei 2026'!AA10</f>
        <v>25000</v>
      </c>
      <c r="AK27" s="21">
        <f>'Data Mei 2026'!AB10</f>
        <v>24000</v>
      </c>
      <c r="AL27" s="21">
        <f>'Data Mei 2026'!AC10</f>
        <v>24400</v>
      </c>
      <c r="AM27" s="21">
        <f>'Data Mei 2026'!AD10</f>
        <v>26666.666666666668</v>
      </c>
      <c r="AN27" s="21">
        <f>'Data Jun 2026'!X10</f>
        <v>34500</v>
      </c>
      <c r="AO27" s="21">
        <f>'Data Jun 2026'!Y10</f>
        <v>28500</v>
      </c>
      <c r="AP27" s="21">
        <f>'Data Jun 2026'!Z10</f>
        <v>20400</v>
      </c>
      <c r="AQ27" s="21">
        <f>'Data Jun 2026'!AA10</f>
        <v>22000</v>
      </c>
      <c r="AR27" s="21">
        <f>'Data Jul 2026'!AA10</f>
        <v>23000</v>
      </c>
      <c r="AS27" s="21">
        <f>'Data Jul 2026'!AB10</f>
        <v>21200</v>
      </c>
      <c r="AT27" s="21">
        <f>'Data Jul 2026'!AC10</f>
        <v>20000</v>
      </c>
      <c r="AU27" s="21">
        <f>'Data Jul 2026'!AD10</f>
        <v>22000</v>
      </c>
      <c r="AV27" s="21">
        <f>'Data Jul 2026'!AE10</f>
        <v>22000</v>
      </c>
      <c r="AW27" s="21">
        <f>'DATAAGUSTUS 2026'!X10</f>
        <v>0</v>
      </c>
      <c r="AX27" s="21">
        <f>'DATAAGUSTUS 2026'!Y10</f>
        <v>0</v>
      </c>
      <c r="AY27" s="21">
        <f>'DATAAGUSTUS 2026'!Z10</f>
        <v>0</v>
      </c>
      <c r="AZ27" s="21">
        <f>'DATAAGUSTUS 2026'!AA10</f>
        <v>0</v>
      </c>
      <c r="BA27" s="21" t="e">
        <f>#REF!</f>
        <v>#REF!</v>
      </c>
      <c r="BB27" s="21" t="e">
        <f>#REF!</f>
        <v>#REF!</v>
      </c>
      <c r="BC27" s="21" t="e">
        <f>#REF!</f>
        <v>#REF!</v>
      </c>
      <c r="BD27" s="21" t="e">
        <f>#REF!</f>
        <v>#REF!</v>
      </c>
      <c r="BE27" s="21" t="e">
        <f>#REF!</f>
        <v>#REF!</v>
      </c>
      <c r="BF27" s="21" t="e">
        <f>#REF!</f>
        <v>#REF!</v>
      </c>
      <c r="BG27" s="21" t="e">
        <f>#REF!</f>
        <v>#REF!</v>
      </c>
      <c r="BH27" s="21" t="e">
        <f>#REF!</f>
        <v>#REF!</v>
      </c>
      <c r="BI27" s="21" t="e">
        <f>#REF!</f>
        <v>#REF!</v>
      </c>
      <c r="BJ27" s="21" t="e">
        <f>#REF!</f>
        <v>#REF!</v>
      </c>
      <c r="BK27" s="21" t="e">
        <f>#REF!</f>
        <v>#REF!</v>
      </c>
      <c r="BL27" s="21" t="e">
        <f>#REF!</f>
        <v>#REF!</v>
      </c>
      <c r="BM27" s="21" t="e">
        <f>#REF!</f>
        <v>#REF!</v>
      </c>
      <c r="BN27" s="21" t="e">
        <f>#REF!</f>
        <v>#REF!</v>
      </c>
      <c r="BO27" s="21" t="e">
        <f>#REF!</f>
        <v>#REF!</v>
      </c>
      <c r="BP27" s="21" t="e">
        <f>#REF!</f>
        <v>#REF!</v>
      </c>
      <c r="BQ27" s="21" t="e">
        <f>#REF!</f>
        <v>#REF!</v>
      </c>
      <c r="BR27" s="21" t="e">
        <f>#REF!</f>
        <v>#REF!</v>
      </c>
    </row>
    <row r="28" spans="1:70" x14ac:dyDescent="0.35">
      <c r="A28" s="3" t="s">
        <v>145</v>
      </c>
      <c r="B28" s="20" t="s">
        <v>263</v>
      </c>
      <c r="C28" s="13"/>
      <c r="D28" s="21">
        <f>'Data Des 2025'!AB20</f>
        <v>103000</v>
      </c>
      <c r="E28" s="21">
        <f>'Data Jan 2026'!AF20</f>
        <v>103000</v>
      </c>
      <c r="F28" s="21">
        <f>'Data Feb 2026'!AB20</f>
        <v>103000</v>
      </c>
      <c r="G28" s="21">
        <f>'Data Mar 2026'!AD20</f>
        <v>102947.36842105263</v>
      </c>
      <c r="H28" s="21">
        <f>'Data Apr 2025'!AE20</f>
        <v>101625</v>
      </c>
      <c r="I28" s="21">
        <f>'Data Mei 2026'!AE20</f>
        <v>100000</v>
      </c>
      <c r="J28" s="21">
        <f>'Data Jun 2026'!AB20</f>
        <v>93882.352941176476</v>
      </c>
      <c r="K28" s="21">
        <f>'Data Jul 2026'!AF20</f>
        <v>95695.65217391304</v>
      </c>
      <c r="L28" s="21">
        <f>'DATAAGUSTUS 2026'!AB20</f>
        <v>0</v>
      </c>
      <c r="M28" s="21" t="e">
        <f>#REF!</f>
        <v>#REF!</v>
      </c>
      <c r="N28" s="21" t="e">
        <f>#REF!</f>
        <v>#REF!</v>
      </c>
      <c r="O28" s="21" t="e">
        <f>#REF!</f>
        <v>#REF!</v>
      </c>
      <c r="P28" s="21">
        <f>'Data Jan 2026'!AA20</f>
        <v>103000</v>
      </c>
      <c r="Q28" s="21">
        <f>'Data Jan 2026'!AB20</f>
        <v>103000</v>
      </c>
      <c r="R28" s="21">
        <f>'Data Jan 2026'!AC20</f>
        <v>103000</v>
      </c>
      <c r="S28" s="21">
        <f>'Data Jan 2026'!AD20</f>
        <v>103000</v>
      </c>
      <c r="T28" s="21">
        <f>'Data Jan 2026'!AE20</f>
        <v>103000</v>
      </c>
      <c r="U28" s="21">
        <f>'Data Feb 2026'!X20</f>
        <v>103000</v>
      </c>
      <c r="V28" s="21">
        <f>'Data Feb 2026'!Y20</f>
        <v>103000</v>
      </c>
      <c r="W28" s="21">
        <f>'Data Feb 2026'!Z20</f>
        <v>103000</v>
      </c>
      <c r="X28" s="21">
        <f>'Data Feb 2026'!AA20</f>
        <v>103000</v>
      </c>
      <c r="Y28" s="21">
        <f>'Data Mar 2026'!Y20</f>
        <v>103000</v>
      </c>
      <c r="Z28" s="21">
        <f>'Data Mar 2026'!Z20</f>
        <v>103000</v>
      </c>
      <c r="AA28" s="21">
        <f>'Data Mar 2026'!AA20</f>
        <v>103000</v>
      </c>
      <c r="AB28" s="21">
        <f>'Data Mar 2026'!AB20</f>
        <v>102750</v>
      </c>
      <c r="AC28" s="21" t="str">
        <f>'Data Mar 2026'!AC20</f>
        <v/>
      </c>
      <c r="AD28" s="21" t="str">
        <f>'Data Apr 2025'!Z20</f>
        <v/>
      </c>
      <c r="AE28" s="21">
        <f>'Data Apr 2025'!AA20</f>
        <v>102000</v>
      </c>
      <c r="AF28" s="21">
        <f>'Data Apr 2025'!AB20</f>
        <v>102000</v>
      </c>
      <c r="AG28" s="21">
        <f>'Data Apr 2025'!AC20</f>
        <v>102000</v>
      </c>
      <c r="AH28" s="21">
        <f>'Data Apr 2025'!AD20</f>
        <v>100000</v>
      </c>
      <c r="AI28" s="21">
        <f>'Data Mei 2026'!Z20</f>
        <v>100000</v>
      </c>
      <c r="AJ28" s="21">
        <f>'Data Mei 2026'!AA20</f>
        <v>100000</v>
      </c>
      <c r="AK28" s="21">
        <f>'Data Mei 2026'!AB20</f>
        <v>100000</v>
      </c>
      <c r="AL28" s="21">
        <f>'Data Mei 2026'!AC20</f>
        <v>100000</v>
      </c>
      <c r="AM28" s="21">
        <f>'Data Mei 2026'!AD20</f>
        <v>100000</v>
      </c>
      <c r="AN28" s="21">
        <f>'Data Jun 2026'!X20</f>
        <v>100000</v>
      </c>
      <c r="AO28" s="21">
        <f>'Data Jun 2026'!Y20</f>
        <v>96500</v>
      </c>
      <c r="AP28" s="21">
        <f>'Data Jun 2026'!Z20</f>
        <v>90000</v>
      </c>
      <c r="AQ28" s="21">
        <f>'Data Jun 2026'!AA20</f>
        <v>90000</v>
      </c>
      <c r="AR28" s="21">
        <f>'Data Jul 2026'!AA20</f>
        <v>92500</v>
      </c>
      <c r="AS28" s="21">
        <f>'Data Jul 2026'!AB20</f>
        <v>100000</v>
      </c>
      <c r="AT28" s="21">
        <f>'Data Jul 2026'!AC20</f>
        <v>96000</v>
      </c>
      <c r="AU28" s="21">
        <f>'Data Jul 2026'!AD20</f>
        <v>95000</v>
      </c>
      <c r="AV28" s="21">
        <f>'Data Jul 2026'!AE20</f>
        <v>94000</v>
      </c>
      <c r="AW28" s="21">
        <f>'DATAAGUSTUS 2026'!X20</f>
        <v>0</v>
      </c>
      <c r="AX28" s="21">
        <f>'DATAAGUSTUS 2026'!Y20</f>
        <v>0</v>
      </c>
      <c r="AY28" s="21">
        <f>'DATAAGUSTUS 2026'!Z20</f>
        <v>0</v>
      </c>
      <c r="AZ28" s="21">
        <f>'DATAAGUSTUS 2026'!AA20</f>
        <v>0</v>
      </c>
      <c r="BA28" s="21" t="e">
        <f>#REF!</f>
        <v>#REF!</v>
      </c>
      <c r="BB28" s="21" t="e">
        <f>#REF!</f>
        <v>#REF!</v>
      </c>
      <c r="BC28" s="21" t="e">
        <f>#REF!</f>
        <v>#REF!</v>
      </c>
      <c r="BD28" s="21" t="e">
        <f>#REF!</f>
        <v>#REF!</v>
      </c>
      <c r="BE28" s="21" t="e">
        <f>#REF!</f>
        <v>#REF!</v>
      </c>
      <c r="BF28" s="21" t="e">
        <f>#REF!</f>
        <v>#REF!</v>
      </c>
      <c r="BG28" s="21" t="e">
        <f>#REF!</f>
        <v>#REF!</v>
      </c>
      <c r="BH28" s="21" t="e">
        <f>#REF!</f>
        <v>#REF!</v>
      </c>
      <c r="BI28" s="21" t="e">
        <f>#REF!</f>
        <v>#REF!</v>
      </c>
      <c r="BJ28" s="21" t="e">
        <f>#REF!</f>
        <v>#REF!</v>
      </c>
      <c r="BK28" s="21" t="e">
        <f>#REF!</f>
        <v>#REF!</v>
      </c>
      <c r="BL28" s="21" t="e">
        <f>#REF!</f>
        <v>#REF!</v>
      </c>
      <c r="BM28" s="21" t="e">
        <f>#REF!</f>
        <v>#REF!</v>
      </c>
      <c r="BN28" s="21" t="e">
        <f>#REF!</f>
        <v>#REF!</v>
      </c>
      <c r="BO28" s="21" t="e">
        <f>#REF!</f>
        <v>#REF!</v>
      </c>
      <c r="BP28" s="21" t="e">
        <f>#REF!</f>
        <v>#REF!</v>
      </c>
      <c r="BQ28" s="21" t="e">
        <f>#REF!</f>
        <v>#REF!</v>
      </c>
      <c r="BR28" s="21" t="e">
        <f>#REF!</f>
        <v>#REF!</v>
      </c>
    </row>
    <row r="29" spans="1:70" x14ac:dyDescent="0.35">
      <c r="A29" s="3" t="s">
        <v>145</v>
      </c>
      <c r="B29" s="20" t="s">
        <v>264</v>
      </c>
      <c r="C29" s="13"/>
      <c r="D29" s="21">
        <f>'Data Des 2025'!AB21</f>
        <v>70000</v>
      </c>
      <c r="E29" s="21">
        <f>'Data Jan 2026'!AF21</f>
        <v>61052.631578947367</v>
      </c>
      <c r="F29" s="21">
        <f>'Data Feb 2026'!AB21</f>
        <v>60000</v>
      </c>
      <c r="G29" s="21">
        <f>'Data Mar 2026'!AD21</f>
        <v>60000</v>
      </c>
      <c r="H29" s="21">
        <f>'Data Apr 2025'!AE21</f>
        <v>59625</v>
      </c>
      <c r="I29" s="21">
        <f>'Data Mei 2026'!AE21</f>
        <v>55588.23529411765</v>
      </c>
      <c r="J29" s="21">
        <f>'Data Jun 2026'!AB21</f>
        <v>60000</v>
      </c>
      <c r="K29" s="21">
        <f>'Data Jul 2026'!AF21</f>
        <v>60000</v>
      </c>
      <c r="L29" s="21">
        <f>'DATAAGUSTUS 2026'!AB21</f>
        <v>0</v>
      </c>
      <c r="M29" s="21" t="e">
        <f>#REF!</f>
        <v>#REF!</v>
      </c>
      <c r="N29" s="21" t="e">
        <f>#REF!</f>
        <v>#REF!</v>
      </c>
      <c r="O29" s="21" t="e">
        <f>#REF!</f>
        <v>#REF!</v>
      </c>
      <c r="P29" s="21">
        <f>'Data Jan 2026'!AA21</f>
        <v>70000</v>
      </c>
      <c r="Q29" s="21">
        <f>'Data Jan 2026'!AB21</f>
        <v>60000</v>
      </c>
      <c r="R29" s="21">
        <f>'Data Jan 2026'!AC21</f>
        <v>60000</v>
      </c>
      <c r="S29" s="21">
        <f>'Data Jan 2026'!AD21</f>
        <v>60000</v>
      </c>
      <c r="T29" s="21">
        <f>'Data Jan 2026'!AE21</f>
        <v>60000</v>
      </c>
      <c r="U29" s="21">
        <f>'Data Feb 2026'!X21</f>
        <v>60000</v>
      </c>
      <c r="V29" s="21">
        <f>'Data Feb 2026'!Y21</f>
        <v>60000</v>
      </c>
      <c r="W29" s="21">
        <f>'Data Feb 2026'!Z21</f>
        <v>60000</v>
      </c>
      <c r="X29" s="21">
        <f>'Data Feb 2026'!AA21</f>
        <v>60000</v>
      </c>
      <c r="Y29" s="21">
        <f>'Data Mar 2026'!Y21</f>
        <v>60000</v>
      </c>
      <c r="Z29" s="21">
        <f>'Data Mar 2026'!Z21</f>
        <v>60000</v>
      </c>
      <c r="AA29" s="21">
        <f>'Data Mar 2026'!AA21</f>
        <v>60000</v>
      </c>
      <c r="AB29" s="21">
        <f>'Data Mar 2026'!AB21</f>
        <v>60000</v>
      </c>
      <c r="AC29" s="21" t="str">
        <f>'Data Mar 2026'!AC21</f>
        <v/>
      </c>
      <c r="AD29" s="21" t="str">
        <f>'Data Apr 2025'!Z21</f>
        <v/>
      </c>
      <c r="AE29" s="21">
        <f>'Data Apr 2025'!AA21</f>
        <v>60000</v>
      </c>
      <c r="AF29" s="21">
        <f>'Data Apr 2025'!AB21</f>
        <v>60000</v>
      </c>
      <c r="AG29" s="21">
        <f>'Data Apr 2025'!AC21</f>
        <v>60000</v>
      </c>
      <c r="AH29" s="21">
        <f>'Data Apr 2025'!AD21</f>
        <v>58000</v>
      </c>
      <c r="AI29" s="21">
        <f>'Data Mei 2026'!Z21</f>
        <v>55000</v>
      </c>
      <c r="AJ29" s="21">
        <f>'Data Mei 2026'!AA21</f>
        <v>55000</v>
      </c>
      <c r="AK29" s="21">
        <f>'Data Mei 2026'!AB21</f>
        <v>55000</v>
      </c>
      <c r="AL29" s="21">
        <f>'Data Mei 2026'!AC21</f>
        <v>55000</v>
      </c>
      <c r="AM29" s="21">
        <f>'Data Mei 2026'!AD21</f>
        <v>58333.333333333336</v>
      </c>
      <c r="AN29" s="21">
        <f>'Data Jun 2026'!X21</f>
        <v>60000</v>
      </c>
      <c r="AO29" s="21">
        <f>'Data Jun 2026'!Y21</f>
        <v>60000</v>
      </c>
      <c r="AP29" s="21">
        <f>'Data Jun 2026'!Z21</f>
        <v>60000</v>
      </c>
      <c r="AQ29" s="21">
        <f>'Data Jun 2026'!AA21</f>
        <v>60000</v>
      </c>
      <c r="AR29" s="21">
        <f>'Data Jul 2026'!AA21</f>
        <v>60000</v>
      </c>
      <c r="AS29" s="21">
        <f>'Data Jul 2026'!AB21</f>
        <v>60000</v>
      </c>
      <c r="AT29" s="21">
        <f>'Data Jul 2026'!AC21</f>
        <v>60000</v>
      </c>
      <c r="AU29" s="21">
        <f>'Data Jul 2026'!AD21</f>
        <v>60000</v>
      </c>
      <c r="AV29" s="21">
        <f>'Data Jul 2026'!AE21</f>
        <v>60000</v>
      </c>
      <c r="AW29" s="21">
        <f>'DATAAGUSTUS 2026'!X21</f>
        <v>0</v>
      </c>
      <c r="AX29" s="21">
        <f>'DATAAGUSTUS 2026'!Y21</f>
        <v>0</v>
      </c>
      <c r="AY29" s="21">
        <f>'DATAAGUSTUS 2026'!Z21</f>
        <v>0</v>
      </c>
      <c r="AZ29" s="21">
        <f>'DATAAGUSTUS 2026'!AA21</f>
        <v>0</v>
      </c>
      <c r="BA29" s="21" t="e">
        <f>#REF!</f>
        <v>#REF!</v>
      </c>
      <c r="BB29" s="21" t="e">
        <f>#REF!</f>
        <v>#REF!</v>
      </c>
      <c r="BC29" s="21" t="e">
        <f>#REF!</f>
        <v>#REF!</v>
      </c>
      <c r="BD29" s="21" t="e">
        <f>#REF!</f>
        <v>#REF!</v>
      </c>
      <c r="BE29" s="21" t="e">
        <f>#REF!</f>
        <v>#REF!</v>
      </c>
      <c r="BF29" s="21" t="e">
        <f>#REF!</f>
        <v>#REF!</v>
      </c>
      <c r="BG29" s="21" t="e">
        <f>#REF!</f>
        <v>#REF!</v>
      </c>
      <c r="BH29" s="21" t="e">
        <f>#REF!</f>
        <v>#REF!</v>
      </c>
      <c r="BI29" s="21" t="e">
        <f>#REF!</f>
        <v>#REF!</v>
      </c>
      <c r="BJ29" s="21" t="e">
        <f>#REF!</f>
        <v>#REF!</v>
      </c>
      <c r="BK29" s="21" t="e">
        <f>#REF!</f>
        <v>#REF!</v>
      </c>
      <c r="BL29" s="21" t="e">
        <f>#REF!</f>
        <v>#REF!</v>
      </c>
      <c r="BM29" s="21" t="e">
        <f>#REF!</f>
        <v>#REF!</v>
      </c>
      <c r="BN29" s="21" t="e">
        <f>#REF!</f>
        <v>#REF!</v>
      </c>
      <c r="BO29" s="21" t="e">
        <f>#REF!</f>
        <v>#REF!</v>
      </c>
      <c r="BP29" s="21" t="e">
        <f>#REF!</f>
        <v>#REF!</v>
      </c>
      <c r="BQ29" s="21" t="e">
        <f>#REF!</f>
        <v>#REF!</v>
      </c>
      <c r="BR29" s="21" t="e">
        <f>#REF!</f>
        <v>#REF!</v>
      </c>
    </row>
    <row r="30" spans="1:70" x14ac:dyDescent="0.35">
      <c r="A30" s="3" t="s">
        <v>145</v>
      </c>
      <c r="B30" s="20" t="s">
        <v>265</v>
      </c>
      <c r="C30" s="13"/>
      <c r="D30" s="21">
        <f>'Data Des 2025'!AB22</f>
        <v>80000</v>
      </c>
      <c r="E30" s="21">
        <f>'Data Jan 2026'!AF22</f>
        <v>71052.631578947374</v>
      </c>
      <c r="F30" s="21">
        <f>'Data Feb 2026'!AB22</f>
        <v>70000</v>
      </c>
      <c r="G30" s="21">
        <f>'Data Mar 2026'!AD22</f>
        <v>70000</v>
      </c>
      <c r="H30" s="21">
        <f>'Data Apr 2025'!AE22</f>
        <v>69062.5</v>
      </c>
      <c r="I30" s="21">
        <f>'Data Mei 2026'!AE22</f>
        <v>60000</v>
      </c>
      <c r="J30" s="21">
        <f>'Data Jun 2026'!AB22</f>
        <v>56470.588235294119</v>
      </c>
      <c r="K30" s="21">
        <f>'Data Jul 2026'!AF22</f>
        <v>55000</v>
      </c>
      <c r="L30" s="21">
        <f>'DATAAGUSTUS 2026'!AB22</f>
        <v>0</v>
      </c>
      <c r="M30" s="21" t="e">
        <f>#REF!</f>
        <v>#REF!</v>
      </c>
      <c r="N30" s="21" t="e">
        <f>#REF!</f>
        <v>#REF!</v>
      </c>
      <c r="O30" s="21" t="e">
        <f>#REF!</f>
        <v>#REF!</v>
      </c>
      <c r="P30" s="21">
        <f>'Data Jan 2026'!AA22</f>
        <v>80000</v>
      </c>
      <c r="Q30" s="21">
        <f>'Data Jan 2026'!AB22</f>
        <v>70000</v>
      </c>
      <c r="R30" s="21">
        <f>'Data Jan 2026'!AC22</f>
        <v>70000</v>
      </c>
      <c r="S30" s="21">
        <f>'Data Jan 2026'!AD22</f>
        <v>70000</v>
      </c>
      <c r="T30" s="21">
        <f>'Data Jan 2026'!AE22</f>
        <v>70000</v>
      </c>
      <c r="U30" s="21">
        <f>'Data Feb 2026'!X22</f>
        <v>70000</v>
      </c>
      <c r="V30" s="21">
        <f>'Data Feb 2026'!Y22</f>
        <v>70000</v>
      </c>
      <c r="W30" s="21">
        <f>'Data Feb 2026'!Z22</f>
        <v>70000</v>
      </c>
      <c r="X30" s="21">
        <f>'Data Feb 2026'!AA22</f>
        <v>70000</v>
      </c>
      <c r="Y30" s="21">
        <f>'Data Mar 2026'!Y22</f>
        <v>70000</v>
      </c>
      <c r="Z30" s="21">
        <f>'Data Mar 2026'!Z22</f>
        <v>70000</v>
      </c>
      <c r="AA30" s="21">
        <f>'Data Mar 2026'!AA22</f>
        <v>70000</v>
      </c>
      <c r="AB30" s="21">
        <f>'Data Mar 2026'!AB22</f>
        <v>70000</v>
      </c>
      <c r="AC30" s="21" t="str">
        <f>'Data Mar 2026'!AC22</f>
        <v/>
      </c>
      <c r="AD30" s="21" t="str">
        <f>'Data Apr 2025'!Z22</f>
        <v/>
      </c>
      <c r="AE30" s="21">
        <f>'Data Apr 2025'!AA22</f>
        <v>70000</v>
      </c>
      <c r="AF30" s="21">
        <f>'Data Apr 2025'!AB22</f>
        <v>70000</v>
      </c>
      <c r="AG30" s="21">
        <f>'Data Apr 2025'!AC22</f>
        <v>70000</v>
      </c>
      <c r="AH30" s="21">
        <f>'Data Apr 2025'!AD22</f>
        <v>65000</v>
      </c>
      <c r="AI30" s="21">
        <f>'Data Mei 2026'!Z22</f>
        <v>60000</v>
      </c>
      <c r="AJ30" s="21">
        <f>'Data Mei 2026'!AA22</f>
        <v>60000</v>
      </c>
      <c r="AK30" s="21">
        <f>'Data Mei 2026'!AB22</f>
        <v>60000</v>
      </c>
      <c r="AL30" s="21">
        <f>'Data Mei 2026'!AC22</f>
        <v>60000</v>
      </c>
      <c r="AM30" s="21">
        <f>'Data Mei 2026'!AD22</f>
        <v>60000</v>
      </c>
      <c r="AN30" s="21">
        <f>'Data Jun 2026'!X22</f>
        <v>60000</v>
      </c>
      <c r="AO30" s="21">
        <f>'Data Jun 2026'!Y22</f>
        <v>56250</v>
      </c>
      <c r="AP30" s="21">
        <f>'Data Jun 2026'!Z22</f>
        <v>55000</v>
      </c>
      <c r="AQ30" s="21">
        <f>'Data Jun 2026'!AA22</f>
        <v>55000</v>
      </c>
      <c r="AR30" s="21">
        <f>'Data Jul 2026'!AA22</f>
        <v>55000</v>
      </c>
      <c r="AS30" s="21">
        <f>'Data Jul 2026'!AB22</f>
        <v>55000</v>
      </c>
      <c r="AT30" s="21">
        <f>'Data Jul 2026'!AC22</f>
        <v>55000</v>
      </c>
      <c r="AU30" s="21">
        <f>'Data Jul 2026'!AD22</f>
        <v>55000</v>
      </c>
      <c r="AV30" s="21">
        <f>'Data Jul 2026'!AE22</f>
        <v>55000</v>
      </c>
      <c r="AW30" s="21">
        <f>'DATAAGUSTUS 2026'!X22</f>
        <v>0</v>
      </c>
      <c r="AX30" s="21">
        <f>'DATAAGUSTUS 2026'!Y22</f>
        <v>0</v>
      </c>
      <c r="AY30" s="21">
        <f>'DATAAGUSTUS 2026'!Z22</f>
        <v>0</v>
      </c>
      <c r="AZ30" s="21">
        <f>'DATAAGUSTUS 2026'!AA22</f>
        <v>0</v>
      </c>
      <c r="BA30" s="21" t="e">
        <f>#REF!</f>
        <v>#REF!</v>
      </c>
      <c r="BB30" s="21" t="e">
        <f>#REF!</f>
        <v>#REF!</v>
      </c>
      <c r="BC30" s="21" t="e">
        <f>#REF!</f>
        <v>#REF!</v>
      </c>
      <c r="BD30" s="21" t="e">
        <f>#REF!</f>
        <v>#REF!</v>
      </c>
      <c r="BE30" s="21" t="e">
        <f>#REF!</f>
        <v>#REF!</v>
      </c>
      <c r="BF30" s="21" t="e">
        <f>#REF!</f>
        <v>#REF!</v>
      </c>
      <c r="BG30" s="21" t="e">
        <f>#REF!</f>
        <v>#REF!</v>
      </c>
      <c r="BH30" s="21" t="e">
        <f>#REF!</f>
        <v>#REF!</v>
      </c>
      <c r="BI30" s="21" t="e">
        <f>#REF!</f>
        <v>#REF!</v>
      </c>
      <c r="BJ30" s="21" t="e">
        <f>#REF!</f>
        <v>#REF!</v>
      </c>
      <c r="BK30" s="21" t="e">
        <f>#REF!</f>
        <v>#REF!</v>
      </c>
      <c r="BL30" s="21" t="e">
        <f>#REF!</f>
        <v>#REF!</v>
      </c>
      <c r="BM30" s="21" t="e">
        <f>#REF!</f>
        <v>#REF!</v>
      </c>
      <c r="BN30" s="21" t="e">
        <f>#REF!</f>
        <v>#REF!</v>
      </c>
      <c r="BO30" s="21" t="e">
        <f>#REF!</f>
        <v>#REF!</v>
      </c>
      <c r="BP30" s="21" t="e">
        <f>#REF!</f>
        <v>#REF!</v>
      </c>
      <c r="BQ30" s="21" t="e">
        <f>#REF!</f>
        <v>#REF!</v>
      </c>
      <c r="BR30" s="21" t="e">
        <f>#REF!</f>
        <v>#REF!</v>
      </c>
    </row>
    <row r="31" spans="1:70" x14ac:dyDescent="0.35">
      <c r="A31" s="3" t="s">
        <v>146</v>
      </c>
      <c r="B31" s="20" t="s">
        <v>266</v>
      </c>
      <c r="C31" s="13"/>
      <c r="D31" s="21">
        <f>'Data Des 2025'!AB33</f>
        <v>9000</v>
      </c>
      <c r="E31" s="21">
        <f>'Data Jan 2026'!AF33</f>
        <v>9000</v>
      </c>
      <c r="F31" s="21">
        <f>'Data Feb 2026'!AB33</f>
        <v>9000</v>
      </c>
      <c r="G31" s="21">
        <f>'Data Mar 2026'!AD33</f>
        <v>9000</v>
      </c>
      <c r="H31" s="21">
        <f>'Data Apr 2025'!AE33</f>
        <v>9000</v>
      </c>
      <c r="I31" s="21">
        <f>'Data Mei 2026'!AE33</f>
        <v>9000</v>
      </c>
      <c r="J31" s="21">
        <f>'Data Jun 2026'!AB33</f>
        <v>8294.1176470588234</v>
      </c>
      <c r="K31" s="21">
        <f>'Data Jul 2026'!AF33</f>
        <v>8000</v>
      </c>
      <c r="L31" s="21">
        <f>'DATAAGUSTUS 2026'!AB33</f>
        <v>0</v>
      </c>
      <c r="M31" s="21" t="e">
        <f>#REF!</f>
        <v>#REF!</v>
      </c>
      <c r="N31" s="21" t="e">
        <f>#REF!</f>
        <v>#REF!</v>
      </c>
      <c r="O31" s="21" t="e">
        <f>#REF!</f>
        <v>#REF!</v>
      </c>
      <c r="P31" s="21">
        <f>'Data Jan 2026'!AA33</f>
        <v>9000</v>
      </c>
      <c r="Q31" s="21">
        <f>'Data Jan 2026'!AB33</f>
        <v>9000</v>
      </c>
      <c r="R31" s="21">
        <f>'Data Jan 2026'!AC33</f>
        <v>9000</v>
      </c>
      <c r="S31" s="21">
        <f>'Data Jan 2026'!AD33</f>
        <v>9000</v>
      </c>
      <c r="T31" s="21">
        <f>'Data Jan 2026'!AE33</f>
        <v>9000</v>
      </c>
      <c r="U31" s="21">
        <f>'Data Feb 2026'!X33</f>
        <v>9000</v>
      </c>
      <c r="V31" s="21">
        <f>'Data Feb 2026'!Y33</f>
        <v>9000</v>
      </c>
      <c r="W31" s="21">
        <f>'Data Feb 2026'!Z33</f>
        <v>9000</v>
      </c>
      <c r="X31" s="21">
        <f>'Data Feb 2026'!AA33</f>
        <v>9000</v>
      </c>
      <c r="Y31" s="21">
        <f>'Data Mar 2026'!Y33</f>
        <v>9000</v>
      </c>
      <c r="Z31" s="21">
        <f>'Data Mar 2026'!Z33</f>
        <v>9000</v>
      </c>
      <c r="AA31" s="21">
        <f>'Data Mar 2026'!AA33</f>
        <v>9000</v>
      </c>
      <c r="AB31" s="21">
        <f>'Data Mar 2026'!AB33</f>
        <v>9000</v>
      </c>
      <c r="AC31" s="21" t="str">
        <f>'Data Mar 2026'!AC33</f>
        <v/>
      </c>
      <c r="AD31" s="21" t="str">
        <f>'Data Apr 2025'!Z33</f>
        <v/>
      </c>
      <c r="AE31" s="21">
        <f>'Data Apr 2025'!AA33</f>
        <v>9000</v>
      </c>
      <c r="AF31" s="21">
        <f>'Data Apr 2025'!AB33</f>
        <v>9000</v>
      </c>
      <c r="AG31" s="21">
        <f>'Data Apr 2025'!AC33</f>
        <v>9000</v>
      </c>
      <c r="AH31" s="21">
        <f>'Data Apr 2025'!AD33</f>
        <v>9000</v>
      </c>
      <c r="AI31" s="21">
        <f>'Data Mei 2026'!Z33</f>
        <v>9000</v>
      </c>
      <c r="AJ31" s="21">
        <f>'Data Mei 2026'!AA33</f>
        <v>9000</v>
      </c>
      <c r="AK31" s="21">
        <f>'Data Mei 2026'!AB33</f>
        <v>9000</v>
      </c>
      <c r="AL31" s="21">
        <f>'Data Mei 2026'!AC33</f>
        <v>9000</v>
      </c>
      <c r="AM31" s="21">
        <f>'Data Mei 2026'!AD33</f>
        <v>9000</v>
      </c>
      <c r="AN31" s="21">
        <f>'Data Jun 2026'!X33</f>
        <v>9000</v>
      </c>
      <c r="AO31" s="21">
        <f>'Data Jun 2026'!Y33</f>
        <v>8250</v>
      </c>
      <c r="AP31" s="21">
        <f>'Data Jun 2026'!Z33</f>
        <v>8000</v>
      </c>
      <c r="AQ31" s="21">
        <f>'Data Jun 2026'!AA33</f>
        <v>8000</v>
      </c>
      <c r="AR31" s="21">
        <f>'Data Jul 2026'!AA33</f>
        <v>8000</v>
      </c>
      <c r="AS31" s="21">
        <f>'Data Jul 2026'!AB33</f>
        <v>8000</v>
      </c>
      <c r="AT31" s="21">
        <f>'Data Jul 2026'!AC33</f>
        <v>8000</v>
      </c>
      <c r="AU31" s="21">
        <f>'Data Jul 2026'!AD33</f>
        <v>8000</v>
      </c>
      <c r="AV31" s="21">
        <f>'Data Jul 2026'!AE33</f>
        <v>8000</v>
      </c>
      <c r="AW31" s="21">
        <f>'DATAAGUSTUS 2026'!X33</f>
        <v>0</v>
      </c>
      <c r="AX31" s="21">
        <f>'DATAAGUSTUS 2026'!Y33</f>
        <v>0</v>
      </c>
      <c r="AY31" s="21">
        <f>'DATAAGUSTUS 2026'!Z33</f>
        <v>0</v>
      </c>
      <c r="AZ31" s="21">
        <f>'DATAAGUSTUS 2026'!AA33</f>
        <v>0</v>
      </c>
      <c r="BA31" s="21" t="e">
        <f>#REF!</f>
        <v>#REF!</v>
      </c>
      <c r="BB31" s="21" t="e">
        <f>#REF!</f>
        <v>#REF!</v>
      </c>
      <c r="BC31" s="21" t="e">
        <f>#REF!</f>
        <v>#REF!</v>
      </c>
      <c r="BD31" s="21" t="e">
        <f>#REF!</f>
        <v>#REF!</v>
      </c>
      <c r="BE31" s="21" t="e">
        <f>#REF!</f>
        <v>#REF!</v>
      </c>
      <c r="BF31" s="21" t="e">
        <f>#REF!</f>
        <v>#REF!</v>
      </c>
      <c r="BG31" s="21" t="e">
        <f>#REF!</f>
        <v>#REF!</v>
      </c>
      <c r="BH31" s="21" t="e">
        <f>#REF!</f>
        <v>#REF!</v>
      </c>
      <c r="BI31" s="21" t="e">
        <f>#REF!</f>
        <v>#REF!</v>
      </c>
      <c r="BJ31" s="21" t="e">
        <f>#REF!</f>
        <v>#REF!</v>
      </c>
      <c r="BK31" s="21" t="e">
        <f>#REF!</f>
        <v>#REF!</v>
      </c>
      <c r="BL31" s="21" t="e">
        <f>#REF!</f>
        <v>#REF!</v>
      </c>
      <c r="BM31" s="21" t="e">
        <f>#REF!</f>
        <v>#REF!</v>
      </c>
      <c r="BN31" s="21" t="e">
        <f>#REF!</f>
        <v>#REF!</v>
      </c>
      <c r="BO31" s="21" t="e">
        <f>#REF!</f>
        <v>#REF!</v>
      </c>
      <c r="BP31" s="21" t="e">
        <f>#REF!</f>
        <v>#REF!</v>
      </c>
      <c r="BQ31" s="21" t="e">
        <f>#REF!</f>
        <v>#REF!</v>
      </c>
      <c r="BR31" s="21" t="e">
        <f>#REF!</f>
        <v>#REF!</v>
      </c>
    </row>
    <row r="32" spans="1:70" x14ac:dyDescent="0.35">
      <c r="A32" s="3" t="s">
        <v>147</v>
      </c>
      <c r="B32" s="20" t="s">
        <v>267</v>
      </c>
      <c r="C32" s="13"/>
      <c r="D32" s="21">
        <f>'Data Des 2025'!AB37</f>
        <v>9000</v>
      </c>
      <c r="E32" s="21">
        <f>'Data Jan 2026'!AF37</f>
        <v>9000</v>
      </c>
      <c r="F32" s="21">
        <f>'Data Feb 2026'!AB37</f>
        <v>9000</v>
      </c>
      <c r="G32" s="21">
        <f>'Data Mar 2026'!AD37</f>
        <v>9000</v>
      </c>
      <c r="H32" s="21">
        <f>'Data Apr 2025'!AE37</f>
        <v>9000</v>
      </c>
      <c r="I32" s="21">
        <f>'Data Mei 2026'!AE37</f>
        <v>9000</v>
      </c>
      <c r="J32" s="21">
        <f>'Data Jun 2026'!AB37</f>
        <v>9000</v>
      </c>
      <c r="K32" s="21">
        <f>'Data Jul 2026'!AF37</f>
        <v>9000</v>
      </c>
      <c r="L32" s="21">
        <f>'DATAAGUSTUS 2026'!AB37</f>
        <v>0</v>
      </c>
      <c r="M32" s="21" t="e">
        <f>#REF!</f>
        <v>#REF!</v>
      </c>
      <c r="N32" s="21" t="e">
        <f>#REF!</f>
        <v>#REF!</v>
      </c>
      <c r="O32" s="21" t="e">
        <f>#REF!</f>
        <v>#REF!</v>
      </c>
      <c r="P32" s="21">
        <f>'Data Jan 2026'!AA37</f>
        <v>9000</v>
      </c>
      <c r="Q32" s="21">
        <f>'Data Jan 2026'!AB37</f>
        <v>9000</v>
      </c>
      <c r="R32" s="21">
        <f>'Data Jan 2026'!AC37</f>
        <v>9000</v>
      </c>
      <c r="S32" s="21">
        <f>'Data Jan 2026'!AD37</f>
        <v>9000</v>
      </c>
      <c r="T32" s="21">
        <f>'Data Jan 2026'!AE37</f>
        <v>9000</v>
      </c>
      <c r="U32" s="21">
        <f>'Data Feb 2026'!X37</f>
        <v>9000</v>
      </c>
      <c r="V32" s="21">
        <f>'Data Feb 2026'!Y37</f>
        <v>9000</v>
      </c>
      <c r="W32" s="21">
        <f>'Data Feb 2026'!Z37</f>
        <v>9000</v>
      </c>
      <c r="X32" s="21">
        <f>'Data Feb 2026'!AA37</f>
        <v>9000</v>
      </c>
      <c r="Y32" s="21">
        <f>'Data Mar 2026'!Y37</f>
        <v>9000</v>
      </c>
      <c r="Z32" s="21">
        <f>'Data Mar 2026'!Z37</f>
        <v>9000</v>
      </c>
      <c r="AA32" s="21">
        <f>'Data Mar 2026'!AA37</f>
        <v>9000</v>
      </c>
      <c r="AB32" s="21">
        <f>'Data Mar 2026'!AB37</f>
        <v>9000</v>
      </c>
      <c r="AC32" s="21" t="str">
        <f>'Data Mar 2026'!AC37</f>
        <v/>
      </c>
      <c r="AD32" s="21" t="str">
        <f>'Data Apr 2025'!Z37</f>
        <v/>
      </c>
      <c r="AE32" s="21">
        <f>'Data Apr 2025'!AA37</f>
        <v>9000</v>
      </c>
      <c r="AF32" s="21">
        <f>'Data Apr 2025'!AB37</f>
        <v>9000</v>
      </c>
      <c r="AG32" s="21">
        <f>'Data Apr 2025'!AC37</f>
        <v>9000</v>
      </c>
      <c r="AH32" s="21">
        <f>'Data Apr 2025'!AD37</f>
        <v>9000</v>
      </c>
      <c r="AI32" s="21">
        <f>'Data Mei 2026'!Z37</f>
        <v>9000</v>
      </c>
      <c r="AJ32" s="21">
        <f>'Data Mei 2026'!AA37</f>
        <v>9000</v>
      </c>
      <c r="AK32" s="21">
        <f>'Data Mei 2026'!AB37</f>
        <v>9000</v>
      </c>
      <c r="AL32" s="21">
        <f>'Data Mei 2026'!AC37</f>
        <v>9000</v>
      </c>
      <c r="AM32" s="21">
        <f>'Data Mei 2026'!AD37</f>
        <v>9000</v>
      </c>
      <c r="AN32" s="21">
        <f>'Data Jun 2026'!X37</f>
        <v>9000</v>
      </c>
      <c r="AO32" s="21">
        <f>'Data Jun 2026'!Y37</f>
        <v>9000</v>
      </c>
      <c r="AP32" s="21">
        <f>'Data Jun 2026'!Z37</f>
        <v>9000</v>
      </c>
      <c r="AQ32" s="21">
        <f>'Data Jun 2026'!AA37</f>
        <v>9000</v>
      </c>
      <c r="AR32" s="21">
        <f>'Data Jul 2026'!AA37</f>
        <v>9000</v>
      </c>
      <c r="AS32" s="21">
        <f>'Data Jul 2026'!AB37</f>
        <v>9000</v>
      </c>
      <c r="AT32" s="21">
        <f>'Data Jul 2026'!AC37</f>
        <v>9000</v>
      </c>
      <c r="AU32" s="21">
        <f>'Data Jul 2026'!AD37</f>
        <v>9000</v>
      </c>
      <c r="AV32" s="21">
        <f>'Data Jul 2026'!AE37</f>
        <v>9000</v>
      </c>
      <c r="AW32" s="21">
        <f>'DATAAGUSTUS 2026'!X37</f>
        <v>0</v>
      </c>
      <c r="AX32" s="21">
        <f>'DATAAGUSTUS 2026'!Y37</f>
        <v>0</v>
      </c>
      <c r="AY32" s="21">
        <f>'DATAAGUSTUS 2026'!Z37</f>
        <v>0</v>
      </c>
      <c r="AZ32" s="21">
        <f>'DATAAGUSTUS 2026'!AA37</f>
        <v>0</v>
      </c>
      <c r="BA32" s="21" t="e">
        <f>#REF!</f>
        <v>#REF!</v>
      </c>
      <c r="BB32" s="21" t="e">
        <f>#REF!</f>
        <v>#REF!</v>
      </c>
      <c r="BC32" s="21" t="e">
        <f>#REF!</f>
        <v>#REF!</v>
      </c>
      <c r="BD32" s="21" t="e">
        <f>#REF!</f>
        <v>#REF!</v>
      </c>
      <c r="BE32" s="21" t="e">
        <f>#REF!</f>
        <v>#REF!</v>
      </c>
      <c r="BF32" s="21" t="e">
        <f>#REF!</f>
        <v>#REF!</v>
      </c>
      <c r="BG32" s="21" t="e">
        <f>#REF!</f>
        <v>#REF!</v>
      </c>
      <c r="BH32" s="21" t="e">
        <f>#REF!</f>
        <v>#REF!</v>
      </c>
      <c r="BI32" s="21" t="e">
        <f>#REF!</f>
        <v>#REF!</v>
      </c>
      <c r="BJ32" s="21" t="e">
        <f>#REF!</f>
        <v>#REF!</v>
      </c>
      <c r="BK32" s="21" t="e">
        <f>#REF!</f>
        <v>#REF!</v>
      </c>
      <c r="BL32" s="21" t="e">
        <f>#REF!</f>
        <v>#REF!</v>
      </c>
      <c r="BM32" s="21" t="e">
        <f>#REF!</f>
        <v>#REF!</v>
      </c>
      <c r="BN32" s="21" t="e">
        <f>#REF!</f>
        <v>#REF!</v>
      </c>
      <c r="BO32" s="21" t="e">
        <f>#REF!</f>
        <v>#REF!</v>
      </c>
      <c r="BP32" s="21" t="e">
        <f>#REF!</f>
        <v>#REF!</v>
      </c>
      <c r="BQ32" s="21" t="e">
        <f>#REF!</f>
        <v>#REF!</v>
      </c>
      <c r="BR32" s="21" t="e">
        <f>#REF!</f>
        <v>#REF!</v>
      </c>
    </row>
  </sheetData>
  <mergeCells count="1">
    <mergeCell ref="A1:C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
  <sheetViews>
    <sheetView showGridLines="0" zoomScaleNormal="100" workbookViewId="0"/>
  </sheetViews>
  <sheetFormatPr defaultColWidth="8.6328125" defaultRowHeight="14.5" x14ac:dyDescent="0.35"/>
  <cols>
    <col min="1" max="1" width="4" customWidth="1"/>
    <col min="2" max="2" width="32" customWidth="1"/>
    <col min="3" max="3" width="14" customWidth="1"/>
    <col min="4" max="5" width="18" customWidth="1"/>
    <col min="6" max="6" width="16" customWidth="1"/>
  </cols>
  <sheetData>
    <row r="1" spans="1:6" ht="16.5" x14ac:dyDescent="0.35">
      <c r="A1" s="30" t="s">
        <v>268</v>
      </c>
      <c r="B1" s="30"/>
      <c r="C1" s="30"/>
      <c r="D1" s="30"/>
      <c r="E1" s="30"/>
      <c r="F1" s="30"/>
    </row>
    <row r="2" spans="1:6" x14ac:dyDescent="0.35">
      <c r="A2" s="6" t="s">
        <v>269</v>
      </c>
    </row>
    <row r="4" spans="1:6" ht="23" x14ac:dyDescent="0.35">
      <c r="A4" s="2" t="s">
        <v>0</v>
      </c>
      <c r="B4" s="2" t="s">
        <v>62</v>
      </c>
      <c r="C4" s="2" t="s">
        <v>270</v>
      </c>
      <c r="D4" s="2" t="s">
        <v>271</v>
      </c>
      <c r="E4" s="2" t="s">
        <v>272</v>
      </c>
      <c r="F4" s="2" t="s">
        <v>273</v>
      </c>
    </row>
    <row r="5" spans="1:6" x14ac:dyDescent="0.35">
      <c r="A5" s="3">
        <v>1</v>
      </c>
      <c r="B5" s="3" t="s">
        <v>123</v>
      </c>
      <c r="C5" s="22">
        <v>4.6855191873589099</v>
      </c>
      <c r="D5" s="23">
        <v>45768.238148984201</v>
      </c>
      <c r="E5" s="11">
        <f t="shared" ref="E5:E24" si="0">C5*D5</f>
        <v>214447.95801867751</v>
      </c>
      <c r="F5" s="24">
        <v>0.12508905675934601</v>
      </c>
    </row>
    <row r="6" spans="1:6" x14ac:dyDescent="0.35">
      <c r="A6" s="3">
        <v>2</v>
      </c>
      <c r="B6" s="3" t="s">
        <v>124</v>
      </c>
      <c r="C6" s="22">
        <v>0.32698564593301399</v>
      </c>
      <c r="D6" s="23">
        <v>2903.8995215311002</v>
      </c>
      <c r="E6" s="11">
        <f t="shared" si="0"/>
        <v>949.53346077241702</v>
      </c>
      <c r="F6" s="24">
        <v>7.9366404905036603E-3</v>
      </c>
    </row>
    <row r="7" spans="1:6" x14ac:dyDescent="0.35">
      <c r="A7" s="3">
        <v>3</v>
      </c>
      <c r="B7" s="3" t="s">
        <v>125</v>
      </c>
      <c r="C7" s="22">
        <v>1.12188439306358</v>
      </c>
      <c r="D7" s="23">
        <v>7805.1213872832404</v>
      </c>
      <c r="E7" s="11">
        <f t="shared" si="0"/>
        <v>8756.4438703598262</v>
      </c>
      <c r="F7" s="24">
        <v>2.13321576646518E-2</v>
      </c>
    </row>
    <row r="8" spans="1:6" x14ac:dyDescent="0.35">
      <c r="A8" s="3">
        <v>4</v>
      </c>
      <c r="B8" s="3" t="s">
        <v>126</v>
      </c>
      <c r="C8" s="22">
        <v>0.59571917808219299</v>
      </c>
      <c r="D8" s="23">
        <v>17529.845890411001</v>
      </c>
      <c r="E8" s="11">
        <f t="shared" si="0"/>
        <v>10442.865385743151</v>
      </c>
      <c r="F8" s="24">
        <v>4.7910777785027697E-2</v>
      </c>
    </row>
    <row r="9" spans="1:6" x14ac:dyDescent="0.35">
      <c r="A9" s="3">
        <v>5</v>
      </c>
      <c r="B9" s="3" t="s">
        <v>127</v>
      </c>
      <c r="C9" s="22">
        <v>1.1325180722891599</v>
      </c>
      <c r="D9" s="23">
        <v>16529.459036144599</v>
      </c>
      <c r="E9" s="11">
        <f t="shared" si="0"/>
        <v>18719.911083597115</v>
      </c>
      <c r="F9" s="24">
        <v>4.5176622985638501E-2</v>
      </c>
    </row>
    <row r="10" spans="1:6" x14ac:dyDescent="0.35">
      <c r="A10" s="3">
        <v>6</v>
      </c>
      <c r="B10" s="3" t="s">
        <v>128</v>
      </c>
      <c r="C10" s="22">
        <v>0.23766233766233799</v>
      </c>
      <c r="D10" s="23">
        <v>13541.6883116883</v>
      </c>
      <c r="E10" s="11">
        <f t="shared" si="0"/>
        <v>3218.3493000506005</v>
      </c>
      <c r="F10" s="24">
        <v>3.7010754321023603E-2</v>
      </c>
    </row>
    <row r="11" spans="1:6" x14ac:dyDescent="0.35">
      <c r="A11" s="3">
        <v>7</v>
      </c>
      <c r="B11" s="3" t="s">
        <v>130</v>
      </c>
      <c r="C11" s="22">
        <v>1.20151785714286</v>
      </c>
      <c r="D11" s="23">
        <v>14868.321756577499</v>
      </c>
      <c r="E11" s="11">
        <f t="shared" si="0"/>
        <v>17864.554096273561</v>
      </c>
      <c r="F11" s="24">
        <v>4.0636572858027402E-2</v>
      </c>
    </row>
    <row r="12" spans="1:6" x14ac:dyDescent="0.35">
      <c r="A12" s="3">
        <v>8</v>
      </c>
      <c r="B12" s="3" t="s">
        <v>132</v>
      </c>
      <c r="C12" s="22">
        <v>0.16470658682634701</v>
      </c>
      <c r="D12" s="23">
        <v>6476.80239520958</v>
      </c>
      <c r="E12" s="11">
        <f t="shared" si="0"/>
        <v>1066.7720160636788</v>
      </c>
      <c r="F12" s="24">
        <v>1.7701732362870599E-2</v>
      </c>
    </row>
    <row r="13" spans="1:6" x14ac:dyDescent="0.35">
      <c r="A13" s="3">
        <v>9</v>
      </c>
      <c r="B13" s="3" t="s">
        <v>133</v>
      </c>
      <c r="C13" s="22">
        <v>7.8012121212121199</v>
      </c>
      <c r="D13" s="23">
        <v>10931.842424242401</v>
      </c>
      <c r="E13" s="11">
        <f t="shared" si="0"/>
        <v>85281.621627180706</v>
      </c>
      <c r="F13" s="24">
        <v>2.9877791079459301E-2</v>
      </c>
    </row>
    <row r="14" spans="1:6" x14ac:dyDescent="0.35">
      <c r="A14" s="3">
        <v>10</v>
      </c>
      <c r="B14" s="3" t="s">
        <v>134</v>
      </c>
      <c r="C14" s="22">
        <v>5.3912837837837797</v>
      </c>
      <c r="D14" s="23">
        <v>7085.4481981981999</v>
      </c>
      <c r="E14" s="11">
        <f t="shared" si="0"/>
        <v>38199.661971785958</v>
      </c>
      <c r="F14" s="24">
        <v>1.93652206786879E-2</v>
      </c>
    </row>
    <row r="15" spans="1:6" x14ac:dyDescent="0.35">
      <c r="A15" s="3">
        <v>11</v>
      </c>
      <c r="B15" s="3" t="s">
        <v>135</v>
      </c>
      <c r="C15" s="22">
        <v>0.25</v>
      </c>
      <c r="D15" s="23">
        <v>7600</v>
      </c>
      <c r="E15" s="11">
        <f t="shared" si="0"/>
        <v>1900</v>
      </c>
      <c r="F15" s="24">
        <v>2.0771540916134899E-2</v>
      </c>
    </row>
    <row r="16" spans="1:6" x14ac:dyDescent="0.35">
      <c r="A16" s="3">
        <v>12</v>
      </c>
      <c r="B16" s="3" t="s">
        <v>137</v>
      </c>
      <c r="C16" s="22">
        <v>0.81677419354838698</v>
      </c>
      <c r="D16" s="23">
        <v>80298.709677419407</v>
      </c>
      <c r="E16" s="11">
        <f t="shared" si="0"/>
        <v>65585.913839750297</v>
      </c>
      <c r="F16" s="24">
        <v>0.21946420178649401</v>
      </c>
    </row>
    <row r="17" spans="1:6" x14ac:dyDescent="0.35">
      <c r="A17" s="3">
        <v>13</v>
      </c>
      <c r="B17" s="3" t="s">
        <v>139</v>
      </c>
      <c r="C17" s="22">
        <v>2.7422067363530802</v>
      </c>
      <c r="D17" s="23">
        <v>7114.0766550522703</v>
      </c>
      <c r="E17" s="11">
        <f t="shared" si="0"/>
        <v>19508.268926416524</v>
      </c>
      <c r="F17" s="24">
        <v>1.94434650422287E-2</v>
      </c>
    </row>
    <row r="18" spans="1:6" x14ac:dyDescent="0.35">
      <c r="A18" s="3">
        <v>14</v>
      </c>
      <c r="B18" s="3" t="s">
        <v>140</v>
      </c>
      <c r="C18" s="22">
        <v>1.8378713450292401</v>
      </c>
      <c r="D18" s="23">
        <v>4683.5555555555602</v>
      </c>
      <c r="E18" s="11">
        <f t="shared" si="0"/>
        <v>8607.7725484080675</v>
      </c>
      <c r="F18" s="24">
        <v>1.28006139283175E-2</v>
      </c>
    </row>
    <row r="19" spans="1:6" x14ac:dyDescent="0.35">
      <c r="A19" s="3">
        <v>15</v>
      </c>
      <c r="B19" s="3" t="s">
        <v>141</v>
      </c>
      <c r="C19" s="22">
        <v>3.30105900151286</v>
      </c>
      <c r="D19" s="23">
        <v>9336.61119515885</v>
      </c>
      <c r="E19" s="11">
        <f t="shared" si="0"/>
        <v>30820.704429404865</v>
      </c>
      <c r="F19" s="24">
        <v>2.5517868612932301E-2</v>
      </c>
    </row>
    <row r="20" spans="1:6" x14ac:dyDescent="0.35">
      <c r="A20" s="3">
        <v>16</v>
      </c>
      <c r="B20" s="3" t="s">
        <v>142</v>
      </c>
      <c r="C20" s="22">
        <v>0.62287234042553197</v>
      </c>
      <c r="D20" s="23">
        <v>67547.340425531904</v>
      </c>
      <c r="E20" s="11">
        <f t="shared" si="0"/>
        <v>42073.370020371207</v>
      </c>
      <c r="F20" s="24">
        <v>0.18461346650329299</v>
      </c>
    </row>
    <row r="21" spans="1:6" x14ac:dyDescent="0.35">
      <c r="A21" s="3">
        <v>17</v>
      </c>
      <c r="B21" s="3" t="s">
        <v>144</v>
      </c>
      <c r="C21" s="22">
        <v>0.18410194174757299</v>
      </c>
      <c r="D21" s="23">
        <v>4032.3786407767002</v>
      </c>
      <c r="E21" s="11">
        <f t="shared" si="0"/>
        <v>742.36873762842959</v>
      </c>
      <c r="F21" s="24">
        <v>1.10208839376634E-2</v>
      </c>
    </row>
    <row r="22" spans="1:6" x14ac:dyDescent="0.35">
      <c r="A22" s="3">
        <v>18</v>
      </c>
      <c r="B22" s="3" t="s">
        <v>145</v>
      </c>
      <c r="C22" s="22">
        <v>0.20257028112449799</v>
      </c>
      <c r="D22" s="23">
        <v>21905.702811244999</v>
      </c>
      <c r="E22" s="11">
        <f t="shared" si="0"/>
        <v>4437.4443767036055</v>
      </c>
      <c r="F22" s="24">
        <v>5.98704213474298E-2</v>
      </c>
    </row>
    <row r="23" spans="1:6" x14ac:dyDescent="0.35">
      <c r="A23" s="3">
        <v>19</v>
      </c>
      <c r="B23" s="3" t="s">
        <v>146</v>
      </c>
      <c r="C23" s="22">
        <v>0.70207502930832499</v>
      </c>
      <c r="D23" s="23">
        <v>7421.1019929659997</v>
      </c>
      <c r="E23" s="11">
        <f t="shared" si="0"/>
        <v>5210.1703992116736</v>
      </c>
      <c r="F23" s="24">
        <v>2.0282595222329398E-2</v>
      </c>
    </row>
    <row r="24" spans="1:6" x14ac:dyDescent="0.35">
      <c r="A24" s="3">
        <v>20</v>
      </c>
      <c r="B24" s="3" t="s">
        <v>147</v>
      </c>
      <c r="C24" s="22">
        <v>0.86665254237288103</v>
      </c>
      <c r="D24" s="23">
        <v>12505.084745762701</v>
      </c>
      <c r="E24" s="11">
        <f t="shared" si="0"/>
        <v>10837.563487503578</v>
      </c>
      <c r="F24" s="24">
        <v>3.4177615717940098E-2</v>
      </c>
    </row>
    <row r="25" spans="1:6" x14ac:dyDescent="0.35">
      <c r="B25" s="25" t="s">
        <v>274</v>
      </c>
      <c r="F25" s="26">
        <f>SUM(F5:F24)</f>
        <v>0.99999999999999967</v>
      </c>
    </row>
  </sheetData>
  <mergeCells count="1">
    <mergeCell ref="A1:F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8"/>
  <sheetViews>
    <sheetView showGridLines="0" zoomScaleNormal="100" workbookViewId="0">
      <pane xSplit="3" ySplit="4" topLeftCell="D5" activePane="bottomRight" state="frozen"/>
      <selection pane="topRight" activeCell="D1" sqref="D1"/>
      <selection pane="bottomLeft" activeCell="A5" sqref="A5"/>
      <selection pane="bottomRight" activeCell="H14" sqref="H14"/>
    </sheetView>
  </sheetViews>
  <sheetFormatPr defaultColWidth="8.6328125" defaultRowHeight="14.5" x14ac:dyDescent="0.35"/>
  <cols>
    <col min="1" max="1" width="4" customWidth="1"/>
    <col min="2" max="2" width="30" customWidth="1"/>
    <col min="3" max="3" width="4" customWidth="1"/>
    <col min="4" max="23" width="9" customWidth="1"/>
    <col min="24" max="28" width="14" customWidth="1"/>
  </cols>
  <sheetData>
    <row r="1" spans="1:28" ht="16.5" x14ac:dyDescent="0.35">
      <c r="A1" s="30" t="s">
        <v>275</v>
      </c>
      <c r="B1" s="30"/>
      <c r="C1" s="30"/>
      <c r="D1" s="30"/>
      <c r="E1" s="30"/>
      <c r="F1" s="30"/>
      <c r="G1" s="30"/>
      <c r="H1" s="30"/>
      <c r="I1" s="30"/>
      <c r="J1" s="30"/>
      <c r="K1" s="30"/>
      <c r="L1" s="30"/>
      <c r="M1" s="30"/>
      <c r="N1" s="30"/>
      <c r="O1" s="30"/>
      <c r="P1" s="30"/>
      <c r="Q1" s="30"/>
      <c r="R1" s="30"/>
      <c r="S1" s="30"/>
      <c r="T1" s="30"/>
      <c r="U1" s="30"/>
      <c r="V1" s="30"/>
      <c r="W1" s="30"/>
      <c r="X1" s="30"/>
      <c r="Y1" s="30"/>
      <c r="Z1" s="30"/>
      <c r="AA1" s="30"/>
      <c r="AB1" s="30"/>
    </row>
    <row r="2" spans="1:28" x14ac:dyDescent="0.35">
      <c r="A2" s="6" t="s">
        <v>276</v>
      </c>
    </row>
    <row r="4" spans="1:28" ht="21" x14ac:dyDescent="0.35">
      <c r="A4" s="8" t="s">
        <v>0</v>
      </c>
      <c r="B4" s="8" t="s">
        <v>277</v>
      </c>
      <c r="C4" s="8" t="s">
        <v>278</v>
      </c>
      <c r="D4" s="8" t="s">
        <v>279</v>
      </c>
      <c r="E4" s="8" t="s">
        <v>280</v>
      </c>
      <c r="F4" s="8" t="s">
        <v>281</v>
      </c>
      <c r="G4" s="8" t="s">
        <v>282</v>
      </c>
      <c r="H4" s="8" t="s">
        <v>283</v>
      </c>
      <c r="I4" s="8" t="s">
        <v>284</v>
      </c>
      <c r="J4" s="8" t="s">
        <v>285</v>
      </c>
      <c r="K4" s="8" t="s">
        <v>286</v>
      </c>
      <c r="L4" s="8" t="s">
        <v>287</v>
      </c>
      <c r="M4" s="8" t="s">
        <v>288</v>
      </c>
      <c r="N4" s="8" t="s">
        <v>289</v>
      </c>
      <c r="O4" s="8" t="s">
        <v>290</v>
      </c>
      <c r="P4" s="8" t="s">
        <v>291</v>
      </c>
      <c r="Q4" s="8" t="s">
        <v>292</v>
      </c>
      <c r="R4" s="8" t="s">
        <v>293</v>
      </c>
      <c r="S4" s="8" t="s">
        <v>294</v>
      </c>
      <c r="T4" s="8" t="s">
        <v>295</v>
      </c>
      <c r="U4" s="8" t="s">
        <v>296</v>
      </c>
      <c r="V4" s="8" t="s">
        <v>297</v>
      </c>
      <c r="W4" s="8" t="s">
        <v>298</v>
      </c>
      <c r="X4" s="8" t="s">
        <v>299</v>
      </c>
      <c r="Y4" s="8" t="s">
        <v>300</v>
      </c>
      <c r="Z4" s="8" t="s">
        <v>301</v>
      </c>
      <c r="AA4" s="8" t="s">
        <v>302</v>
      </c>
      <c r="AB4" s="8" t="s">
        <v>303</v>
      </c>
    </row>
    <row r="5" spans="1:28" x14ac:dyDescent="0.35">
      <c r="A5" s="3">
        <v>1</v>
      </c>
      <c r="B5" s="3" t="s">
        <v>240</v>
      </c>
      <c r="C5" s="3" t="s">
        <v>304</v>
      </c>
      <c r="D5" s="27">
        <v>12000</v>
      </c>
      <c r="E5" s="27">
        <v>12000</v>
      </c>
      <c r="F5" s="27">
        <v>12000</v>
      </c>
      <c r="G5" s="27">
        <v>12000</v>
      </c>
      <c r="H5" s="27">
        <v>12000</v>
      </c>
      <c r="I5" s="27">
        <v>12000</v>
      </c>
      <c r="J5" s="27">
        <v>12000</v>
      </c>
      <c r="K5" s="27">
        <v>12000</v>
      </c>
      <c r="L5" s="27">
        <v>12000</v>
      </c>
      <c r="M5" s="27">
        <v>12000</v>
      </c>
      <c r="N5" s="27">
        <v>12000</v>
      </c>
      <c r="O5" s="27">
        <v>12000</v>
      </c>
      <c r="P5" s="27">
        <v>12000</v>
      </c>
      <c r="Q5" s="27">
        <v>12000</v>
      </c>
      <c r="R5" s="27">
        <v>12000</v>
      </c>
      <c r="S5" s="27">
        <v>12000</v>
      </c>
      <c r="T5" s="27">
        <v>12000</v>
      </c>
      <c r="U5" s="27">
        <v>0</v>
      </c>
      <c r="V5" s="27">
        <v>0</v>
      </c>
      <c r="W5" s="27">
        <v>12000</v>
      </c>
      <c r="X5" s="11">
        <f t="shared" ref="X5:X48" si="0">IFERROR(AVERAGEIF(D5:H5,"&lt;&gt;0"),"")</f>
        <v>12000</v>
      </c>
      <c r="Y5" s="11">
        <f t="shared" ref="Y5:Y48" si="1">IFERROR(AVERAGEIF(I5:M5,"&lt;&gt;0"),"")</f>
        <v>12000</v>
      </c>
      <c r="Z5" s="11">
        <f t="shared" ref="Z5:Z48" si="2">IFERROR(AVERAGEIF(N5:R5,"&lt;&gt;0"),"")</f>
        <v>12000</v>
      </c>
      <c r="AA5" s="11">
        <f t="shared" ref="AA5:AA48" si="3">IFERROR(AVERAGEIF(S5:W5,"&lt;&gt;0"),"")</f>
        <v>12000</v>
      </c>
      <c r="AB5" s="11">
        <f t="shared" ref="AB5:AB48" si="4">IFERROR(AVERAGEIF(D5:W5,"&lt;&gt;0"),"")</f>
        <v>12000</v>
      </c>
    </row>
    <row r="6" spans="1:28" x14ac:dyDescent="0.35">
      <c r="A6" s="3">
        <v>2</v>
      </c>
      <c r="B6" s="3" t="s">
        <v>241</v>
      </c>
      <c r="C6" s="3" t="s">
        <v>304</v>
      </c>
      <c r="D6" s="27">
        <v>13000</v>
      </c>
      <c r="E6" s="27">
        <v>13000</v>
      </c>
      <c r="F6" s="27">
        <v>13000</v>
      </c>
      <c r="G6" s="27">
        <v>13000</v>
      </c>
      <c r="H6" s="27">
        <v>13000</v>
      </c>
      <c r="I6" s="27">
        <v>13000</v>
      </c>
      <c r="J6" s="27">
        <v>13000</v>
      </c>
      <c r="K6" s="27">
        <v>13000</v>
      </c>
      <c r="L6" s="27">
        <v>13000</v>
      </c>
      <c r="M6" s="27">
        <v>13000</v>
      </c>
      <c r="N6" s="27">
        <v>13000</v>
      </c>
      <c r="O6" s="27">
        <v>13000</v>
      </c>
      <c r="P6" s="27">
        <v>13000</v>
      </c>
      <c r="Q6" s="27">
        <v>13000</v>
      </c>
      <c r="R6" s="27">
        <v>13000</v>
      </c>
      <c r="S6" s="27">
        <v>13000</v>
      </c>
      <c r="T6" s="27">
        <v>13000</v>
      </c>
      <c r="U6" s="27">
        <v>0</v>
      </c>
      <c r="V6" s="27">
        <v>0</v>
      </c>
      <c r="W6" s="27">
        <v>13000</v>
      </c>
      <c r="X6" s="11">
        <f t="shared" si="0"/>
        <v>13000</v>
      </c>
      <c r="Y6" s="11">
        <f t="shared" si="1"/>
        <v>13000</v>
      </c>
      <c r="Z6" s="11">
        <f t="shared" si="2"/>
        <v>13000</v>
      </c>
      <c r="AA6" s="11">
        <f t="shared" si="3"/>
        <v>13000</v>
      </c>
      <c r="AB6" s="11">
        <f t="shared" si="4"/>
        <v>13000</v>
      </c>
    </row>
    <row r="7" spans="1:28" x14ac:dyDescent="0.35">
      <c r="A7" s="3">
        <v>3</v>
      </c>
      <c r="B7" s="3" t="s">
        <v>242</v>
      </c>
      <c r="C7" s="3" t="s">
        <v>304</v>
      </c>
      <c r="D7" s="27">
        <v>12500</v>
      </c>
      <c r="E7" s="27">
        <v>12500</v>
      </c>
      <c r="F7" s="27">
        <v>12500</v>
      </c>
      <c r="G7" s="27">
        <v>12500</v>
      </c>
      <c r="H7" s="27">
        <v>12500</v>
      </c>
      <c r="I7" s="27">
        <v>12500</v>
      </c>
      <c r="J7" s="27">
        <v>12500</v>
      </c>
      <c r="K7" s="27">
        <v>12500</v>
      </c>
      <c r="L7" s="27">
        <v>12500</v>
      </c>
      <c r="M7" s="27">
        <v>12500</v>
      </c>
      <c r="N7" s="27">
        <v>12500</v>
      </c>
      <c r="O7" s="27">
        <v>12500</v>
      </c>
      <c r="P7" s="27">
        <v>12500</v>
      </c>
      <c r="Q7" s="27">
        <v>12500</v>
      </c>
      <c r="R7" s="27">
        <v>12500</v>
      </c>
      <c r="S7" s="27">
        <v>12500</v>
      </c>
      <c r="T7" s="27">
        <v>12500</v>
      </c>
      <c r="U7" s="27">
        <v>0</v>
      </c>
      <c r="V7" s="27">
        <v>0</v>
      </c>
      <c r="W7" s="27">
        <v>12500</v>
      </c>
      <c r="X7" s="11">
        <f t="shared" si="0"/>
        <v>12500</v>
      </c>
      <c r="Y7" s="11">
        <f t="shared" si="1"/>
        <v>12500</v>
      </c>
      <c r="Z7" s="11">
        <f t="shared" si="2"/>
        <v>12500</v>
      </c>
      <c r="AA7" s="11">
        <f t="shared" si="3"/>
        <v>12500</v>
      </c>
      <c r="AB7" s="11">
        <f t="shared" si="4"/>
        <v>12500</v>
      </c>
    </row>
    <row r="8" spans="1:28" x14ac:dyDescent="0.35">
      <c r="A8" s="3">
        <v>4</v>
      </c>
      <c r="B8" s="3" t="s">
        <v>305</v>
      </c>
      <c r="C8" s="3" t="s">
        <v>304</v>
      </c>
      <c r="D8" s="27">
        <v>11000</v>
      </c>
      <c r="E8" s="27">
        <v>11000</v>
      </c>
      <c r="F8" s="27">
        <v>11000</v>
      </c>
      <c r="G8" s="27">
        <v>11000</v>
      </c>
      <c r="H8" s="27">
        <v>11000</v>
      </c>
      <c r="I8" s="27">
        <v>11000</v>
      </c>
      <c r="J8" s="27">
        <v>11000</v>
      </c>
      <c r="K8" s="27">
        <v>11000</v>
      </c>
      <c r="L8" s="27">
        <v>11000</v>
      </c>
      <c r="M8" s="27">
        <v>11000</v>
      </c>
      <c r="N8" s="27">
        <v>11000</v>
      </c>
      <c r="O8" s="27">
        <v>11000</v>
      </c>
      <c r="P8" s="27">
        <v>11000</v>
      </c>
      <c r="Q8" s="27">
        <v>11000</v>
      </c>
      <c r="R8" s="27">
        <v>11000</v>
      </c>
      <c r="S8" s="27">
        <v>11000</v>
      </c>
      <c r="T8" s="27">
        <v>11000</v>
      </c>
      <c r="U8" s="27">
        <v>0</v>
      </c>
      <c r="V8" s="27">
        <v>0</v>
      </c>
      <c r="W8" s="27">
        <v>11000</v>
      </c>
      <c r="X8" s="11">
        <f t="shared" si="0"/>
        <v>11000</v>
      </c>
      <c r="Y8" s="11">
        <f t="shared" si="1"/>
        <v>11000</v>
      </c>
      <c r="Z8" s="11">
        <f t="shared" si="2"/>
        <v>11000</v>
      </c>
      <c r="AA8" s="11">
        <f t="shared" si="3"/>
        <v>11000</v>
      </c>
      <c r="AB8" s="11">
        <f t="shared" si="4"/>
        <v>11000</v>
      </c>
    </row>
    <row r="9" spans="1:28" x14ac:dyDescent="0.35">
      <c r="A9" s="3">
        <v>5</v>
      </c>
      <c r="B9" s="3" t="s">
        <v>261</v>
      </c>
      <c r="C9" s="3" t="s">
        <v>304</v>
      </c>
      <c r="D9" s="27">
        <v>15000</v>
      </c>
      <c r="E9" s="27">
        <v>15000</v>
      </c>
      <c r="F9" s="27">
        <v>15000</v>
      </c>
      <c r="G9" s="27">
        <v>15000</v>
      </c>
      <c r="H9" s="27">
        <v>15000</v>
      </c>
      <c r="I9" s="27">
        <v>15000</v>
      </c>
      <c r="J9" s="27">
        <v>17000</v>
      </c>
      <c r="K9" s="27">
        <v>18000</v>
      </c>
      <c r="L9" s="27">
        <v>18000</v>
      </c>
      <c r="M9" s="27">
        <v>24000</v>
      </c>
      <c r="N9" s="27">
        <v>25000</v>
      </c>
      <c r="O9" s="27">
        <v>25000</v>
      </c>
      <c r="P9" s="27">
        <v>25000</v>
      </c>
      <c r="Q9" s="27">
        <v>25000</v>
      </c>
      <c r="R9" s="27">
        <v>25000</v>
      </c>
      <c r="S9" s="27">
        <v>34000</v>
      </c>
      <c r="T9" s="27">
        <v>34000</v>
      </c>
      <c r="U9" s="27">
        <v>0</v>
      </c>
      <c r="V9" s="27">
        <v>0</v>
      </c>
      <c r="W9" s="27">
        <v>34000</v>
      </c>
      <c r="X9" s="11">
        <f t="shared" si="0"/>
        <v>15000</v>
      </c>
      <c r="Y9" s="11">
        <f t="shared" si="1"/>
        <v>18400</v>
      </c>
      <c r="Z9" s="11">
        <f t="shared" si="2"/>
        <v>25000</v>
      </c>
      <c r="AA9" s="11">
        <f t="shared" si="3"/>
        <v>34000</v>
      </c>
      <c r="AB9" s="11">
        <f t="shared" si="4"/>
        <v>21888.888888888891</v>
      </c>
    </row>
    <row r="10" spans="1:28" x14ac:dyDescent="0.35">
      <c r="A10" s="3">
        <v>6</v>
      </c>
      <c r="B10" s="3" t="s">
        <v>262</v>
      </c>
      <c r="C10" s="3" t="s">
        <v>304</v>
      </c>
      <c r="D10" s="27">
        <v>20000</v>
      </c>
      <c r="E10" s="27">
        <v>20000</v>
      </c>
      <c r="F10" s="27">
        <v>20000</v>
      </c>
      <c r="G10" s="27">
        <v>20000</v>
      </c>
      <c r="H10" s="27">
        <v>20000</v>
      </c>
      <c r="I10" s="27">
        <v>20000</v>
      </c>
      <c r="J10" s="27">
        <v>24000</v>
      </c>
      <c r="K10" s="27">
        <v>24000</v>
      </c>
      <c r="L10" s="27">
        <v>24000</v>
      </c>
      <c r="M10" s="27">
        <v>28000</v>
      </c>
      <c r="N10" s="27">
        <v>29000</v>
      </c>
      <c r="O10" s="27">
        <v>28000</v>
      </c>
      <c r="P10" s="27">
        <v>28000</v>
      </c>
      <c r="Q10" s="27">
        <v>28000</v>
      </c>
      <c r="R10" s="27">
        <v>28000</v>
      </c>
      <c r="S10" s="27">
        <v>34000</v>
      </c>
      <c r="T10" s="27">
        <v>34000</v>
      </c>
      <c r="U10" s="27">
        <v>0</v>
      </c>
      <c r="V10" s="27">
        <v>0</v>
      </c>
      <c r="W10" s="27">
        <v>34000</v>
      </c>
      <c r="X10" s="11">
        <f t="shared" si="0"/>
        <v>20000</v>
      </c>
      <c r="Y10" s="11">
        <f t="shared" si="1"/>
        <v>24000</v>
      </c>
      <c r="Z10" s="11">
        <f t="shared" si="2"/>
        <v>28200</v>
      </c>
      <c r="AA10" s="11">
        <f t="shared" si="3"/>
        <v>34000</v>
      </c>
      <c r="AB10" s="11">
        <f t="shared" si="4"/>
        <v>25722.222222222223</v>
      </c>
    </row>
    <row r="11" spans="1:28" x14ac:dyDescent="0.35">
      <c r="A11" s="3">
        <v>7</v>
      </c>
      <c r="B11" s="3" t="s">
        <v>251</v>
      </c>
      <c r="C11" s="3" t="s">
        <v>304</v>
      </c>
      <c r="D11" s="27">
        <v>24000</v>
      </c>
      <c r="E11" s="27">
        <v>24000</v>
      </c>
      <c r="F11" s="27">
        <v>24000</v>
      </c>
      <c r="G11" s="27">
        <v>15000</v>
      </c>
      <c r="H11" s="27">
        <v>15000</v>
      </c>
      <c r="I11" s="27">
        <v>28000</v>
      </c>
      <c r="J11" s="27">
        <v>30000</v>
      </c>
      <c r="K11" s="27">
        <v>33000</v>
      </c>
      <c r="L11" s="27">
        <v>33000</v>
      </c>
      <c r="M11" s="27">
        <v>33000</v>
      </c>
      <c r="N11" s="27">
        <v>34000</v>
      </c>
      <c r="O11" s="27">
        <v>34000</v>
      </c>
      <c r="P11" s="27">
        <v>34000</v>
      </c>
      <c r="Q11" s="27">
        <v>34000</v>
      </c>
      <c r="R11" s="27">
        <v>37000</v>
      </c>
      <c r="S11" s="27">
        <v>43000</v>
      </c>
      <c r="T11" s="27">
        <v>43000</v>
      </c>
      <c r="U11" s="27">
        <v>0</v>
      </c>
      <c r="V11" s="27">
        <v>0</v>
      </c>
      <c r="W11" s="27">
        <v>43000</v>
      </c>
      <c r="X11" s="11">
        <f t="shared" si="0"/>
        <v>20400</v>
      </c>
      <c r="Y11" s="11">
        <f t="shared" si="1"/>
        <v>31400</v>
      </c>
      <c r="Z11" s="11">
        <f t="shared" si="2"/>
        <v>34600</v>
      </c>
      <c r="AA11" s="11">
        <f t="shared" si="3"/>
        <v>43000</v>
      </c>
      <c r="AB11" s="11">
        <f t="shared" si="4"/>
        <v>31166.666666666668</v>
      </c>
    </row>
    <row r="12" spans="1:28" x14ac:dyDescent="0.35">
      <c r="A12" s="3">
        <v>8</v>
      </c>
      <c r="B12" s="3" t="s">
        <v>256</v>
      </c>
      <c r="C12" s="3" t="s">
        <v>304</v>
      </c>
      <c r="D12" s="27">
        <v>28000</v>
      </c>
      <c r="E12" s="27">
        <v>28000</v>
      </c>
      <c r="F12" s="27">
        <v>28000</v>
      </c>
      <c r="G12" s="27">
        <v>28000</v>
      </c>
      <c r="H12" s="27">
        <v>28000</v>
      </c>
      <c r="I12" s="27">
        <v>28000</v>
      </c>
      <c r="J12" s="27">
        <v>28000</v>
      </c>
      <c r="K12" s="27">
        <v>28000</v>
      </c>
      <c r="L12" s="27">
        <v>28000</v>
      </c>
      <c r="M12" s="27">
        <v>28000</v>
      </c>
      <c r="N12" s="27">
        <v>28000</v>
      </c>
      <c r="O12" s="27">
        <v>28000</v>
      </c>
      <c r="P12" s="27">
        <v>28000</v>
      </c>
      <c r="Q12" s="27">
        <v>28000</v>
      </c>
      <c r="R12" s="27">
        <v>28000</v>
      </c>
      <c r="S12" s="27">
        <v>25000</v>
      </c>
      <c r="T12" s="27">
        <v>25000</v>
      </c>
      <c r="U12" s="27">
        <v>0</v>
      </c>
      <c r="V12" s="27">
        <v>0</v>
      </c>
      <c r="W12" s="27">
        <v>25000</v>
      </c>
      <c r="X12" s="11">
        <f t="shared" si="0"/>
        <v>28000</v>
      </c>
      <c r="Y12" s="11">
        <f t="shared" si="1"/>
        <v>28000</v>
      </c>
      <c r="Z12" s="11">
        <f t="shared" si="2"/>
        <v>28000</v>
      </c>
      <c r="AA12" s="11">
        <f t="shared" si="3"/>
        <v>25000</v>
      </c>
      <c r="AB12" s="11">
        <f t="shared" si="4"/>
        <v>27500</v>
      </c>
    </row>
    <row r="13" spans="1:28" x14ac:dyDescent="0.35">
      <c r="A13" s="3">
        <v>9</v>
      </c>
      <c r="B13" s="3" t="s">
        <v>253</v>
      </c>
      <c r="C13" s="3" t="s">
        <v>304</v>
      </c>
      <c r="D13" s="27">
        <v>16500</v>
      </c>
      <c r="E13" s="27">
        <v>16500</v>
      </c>
      <c r="F13" s="27">
        <v>16500</v>
      </c>
      <c r="G13" s="27">
        <v>16500</v>
      </c>
      <c r="H13" s="27">
        <v>16500</v>
      </c>
      <c r="I13" s="27">
        <v>16500</v>
      </c>
      <c r="J13" s="27">
        <v>16500</v>
      </c>
      <c r="K13" s="27">
        <v>16500</v>
      </c>
      <c r="L13" s="27">
        <v>16500</v>
      </c>
      <c r="M13" s="27">
        <v>16500</v>
      </c>
      <c r="N13" s="27">
        <v>16500</v>
      </c>
      <c r="O13" s="27">
        <v>16500</v>
      </c>
      <c r="P13" s="27">
        <v>16500</v>
      </c>
      <c r="Q13" s="27">
        <v>16500</v>
      </c>
      <c r="R13" s="27">
        <v>16500</v>
      </c>
      <c r="S13" s="27">
        <v>16500</v>
      </c>
      <c r="T13" s="27">
        <v>16500</v>
      </c>
      <c r="U13" s="27">
        <v>0</v>
      </c>
      <c r="V13" s="27">
        <v>0</v>
      </c>
      <c r="W13" s="27">
        <v>16500</v>
      </c>
      <c r="X13" s="11">
        <f t="shared" si="0"/>
        <v>16500</v>
      </c>
      <c r="Y13" s="11">
        <f t="shared" si="1"/>
        <v>16500</v>
      </c>
      <c r="Z13" s="11">
        <f t="shared" si="2"/>
        <v>16500</v>
      </c>
      <c r="AA13" s="11">
        <f t="shared" si="3"/>
        <v>16500</v>
      </c>
      <c r="AB13" s="11">
        <f t="shared" si="4"/>
        <v>16500</v>
      </c>
    </row>
    <row r="14" spans="1:28" x14ac:dyDescent="0.35">
      <c r="A14" s="3">
        <v>10</v>
      </c>
      <c r="B14" s="3" t="s">
        <v>246</v>
      </c>
      <c r="C14" s="3" t="s">
        <v>304</v>
      </c>
      <c r="D14" s="27">
        <v>15750</v>
      </c>
      <c r="E14" s="27">
        <v>15750</v>
      </c>
      <c r="F14" s="27">
        <v>15750</v>
      </c>
      <c r="G14" s="27">
        <v>15750</v>
      </c>
      <c r="H14" s="27">
        <v>15750</v>
      </c>
      <c r="I14" s="27">
        <v>15750</v>
      </c>
      <c r="J14" s="27">
        <v>15750</v>
      </c>
      <c r="K14" s="27">
        <v>15750</v>
      </c>
      <c r="L14" s="27">
        <v>15750</v>
      </c>
      <c r="M14" s="27">
        <v>15750</v>
      </c>
      <c r="N14" s="27">
        <v>15750</v>
      </c>
      <c r="O14" s="27">
        <v>15750</v>
      </c>
      <c r="P14" s="27">
        <v>15750</v>
      </c>
      <c r="Q14" s="27">
        <v>15750</v>
      </c>
      <c r="R14" s="27">
        <v>15750</v>
      </c>
      <c r="S14" s="27">
        <v>15750</v>
      </c>
      <c r="T14" s="27">
        <v>15750</v>
      </c>
      <c r="U14" s="27">
        <v>0</v>
      </c>
      <c r="V14" s="27">
        <v>0</v>
      </c>
      <c r="W14" s="27">
        <v>15750</v>
      </c>
      <c r="X14" s="11">
        <f t="shared" si="0"/>
        <v>15750</v>
      </c>
      <c r="Y14" s="11">
        <f t="shared" si="1"/>
        <v>15750</v>
      </c>
      <c r="Z14" s="11">
        <f t="shared" si="2"/>
        <v>15750</v>
      </c>
      <c r="AA14" s="11">
        <f t="shared" si="3"/>
        <v>15750</v>
      </c>
      <c r="AB14" s="11">
        <f t="shared" si="4"/>
        <v>15750</v>
      </c>
    </row>
    <row r="15" spans="1:28" x14ac:dyDescent="0.35">
      <c r="A15" s="3">
        <v>11</v>
      </c>
      <c r="B15" s="3" t="s">
        <v>247</v>
      </c>
      <c r="C15" s="3" t="s">
        <v>304</v>
      </c>
      <c r="D15" s="27">
        <v>18000</v>
      </c>
      <c r="E15" s="27">
        <v>18000</v>
      </c>
      <c r="F15" s="27">
        <v>18000</v>
      </c>
      <c r="G15" s="27">
        <v>18000</v>
      </c>
      <c r="H15" s="27">
        <v>18000</v>
      </c>
      <c r="I15" s="27">
        <v>18000</v>
      </c>
      <c r="J15" s="27">
        <v>18000</v>
      </c>
      <c r="K15" s="27">
        <v>18000</v>
      </c>
      <c r="L15" s="27">
        <v>18000</v>
      </c>
      <c r="M15" s="27">
        <v>18000</v>
      </c>
      <c r="N15" s="27">
        <v>18000</v>
      </c>
      <c r="O15" s="27">
        <v>18000</v>
      </c>
      <c r="P15" s="27">
        <v>18000</v>
      </c>
      <c r="Q15" s="27">
        <v>18000</v>
      </c>
      <c r="R15" s="27">
        <v>18000</v>
      </c>
      <c r="S15" s="27">
        <v>18000</v>
      </c>
      <c r="T15" s="27">
        <v>18000</v>
      </c>
      <c r="U15" s="27">
        <v>0</v>
      </c>
      <c r="V15" s="27">
        <v>0</v>
      </c>
      <c r="W15" s="27">
        <v>18000</v>
      </c>
      <c r="X15" s="11">
        <f t="shared" si="0"/>
        <v>18000</v>
      </c>
      <c r="Y15" s="11">
        <f t="shared" si="1"/>
        <v>18000</v>
      </c>
      <c r="Z15" s="11">
        <f t="shared" si="2"/>
        <v>18000</v>
      </c>
      <c r="AA15" s="11">
        <f t="shared" si="3"/>
        <v>18000</v>
      </c>
      <c r="AB15" s="11">
        <f t="shared" si="4"/>
        <v>18000</v>
      </c>
    </row>
    <row r="16" spans="1:28" x14ac:dyDescent="0.35">
      <c r="A16" s="3">
        <v>12</v>
      </c>
      <c r="B16" s="3" t="s">
        <v>248</v>
      </c>
      <c r="C16" s="3" t="s">
        <v>304</v>
      </c>
      <c r="D16" s="27">
        <v>15500</v>
      </c>
      <c r="E16" s="27">
        <v>15500</v>
      </c>
      <c r="F16" s="27">
        <v>15500</v>
      </c>
      <c r="G16" s="27">
        <v>15500</v>
      </c>
      <c r="H16" s="27">
        <v>15500</v>
      </c>
      <c r="I16" s="27">
        <v>15500</v>
      </c>
      <c r="J16" s="27">
        <v>15000</v>
      </c>
      <c r="K16" s="27">
        <v>15000</v>
      </c>
      <c r="L16" s="27">
        <v>15000</v>
      </c>
      <c r="M16" s="27">
        <v>15000</v>
      </c>
      <c r="N16" s="27">
        <v>15000</v>
      </c>
      <c r="O16" s="27">
        <v>15000</v>
      </c>
      <c r="P16" s="27">
        <v>15000</v>
      </c>
      <c r="Q16" s="27">
        <v>15000</v>
      </c>
      <c r="R16" s="27">
        <v>15000</v>
      </c>
      <c r="S16" s="27">
        <v>15000</v>
      </c>
      <c r="T16" s="27">
        <v>15000</v>
      </c>
      <c r="U16" s="27">
        <v>0</v>
      </c>
      <c r="V16" s="27">
        <v>0</v>
      </c>
      <c r="W16" s="27">
        <v>15000</v>
      </c>
      <c r="X16" s="11">
        <f t="shared" si="0"/>
        <v>15500</v>
      </c>
      <c r="Y16" s="11">
        <f t="shared" si="1"/>
        <v>15100</v>
      </c>
      <c r="Z16" s="11">
        <f t="shared" si="2"/>
        <v>15000</v>
      </c>
      <c r="AA16" s="11">
        <f t="shared" si="3"/>
        <v>15000</v>
      </c>
      <c r="AB16" s="11">
        <f t="shared" si="4"/>
        <v>15166.666666666666</v>
      </c>
    </row>
    <row r="17" spans="1:28" x14ac:dyDescent="0.35">
      <c r="A17" s="3">
        <v>13</v>
      </c>
      <c r="B17" s="3" t="s">
        <v>243</v>
      </c>
      <c r="C17" s="3" t="s">
        <v>304</v>
      </c>
      <c r="D17" s="27">
        <v>9500</v>
      </c>
      <c r="E17" s="27">
        <v>9500</v>
      </c>
      <c r="F17" s="27">
        <v>9500</v>
      </c>
      <c r="G17" s="27">
        <v>9500</v>
      </c>
      <c r="H17" s="27">
        <v>9500</v>
      </c>
      <c r="I17" s="27">
        <v>9500</v>
      </c>
      <c r="J17" s="27">
        <v>9500</v>
      </c>
      <c r="K17" s="27">
        <v>9500</v>
      </c>
      <c r="L17" s="27">
        <v>9500</v>
      </c>
      <c r="M17" s="27">
        <v>9500</v>
      </c>
      <c r="N17" s="27">
        <v>9500</v>
      </c>
      <c r="O17" s="27">
        <v>9500</v>
      </c>
      <c r="P17" s="27">
        <v>9500</v>
      </c>
      <c r="Q17" s="27">
        <v>9500</v>
      </c>
      <c r="R17" s="27">
        <v>9500</v>
      </c>
      <c r="S17" s="27">
        <v>9500</v>
      </c>
      <c r="T17" s="27">
        <v>9500</v>
      </c>
      <c r="U17" s="27">
        <v>0</v>
      </c>
      <c r="V17" s="27">
        <v>0</v>
      </c>
      <c r="W17" s="27">
        <v>9500</v>
      </c>
      <c r="X17" s="11">
        <f t="shared" si="0"/>
        <v>9500</v>
      </c>
      <c r="Y17" s="11">
        <f t="shared" si="1"/>
        <v>9500</v>
      </c>
      <c r="Z17" s="11">
        <f t="shared" si="2"/>
        <v>9500</v>
      </c>
      <c r="AA17" s="11">
        <f t="shared" si="3"/>
        <v>9500</v>
      </c>
      <c r="AB17" s="11">
        <f t="shared" si="4"/>
        <v>9500</v>
      </c>
    </row>
    <row r="18" spans="1:28" x14ac:dyDescent="0.35">
      <c r="A18" s="3">
        <v>14</v>
      </c>
      <c r="B18" s="3" t="s">
        <v>245</v>
      </c>
      <c r="C18" s="3" t="s">
        <v>304</v>
      </c>
      <c r="D18" s="27">
        <v>32000</v>
      </c>
      <c r="E18" s="27">
        <v>32000</v>
      </c>
      <c r="F18" s="27">
        <v>32000</v>
      </c>
      <c r="G18" s="27">
        <v>32000</v>
      </c>
      <c r="H18" s="27">
        <v>32000</v>
      </c>
      <c r="I18" s="27">
        <v>32000</v>
      </c>
      <c r="J18" s="27">
        <v>32000</v>
      </c>
      <c r="K18" s="27">
        <v>32000</v>
      </c>
      <c r="L18" s="27">
        <v>32000</v>
      </c>
      <c r="M18" s="27">
        <v>32000</v>
      </c>
      <c r="N18" s="27">
        <v>32000</v>
      </c>
      <c r="O18" s="27">
        <v>31000</v>
      </c>
      <c r="P18" s="27">
        <v>31000</v>
      </c>
      <c r="Q18" s="27">
        <v>31000</v>
      </c>
      <c r="R18" s="27">
        <v>31000</v>
      </c>
      <c r="S18" s="27">
        <v>33000</v>
      </c>
      <c r="T18" s="27">
        <v>33000</v>
      </c>
      <c r="U18" s="27">
        <v>0</v>
      </c>
      <c r="V18" s="27">
        <v>0</v>
      </c>
      <c r="W18" s="27">
        <v>33000</v>
      </c>
      <c r="X18" s="11">
        <f t="shared" si="0"/>
        <v>32000</v>
      </c>
      <c r="Y18" s="11">
        <f t="shared" si="1"/>
        <v>32000</v>
      </c>
      <c r="Z18" s="11">
        <f t="shared" si="2"/>
        <v>31200</v>
      </c>
      <c r="AA18" s="11">
        <f t="shared" si="3"/>
        <v>33000</v>
      </c>
      <c r="AB18" s="11">
        <f t="shared" si="4"/>
        <v>31944.444444444445</v>
      </c>
    </row>
    <row r="19" spans="1:28" x14ac:dyDescent="0.35">
      <c r="A19" s="3">
        <v>15</v>
      </c>
      <c r="B19" s="3" t="s">
        <v>252</v>
      </c>
      <c r="C19" s="3" t="s">
        <v>304</v>
      </c>
      <c r="D19" s="27">
        <v>24000</v>
      </c>
      <c r="E19" s="27">
        <v>24000</v>
      </c>
      <c r="F19" s="27">
        <v>24000</v>
      </c>
      <c r="G19" s="27">
        <v>24000</v>
      </c>
      <c r="H19" s="27">
        <v>24000</v>
      </c>
      <c r="I19" s="27">
        <v>24000</v>
      </c>
      <c r="J19" s="27">
        <v>24000</v>
      </c>
      <c r="K19" s="27">
        <v>28500</v>
      </c>
      <c r="L19" s="27">
        <v>28500</v>
      </c>
      <c r="M19" s="27">
        <v>28500</v>
      </c>
      <c r="N19" s="27">
        <v>28500</v>
      </c>
      <c r="O19" s="27">
        <v>28500</v>
      </c>
      <c r="P19" s="27">
        <v>28500</v>
      </c>
      <c r="Q19" s="27">
        <v>28500</v>
      </c>
      <c r="R19" s="27">
        <v>28500</v>
      </c>
      <c r="S19" s="27">
        <v>28500</v>
      </c>
      <c r="T19" s="27">
        <v>28500</v>
      </c>
      <c r="U19" s="27">
        <v>0</v>
      </c>
      <c r="V19" s="27">
        <v>0</v>
      </c>
      <c r="W19" s="27">
        <v>28500</v>
      </c>
      <c r="X19" s="11">
        <f t="shared" si="0"/>
        <v>24000</v>
      </c>
      <c r="Y19" s="11">
        <f t="shared" si="1"/>
        <v>26700</v>
      </c>
      <c r="Z19" s="11">
        <f t="shared" si="2"/>
        <v>28500</v>
      </c>
      <c r="AA19" s="11">
        <f t="shared" si="3"/>
        <v>28500</v>
      </c>
      <c r="AB19" s="11">
        <f t="shared" si="4"/>
        <v>26750</v>
      </c>
    </row>
    <row r="20" spans="1:28" x14ac:dyDescent="0.35">
      <c r="A20" s="3">
        <v>16</v>
      </c>
      <c r="B20" s="3" t="s">
        <v>263</v>
      </c>
      <c r="C20" s="3" t="s">
        <v>304</v>
      </c>
      <c r="D20" s="27">
        <v>103000</v>
      </c>
      <c r="E20" s="27">
        <v>103000</v>
      </c>
      <c r="F20" s="27">
        <v>103000</v>
      </c>
      <c r="G20" s="27">
        <v>103000</v>
      </c>
      <c r="H20" s="27">
        <v>103000</v>
      </c>
      <c r="I20" s="27">
        <v>103000</v>
      </c>
      <c r="J20" s="27">
        <v>103000</v>
      </c>
      <c r="K20" s="27">
        <v>103000</v>
      </c>
      <c r="L20" s="27">
        <v>103000</v>
      </c>
      <c r="M20" s="27">
        <v>103000</v>
      </c>
      <c r="N20" s="27">
        <v>103000</v>
      </c>
      <c r="O20" s="27">
        <v>103000</v>
      </c>
      <c r="P20" s="27">
        <v>103000</v>
      </c>
      <c r="Q20" s="27">
        <v>103000</v>
      </c>
      <c r="R20" s="27">
        <v>103000</v>
      </c>
      <c r="S20" s="27">
        <v>103000</v>
      </c>
      <c r="T20" s="27">
        <v>103000</v>
      </c>
      <c r="U20" s="27">
        <v>0</v>
      </c>
      <c r="V20" s="27">
        <v>0</v>
      </c>
      <c r="W20" s="27">
        <v>103000</v>
      </c>
      <c r="X20" s="11">
        <f t="shared" si="0"/>
        <v>103000</v>
      </c>
      <c r="Y20" s="11">
        <f t="shared" si="1"/>
        <v>103000</v>
      </c>
      <c r="Z20" s="11">
        <f t="shared" si="2"/>
        <v>103000</v>
      </c>
      <c r="AA20" s="11">
        <f t="shared" si="3"/>
        <v>103000</v>
      </c>
      <c r="AB20" s="11">
        <f t="shared" si="4"/>
        <v>103000</v>
      </c>
    </row>
    <row r="21" spans="1:28" x14ac:dyDescent="0.35">
      <c r="A21" s="3">
        <v>17</v>
      </c>
      <c r="B21" s="3" t="s">
        <v>264</v>
      </c>
      <c r="C21" s="3" t="s">
        <v>304</v>
      </c>
      <c r="D21" s="27">
        <v>70000</v>
      </c>
      <c r="E21" s="27">
        <v>70000</v>
      </c>
      <c r="F21" s="27">
        <v>70000</v>
      </c>
      <c r="G21" s="27">
        <v>70000</v>
      </c>
      <c r="H21" s="27">
        <v>70000</v>
      </c>
      <c r="I21" s="27">
        <v>70000</v>
      </c>
      <c r="J21" s="27">
        <v>70000</v>
      </c>
      <c r="K21" s="27">
        <v>70000</v>
      </c>
      <c r="L21" s="27">
        <v>70000</v>
      </c>
      <c r="M21" s="27">
        <v>70000</v>
      </c>
      <c r="N21" s="27">
        <v>70000</v>
      </c>
      <c r="O21" s="27">
        <v>70000</v>
      </c>
      <c r="P21" s="27">
        <v>70000</v>
      </c>
      <c r="Q21" s="27">
        <v>70000</v>
      </c>
      <c r="R21" s="27">
        <v>70000</v>
      </c>
      <c r="S21" s="27">
        <v>70000</v>
      </c>
      <c r="T21" s="27">
        <v>70000</v>
      </c>
      <c r="U21" s="27">
        <v>0</v>
      </c>
      <c r="V21" s="27">
        <v>0</v>
      </c>
      <c r="W21" s="27">
        <v>70000</v>
      </c>
      <c r="X21" s="11">
        <f t="shared" si="0"/>
        <v>70000</v>
      </c>
      <c r="Y21" s="11">
        <f t="shared" si="1"/>
        <v>70000</v>
      </c>
      <c r="Z21" s="11">
        <f t="shared" si="2"/>
        <v>70000</v>
      </c>
      <c r="AA21" s="11">
        <f t="shared" si="3"/>
        <v>70000</v>
      </c>
      <c r="AB21" s="11">
        <f t="shared" si="4"/>
        <v>70000</v>
      </c>
    </row>
    <row r="22" spans="1:28" x14ac:dyDescent="0.35">
      <c r="A22" s="3">
        <v>18</v>
      </c>
      <c r="B22" s="3" t="s">
        <v>265</v>
      </c>
      <c r="C22" s="3" t="s">
        <v>304</v>
      </c>
      <c r="D22" s="27">
        <v>80000</v>
      </c>
      <c r="E22" s="27">
        <v>80000</v>
      </c>
      <c r="F22" s="27">
        <v>80000</v>
      </c>
      <c r="G22" s="27">
        <v>80000</v>
      </c>
      <c r="H22" s="27">
        <v>80000</v>
      </c>
      <c r="I22" s="27">
        <v>80000</v>
      </c>
      <c r="J22" s="27">
        <v>80000</v>
      </c>
      <c r="K22" s="27">
        <v>80000</v>
      </c>
      <c r="L22" s="27">
        <v>80000</v>
      </c>
      <c r="M22" s="27">
        <v>80000</v>
      </c>
      <c r="N22" s="27">
        <v>80000</v>
      </c>
      <c r="O22" s="27">
        <v>80000</v>
      </c>
      <c r="P22" s="27">
        <v>80000</v>
      </c>
      <c r="Q22" s="27">
        <v>80000</v>
      </c>
      <c r="R22" s="27">
        <v>80000</v>
      </c>
      <c r="S22" s="27">
        <v>80000</v>
      </c>
      <c r="T22" s="27">
        <v>80000</v>
      </c>
      <c r="U22" s="27">
        <v>0</v>
      </c>
      <c r="V22" s="27">
        <v>0</v>
      </c>
      <c r="W22" s="27">
        <v>80000</v>
      </c>
      <c r="X22" s="11">
        <f t="shared" si="0"/>
        <v>80000</v>
      </c>
      <c r="Y22" s="11">
        <f t="shared" si="1"/>
        <v>80000</v>
      </c>
      <c r="Z22" s="11">
        <f t="shared" si="2"/>
        <v>80000</v>
      </c>
      <c r="AA22" s="11">
        <f t="shared" si="3"/>
        <v>80000</v>
      </c>
      <c r="AB22" s="11">
        <f t="shared" si="4"/>
        <v>80000</v>
      </c>
    </row>
    <row r="23" spans="1:28" x14ac:dyDescent="0.35">
      <c r="A23" s="3">
        <v>19</v>
      </c>
      <c r="B23" s="3" t="s">
        <v>306</v>
      </c>
      <c r="C23" s="3" t="s">
        <v>304</v>
      </c>
      <c r="D23" s="27">
        <v>32000</v>
      </c>
      <c r="E23" s="27">
        <v>32000</v>
      </c>
      <c r="F23" s="27">
        <v>32000</v>
      </c>
      <c r="G23" s="27">
        <v>32000</v>
      </c>
      <c r="H23" s="27">
        <v>32000</v>
      </c>
      <c r="I23" s="27">
        <v>32000</v>
      </c>
      <c r="J23" s="27">
        <v>32000</v>
      </c>
      <c r="K23" s="27">
        <v>32000</v>
      </c>
      <c r="L23" s="27">
        <v>32000</v>
      </c>
      <c r="M23" s="27">
        <v>32000</v>
      </c>
      <c r="N23" s="27">
        <v>32000</v>
      </c>
      <c r="O23" s="27">
        <v>32000</v>
      </c>
      <c r="P23" s="27">
        <v>32000</v>
      </c>
      <c r="Q23" s="27">
        <v>32000</v>
      </c>
      <c r="R23" s="27">
        <v>32000</v>
      </c>
      <c r="S23" s="27">
        <v>32000</v>
      </c>
      <c r="T23" s="27">
        <v>32000</v>
      </c>
      <c r="U23" s="27">
        <v>0</v>
      </c>
      <c r="V23" s="27">
        <v>0</v>
      </c>
      <c r="W23" s="27">
        <v>32000</v>
      </c>
      <c r="X23" s="11">
        <f t="shared" si="0"/>
        <v>32000</v>
      </c>
      <c r="Y23" s="11">
        <f t="shared" si="1"/>
        <v>32000</v>
      </c>
      <c r="Z23" s="11">
        <f t="shared" si="2"/>
        <v>32000</v>
      </c>
      <c r="AA23" s="11">
        <f t="shared" si="3"/>
        <v>32000</v>
      </c>
      <c r="AB23" s="11">
        <f t="shared" si="4"/>
        <v>32000</v>
      </c>
    </row>
    <row r="24" spans="1:28" x14ac:dyDescent="0.35">
      <c r="A24" s="3">
        <v>20</v>
      </c>
      <c r="B24" s="3" t="s">
        <v>254</v>
      </c>
      <c r="C24" s="3" t="s">
        <v>304</v>
      </c>
      <c r="D24" s="27">
        <v>35000</v>
      </c>
      <c r="E24" s="27">
        <v>35000</v>
      </c>
      <c r="F24" s="27">
        <v>35000</v>
      </c>
      <c r="G24" s="27">
        <v>35000</v>
      </c>
      <c r="H24" s="27">
        <v>35000</v>
      </c>
      <c r="I24" s="27">
        <v>35000</v>
      </c>
      <c r="J24" s="27">
        <v>35000</v>
      </c>
      <c r="K24" s="27">
        <v>35000</v>
      </c>
      <c r="L24" s="27">
        <v>35000</v>
      </c>
      <c r="M24" s="27">
        <v>35000</v>
      </c>
      <c r="N24" s="27">
        <v>35000</v>
      </c>
      <c r="O24" s="27">
        <v>35000</v>
      </c>
      <c r="P24" s="27">
        <v>35000</v>
      </c>
      <c r="Q24" s="27">
        <v>35000</v>
      </c>
      <c r="R24" s="27">
        <v>35000</v>
      </c>
      <c r="S24" s="27">
        <v>35000</v>
      </c>
      <c r="T24" s="27">
        <v>35000</v>
      </c>
      <c r="U24" s="27">
        <v>0</v>
      </c>
      <c r="V24" s="27">
        <v>0</v>
      </c>
      <c r="W24" s="27">
        <v>35000</v>
      </c>
      <c r="X24" s="11">
        <f t="shared" si="0"/>
        <v>35000</v>
      </c>
      <c r="Y24" s="11">
        <f t="shared" si="1"/>
        <v>35000</v>
      </c>
      <c r="Z24" s="11">
        <f t="shared" si="2"/>
        <v>35000</v>
      </c>
      <c r="AA24" s="11">
        <f t="shared" si="3"/>
        <v>35000</v>
      </c>
      <c r="AB24" s="11">
        <f t="shared" si="4"/>
        <v>35000</v>
      </c>
    </row>
    <row r="25" spans="1:28" x14ac:dyDescent="0.35">
      <c r="A25" s="3">
        <v>21</v>
      </c>
      <c r="B25" s="3" t="s">
        <v>307</v>
      </c>
      <c r="C25" s="3" t="s">
        <v>304</v>
      </c>
      <c r="D25" s="27">
        <v>75000</v>
      </c>
      <c r="E25" s="27">
        <v>75000</v>
      </c>
      <c r="F25" s="27">
        <v>75000</v>
      </c>
      <c r="G25" s="27">
        <v>75000</v>
      </c>
      <c r="H25" s="27">
        <v>75000</v>
      </c>
      <c r="I25" s="27">
        <v>75000</v>
      </c>
      <c r="J25" s="27">
        <v>75000</v>
      </c>
      <c r="K25" s="27">
        <v>75000</v>
      </c>
      <c r="L25" s="27">
        <v>75000</v>
      </c>
      <c r="M25" s="27">
        <v>75000</v>
      </c>
      <c r="N25" s="27">
        <v>75000</v>
      </c>
      <c r="O25" s="27">
        <v>75000</v>
      </c>
      <c r="P25" s="27">
        <v>75000</v>
      </c>
      <c r="Q25" s="27">
        <v>75000</v>
      </c>
      <c r="R25" s="27">
        <v>75000</v>
      </c>
      <c r="S25" s="27">
        <v>75000</v>
      </c>
      <c r="T25" s="27">
        <v>75000</v>
      </c>
      <c r="U25" s="27">
        <v>0</v>
      </c>
      <c r="V25" s="27">
        <v>0</v>
      </c>
      <c r="W25" s="27">
        <v>75000</v>
      </c>
      <c r="X25" s="11">
        <f t="shared" si="0"/>
        <v>75000</v>
      </c>
      <c r="Y25" s="11">
        <f t="shared" si="1"/>
        <v>75000</v>
      </c>
      <c r="Z25" s="11">
        <f t="shared" si="2"/>
        <v>75000</v>
      </c>
      <c r="AA25" s="11">
        <f t="shared" si="3"/>
        <v>75000</v>
      </c>
      <c r="AB25" s="11">
        <f t="shared" si="4"/>
        <v>75000</v>
      </c>
    </row>
    <row r="26" spans="1:28" x14ac:dyDescent="0.35">
      <c r="A26" s="3">
        <v>22</v>
      </c>
      <c r="B26" s="3" t="s">
        <v>259</v>
      </c>
      <c r="C26" s="3" t="s">
        <v>304</v>
      </c>
      <c r="D26" s="27">
        <v>2800</v>
      </c>
      <c r="E26" s="27">
        <v>2800</v>
      </c>
      <c r="F26" s="27">
        <v>2800</v>
      </c>
      <c r="G26" s="27">
        <v>2800</v>
      </c>
      <c r="H26" s="27">
        <v>2800</v>
      </c>
      <c r="I26" s="27">
        <v>2800</v>
      </c>
      <c r="J26" s="27">
        <v>2800</v>
      </c>
      <c r="K26" s="27">
        <v>2800</v>
      </c>
      <c r="L26" s="27">
        <v>2800</v>
      </c>
      <c r="M26" s="27">
        <v>2800</v>
      </c>
      <c r="N26" s="27">
        <v>2800</v>
      </c>
      <c r="O26" s="27">
        <v>2800</v>
      </c>
      <c r="P26" s="27">
        <v>2800</v>
      </c>
      <c r="Q26" s="27">
        <v>2800</v>
      </c>
      <c r="R26" s="27">
        <v>2800</v>
      </c>
      <c r="S26" s="27">
        <v>2800</v>
      </c>
      <c r="T26" s="27">
        <v>2800</v>
      </c>
      <c r="U26" s="27">
        <v>0</v>
      </c>
      <c r="V26" s="27">
        <v>0</v>
      </c>
      <c r="W26" s="27">
        <v>2800</v>
      </c>
      <c r="X26" s="11">
        <f t="shared" si="0"/>
        <v>2800</v>
      </c>
      <c r="Y26" s="11">
        <f t="shared" si="1"/>
        <v>2800</v>
      </c>
      <c r="Z26" s="11">
        <f t="shared" si="2"/>
        <v>2800</v>
      </c>
      <c r="AA26" s="11">
        <f t="shared" si="3"/>
        <v>2800</v>
      </c>
      <c r="AB26" s="11">
        <f t="shared" si="4"/>
        <v>2800</v>
      </c>
    </row>
    <row r="27" spans="1:28" x14ac:dyDescent="0.35">
      <c r="A27" s="3">
        <v>23</v>
      </c>
      <c r="B27" s="3" t="s">
        <v>257</v>
      </c>
      <c r="C27" s="3" t="s">
        <v>304</v>
      </c>
      <c r="D27" s="27">
        <v>35000</v>
      </c>
      <c r="E27" s="27">
        <v>35000</v>
      </c>
      <c r="F27" s="27">
        <v>35000</v>
      </c>
      <c r="G27" s="27">
        <v>36000</v>
      </c>
      <c r="H27" s="27">
        <v>36000</v>
      </c>
      <c r="I27" s="27">
        <v>36000</v>
      </c>
      <c r="J27" s="27">
        <v>36000</v>
      </c>
      <c r="K27" s="27">
        <v>36000</v>
      </c>
      <c r="L27" s="27">
        <v>36000</v>
      </c>
      <c r="M27" s="27">
        <v>36000</v>
      </c>
      <c r="N27" s="27">
        <v>36000</v>
      </c>
      <c r="O27" s="27">
        <v>35000</v>
      </c>
      <c r="P27" s="27">
        <v>35000</v>
      </c>
      <c r="Q27" s="27">
        <v>35000</v>
      </c>
      <c r="R27" s="27">
        <v>35000</v>
      </c>
      <c r="S27" s="27">
        <v>35000</v>
      </c>
      <c r="T27" s="27">
        <v>35000</v>
      </c>
      <c r="U27" s="27">
        <v>0</v>
      </c>
      <c r="V27" s="27">
        <v>0</v>
      </c>
      <c r="W27" s="27">
        <v>35000</v>
      </c>
      <c r="X27" s="11">
        <f t="shared" si="0"/>
        <v>35400</v>
      </c>
      <c r="Y27" s="11">
        <f t="shared" si="1"/>
        <v>36000</v>
      </c>
      <c r="Z27" s="11">
        <f t="shared" si="2"/>
        <v>35200</v>
      </c>
      <c r="AA27" s="11">
        <f t="shared" si="3"/>
        <v>35000</v>
      </c>
      <c r="AB27" s="11">
        <f t="shared" si="4"/>
        <v>35444.444444444445</v>
      </c>
    </row>
    <row r="28" spans="1:28" x14ac:dyDescent="0.35">
      <c r="A28" s="3">
        <v>24</v>
      </c>
      <c r="B28" s="3" t="s">
        <v>258</v>
      </c>
      <c r="C28" s="3" t="s">
        <v>304</v>
      </c>
      <c r="D28" s="27">
        <v>40000</v>
      </c>
      <c r="E28" s="27">
        <v>40000</v>
      </c>
      <c r="F28" s="27">
        <v>40000</v>
      </c>
      <c r="G28" s="27">
        <v>36000</v>
      </c>
      <c r="H28" s="27">
        <v>37000</v>
      </c>
      <c r="I28" s="27">
        <v>38000</v>
      </c>
      <c r="J28" s="27">
        <v>38000</v>
      </c>
      <c r="K28" s="27">
        <v>38000</v>
      </c>
      <c r="L28" s="27">
        <v>38000</v>
      </c>
      <c r="M28" s="27">
        <v>38000</v>
      </c>
      <c r="N28" s="27">
        <v>38000</v>
      </c>
      <c r="O28" s="27">
        <v>38000</v>
      </c>
      <c r="P28" s="27">
        <v>38000</v>
      </c>
      <c r="Q28" s="27">
        <v>38000</v>
      </c>
      <c r="R28" s="27">
        <v>38000</v>
      </c>
      <c r="S28" s="27">
        <v>38000</v>
      </c>
      <c r="T28" s="27">
        <v>38000</v>
      </c>
      <c r="U28" s="27">
        <v>0</v>
      </c>
      <c r="V28" s="27">
        <v>0</v>
      </c>
      <c r="W28" s="27">
        <v>38000</v>
      </c>
      <c r="X28" s="11">
        <f t="shared" si="0"/>
        <v>38600</v>
      </c>
      <c r="Y28" s="11">
        <f t="shared" si="1"/>
        <v>38000</v>
      </c>
      <c r="Z28" s="11">
        <f t="shared" si="2"/>
        <v>38000</v>
      </c>
      <c r="AA28" s="11">
        <f t="shared" si="3"/>
        <v>38000</v>
      </c>
      <c r="AB28" s="11">
        <f t="shared" si="4"/>
        <v>38166.666666666664</v>
      </c>
    </row>
    <row r="29" spans="1:28" x14ac:dyDescent="0.35">
      <c r="A29" s="3">
        <v>25</v>
      </c>
      <c r="B29" s="3" t="s">
        <v>308</v>
      </c>
      <c r="C29" s="3" t="s">
        <v>304</v>
      </c>
      <c r="D29" s="27">
        <v>27000</v>
      </c>
      <c r="E29" s="27">
        <v>27000</v>
      </c>
      <c r="F29" s="27">
        <v>27000</v>
      </c>
      <c r="G29" s="27">
        <v>27000</v>
      </c>
      <c r="H29" s="27">
        <v>27000</v>
      </c>
      <c r="I29" s="27">
        <v>27000</v>
      </c>
      <c r="J29" s="27">
        <v>27000</v>
      </c>
      <c r="K29" s="27">
        <v>27000</v>
      </c>
      <c r="L29" s="27">
        <v>27000</v>
      </c>
      <c r="M29" s="27">
        <v>27000</v>
      </c>
      <c r="N29" s="27">
        <v>27000</v>
      </c>
      <c r="O29" s="27">
        <v>27000</v>
      </c>
      <c r="P29" s="27">
        <v>27000</v>
      </c>
      <c r="Q29" s="27">
        <v>27000</v>
      </c>
      <c r="R29" s="27">
        <v>27000</v>
      </c>
      <c r="S29" s="27">
        <v>27000</v>
      </c>
      <c r="T29" s="27">
        <v>27000</v>
      </c>
      <c r="U29" s="27">
        <v>0</v>
      </c>
      <c r="V29" s="27">
        <v>0</v>
      </c>
      <c r="W29" s="27">
        <v>27000</v>
      </c>
      <c r="X29" s="11">
        <f t="shared" si="0"/>
        <v>27000</v>
      </c>
      <c r="Y29" s="11">
        <f t="shared" si="1"/>
        <v>27000</v>
      </c>
      <c r="Z29" s="11">
        <f t="shared" si="2"/>
        <v>27000</v>
      </c>
      <c r="AA29" s="11">
        <f t="shared" si="3"/>
        <v>27000</v>
      </c>
      <c r="AB29" s="11">
        <f t="shared" si="4"/>
        <v>27000</v>
      </c>
    </row>
    <row r="30" spans="1:28" x14ac:dyDescent="0.35">
      <c r="A30" s="3">
        <v>26</v>
      </c>
      <c r="B30" s="3" t="s">
        <v>309</v>
      </c>
      <c r="C30" s="3" t="s">
        <v>304</v>
      </c>
      <c r="D30" s="27">
        <v>8000</v>
      </c>
      <c r="E30" s="27">
        <v>8000</v>
      </c>
      <c r="F30" s="27">
        <v>8000</v>
      </c>
      <c r="G30" s="27">
        <v>8000</v>
      </c>
      <c r="H30" s="27">
        <v>8000</v>
      </c>
      <c r="I30" s="27">
        <v>8000</v>
      </c>
      <c r="J30" s="27">
        <v>8000</v>
      </c>
      <c r="K30" s="27">
        <v>8000</v>
      </c>
      <c r="L30" s="27">
        <v>8000</v>
      </c>
      <c r="M30" s="27">
        <v>8000</v>
      </c>
      <c r="N30" s="27">
        <v>8000</v>
      </c>
      <c r="O30" s="27">
        <v>8000</v>
      </c>
      <c r="P30" s="27">
        <v>8000</v>
      </c>
      <c r="Q30" s="27">
        <v>8000</v>
      </c>
      <c r="R30" s="27">
        <v>8000</v>
      </c>
      <c r="S30" s="27">
        <v>8000</v>
      </c>
      <c r="T30" s="27">
        <v>8000</v>
      </c>
      <c r="U30" s="27">
        <v>0</v>
      </c>
      <c r="V30" s="27">
        <v>0</v>
      </c>
      <c r="W30" s="27">
        <v>8000</v>
      </c>
      <c r="X30" s="11">
        <f t="shared" si="0"/>
        <v>8000</v>
      </c>
      <c r="Y30" s="11">
        <f t="shared" si="1"/>
        <v>8000</v>
      </c>
      <c r="Z30" s="11">
        <f t="shared" si="2"/>
        <v>8000</v>
      </c>
      <c r="AA30" s="11">
        <f t="shared" si="3"/>
        <v>8000</v>
      </c>
      <c r="AB30" s="11">
        <f t="shared" si="4"/>
        <v>8000</v>
      </c>
    </row>
    <row r="31" spans="1:28" x14ac:dyDescent="0.35">
      <c r="A31" s="3">
        <v>27</v>
      </c>
      <c r="B31" s="3" t="s">
        <v>260</v>
      </c>
      <c r="C31" s="3" t="s">
        <v>304</v>
      </c>
      <c r="D31" s="27">
        <v>10500</v>
      </c>
      <c r="E31" s="27">
        <v>10500</v>
      </c>
      <c r="F31" s="27">
        <v>10500</v>
      </c>
      <c r="G31" s="27">
        <v>10500</v>
      </c>
      <c r="H31" s="27">
        <v>10500</v>
      </c>
      <c r="I31" s="27">
        <v>10500</v>
      </c>
      <c r="J31" s="27">
        <v>10500</v>
      </c>
      <c r="K31" s="27">
        <v>10500</v>
      </c>
      <c r="L31" s="27">
        <v>10500</v>
      </c>
      <c r="M31" s="27">
        <v>10500</v>
      </c>
      <c r="N31" s="27">
        <v>10500</v>
      </c>
      <c r="O31" s="27">
        <v>10500</v>
      </c>
      <c r="P31" s="27">
        <v>10500</v>
      </c>
      <c r="Q31" s="27">
        <v>10500</v>
      </c>
      <c r="R31" s="27">
        <v>10500</v>
      </c>
      <c r="S31" s="27">
        <v>10500</v>
      </c>
      <c r="T31" s="27">
        <v>10500</v>
      </c>
      <c r="U31" s="27">
        <v>0</v>
      </c>
      <c r="V31" s="27">
        <v>0</v>
      </c>
      <c r="W31" s="27">
        <v>10500</v>
      </c>
      <c r="X31" s="11">
        <f t="shared" si="0"/>
        <v>10500</v>
      </c>
      <c r="Y31" s="11">
        <f t="shared" si="1"/>
        <v>10500</v>
      </c>
      <c r="Z31" s="11">
        <f t="shared" si="2"/>
        <v>10500</v>
      </c>
      <c r="AA31" s="11">
        <f t="shared" si="3"/>
        <v>10500</v>
      </c>
      <c r="AB31" s="11">
        <f t="shared" si="4"/>
        <v>10500</v>
      </c>
    </row>
    <row r="32" spans="1:28" x14ac:dyDescent="0.35">
      <c r="A32" s="3">
        <v>28</v>
      </c>
      <c r="B32" s="3" t="s">
        <v>255</v>
      </c>
      <c r="C32" s="3" t="s">
        <v>304</v>
      </c>
      <c r="D32" s="27">
        <v>42000</v>
      </c>
      <c r="E32" s="27">
        <v>42000</v>
      </c>
      <c r="F32" s="27">
        <v>42000</v>
      </c>
      <c r="G32" s="27">
        <v>42000</v>
      </c>
      <c r="H32" s="27">
        <v>42000</v>
      </c>
      <c r="I32" s="27">
        <v>42000</v>
      </c>
      <c r="J32" s="27">
        <v>42000</v>
      </c>
      <c r="K32" s="27">
        <v>42000</v>
      </c>
      <c r="L32" s="27">
        <v>42000</v>
      </c>
      <c r="M32" s="27">
        <v>42000</v>
      </c>
      <c r="N32" s="27">
        <v>42000</v>
      </c>
      <c r="O32" s="27">
        <v>42000</v>
      </c>
      <c r="P32" s="27">
        <v>42000</v>
      </c>
      <c r="Q32" s="27">
        <v>42000</v>
      </c>
      <c r="R32" s="27">
        <v>42000</v>
      </c>
      <c r="S32" s="27">
        <v>42000</v>
      </c>
      <c r="T32" s="27">
        <v>42000</v>
      </c>
      <c r="U32" s="27">
        <v>0</v>
      </c>
      <c r="V32" s="27">
        <v>0</v>
      </c>
      <c r="W32" s="27">
        <v>42000</v>
      </c>
      <c r="X32" s="11">
        <f t="shared" si="0"/>
        <v>42000</v>
      </c>
      <c r="Y32" s="11">
        <f t="shared" si="1"/>
        <v>42000</v>
      </c>
      <c r="Z32" s="11">
        <f t="shared" si="2"/>
        <v>42000</v>
      </c>
      <c r="AA32" s="11">
        <f t="shared" si="3"/>
        <v>42000</v>
      </c>
      <c r="AB32" s="11">
        <f t="shared" si="4"/>
        <v>42000</v>
      </c>
    </row>
    <row r="33" spans="1:28" x14ac:dyDescent="0.35">
      <c r="A33" s="3">
        <v>29</v>
      </c>
      <c r="B33" s="3" t="s">
        <v>266</v>
      </c>
      <c r="C33" s="3" t="s">
        <v>304</v>
      </c>
      <c r="D33" s="27">
        <v>9000</v>
      </c>
      <c r="E33" s="27">
        <v>9000</v>
      </c>
      <c r="F33" s="27">
        <v>9000</v>
      </c>
      <c r="G33" s="27">
        <v>9000</v>
      </c>
      <c r="H33" s="27">
        <v>9000</v>
      </c>
      <c r="I33" s="27">
        <v>9000</v>
      </c>
      <c r="J33" s="27">
        <v>9000</v>
      </c>
      <c r="K33" s="27">
        <v>9000</v>
      </c>
      <c r="L33" s="27">
        <v>9000</v>
      </c>
      <c r="M33" s="27">
        <v>9000</v>
      </c>
      <c r="N33" s="27">
        <v>9000</v>
      </c>
      <c r="O33" s="27">
        <v>9000</v>
      </c>
      <c r="P33" s="27">
        <v>9000</v>
      </c>
      <c r="Q33" s="27">
        <v>9000</v>
      </c>
      <c r="R33" s="27">
        <v>9000</v>
      </c>
      <c r="S33" s="27">
        <v>9000</v>
      </c>
      <c r="T33" s="27">
        <v>9000</v>
      </c>
      <c r="U33" s="27">
        <v>0</v>
      </c>
      <c r="V33" s="27">
        <v>0</v>
      </c>
      <c r="W33" s="27">
        <v>9000</v>
      </c>
      <c r="X33" s="11">
        <f t="shared" si="0"/>
        <v>9000</v>
      </c>
      <c r="Y33" s="11">
        <f t="shared" si="1"/>
        <v>9000</v>
      </c>
      <c r="Z33" s="11">
        <f t="shared" si="2"/>
        <v>9000</v>
      </c>
      <c r="AA33" s="11">
        <f t="shared" si="3"/>
        <v>9000</v>
      </c>
      <c r="AB33" s="11">
        <f t="shared" si="4"/>
        <v>9000</v>
      </c>
    </row>
    <row r="34" spans="1:28" x14ac:dyDescent="0.35">
      <c r="A34" s="3">
        <v>30</v>
      </c>
      <c r="B34" s="3" t="s">
        <v>244</v>
      </c>
      <c r="C34" s="3" t="s">
        <v>304</v>
      </c>
      <c r="D34" s="27">
        <v>4750</v>
      </c>
      <c r="E34" s="27">
        <v>4750</v>
      </c>
      <c r="F34" s="27">
        <v>4750</v>
      </c>
      <c r="G34" s="27">
        <v>4750</v>
      </c>
      <c r="H34" s="27">
        <v>4750</v>
      </c>
      <c r="I34" s="27">
        <v>4750</v>
      </c>
      <c r="J34" s="27">
        <v>4750</v>
      </c>
      <c r="K34" s="27">
        <v>4750</v>
      </c>
      <c r="L34" s="27">
        <v>4750</v>
      </c>
      <c r="M34" s="27">
        <v>4750</v>
      </c>
      <c r="N34" s="27">
        <v>4750</v>
      </c>
      <c r="O34" s="27">
        <v>4750</v>
      </c>
      <c r="P34" s="27">
        <v>4750</v>
      </c>
      <c r="Q34" s="27">
        <v>4750</v>
      </c>
      <c r="R34" s="27">
        <v>4750</v>
      </c>
      <c r="S34" s="27">
        <v>4750</v>
      </c>
      <c r="T34" s="27">
        <v>4750</v>
      </c>
      <c r="U34" s="27">
        <v>0</v>
      </c>
      <c r="V34" s="27">
        <v>0</v>
      </c>
      <c r="W34" s="27">
        <v>4750</v>
      </c>
      <c r="X34" s="11">
        <f t="shared" si="0"/>
        <v>4750</v>
      </c>
      <c r="Y34" s="11">
        <f t="shared" si="1"/>
        <v>4750</v>
      </c>
      <c r="Z34" s="11">
        <f t="shared" si="2"/>
        <v>4750</v>
      </c>
      <c r="AA34" s="11">
        <f t="shared" si="3"/>
        <v>4750</v>
      </c>
      <c r="AB34" s="11">
        <f t="shared" si="4"/>
        <v>4750</v>
      </c>
    </row>
    <row r="35" spans="1:28" x14ac:dyDescent="0.35">
      <c r="A35" s="3">
        <v>31</v>
      </c>
      <c r="B35" s="3" t="s">
        <v>249</v>
      </c>
      <c r="C35" s="3" t="s">
        <v>304</v>
      </c>
      <c r="D35" s="27">
        <v>68000</v>
      </c>
      <c r="E35" s="27">
        <v>68000</v>
      </c>
      <c r="F35" s="27">
        <v>68000</v>
      </c>
      <c r="G35" s="27">
        <v>68000</v>
      </c>
      <c r="H35" s="27">
        <v>68000</v>
      </c>
      <c r="I35" s="27">
        <v>68000</v>
      </c>
      <c r="J35" s="27">
        <v>68000</v>
      </c>
      <c r="K35" s="27">
        <v>68000</v>
      </c>
      <c r="L35" s="27">
        <v>68000</v>
      </c>
      <c r="M35" s="27">
        <v>68000</v>
      </c>
      <c r="N35" s="27">
        <v>68000</v>
      </c>
      <c r="O35" s="27">
        <v>68000</v>
      </c>
      <c r="P35" s="27">
        <v>68000</v>
      </c>
      <c r="Q35" s="27">
        <v>68000</v>
      </c>
      <c r="R35" s="27">
        <v>68000</v>
      </c>
      <c r="S35" s="27">
        <v>68000</v>
      </c>
      <c r="T35" s="27">
        <v>68000</v>
      </c>
      <c r="U35" s="27">
        <v>0</v>
      </c>
      <c r="V35" s="27">
        <v>0</v>
      </c>
      <c r="W35" s="27">
        <v>68000</v>
      </c>
      <c r="X35" s="11">
        <f t="shared" si="0"/>
        <v>68000</v>
      </c>
      <c r="Y35" s="11">
        <f t="shared" si="1"/>
        <v>68000</v>
      </c>
      <c r="Z35" s="11">
        <f t="shared" si="2"/>
        <v>68000</v>
      </c>
      <c r="AA35" s="11">
        <f t="shared" si="3"/>
        <v>68000</v>
      </c>
      <c r="AB35" s="11">
        <f t="shared" si="4"/>
        <v>68000</v>
      </c>
    </row>
    <row r="36" spans="1:28" x14ac:dyDescent="0.35">
      <c r="A36" s="3">
        <v>32</v>
      </c>
      <c r="B36" s="3" t="s">
        <v>250</v>
      </c>
      <c r="C36" s="3" t="s">
        <v>304</v>
      </c>
      <c r="D36" s="27">
        <v>13000</v>
      </c>
      <c r="E36" s="27">
        <v>13000</v>
      </c>
      <c r="F36" s="27">
        <v>13000</v>
      </c>
      <c r="G36" s="27">
        <v>13000</v>
      </c>
      <c r="H36" s="27">
        <v>13000</v>
      </c>
      <c r="I36" s="27">
        <v>13000</v>
      </c>
      <c r="J36" s="27">
        <v>13000</v>
      </c>
      <c r="K36" s="27">
        <v>13000</v>
      </c>
      <c r="L36" s="27">
        <v>13000</v>
      </c>
      <c r="M36" s="27">
        <v>13000</v>
      </c>
      <c r="N36" s="27">
        <v>13000</v>
      </c>
      <c r="O36" s="27">
        <v>13000</v>
      </c>
      <c r="P36" s="27">
        <v>13000</v>
      </c>
      <c r="Q36" s="27">
        <v>13000</v>
      </c>
      <c r="R36" s="27">
        <v>13000</v>
      </c>
      <c r="S36" s="27">
        <v>13000</v>
      </c>
      <c r="T36" s="27">
        <v>13000</v>
      </c>
      <c r="U36" s="27">
        <v>0</v>
      </c>
      <c r="V36" s="27">
        <v>0</v>
      </c>
      <c r="W36" s="27">
        <v>13000</v>
      </c>
      <c r="X36" s="11">
        <f t="shared" si="0"/>
        <v>13000</v>
      </c>
      <c r="Y36" s="11">
        <f t="shared" si="1"/>
        <v>13000</v>
      </c>
      <c r="Z36" s="11">
        <f t="shared" si="2"/>
        <v>13000</v>
      </c>
      <c r="AA36" s="11">
        <f t="shared" si="3"/>
        <v>13000</v>
      </c>
      <c r="AB36" s="11">
        <f t="shared" si="4"/>
        <v>13000</v>
      </c>
    </row>
    <row r="37" spans="1:28" x14ac:dyDescent="0.35">
      <c r="A37" s="3">
        <v>33</v>
      </c>
      <c r="B37" s="3" t="s">
        <v>267</v>
      </c>
      <c r="C37" s="3" t="s">
        <v>304</v>
      </c>
      <c r="D37" s="27">
        <v>9000</v>
      </c>
      <c r="E37" s="27">
        <v>9000</v>
      </c>
      <c r="F37" s="27">
        <v>9000</v>
      </c>
      <c r="G37" s="27">
        <v>9000</v>
      </c>
      <c r="H37" s="27">
        <v>9000</v>
      </c>
      <c r="I37" s="27">
        <v>9000</v>
      </c>
      <c r="J37" s="27">
        <v>9000</v>
      </c>
      <c r="K37" s="27">
        <v>9000</v>
      </c>
      <c r="L37" s="27">
        <v>9000</v>
      </c>
      <c r="M37" s="27">
        <v>9000</v>
      </c>
      <c r="N37" s="27">
        <v>9000</v>
      </c>
      <c r="O37" s="27">
        <v>9000</v>
      </c>
      <c r="P37" s="27">
        <v>9000</v>
      </c>
      <c r="Q37" s="27">
        <v>9000</v>
      </c>
      <c r="R37" s="27">
        <v>9000</v>
      </c>
      <c r="S37" s="27">
        <v>9000</v>
      </c>
      <c r="T37" s="27">
        <v>9000</v>
      </c>
      <c r="U37" s="27">
        <v>0</v>
      </c>
      <c r="V37" s="27">
        <v>0</v>
      </c>
      <c r="W37" s="27">
        <v>9000</v>
      </c>
      <c r="X37" s="11">
        <f t="shared" si="0"/>
        <v>9000</v>
      </c>
      <c r="Y37" s="11">
        <f t="shared" si="1"/>
        <v>9000</v>
      </c>
      <c r="Z37" s="11">
        <f t="shared" si="2"/>
        <v>9000</v>
      </c>
      <c r="AA37" s="11">
        <f t="shared" si="3"/>
        <v>9000</v>
      </c>
      <c r="AB37" s="11">
        <f t="shared" si="4"/>
        <v>9000</v>
      </c>
    </row>
    <row r="38" spans="1:28" x14ac:dyDescent="0.35">
      <c r="A38" s="3">
        <v>34</v>
      </c>
      <c r="B38" s="3" t="s">
        <v>310</v>
      </c>
      <c r="C38" s="3" t="s">
        <v>304</v>
      </c>
      <c r="D38" s="27">
        <v>6000</v>
      </c>
      <c r="E38" s="27">
        <v>6000</v>
      </c>
      <c r="F38" s="27">
        <v>6000</v>
      </c>
      <c r="G38" s="27">
        <v>6000</v>
      </c>
      <c r="H38" s="27">
        <v>6000</v>
      </c>
      <c r="I38" s="27">
        <v>6000</v>
      </c>
      <c r="J38" s="27">
        <v>6000</v>
      </c>
      <c r="K38" s="27">
        <v>6000</v>
      </c>
      <c r="L38" s="27">
        <v>6000</v>
      </c>
      <c r="M38" s="27">
        <v>6000</v>
      </c>
      <c r="N38" s="27">
        <v>6000</v>
      </c>
      <c r="O38" s="27">
        <v>6000</v>
      </c>
      <c r="P38" s="27">
        <v>6000</v>
      </c>
      <c r="Q38" s="27">
        <v>6000</v>
      </c>
      <c r="R38" s="27">
        <v>6000</v>
      </c>
      <c r="S38" s="27">
        <v>6000</v>
      </c>
      <c r="T38" s="27">
        <v>6000</v>
      </c>
      <c r="U38" s="27">
        <v>0</v>
      </c>
      <c r="V38" s="27">
        <v>0</v>
      </c>
      <c r="W38" s="27">
        <v>6000</v>
      </c>
      <c r="X38" s="11">
        <f t="shared" si="0"/>
        <v>6000</v>
      </c>
      <c r="Y38" s="11">
        <f t="shared" si="1"/>
        <v>6000</v>
      </c>
      <c r="Z38" s="11">
        <f t="shared" si="2"/>
        <v>6000</v>
      </c>
      <c r="AA38" s="11">
        <f t="shared" si="3"/>
        <v>6000</v>
      </c>
      <c r="AB38" s="11">
        <f t="shared" si="4"/>
        <v>6000</v>
      </c>
    </row>
    <row r="39" spans="1:28" x14ac:dyDescent="0.35">
      <c r="A39" s="3">
        <v>35</v>
      </c>
      <c r="B39" s="3" t="s">
        <v>311</v>
      </c>
      <c r="C39" s="3" t="s">
        <v>304</v>
      </c>
      <c r="D39" s="27">
        <v>16000</v>
      </c>
      <c r="E39" s="27">
        <v>16000</v>
      </c>
      <c r="F39" s="27">
        <v>16000</v>
      </c>
      <c r="G39" s="27">
        <v>16000</v>
      </c>
      <c r="H39" s="27">
        <v>16000</v>
      </c>
      <c r="I39" s="27">
        <v>16000</v>
      </c>
      <c r="J39" s="27">
        <v>16000</v>
      </c>
      <c r="K39" s="27">
        <v>16000</v>
      </c>
      <c r="L39" s="27">
        <v>16000</v>
      </c>
      <c r="M39" s="27">
        <v>16000</v>
      </c>
      <c r="N39" s="27">
        <v>16000</v>
      </c>
      <c r="O39" s="27">
        <v>16000</v>
      </c>
      <c r="P39" s="27">
        <v>16000</v>
      </c>
      <c r="Q39" s="27">
        <v>16000</v>
      </c>
      <c r="R39" s="27">
        <v>16000</v>
      </c>
      <c r="S39" s="27">
        <v>16000</v>
      </c>
      <c r="T39" s="27">
        <v>16000</v>
      </c>
      <c r="U39" s="27">
        <v>0</v>
      </c>
      <c r="V39" s="27">
        <v>0</v>
      </c>
      <c r="W39" s="27">
        <v>16000</v>
      </c>
      <c r="X39" s="11">
        <f t="shared" si="0"/>
        <v>16000</v>
      </c>
      <c r="Y39" s="11">
        <f t="shared" si="1"/>
        <v>16000</v>
      </c>
      <c r="Z39" s="11">
        <f t="shared" si="2"/>
        <v>16000</v>
      </c>
      <c r="AA39" s="11">
        <f t="shared" si="3"/>
        <v>16000</v>
      </c>
      <c r="AB39" s="11">
        <f t="shared" si="4"/>
        <v>16000</v>
      </c>
    </row>
    <row r="40" spans="1:28" x14ac:dyDescent="0.35">
      <c r="A40" s="3">
        <v>36</v>
      </c>
      <c r="B40" s="3" t="s">
        <v>312</v>
      </c>
      <c r="C40" s="3" t="s">
        <v>304</v>
      </c>
      <c r="D40" s="27">
        <v>4000</v>
      </c>
      <c r="E40" s="27">
        <v>4000</v>
      </c>
      <c r="F40" s="27">
        <v>4000</v>
      </c>
      <c r="G40" s="27">
        <v>4000</v>
      </c>
      <c r="H40" s="27">
        <v>4000</v>
      </c>
      <c r="I40" s="27">
        <v>4000</v>
      </c>
      <c r="J40" s="27">
        <v>4000</v>
      </c>
      <c r="K40" s="27">
        <v>4000</v>
      </c>
      <c r="L40" s="27">
        <v>4000</v>
      </c>
      <c r="M40" s="27">
        <v>4000</v>
      </c>
      <c r="N40" s="27">
        <v>4000</v>
      </c>
      <c r="O40" s="27">
        <v>4000</v>
      </c>
      <c r="P40" s="27">
        <v>4000</v>
      </c>
      <c r="Q40" s="27">
        <v>4000</v>
      </c>
      <c r="R40" s="27">
        <v>4000</v>
      </c>
      <c r="S40" s="27">
        <v>4000</v>
      </c>
      <c r="T40" s="27">
        <v>4000</v>
      </c>
      <c r="U40" s="27">
        <v>0</v>
      </c>
      <c r="V40" s="27">
        <v>0</v>
      </c>
      <c r="W40" s="27">
        <v>4000</v>
      </c>
      <c r="X40" s="11">
        <f t="shared" si="0"/>
        <v>4000</v>
      </c>
      <c r="Y40" s="11">
        <f t="shared" si="1"/>
        <v>4000</v>
      </c>
      <c r="Z40" s="11">
        <f t="shared" si="2"/>
        <v>4000</v>
      </c>
      <c r="AA40" s="11">
        <f t="shared" si="3"/>
        <v>4000</v>
      </c>
      <c r="AB40" s="11">
        <f t="shared" si="4"/>
        <v>4000</v>
      </c>
    </row>
    <row r="41" spans="1:28" x14ac:dyDescent="0.35">
      <c r="A41" s="3">
        <v>37</v>
      </c>
      <c r="B41" s="3" t="s">
        <v>313</v>
      </c>
      <c r="C41" s="3" t="s">
        <v>304</v>
      </c>
      <c r="D41" s="27">
        <v>2000</v>
      </c>
      <c r="E41" s="27">
        <v>2000</v>
      </c>
      <c r="F41" s="27">
        <v>2000</v>
      </c>
      <c r="G41" s="27">
        <v>2000</v>
      </c>
      <c r="H41" s="27">
        <v>2000</v>
      </c>
      <c r="I41" s="27">
        <v>2000</v>
      </c>
      <c r="J41" s="27">
        <v>2000</v>
      </c>
      <c r="K41" s="27">
        <v>2000</v>
      </c>
      <c r="L41" s="27">
        <v>2000</v>
      </c>
      <c r="M41" s="27">
        <v>2000</v>
      </c>
      <c r="N41" s="27">
        <v>2000</v>
      </c>
      <c r="O41" s="27">
        <v>2000</v>
      </c>
      <c r="P41" s="27">
        <v>2000</v>
      </c>
      <c r="Q41" s="27">
        <v>2000</v>
      </c>
      <c r="R41" s="27">
        <v>2000</v>
      </c>
      <c r="S41" s="27">
        <v>2000</v>
      </c>
      <c r="T41" s="27">
        <v>2000</v>
      </c>
      <c r="U41" s="27">
        <v>0</v>
      </c>
      <c r="V41" s="27">
        <v>0</v>
      </c>
      <c r="W41" s="27">
        <v>2000</v>
      </c>
      <c r="X41" s="11">
        <f t="shared" si="0"/>
        <v>2000</v>
      </c>
      <c r="Y41" s="11">
        <f t="shared" si="1"/>
        <v>2000</v>
      </c>
      <c r="Z41" s="11">
        <f t="shared" si="2"/>
        <v>2000</v>
      </c>
      <c r="AA41" s="11">
        <f t="shared" si="3"/>
        <v>2000</v>
      </c>
      <c r="AB41" s="11">
        <f t="shared" si="4"/>
        <v>2000</v>
      </c>
    </row>
    <row r="42" spans="1:28" x14ac:dyDescent="0.35">
      <c r="A42" s="3">
        <v>38</v>
      </c>
      <c r="B42" s="3" t="s">
        <v>314</v>
      </c>
      <c r="C42" s="3" t="s">
        <v>304</v>
      </c>
      <c r="D42" s="27">
        <v>5000</v>
      </c>
      <c r="E42" s="27">
        <v>5000</v>
      </c>
      <c r="F42" s="27">
        <v>5000</v>
      </c>
      <c r="G42" s="27">
        <v>5000</v>
      </c>
      <c r="H42" s="27">
        <v>5000</v>
      </c>
      <c r="I42" s="27">
        <v>5000</v>
      </c>
      <c r="J42" s="27">
        <v>5000</v>
      </c>
      <c r="K42" s="27">
        <v>5000</v>
      </c>
      <c r="L42" s="27">
        <v>5000</v>
      </c>
      <c r="M42" s="27">
        <v>5000</v>
      </c>
      <c r="N42" s="27">
        <v>5000</v>
      </c>
      <c r="O42" s="27">
        <v>5000</v>
      </c>
      <c r="P42" s="27">
        <v>5000</v>
      </c>
      <c r="Q42" s="27">
        <v>5000</v>
      </c>
      <c r="R42" s="27">
        <v>5000</v>
      </c>
      <c r="S42" s="27">
        <v>5000</v>
      </c>
      <c r="T42" s="27">
        <v>5000</v>
      </c>
      <c r="U42" s="27">
        <v>0</v>
      </c>
      <c r="V42" s="27">
        <v>0</v>
      </c>
      <c r="W42" s="27">
        <v>5000</v>
      </c>
      <c r="X42" s="11">
        <f t="shared" si="0"/>
        <v>5000</v>
      </c>
      <c r="Y42" s="11">
        <f t="shared" si="1"/>
        <v>5000</v>
      </c>
      <c r="Z42" s="11">
        <f t="shared" si="2"/>
        <v>5000</v>
      </c>
      <c r="AA42" s="11">
        <f t="shared" si="3"/>
        <v>5000</v>
      </c>
      <c r="AB42" s="11">
        <f t="shared" si="4"/>
        <v>5000</v>
      </c>
    </row>
    <row r="43" spans="1:28" x14ac:dyDescent="0.35">
      <c r="A43" s="3">
        <v>39</v>
      </c>
      <c r="B43" s="3" t="s">
        <v>315</v>
      </c>
      <c r="C43" s="3" t="s">
        <v>304</v>
      </c>
      <c r="D43" s="27">
        <v>7000</v>
      </c>
      <c r="E43" s="27">
        <v>7000</v>
      </c>
      <c r="F43" s="27">
        <v>7000</v>
      </c>
      <c r="G43" s="27">
        <v>7000</v>
      </c>
      <c r="H43" s="27">
        <v>7000</v>
      </c>
      <c r="I43" s="27">
        <v>7000</v>
      </c>
      <c r="J43" s="27">
        <v>7000</v>
      </c>
      <c r="K43" s="27">
        <v>7000</v>
      </c>
      <c r="L43" s="27">
        <v>7000</v>
      </c>
      <c r="M43" s="27">
        <v>7000</v>
      </c>
      <c r="N43" s="27">
        <v>7000</v>
      </c>
      <c r="O43" s="27">
        <v>7000</v>
      </c>
      <c r="P43" s="27">
        <v>7000</v>
      </c>
      <c r="Q43" s="27">
        <v>7000</v>
      </c>
      <c r="R43" s="27">
        <v>7000</v>
      </c>
      <c r="S43" s="27">
        <v>7000</v>
      </c>
      <c r="T43" s="27">
        <v>7000</v>
      </c>
      <c r="U43" s="27">
        <v>0</v>
      </c>
      <c r="V43" s="27">
        <v>0</v>
      </c>
      <c r="W43" s="27">
        <v>7000</v>
      </c>
      <c r="X43" s="11">
        <f t="shared" si="0"/>
        <v>7000</v>
      </c>
      <c r="Y43" s="11">
        <f t="shared" si="1"/>
        <v>7000</v>
      </c>
      <c r="Z43" s="11">
        <f t="shared" si="2"/>
        <v>7000</v>
      </c>
      <c r="AA43" s="11">
        <f t="shared" si="3"/>
        <v>7000</v>
      </c>
      <c r="AB43" s="11">
        <f t="shared" si="4"/>
        <v>7000</v>
      </c>
    </row>
    <row r="44" spans="1:28" x14ac:dyDescent="0.35">
      <c r="A44" s="3">
        <v>40</v>
      </c>
      <c r="B44" s="3" t="s">
        <v>316</v>
      </c>
      <c r="C44" s="3" t="s">
        <v>304</v>
      </c>
      <c r="D44" s="27">
        <v>5000</v>
      </c>
      <c r="E44" s="27">
        <v>5000</v>
      </c>
      <c r="F44" s="27">
        <v>5000</v>
      </c>
      <c r="G44" s="27">
        <v>5000</v>
      </c>
      <c r="H44" s="27">
        <v>5000</v>
      </c>
      <c r="I44" s="27">
        <v>5000</v>
      </c>
      <c r="J44" s="27">
        <v>5000</v>
      </c>
      <c r="K44" s="27">
        <v>5000</v>
      </c>
      <c r="L44" s="27">
        <v>5000</v>
      </c>
      <c r="M44" s="27">
        <v>5000</v>
      </c>
      <c r="N44" s="27">
        <v>5000</v>
      </c>
      <c r="O44" s="27">
        <v>5000</v>
      </c>
      <c r="P44" s="27">
        <v>5000</v>
      </c>
      <c r="Q44" s="27">
        <v>5000</v>
      </c>
      <c r="R44" s="27">
        <v>5000</v>
      </c>
      <c r="S44" s="27">
        <v>5000</v>
      </c>
      <c r="T44" s="27">
        <v>5000</v>
      </c>
      <c r="U44" s="27">
        <v>0</v>
      </c>
      <c r="V44" s="27">
        <v>0</v>
      </c>
      <c r="W44" s="27">
        <v>5000</v>
      </c>
      <c r="X44" s="11">
        <f t="shared" si="0"/>
        <v>5000</v>
      </c>
      <c r="Y44" s="11">
        <f t="shared" si="1"/>
        <v>5000</v>
      </c>
      <c r="Z44" s="11">
        <f t="shared" si="2"/>
        <v>5000</v>
      </c>
      <c r="AA44" s="11">
        <f t="shared" si="3"/>
        <v>5000</v>
      </c>
      <c r="AB44" s="11">
        <f t="shared" si="4"/>
        <v>5000</v>
      </c>
    </row>
    <row r="45" spans="1:28" x14ac:dyDescent="0.35">
      <c r="A45" s="3">
        <v>41</v>
      </c>
      <c r="B45" s="3" t="s">
        <v>317</v>
      </c>
      <c r="C45" s="3" t="s">
        <v>304</v>
      </c>
      <c r="D45" s="27">
        <v>78000</v>
      </c>
      <c r="E45" s="27">
        <v>78000</v>
      </c>
      <c r="F45" s="27">
        <v>78000</v>
      </c>
      <c r="G45" s="27">
        <v>78000</v>
      </c>
      <c r="H45" s="27">
        <v>78000</v>
      </c>
      <c r="I45" s="27">
        <v>78000</v>
      </c>
      <c r="J45" s="27">
        <v>78000</v>
      </c>
      <c r="K45" s="27">
        <v>78000</v>
      </c>
      <c r="L45" s="27">
        <v>78000</v>
      </c>
      <c r="M45" s="27">
        <v>78000</v>
      </c>
      <c r="N45" s="27">
        <v>78000</v>
      </c>
      <c r="O45" s="27">
        <v>78000</v>
      </c>
      <c r="P45" s="27">
        <v>78000</v>
      </c>
      <c r="Q45" s="27">
        <v>78000</v>
      </c>
      <c r="R45" s="27">
        <v>78000</v>
      </c>
      <c r="S45" s="27">
        <v>78000</v>
      </c>
      <c r="T45" s="27">
        <v>78000</v>
      </c>
      <c r="U45" s="27">
        <v>0</v>
      </c>
      <c r="V45" s="27">
        <v>0</v>
      </c>
      <c r="W45" s="27">
        <v>78000</v>
      </c>
      <c r="X45" s="11">
        <f t="shared" si="0"/>
        <v>78000</v>
      </c>
      <c r="Y45" s="11">
        <f t="shared" si="1"/>
        <v>78000</v>
      </c>
      <c r="Z45" s="11">
        <f t="shared" si="2"/>
        <v>78000</v>
      </c>
      <c r="AA45" s="11">
        <f t="shared" si="3"/>
        <v>78000</v>
      </c>
      <c r="AB45" s="11">
        <f t="shared" si="4"/>
        <v>78000</v>
      </c>
    </row>
    <row r="46" spans="1:28" x14ac:dyDescent="0.35">
      <c r="A46" s="3">
        <v>42</v>
      </c>
      <c r="B46" s="3" t="s">
        <v>318</v>
      </c>
      <c r="C46" s="3" t="s">
        <v>304</v>
      </c>
      <c r="D46" s="27">
        <v>40000</v>
      </c>
      <c r="E46" s="27">
        <v>40000</v>
      </c>
      <c r="F46" s="27">
        <v>40000</v>
      </c>
      <c r="G46" s="27">
        <v>40000</v>
      </c>
      <c r="H46" s="27">
        <v>40000</v>
      </c>
      <c r="I46" s="27">
        <v>40000</v>
      </c>
      <c r="J46" s="27">
        <v>40000</v>
      </c>
      <c r="K46" s="27">
        <v>40000</v>
      </c>
      <c r="L46" s="27">
        <v>40000</v>
      </c>
      <c r="M46" s="27">
        <v>40000</v>
      </c>
      <c r="N46" s="27">
        <v>40000</v>
      </c>
      <c r="O46" s="27">
        <v>40000</v>
      </c>
      <c r="P46" s="27">
        <v>40000</v>
      </c>
      <c r="Q46" s="27">
        <v>40000</v>
      </c>
      <c r="R46" s="27">
        <v>40000</v>
      </c>
      <c r="S46" s="27">
        <v>40000</v>
      </c>
      <c r="T46" s="27">
        <v>40000</v>
      </c>
      <c r="U46" s="27">
        <v>0</v>
      </c>
      <c r="V46" s="27">
        <v>0</v>
      </c>
      <c r="W46" s="27">
        <v>40000</v>
      </c>
      <c r="X46" s="11">
        <f t="shared" si="0"/>
        <v>40000</v>
      </c>
      <c r="Y46" s="11">
        <f t="shared" si="1"/>
        <v>40000</v>
      </c>
      <c r="Z46" s="11">
        <f t="shared" si="2"/>
        <v>40000</v>
      </c>
      <c r="AA46" s="11">
        <f t="shared" si="3"/>
        <v>40000</v>
      </c>
      <c r="AB46" s="11">
        <f t="shared" si="4"/>
        <v>40000</v>
      </c>
    </row>
    <row r="47" spans="1:28" x14ac:dyDescent="0.35">
      <c r="A47" s="3">
        <v>43</v>
      </c>
      <c r="B47" s="3" t="s">
        <v>319</v>
      </c>
      <c r="C47" s="3" t="s">
        <v>304</v>
      </c>
      <c r="D47" s="27">
        <v>27000</v>
      </c>
      <c r="E47" s="27">
        <v>27000</v>
      </c>
      <c r="F47" s="27">
        <v>27000</v>
      </c>
      <c r="G47" s="27">
        <v>27000</v>
      </c>
      <c r="H47" s="27">
        <v>27000</v>
      </c>
      <c r="I47" s="27">
        <v>27000</v>
      </c>
      <c r="J47" s="27">
        <v>27000</v>
      </c>
      <c r="K47" s="27">
        <v>27000</v>
      </c>
      <c r="L47" s="27">
        <v>27000</v>
      </c>
      <c r="M47" s="27">
        <v>27000</v>
      </c>
      <c r="N47" s="27">
        <v>27000</v>
      </c>
      <c r="O47" s="27">
        <v>27000</v>
      </c>
      <c r="P47" s="27">
        <v>27000</v>
      </c>
      <c r="Q47" s="27">
        <v>27000</v>
      </c>
      <c r="R47" s="27">
        <v>27000</v>
      </c>
      <c r="S47" s="27">
        <v>27000</v>
      </c>
      <c r="T47" s="27">
        <v>27000</v>
      </c>
      <c r="U47" s="27">
        <v>0</v>
      </c>
      <c r="V47" s="27">
        <v>0</v>
      </c>
      <c r="W47" s="27">
        <v>27000</v>
      </c>
      <c r="X47" s="11">
        <f t="shared" si="0"/>
        <v>27000</v>
      </c>
      <c r="Y47" s="11">
        <f t="shared" si="1"/>
        <v>27000</v>
      </c>
      <c r="Z47" s="11">
        <f t="shared" si="2"/>
        <v>27000</v>
      </c>
      <c r="AA47" s="11">
        <f t="shared" si="3"/>
        <v>27000</v>
      </c>
      <c r="AB47" s="11">
        <f t="shared" si="4"/>
        <v>27000</v>
      </c>
    </row>
    <row r="48" spans="1:28" x14ac:dyDescent="0.35">
      <c r="A48" s="3">
        <v>44</v>
      </c>
      <c r="B48" s="3" t="s">
        <v>320</v>
      </c>
      <c r="C48" s="3" t="s">
        <v>304</v>
      </c>
      <c r="D48" s="27">
        <v>17000</v>
      </c>
      <c r="E48" s="27">
        <v>17000</v>
      </c>
      <c r="F48" s="27">
        <v>17000</v>
      </c>
      <c r="G48" s="27">
        <v>17000</v>
      </c>
      <c r="H48" s="27">
        <v>17000</v>
      </c>
      <c r="I48" s="27">
        <v>17000</v>
      </c>
      <c r="J48" s="27">
        <v>17000</v>
      </c>
      <c r="K48" s="27">
        <v>17000</v>
      </c>
      <c r="L48" s="27">
        <v>17000</v>
      </c>
      <c r="M48" s="27">
        <v>17000</v>
      </c>
      <c r="N48" s="27">
        <v>17000</v>
      </c>
      <c r="O48" s="27">
        <v>17000</v>
      </c>
      <c r="P48" s="27">
        <v>17000</v>
      </c>
      <c r="Q48" s="27">
        <v>17000</v>
      </c>
      <c r="R48" s="27">
        <v>17000</v>
      </c>
      <c r="S48" s="27">
        <v>17000</v>
      </c>
      <c r="T48" s="27">
        <v>17000</v>
      </c>
      <c r="U48" s="27">
        <v>0</v>
      </c>
      <c r="V48" s="27">
        <v>0</v>
      </c>
      <c r="W48" s="27">
        <v>17000</v>
      </c>
      <c r="X48" s="11">
        <f t="shared" si="0"/>
        <v>17000</v>
      </c>
      <c r="Y48" s="11">
        <f t="shared" si="1"/>
        <v>17000</v>
      </c>
      <c r="Z48" s="11">
        <f t="shared" si="2"/>
        <v>17000</v>
      </c>
      <c r="AA48" s="11">
        <f t="shared" si="3"/>
        <v>17000</v>
      </c>
      <c r="AB48" s="11">
        <f t="shared" si="4"/>
        <v>17000</v>
      </c>
    </row>
  </sheetData>
  <mergeCells count="1">
    <mergeCell ref="A1:AB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8"/>
  <sheetViews>
    <sheetView showGridLines="0" zoomScaleNormal="100" workbookViewId="0">
      <pane xSplit="3" ySplit="4" topLeftCell="D5" activePane="bottomRight" state="frozen"/>
      <selection pane="topRight" activeCell="D1" sqref="D1"/>
      <selection pane="bottomLeft" activeCell="A5" sqref="A5"/>
      <selection pane="bottomRight" activeCell="E12" sqref="E12"/>
    </sheetView>
  </sheetViews>
  <sheetFormatPr defaultColWidth="8.6328125" defaultRowHeight="14.5" x14ac:dyDescent="0.35"/>
  <cols>
    <col min="1" max="1" width="4" customWidth="1"/>
    <col min="2" max="2" width="30" customWidth="1"/>
    <col min="3" max="3" width="4" customWidth="1"/>
    <col min="4" max="26" width="9" customWidth="1"/>
    <col min="27" max="32" width="14" customWidth="1"/>
  </cols>
  <sheetData>
    <row r="1" spans="1:32" ht="16.5" x14ac:dyDescent="0.35">
      <c r="A1" s="30" t="s">
        <v>379</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row>
    <row r="2" spans="1:32" x14ac:dyDescent="0.35">
      <c r="A2" s="6" t="s">
        <v>276</v>
      </c>
    </row>
    <row r="4" spans="1:32" ht="21" x14ac:dyDescent="0.35">
      <c r="A4" s="8" t="s">
        <v>0</v>
      </c>
      <c r="B4" s="8" t="s">
        <v>277</v>
      </c>
      <c r="C4" s="8" t="s">
        <v>278</v>
      </c>
      <c r="D4" s="29">
        <v>46023</v>
      </c>
      <c r="E4" s="29">
        <v>46024</v>
      </c>
      <c r="F4" s="29">
        <v>46025</v>
      </c>
      <c r="G4" s="29">
        <v>46028</v>
      </c>
      <c r="H4" s="29">
        <v>46029</v>
      </c>
      <c r="I4" s="29">
        <v>46030</v>
      </c>
      <c r="J4" s="29">
        <v>46031</v>
      </c>
      <c r="K4" s="29">
        <v>46032</v>
      </c>
      <c r="L4" s="29">
        <v>46035</v>
      </c>
      <c r="M4" s="29">
        <v>46036</v>
      </c>
      <c r="N4" s="29">
        <v>46037</v>
      </c>
      <c r="O4" s="29">
        <v>46038</v>
      </c>
      <c r="P4" s="29">
        <v>46039</v>
      </c>
      <c r="Q4" s="29">
        <v>46042</v>
      </c>
      <c r="R4" s="29">
        <v>46043</v>
      </c>
      <c r="S4" s="29">
        <v>46044</v>
      </c>
      <c r="T4" s="29">
        <v>46045</v>
      </c>
      <c r="U4" s="29">
        <v>46046</v>
      </c>
      <c r="V4" s="29">
        <v>46049</v>
      </c>
      <c r="W4" s="29">
        <v>46050</v>
      </c>
      <c r="X4" s="29">
        <v>46051</v>
      </c>
      <c r="Y4" s="29">
        <v>46052</v>
      </c>
      <c r="Z4" s="29">
        <v>46053</v>
      </c>
      <c r="AA4" s="8" t="s">
        <v>321</v>
      </c>
      <c r="AB4" s="8" t="s">
        <v>322</v>
      </c>
      <c r="AC4" s="8" t="s">
        <v>323</v>
      </c>
      <c r="AD4" s="8" t="s">
        <v>324</v>
      </c>
      <c r="AE4" s="8" t="s">
        <v>325</v>
      </c>
      <c r="AF4" s="8" t="s">
        <v>380</v>
      </c>
    </row>
    <row r="5" spans="1:32" x14ac:dyDescent="0.35">
      <c r="A5" s="3">
        <v>1</v>
      </c>
      <c r="B5" s="3" t="s">
        <v>240</v>
      </c>
      <c r="C5" s="3" t="s">
        <v>304</v>
      </c>
      <c r="D5" s="27">
        <v>0</v>
      </c>
      <c r="E5" s="27">
        <v>12000</v>
      </c>
      <c r="F5" s="27">
        <v>12000</v>
      </c>
      <c r="G5" s="27">
        <v>12000</v>
      </c>
      <c r="H5" s="27">
        <v>12000</v>
      </c>
      <c r="I5" s="27">
        <v>12000</v>
      </c>
      <c r="J5" s="27">
        <v>12000</v>
      </c>
      <c r="K5" s="27">
        <v>12000</v>
      </c>
      <c r="L5" s="27">
        <v>12000</v>
      </c>
      <c r="M5" s="27">
        <v>12000</v>
      </c>
      <c r="N5" s="27">
        <v>12000</v>
      </c>
      <c r="O5" s="27">
        <v>12000</v>
      </c>
      <c r="P5" s="27">
        <v>12000</v>
      </c>
      <c r="Q5" s="27">
        <v>12000</v>
      </c>
      <c r="R5" s="27">
        <v>12000</v>
      </c>
      <c r="S5" s="27">
        <v>12000</v>
      </c>
      <c r="T5" s="27">
        <v>12000</v>
      </c>
      <c r="U5" s="27">
        <v>12000</v>
      </c>
      <c r="V5" s="27">
        <v>0</v>
      </c>
      <c r="W5" s="27">
        <v>0</v>
      </c>
      <c r="X5" s="27">
        <v>0</v>
      </c>
      <c r="Y5" s="27">
        <v>12000</v>
      </c>
      <c r="Z5" s="27">
        <v>12000</v>
      </c>
      <c r="AA5" s="11">
        <f t="shared" ref="AA5:AA48" si="0">IFERROR(AVERAGEIF(D5:F5,"&lt;&gt;0"),"")</f>
        <v>12000</v>
      </c>
      <c r="AB5" s="11">
        <f t="shared" ref="AB5:AB48" si="1">IFERROR(AVERAGEIF(G5:K5,"&lt;&gt;0"),"")</f>
        <v>12000</v>
      </c>
      <c r="AC5" s="11">
        <f t="shared" ref="AC5:AC48" si="2">IFERROR(AVERAGEIF(L5:P5,"&lt;&gt;0"),"")</f>
        <v>12000</v>
      </c>
      <c r="AD5" s="11">
        <f t="shared" ref="AD5:AD48" si="3">IFERROR(AVERAGEIF(Q5:U5,"&lt;&gt;0"),"")</f>
        <v>12000</v>
      </c>
      <c r="AE5" s="11">
        <f t="shared" ref="AE5:AE48" si="4">IFERROR(AVERAGEIF(V5:Z5,"&lt;&gt;0"),"")</f>
        <v>12000</v>
      </c>
      <c r="AF5" s="11">
        <f t="shared" ref="AF5:AF48" si="5">IFERROR(AVERAGEIF(D5:Z5,"&lt;&gt;0"),"")</f>
        <v>12000</v>
      </c>
    </row>
    <row r="6" spans="1:32" x14ac:dyDescent="0.35">
      <c r="A6" s="3">
        <v>2</v>
      </c>
      <c r="B6" s="3" t="s">
        <v>241</v>
      </c>
      <c r="C6" s="3" t="s">
        <v>304</v>
      </c>
      <c r="D6" s="27">
        <v>0</v>
      </c>
      <c r="E6" s="27">
        <v>13000</v>
      </c>
      <c r="F6" s="27">
        <v>13000</v>
      </c>
      <c r="G6" s="27">
        <v>13000</v>
      </c>
      <c r="H6" s="27">
        <v>13000</v>
      </c>
      <c r="I6" s="27">
        <v>13000</v>
      </c>
      <c r="J6" s="27">
        <v>13000</v>
      </c>
      <c r="K6" s="27">
        <v>13000</v>
      </c>
      <c r="L6" s="27">
        <v>13000</v>
      </c>
      <c r="M6" s="27">
        <v>13000</v>
      </c>
      <c r="N6" s="27">
        <v>13000</v>
      </c>
      <c r="O6" s="27">
        <v>13000</v>
      </c>
      <c r="P6" s="27">
        <v>13000</v>
      </c>
      <c r="Q6" s="27">
        <v>13000</v>
      </c>
      <c r="R6" s="27">
        <v>13000</v>
      </c>
      <c r="S6" s="27">
        <v>13000</v>
      </c>
      <c r="T6" s="27">
        <v>13000</v>
      </c>
      <c r="U6" s="27">
        <v>13000</v>
      </c>
      <c r="V6" s="27">
        <v>0</v>
      </c>
      <c r="W6" s="27">
        <v>0</v>
      </c>
      <c r="X6" s="27">
        <v>0</v>
      </c>
      <c r="Y6" s="27">
        <v>13000</v>
      </c>
      <c r="Z6" s="27">
        <v>13000</v>
      </c>
      <c r="AA6" s="11">
        <f t="shared" si="0"/>
        <v>13000</v>
      </c>
      <c r="AB6" s="11">
        <f t="shared" si="1"/>
        <v>13000</v>
      </c>
      <c r="AC6" s="11">
        <f t="shared" si="2"/>
        <v>13000</v>
      </c>
      <c r="AD6" s="11">
        <f t="shared" si="3"/>
        <v>13000</v>
      </c>
      <c r="AE6" s="11">
        <f t="shared" si="4"/>
        <v>13000</v>
      </c>
      <c r="AF6" s="11">
        <f t="shared" si="5"/>
        <v>13000</v>
      </c>
    </row>
    <row r="7" spans="1:32" x14ac:dyDescent="0.35">
      <c r="A7" s="3">
        <v>3</v>
      </c>
      <c r="B7" s="3" t="s">
        <v>242</v>
      </c>
      <c r="C7" s="3" t="s">
        <v>304</v>
      </c>
      <c r="D7" s="27">
        <v>0</v>
      </c>
      <c r="E7" s="27">
        <v>12500</v>
      </c>
      <c r="F7" s="27">
        <v>12500</v>
      </c>
      <c r="G7" s="27">
        <v>12500</v>
      </c>
      <c r="H7" s="27">
        <v>12500</v>
      </c>
      <c r="I7" s="27">
        <v>12500</v>
      </c>
      <c r="J7" s="27">
        <v>12500</v>
      </c>
      <c r="K7" s="27">
        <v>12500</v>
      </c>
      <c r="L7" s="27">
        <v>12500</v>
      </c>
      <c r="M7" s="27">
        <v>12500</v>
      </c>
      <c r="N7" s="27">
        <v>12500</v>
      </c>
      <c r="O7" s="27">
        <v>12500</v>
      </c>
      <c r="P7" s="27">
        <v>12500</v>
      </c>
      <c r="Q7" s="27">
        <v>12500</v>
      </c>
      <c r="R7" s="27">
        <v>12500</v>
      </c>
      <c r="S7" s="27">
        <v>12500</v>
      </c>
      <c r="T7" s="27">
        <v>12500</v>
      </c>
      <c r="U7" s="27">
        <v>12500</v>
      </c>
      <c r="V7" s="27">
        <v>0</v>
      </c>
      <c r="W7" s="27">
        <v>0</v>
      </c>
      <c r="X7" s="27">
        <v>0</v>
      </c>
      <c r="Y7" s="27">
        <v>12500</v>
      </c>
      <c r="Z7" s="27">
        <v>12500</v>
      </c>
      <c r="AA7" s="11">
        <f t="shared" si="0"/>
        <v>12500</v>
      </c>
      <c r="AB7" s="11">
        <f t="shared" si="1"/>
        <v>12500</v>
      </c>
      <c r="AC7" s="11">
        <f t="shared" si="2"/>
        <v>12500</v>
      </c>
      <c r="AD7" s="11">
        <f t="shared" si="3"/>
        <v>12500</v>
      </c>
      <c r="AE7" s="11">
        <f t="shared" si="4"/>
        <v>12500</v>
      </c>
      <c r="AF7" s="11">
        <f t="shared" si="5"/>
        <v>12500</v>
      </c>
    </row>
    <row r="8" spans="1:32" x14ac:dyDescent="0.35">
      <c r="A8" s="3">
        <v>4</v>
      </c>
      <c r="B8" s="3" t="s">
        <v>305</v>
      </c>
      <c r="C8" s="3" t="s">
        <v>304</v>
      </c>
      <c r="D8" s="27">
        <v>0</v>
      </c>
      <c r="E8" s="27">
        <v>11000</v>
      </c>
      <c r="F8" s="27">
        <v>11000</v>
      </c>
      <c r="G8" s="27">
        <v>11000</v>
      </c>
      <c r="H8" s="27">
        <v>11000</v>
      </c>
      <c r="I8" s="27">
        <v>11000</v>
      </c>
      <c r="J8" s="27">
        <v>11000</v>
      </c>
      <c r="K8" s="27">
        <v>11000</v>
      </c>
      <c r="L8" s="27">
        <v>11000</v>
      </c>
      <c r="M8" s="27">
        <v>11000</v>
      </c>
      <c r="N8" s="27">
        <v>11000</v>
      </c>
      <c r="O8" s="27">
        <v>11000</v>
      </c>
      <c r="P8" s="27">
        <v>11000</v>
      </c>
      <c r="Q8" s="27">
        <v>11000</v>
      </c>
      <c r="R8" s="27">
        <v>11000</v>
      </c>
      <c r="S8" s="27">
        <v>11000</v>
      </c>
      <c r="T8" s="27">
        <v>11000</v>
      </c>
      <c r="U8" s="27">
        <v>11000</v>
      </c>
      <c r="V8" s="27">
        <v>0</v>
      </c>
      <c r="W8" s="27">
        <v>0</v>
      </c>
      <c r="X8" s="27">
        <v>0</v>
      </c>
      <c r="Y8" s="27">
        <v>11000</v>
      </c>
      <c r="Z8" s="27">
        <v>11000</v>
      </c>
      <c r="AA8" s="11">
        <f t="shared" si="0"/>
        <v>11000</v>
      </c>
      <c r="AB8" s="11">
        <f t="shared" si="1"/>
        <v>11000</v>
      </c>
      <c r="AC8" s="11">
        <f t="shared" si="2"/>
        <v>11000</v>
      </c>
      <c r="AD8" s="11">
        <f t="shared" si="3"/>
        <v>11000</v>
      </c>
      <c r="AE8" s="11">
        <f t="shared" si="4"/>
        <v>11000</v>
      </c>
      <c r="AF8" s="11">
        <f t="shared" si="5"/>
        <v>11000</v>
      </c>
    </row>
    <row r="9" spans="1:32" x14ac:dyDescent="0.35">
      <c r="A9" s="3">
        <v>5</v>
      </c>
      <c r="B9" s="3" t="s">
        <v>261</v>
      </c>
      <c r="C9" s="3" t="s">
        <v>304</v>
      </c>
      <c r="D9" s="27">
        <v>0</v>
      </c>
      <c r="E9" s="27">
        <v>34000</v>
      </c>
      <c r="F9" s="27">
        <v>34000</v>
      </c>
      <c r="G9" s="27">
        <v>34000</v>
      </c>
      <c r="H9" s="27">
        <v>34000</v>
      </c>
      <c r="I9" s="27">
        <v>34000</v>
      </c>
      <c r="J9" s="27">
        <v>34000</v>
      </c>
      <c r="K9" s="27">
        <v>34000</v>
      </c>
      <c r="L9" s="27">
        <v>34000</v>
      </c>
      <c r="M9" s="27">
        <v>34000</v>
      </c>
      <c r="N9" s="27">
        <v>34000</v>
      </c>
      <c r="O9" s="27">
        <v>34000</v>
      </c>
      <c r="P9" s="27">
        <v>34000</v>
      </c>
      <c r="Q9" s="27">
        <v>34000</v>
      </c>
      <c r="R9" s="27">
        <v>34000</v>
      </c>
      <c r="S9" s="27">
        <v>34000</v>
      </c>
      <c r="T9" s="27">
        <v>34000</v>
      </c>
      <c r="U9" s="27">
        <v>34500</v>
      </c>
      <c r="V9" s="27">
        <v>0</v>
      </c>
      <c r="W9" s="27">
        <v>0</v>
      </c>
      <c r="X9" s="27">
        <v>0</v>
      </c>
      <c r="Y9" s="27">
        <v>36000</v>
      </c>
      <c r="Z9" s="27">
        <v>36000</v>
      </c>
      <c r="AA9" s="11">
        <f t="shared" si="0"/>
        <v>34000</v>
      </c>
      <c r="AB9" s="11">
        <f t="shared" si="1"/>
        <v>34000</v>
      </c>
      <c r="AC9" s="11">
        <f t="shared" si="2"/>
        <v>34000</v>
      </c>
      <c r="AD9" s="11">
        <f t="shared" si="3"/>
        <v>34100</v>
      </c>
      <c r="AE9" s="11">
        <f t="shared" si="4"/>
        <v>36000</v>
      </c>
      <c r="AF9" s="11">
        <f t="shared" si="5"/>
        <v>34236.84210526316</v>
      </c>
    </row>
    <row r="10" spans="1:32" x14ac:dyDescent="0.35">
      <c r="A10" s="3">
        <v>6</v>
      </c>
      <c r="B10" s="3" t="s">
        <v>262</v>
      </c>
      <c r="C10" s="3" t="s">
        <v>304</v>
      </c>
      <c r="D10" s="27">
        <v>0</v>
      </c>
      <c r="E10" s="27">
        <v>34000</v>
      </c>
      <c r="F10" s="27">
        <v>34000</v>
      </c>
      <c r="G10" s="27">
        <v>34000</v>
      </c>
      <c r="H10" s="27">
        <v>34000</v>
      </c>
      <c r="I10" s="27">
        <v>34000</v>
      </c>
      <c r="J10" s="27">
        <v>34000</v>
      </c>
      <c r="K10" s="27">
        <v>34000</v>
      </c>
      <c r="L10" s="27">
        <v>34000</v>
      </c>
      <c r="M10" s="27">
        <v>34000</v>
      </c>
      <c r="N10" s="27">
        <v>34000</v>
      </c>
      <c r="O10" s="27">
        <v>34000</v>
      </c>
      <c r="P10" s="27">
        <v>34000</v>
      </c>
      <c r="Q10" s="27">
        <v>34000</v>
      </c>
      <c r="R10" s="27">
        <v>34000</v>
      </c>
      <c r="S10" s="27">
        <v>34000</v>
      </c>
      <c r="T10" s="27">
        <v>34000</v>
      </c>
      <c r="U10" s="27">
        <v>34500</v>
      </c>
      <c r="V10" s="27">
        <v>0</v>
      </c>
      <c r="W10" s="27">
        <v>0</v>
      </c>
      <c r="X10" s="27">
        <v>0</v>
      </c>
      <c r="Y10" s="27">
        <v>36000</v>
      </c>
      <c r="Z10" s="27">
        <v>36000</v>
      </c>
      <c r="AA10" s="11">
        <f t="shared" si="0"/>
        <v>34000</v>
      </c>
      <c r="AB10" s="11">
        <f t="shared" si="1"/>
        <v>34000</v>
      </c>
      <c r="AC10" s="11">
        <f t="shared" si="2"/>
        <v>34000</v>
      </c>
      <c r="AD10" s="11">
        <f t="shared" si="3"/>
        <v>34100</v>
      </c>
      <c r="AE10" s="11">
        <f t="shared" si="4"/>
        <v>36000</v>
      </c>
      <c r="AF10" s="11">
        <f t="shared" si="5"/>
        <v>34236.84210526316</v>
      </c>
    </row>
    <row r="11" spans="1:32" x14ac:dyDescent="0.35">
      <c r="A11" s="3">
        <v>7</v>
      </c>
      <c r="B11" s="3" t="s">
        <v>251</v>
      </c>
      <c r="C11" s="3" t="s">
        <v>304</v>
      </c>
      <c r="D11" s="27">
        <v>0</v>
      </c>
      <c r="E11" s="27">
        <v>45000</v>
      </c>
      <c r="F11" s="27">
        <v>45000</v>
      </c>
      <c r="G11" s="27">
        <v>47000</v>
      </c>
      <c r="H11" s="27">
        <v>47000</v>
      </c>
      <c r="I11" s="27">
        <v>47000</v>
      </c>
      <c r="J11" s="27">
        <v>47000</v>
      </c>
      <c r="K11" s="27">
        <v>47000</v>
      </c>
      <c r="L11" s="27">
        <v>47000</v>
      </c>
      <c r="M11" s="27">
        <v>47000</v>
      </c>
      <c r="N11" s="27">
        <v>47000</v>
      </c>
      <c r="O11" s="27">
        <v>46000</v>
      </c>
      <c r="P11" s="27">
        <v>46000</v>
      </c>
      <c r="Q11" s="27">
        <v>45000</v>
      </c>
      <c r="R11" s="27">
        <v>45000</v>
      </c>
      <c r="S11" s="27">
        <v>45000</v>
      </c>
      <c r="T11" s="27">
        <v>45000</v>
      </c>
      <c r="U11" s="27">
        <v>45500</v>
      </c>
      <c r="V11" s="27">
        <v>0</v>
      </c>
      <c r="W11" s="27">
        <v>0</v>
      </c>
      <c r="X11" s="27">
        <v>0</v>
      </c>
      <c r="Y11" s="27">
        <v>47000</v>
      </c>
      <c r="Z11" s="27">
        <v>47000</v>
      </c>
      <c r="AA11" s="11">
        <f t="shared" si="0"/>
        <v>45000</v>
      </c>
      <c r="AB11" s="11">
        <f t="shared" si="1"/>
        <v>47000</v>
      </c>
      <c r="AC11" s="11">
        <f t="shared" si="2"/>
        <v>46600</v>
      </c>
      <c r="AD11" s="11">
        <f t="shared" si="3"/>
        <v>45100</v>
      </c>
      <c r="AE11" s="11">
        <f t="shared" si="4"/>
        <v>47000</v>
      </c>
      <c r="AF11" s="11">
        <f t="shared" si="5"/>
        <v>46184.210526315786</v>
      </c>
    </row>
    <row r="12" spans="1:32" x14ac:dyDescent="0.35">
      <c r="A12" s="3">
        <v>8</v>
      </c>
      <c r="B12" s="3" t="s">
        <v>256</v>
      </c>
      <c r="C12" s="3" t="s">
        <v>304</v>
      </c>
      <c r="D12" s="27">
        <v>0</v>
      </c>
      <c r="E12" s="27">
        <v>24000</v>
      </c>
      <c r="F12" s="27">
        <v>24000</v>
      </c>
      <c r="G12" s="27">
        <v>24000</v>
      </c>
      <c r="H12" s="27">
        <v>24000</v>
      </c>
      <c r="I12" s="27">
        <v>24000</v>
      </c>
      <c r="J12" s="27">
        <v>24000</v>
      </c>
      <c r="K12" s="27">
        <v>24000</v>
      </c>
      <c r="L12" s="27">
        <v>24000</v>
      </c>
      <c r="M12" s="27">
        <v>24000</v>
      </c>
      <c r="N12" s="27">
        <v>24000</v>
      </c>
      <c r="O12" s="27">
        <v>24000</v>
      </c>
      <c r="P12" s="27">
        <v>24000</v>
      </c>
      <c r="Q12" s="27">
        <v>23000</v>
      </c>
      <c r="R12" s="27">
        <v>23000</v>
      </c>
      <c r="S12" s="27">
        <v>23000</v>
      </c>
      <c r="T12" s="27">
        <v>23000</v>
      </c>
      <c r="U12" s="27">
        <v>23000</v>
      </c>
      <c r="V12" s="27">
        <v>0</v>
      </c>
      <c r="W12" s="27">
        <v>0</v>
      </c>
      <c r="X12" s="27">
        <v>0</v>
      </c>
      <c r="Y12" s="27">
        <v>23000</v>
      </c>
      <c r="Z12" s="27">
        <v>23000</v>
      </c>
      <c r="AA12" s="11">
        <f t="shared" si="0"/>
        <v>24000</v>
      </c>
      <c r="AB12" s="11">
        <f t="shared" si="1"/>
        <v>24000</v>
      </c>
      <c r="AC12" s="11">
        <f t="shared" si="2"/>
        <v>24000</v>
      </c>
      <c r="AD12" s="11">
        <f t="shared" si="3"/>
        <v>23000</v>
      </c>
      <c r="AE12" s="11">
        <f t="shared" si="4"/>
        <v>23000</v>
      </c>
      <c r="AF12" s="11">
        <f t="shared" si="5"/>
        <v>23631.57894736842</v>
      </c>
    </row>
    <row r="13" spans="1:32" x14ac:dyDescent="0.35">
      <c r="A13" s="3">
        <v>9</v>
      </c>
      <c r="B13" s="3" t="s">
        <v>253</v>
      </c>
      <c r="C13" s="3" t="s">
        <v>304</v>
      </c>
      <c r="D13" s="27">
        <v>0</v>
      </c>
      <c r="E13" s="27">
        <v>16500</v>
      </c>
      <c r="F13" s="27">
        <v>16500</v>
      </c>
      <c r="G13" s="27">
        <v>16500</v>
      </c>
      <c r="H13" s="27">
        <v>16500</v>
      </c>
      <c r="I13" s="27">
        <v>16500</v>
      </c>
      <c r="J13" s="27">
        <v>16500</v>
      </c>
      <c r="K13" s="27">
        <v>16500</v>
      </c>
      <c r="L13" s="27">
        <v>16500</v>
      </c>
      <c r="M13" s="27">
        <v>16500</v>
      </c>
      <c r="N13" s="27">
        <v>16500</v>
      </c>
      <c r="O13" s="27">
        <v>16500</v>
      </c>
      <c r="P13" s="27">
        <v>16500</v>
      </c>
      <c r="Q13" s="27">
        <v>16500</v>
      </c>
      <c r="R13" s="27">
        <v>16500</v>
      </c>
      <c r="S13" s="27">
        <v>16500</v>
      </c>
      <c r="T13" s="27">
        <v>16500</v>
      </c>
      <c r="U13" s="27">
        <v>16500</v>
      </c>
      <c r="V13" s="27">
        <v>0</v>
      </c>
      <c r="W13" s="27">
        <v>0</v>
      </c>
      <c r="X13" s="27">
        <v>0</v>
      </c>
      <c r="Y13" s="27">
        <v>16500</v>
      </c>
      <c r="Z13" s="27">
        <v>16500</v>
      </c>
      <c r="AA13" s="11">
        <f t="shared" si="0"/>
        <v>16500</v>
      </c>
      <c r="AB13" s="11">
        <f t="shared" si="1"/>
        <v>16500</v>
      </c>
      <c r="AC13" s="11">
        <f t="shared" si="2"/>
        <v>16500</v>
      </c>
      <c r="AD13" s="11">
        <f t="shared" si="3"/>
        <v>16500</v>
      </c>
      <c r="AE13" s="11">
        <f t="shared" si="4"/>
        <v>16500</v>
      </c>
      <c r="AF13" s="11">
        <f t="shared" si="5"/>
        <v>16500</v>
      </c>
    </row>
    <row r="14" spans="1:32" x14ac:dyDescent="0.35">
      <c r="A14" s="3">
        <v>10</v>
      </c>
      <c r="B14" s="3" t="s">
        <v>246</v>
      </c>
      <c r="C14" s="3" t="s">
        <v>304</v>
      </c>
      <c r="D14" s="27">
        <v>0</v>
      </c>
      <c r="E14" s="27">
        <v>15750</v>
      </c>
      <c r="F14" s="27">
        <v>15750</v>
      </c>
      <c r="G14" s="27">
        <v>15750</v>
      </c>
      <c r="H14" s="27">
        <v>15750</v>
      </c>
      <c r="I14" s="27">
        <v>15750</v>
      </c>
      <c r="J14" s="27">
        <v>15750</v>
      </c>
      <c r="K14" s="27">
        <v>15750</v>
      </c>
      <c r="L14" s="27">
        <v>15750</v>
      </c>
      <c r="M14" s="27">
        <v>15750</v>
      </c>
      <c r="N14" s="27">
        <v>15750</v>
      </c>
      <c r="O14" s="27">
        <v>15750</v>
      </c>
      <c r="P14" s="27">
        <v>15750</v>
      </c>
      <c r="Q14" s="27">
        <v>15750</v>
      </c>
      <c r="R14" s="27">
        <v>15750</v>
      </c>
      <c r="S14" s="27">
        <v>15750</v>
      </c>
      <c r="T14" s="27">
        <v>15750</v>
      </c>
      <c r="U14" s="27">
        <v>15750</v>
      </c>
      <c r="V14" s="27">
        <v>0</v>
      </c>
      <c r="W14" s="27">
        <v>0</v>
      </c>
      <c r="X14" s="27">
        <v>0</v>
      </c>
      <c r="Y14" s="27">
        <v>15750</v>
      </c>
      <c r="Z14" s="27">
        <v>15750</v>
      </c>
      <c r="AA14" s="11">
        <f t="shared" si="0"/>
        <v>15750</v>
      </c>
      <c r="AB14" s="11">
        <f t="shared" si="1"/>
        <v>15750</v>
      </c>
      <c r="AC14" s="11">
        <f t="shared" si="2"/>
        <v>15750</v>
      </c>
      <c r="AD14" s="11">
        <f t="shared" si="3"/>
        <v>15750</v>
      </c>
      <c r="AE14" s="11">
        <f t="shared" si="4"/>
        <v>15750</v>
      </c>
      <c r="AF14" s="11">
        <f t="shared" si="5"/>
        <v>15750</v>
      </c>
    </row>
    <row r="15" spans="1:32" x14ac:dyDescent="0.35">
      <c r="A15" s="3">
        <v>11</v>
      </c>
      <c r="B15" s="3" t="s">
        <v>247</v>
      </c>
      <c r="C15" s="3" t="s">
        <v>304</v>
      </c>
      <c r="D15" s="27">
        <v>0</v>
      </c>
      <c r="E15" s="27">
        <v>18000</v>
      </c>
      <c r="F15" s="27">
        <v>18000</v>
      </c>
      <c r="G15" s="27">
        <v>18000</v>
      </c>
      <c r="H15" s="27">
        <v>18000</v>
      </c>
      <c r="I15" s="27">
        <v>18000</v>
      </c>
      <c r="J15" s="27">
        <v>18000</v>
      </c>
      <c r="K15" s="27">
        <v>18000</v>
      </c>
      <c r="L15" s="27">
        <v>18000</v>
      </c>
      <c r="M15" s="27">
        <v>18000</v>
      </c>
      <c r="N15" s="27">
        <v>18000</v>
      </c>
      <c r="O15" s="27">
        <v>18000</v>
      </c>
      <c r="P15" s="27">
        <v>18000</v>
      </c>
      <c r="Q15" s="27">
        <v>18000</v>
      </c>
      <c r="R15" s="27">
        <v>18000</v>
      </c>
      <c r="S15" s="27">
        <v>18000</v>
      </c>
      <c r="T15" s="27">
        <v>18000</v>
      </c>
      <c r="U15" s="27">
        <v>18000</v>
      </c>
      <c r="V15" s="27">
        <v>0</v>
      </c>
      <c r="W15" s="27">
        <v>0</v>
      </c>
      <c r="X15" s="27">
        <v>0</v>
      </c>
      <c r="Y15" s="27">
        <v>18000</v>
      </c>
      <c r="Z15" s="27">
        <v>18000</v>
      </c>
      <c r="AA15" s="11">
        <f t="shared" si="0"/>
        <v>18000</v>
      </c>
      <c r="AB15" s="11">
        <f t="shared" si="1"/>
        <v>18000</v>
      </c>
      <c r="AC15" s="11">
        <f t="shared" si="2"/>
        <v>18000</v>
      </c>
      <c r="AD15" s="11">
        <f t="shared" si="3"/>
        <v>18000</v>
      </c>
      <c r="AE15" s="11">
        <f t="shared" si="4"/>
        <v>18000</v>
      </c>
      <c r="AF15" s="11">
        <f t="shared" si="5"/>
        <v>18000</v>
      </c>
    </row>
    <row r="16" spans="1:32" x14ac:dyDescent="0.35">
      <c r="A16" s="3">
        <v>12</v>
      </c>
      <c r="B16" s="3" t="s">
        <v>248</v>
      </c>
      <c r="C16" s="3" t="s">
        <v>304</v>
      </c>
      <c r="D16" s="27">
        <v>0</v>
      </c>
      <c r="E16" s="27">
        <v>15000</v>
      </c>
      <c r="F16" s="27">
        <v>15000</v>
      </c>
      <c r="G16" s="27">
        <v>15000</v>
      </c>
      <c r="H16" s="27">
        <v>15000</v>
      </c>
      <c r="I16" s="27">
        <v>15000</v>
      </c>
      <c r="J16" s="27">
        <v>15000</v>
      </c>
      <c r="K16" s="27">
        <v>15000</v>
      </c>
      <c r="L16" s="27">
        <v>15000</v>
      </c>
      <c r="M16" s="27">
        <v>15000</v>
      </c>
      <c r="N16" s="27">
        <v>15000</v>
      </c>
      <c r="O16" s="27">
        <v>15000</v>
      </c>
      <c r="P16" s="27">
        <v>15000</v>
      </c>
      <c r="Q16" s="27">
        <v>15000</v>
      </c>
      <c r="R16" s="27">
        <v>15000</v>
      </c>
      <c r="S16" s="27">
        <v>15000</v>
      </c>
      <c r="T16" s="27">
        <v>15000</v>
      </c>
      <c r="U16" s="27">
        <v>15000</v>
      </c>
      <c r="V16" s="27">
        <v>0</v>
      </c>
      <c r="W16" s="27">
        <v>0</v>
      </c>
      <c r="X16" s="27">
        <v>0</v>
      </c>
      <c r="Y16" s="27">
        <v>15000</v>
      </c>
      <c r="Z16" s="27">
        <v>15000</v>
      </c>
      <c r="AA16" s="11">
        <f t="shared" si="0"/>
        <v>15000</v>
      </c>
      <c r="AB16" s="11">
        <f t="shared" si="1"/>
        <v>15000</v>
      </c>
      <c r="AC16" s="11">
        <f t="shared" si="2"/>
        <v>15000</v>
      </c>
      <c r="AD16" s="11">
        <f t="shared" si="3"/>
        <v>15000</v>
      </c>
      <c r="AE16" s="11">
        <f t="shared" si="4"/>
        <v>15000</v>
      </c>
      <c r="AF16" s="11">
        <f t="shared" si="5"/>
        <v>15000</v>
      </c>
    </row>
    <row r="17" spans="1:32" x14ac:dyDescent="0.35">
      <c r="A17" s="3">
        <v>13</v>
      </c>
      <c r="B17" s="3" t="s">
        <v>243</v>
      </c>
      <c r="C17" s="3" t="s">
        <v>304</v>
      </c>
      <c r="D17" s="27">
        <v>0</v>
      </c>
      <c r="E17" s="27">
        <v>9500</v>
      </c>
      <c r="F17" s="27">
        <v>9500</v>
      </c>
      <c r="G17" s="27">
        <v>9500</v>
      </c>
      <c r="H17" s="27">
        <v>9500</v>
      </c>
      <c r="I17" s="27">
        <v>9500</v>
      </c>
      <c r="J17" s="27">
        <v>9500</v>
      </c>
      <c r="K17" s="27">
        <v>9000</v>
      </c>
      <c r="L17" s="27">
        <v>9000</v>
      </c>
      <c r="M17" s="27">
        <v>9000</v>
      </c>
      <c r="N17" s="27">
        <v>9000</v>
      </c>
      <c r="O17" s="27">
        <v>9000</v>
      </c>
      <c r="P17" s="27">
        <v>9000</v>
      </c>
      <c r="Q17" s="27">
        <v>9000</v>
      </c>
      <c r="R17" s="27">
        <v>9000</v>
      </c>
      <c r="S17" s="27">
        <v>9000</v>
      </c>
      <c r="T17" s="27">
        <v>9000</v>
      </c>
      <c r="U17" s="27">
        <v>9000</v>
      </c>
      <c r="V17" s="27">
        <v>0</v>
      </c>
      <c r="W17" s="27">
        <v>0</v>
      </c>
      <c r="X17" s="27">
        <v>0</v>
      </c>
      <c r="Y17" s="27">
        <v>9000</v>
      </c>
      <c r="Z17" s="27">
        <v>9000</v>
      </c>
      <c r="AA17" s="11">
        <f t="shared" si="0"/>
        <v>9500</v>
      </c>
      <c r="AB17" s="11">
        <f t="shared" si="1"/>
        <v>9400</v>
      </c>
      <c r="AC17" s="11">
        <f t="shared" si="2"/>
        <v>9000</v>
      </c>
      <c r="AD17" s="11">
        <f t="shared" si="3"/>
        <v>9000</v>
      </c>
      <c r="AE17" s="11">
        <f t="shared" si="4"/>
        <v>9000</v>
      </c>
      <c r="AF17" s="11">
        <f t="shared" si="5"/>
        <v>9157.894736842105</v>
      </c>
    </row>
    <row r="18" spans="1:32" x14ac:dyDescent="0.35">
      <c r="A18" s="3">
        <v>14</v>
      </c>
      <c r="B18" s="3" t="s">
        <v>245</v>
      </c>
      <c r="C18" s="3" t="s">
        <v>304</v>
      </c>
      <c r="D18" s="27">
        <v>0</v>
      </c>
      <c r="E18" s="27">
        <v>33000</v>
      </c>
      <c r="F18" s="27">
        <v>33000</v>
      </c>
      <c r="G18" s="27">
        <v>30000</v>
      </c>
      <c r="H18" s="27">
        <v>30000</v>
      </c>
      <c r="I18" s="27">
        <v>30000</v>
      </c>
      <c r="J18" s="27">
        <v>30000</v>
      </c>
      <c r="K18" s="27">
        <v>29000</v>
      </c>
      <c r="L18" s="27">
        <v>29000</v>
      </c>
      <c r="M18" s="27">
        <v>29000</v>
      </c>
      <c r="N18" s="27">
        <v>29000</v>
      </c>
      <c r="O18" s="27">
        <v>29000</v>
      </c>
      <c r="P18" s="27">
        <v>29000</v>
      </c>
      <c r="Q18" s="27">
        <v>29000</v>
      </c>
      <c r="R18" s="27">
        <v>29000</v>
      </c>
      <c r="S18" s="27">
        <v>29000</v>
      </c>
      <c r="T18" s="27">
        <v>29000</v>
      </c>
      <c r="U18" s="27">
        <v>29000</v>
      </c>
      <c r="V18" s="27">
        <v>0</v>
      </c>
      <c r="W18" s="27">
        <v>0</v>
      </c>
      <c r="X18" s="27">
        <v>0</v>
      </c>
      <c r="Y18" s="27">
        <v>29000</v>
      </c>
      <c r="Z18" s="27">
        <v>29000</v>
      </c>
      <c r="AA18" s="11">
        <f t="shared" si="0"/>
        <v>33000</v>
      </c>
      <c r="AB18" s="11">
        <f t="shared" si="1"/>
        <v>29800</v>
      </c>
      <c r="AC18" s="11">
        <f t="shared" si="2"/>
        <v>29000</v>
      </c>
      <c r="AD18" s="11">
        <f t="shared" si="3"/>
        <v>29000</v>
      </c>
      <c r="AE18" s="11">
        <f t="shared" si="4"/>
        <v>29000</v>
      </c>
      <c r="AF18" s="11">
        <f t="shared" si="5"/>
        <v>29631.57894736842</v>
      </c>
    </row>
    <row r="19" spans="1:32" x14ac:dyDescent="0.35">
      <c r="A19" s="3">
        <v>15</v>
      </c>
      <c r="B19" s="3" t="s">
        <v>252</v>
      </c>
      <c r="C19" s="3" t="s">
        <v>304</v>
      </c>
      <c r="D19" s="27">
        <v>0</v>
      </c>
      <c r="E19" s="27">
        <v>27000</v>
      </c>
      <c r="F19" s="27">
        <v>27000</v>
      </c>
      <c r="G19" s="27">
        <v>27000</v>
      </c>
      <c r="H19" s="27">
        <v>27000</v>
      </c>
      <c r="I19" s="27">
        <v>28000</v>
      </c>
      <c r="J19" s="27">
        <v>28000</v>
      </c>
      <c r="K19" s="27">
        <v>24500</v>
      </c>
      <c r="L19" s="27">
        <v>24500</v>
      </c>
      <c r="M19" s="27">
        <v>24500</v>
      </c>
      <c r="N19" s="27">
        <v>23000</v>
      </c>
      <c r="O19" s="27">
        <v>23000</v>
      </c>
      <c r="P19" s="27">
        <v>23000</v>
      </c>
      <c r="Q19" s="27">
        <v>24500</v>
      </c>
      <c r="R19" s="27">
        <v>24500</v>
      </c>
      <c r="S19" s="27">
        <v>24500</v>
      </c>
      <c r="T19" s="27">
        <v>24500</v>
      </c>
      <c r="U19" s="27">
        <v>24500</v>
      </c>
      <c r="V19" s="27">
        <v>0</v>
      </c>
      <c r="W19" s="27">
        <v>0</v>
      </c>
      <c r="X19" s="27">
        <v>0</v>
      </c>
      <c r="Y19" s="27">
        <v>24500</v>
      </c>
      <c r="Z19" s="27">
        <v>24500</v>
      </c>
      <c r="AA19" s="11">
        <f t="shared" si="0"/>
        <v>27000</v>
      </c>
      <c r="AB19" s="11">
        <f t="shared" si="1"/>
        <v>26900</v>
      </c>
      <c r="AC19" s="11">
        <f t="shared" si="2"/>
        <v>23600</v>
      </c>
      <c r="AD19" s="11">
        <f t="shared" si="3"/>
        <v>24500</v>
      </c>
      <c r="AE19" s="11">
        <f t="shared" si="4"/>
        <v>24500</v>
      </c>
      <c r="AF19" s="11">
        <f t="shared" si="5"/>
        <v>25157.894736842107</v>
      </c>
    </row>
    <row r="20" spans="1:32" x14ac:dyDescent="0.35">
      <c r="A20" s="3">
        <v>16</v>
      </c>
      <c r="B20" s="3" t="s">
        <v>263</v>
      </c>
      <c r="C20" s="3" t="s">
        <v>304</v>
      </c>
      <c r="D20" s="27">
        <v>0</v>
      </c>
      <c r="E20" s="27">
        <v>103000</v>
      </c>
      <c r="F20" s="27">
        <v>103000</v>
      </c>
      <c r="G20" s="27">
        <v>103000</v>
      </c>
      <c r="H20" s="27">
        <v>103000</v>
      </c>
      <c r="I20" s="27">
        <v>103000</v>
      </c>
      <c r="J20" s="27">
        <v>103000</v>
      </c>
      <c r="K20" s="27">
        <v>103000</v>
      </c>
      <c r="L20" s="27">
        <v>103000</v>
      </c>
      <c r="M20" s="27">
        <v>103000</v>
      </c>
      <c r="N20" s="27">
        <v>103000</v>
      </c>
      <c r="O20" s="27">
        <v>103000</v>
      </c>
      <c r="P20" s="27">
        <v>103000</v>
      </c>
      <c r="Q20" s="27">
        <v>103000</v>
      </c>
      <c r="R20" s="27">
        <v>103000</v>
      </c>
      <c r="S20" s="27">
        <v>103000</v>
      </c>
      <c r="T20" s="27">
        <v>103000</v>
      </c>
      <c r="U20" s="27">
        <v>103000</v>
      </c>
      <c r="V20" s="27">
        <v>0</v>
      </c>
      <c r="W20" s="27">
        <v>0</v>
      </c>
      <c r="X20" s="27">
        <v>0</v>
      </c>
      <c r="Y20" s="27">
        <v>103000</v>
      </c>
      <c r="Z20" s="27">
        <v>103000</v>
      </c>
      <c r="AA20" s="11">
        <f t="shared" si="0"/>
        <v>103000</v>
      </c>
      <c r="AB20" s="11">
        <f t="shared" si="1"/>
        <v>103000</v>
      </c>
      <c r="AC20" s="11">
        <f t="shared" si="2"/>
        <v>103000</v>
      </c>
      <c r="AD20" s="11">
        <f t="shared" si="3"/>
        <v>103000</v>
      </c>
      <c r="AE20" s="11">
        <f t="shared" si="4"/>
        <v>103000</v>
      </c>
      <c r="AF20" s="11">
        <f t="shared" si="5"/>
        <v>103000</v>
      </c>
    </row>
    <row r="21" spans="1:32" x14ac:dyDescent="0.35">
      <c r="A21" s="3">
        <v>17</v>
      </c>
      <c r="B21" s="3" t="s">
        <v>264</v>
      </c>
      <c r="C21" s="3" t="s">
        <v>304</v>
      </c>
      <c r="D21" s="27">
        <v>0</v>
      </c>
      <c r="E21" s="27">
        <v>70000</v>
      </c>
      <c r="F21" s="27">
        <v>70000</v>
      </c>
      <c r="G21" s="27">
        <v>60000</v>
      </c>
      <c r="H21" s="27">
        <v>60000</v>
      </c>
      <c r="I21" s="27">
        <v>60000</v>
      </c>
      <c r="J21" s="27">
        <v>60000</v>
      </c>
      <c r="K21" s="27">
        <v>60000</v>
      </c>
      <c r="L21" s="27">
        <v>60000</v>
      </c>
      <c r="M21" s="27">
        <v>60000</v>
      </c>
      <c r="N21" s="27">
        <v>60000</v>
      </c>
      <c r="O21" s="27">
        <v>60000</v>
      </c>
      <c r="P21" s="27">
        <v>60000</v>
      </c>
      <c r="Q21" s="27">
        <v>60000</v>
      </c>
      <c r="R21" s="27">
        <v>60000</v>
      </c>
      <c r="S21" s="27">
        <v>60000</v>
      </c>
      <c r="T21" s="27">
        <v>60000</v>
      </c>
      <c r="U21" s="27">
        <v>60000</v>
      </c>
      <c r="V21" s="27">
        <v>0</v>
      </c>
      <c r="W21" s="27">
        <v>0</v>
      </c>
      <c r="X21" s="27">
        <v>0</v>
      </c>
      <c r="Y21" s="27">
        <v>60000</v>
      </c>
      <c r="Z21" s="27">
        <v>60000</v>
      </c>
      <c r="AA21" s="11">
        <f t="shared" si="0"/>
        <v>70000</v>
      </c>
      <c r="AB21" s="11">
        <f t="shared" si="1"/>
        <v>60000</v>
      </c>
      <c r="AC21" s="11">
        <f t="shared" si="2"/>
        <v>60000</v>
      </c>
      <c r="AD21" s="11">
        <f t="shared" si="3"/>
        <v>60000</v>
      </c>
      <c r="AE21" s="11">
        <f t="shared" si="4"/>
        <v>60000</v>
      </c>
      <c r="AF21" s="11">
        <f t="shared" si="5"/>
        <v>61052.631578947367</v>
      </c>
    </row>
    <row r="22" spans="1:32" x14ac:dyDescent="0.35">
      <c r="A22" s="3">
        <v>18</v>
      </c>
      <c r="B22" s="3" t="s">
        <v>265</v>
      </c>
      <c r="C22" s="3" t="s">
        <v>304</v>
      </c>
      <c r="D22" s="27">
        <v>0</v>
      </c>
      <c r="E22" s="27">
        <v>80000</v>
      </c>
      <c r="F22" s="27">
        <v>80000</v>
      </c>
      <c r="G22" s="27">
        <v>70000</v>
      </c>
      <c r="H22" s="27">
        <v>70000</v>
      </c>
      <c r="I22" s="27">
        <v>70000</v>
      </c>
      <c r="J22" s="27">
        <v>70000</v>
      </c>
      <c r="K22" s="27">
        <v>70000</v>
      </c>
      <c r="L22" s="27">
        <v>70000</v>
      </c>
      <c r="M22" s="27">
        <v>70000</v>
      </c>
      <c r="N22" s="27">
        <v>70000</v>
      </c>
      <c r="O22" s="27">
        <v>70000</v>
      </c>
      <c r="P22" s="27">
        <v>70000</v>
      </c>
      <c r="Q22" s="27">
        <v>70000</v>
      </c>
      <c r="R22" s="27">
        <v>70000</v>
      </c>
      <c r="S22" s="27">
        <v>70000</v>
      </c>
      <c r="T22" s="27">
        <v>70000</v>
      </c>
      <c r="U22" s="27">
        <v>70000</v>
      </c>
      <c r="V22" s="27">
        <v>0</v>
      </c>
      <c r="W22" s="27">
        <v>0</v>
      </c>
      <c r="X22" s="27">
        <v>0</v>
      </c>
      <c r="Y22" s="27">
        <v>70000</v>
      </c>
      <c r="Z22" s="27">
        <v>70000</v>
      </c>
      <c r="AA22" s="11">
        <f t="shared" si="0"/>
        <v>80000</v>
      </c>
      <c r="AB22" s="11">
        <f t="shared" si="1"/>
        <v>70000</v>
      </c>
      <c r="AC22" s="11">
        <f t="shared" si="2"/>
        <v>70000</v>
      </c>
      <c r="AD22" s="11">
        <f t="shared" si="3"/>
        <v>70000</v>
      </c>
      <c r="AE22" s="11">
        <f t="shared" si="4"/>
        <v>70000</v>
      </c>
      <c r="AF22" s="11">
        <f t="shared" si="5"/>
        <v>71052.631578947374</v>
      </c>
    </row>
    <row r="23" spans="1:32" x14ac:dyDescent="0.35">
      <c r="A23" s="3">
        <v>19</v>
      </c>
      <c r="B23" s="3" t="s">
        <v>306</v>
      </c>
      <c r="C23" s="3" t="s">
        <v>304</v>
      </c>
      <c r="D23" s="27">
        <v>0</v>
      </c>
      <c r="E23" s="27">
        <v>32000</v>
      </c>
      <c r="F23" s="27">
        <v>32000</v>
      </c>
      <c r="G23" s="27">
        <v>30000</v>
      </c>
      <c r="H23" s="27">
        <v>30000</v>
      </c>
      <c r="I23" s="27">
        <v>30000</v>
      </c>
      <c r="J23" s="27">
        <v>30000</v>
      </c>
      <c r="K23" s="27">
        <v>30000</v>
      </c>
      <c r="L23" s="27">
        <v>30000</v>
      </c>
      <c r="M23" s="27">
        <v>30000</v>
      </c>
      <c r="N23" s="27">
        <v>30000</v>
      </c>
      <c r="O23" s="27">
        <v>30000</v>
      </c>
      <c r="P23" s="27">
        <v>30000</v>
      </c>
      <c r="Q23" s="27">
        <v>30000</v>
      </c>
      <c r="R23" s="27">
        <v>30000</v>
      </c>
      <c r="S23" s="27">
        <v>30000</v>
      </c>
      <c r="T23" s="27">
        <v>30000</v>
      </c>
      <c r="U23" s="27">
        <v>30000</v>
      </c>
      <c r="V23" s="27">
        <v>0</v>
      </c>
      <c r="W23" s="27">
        <v>0</v>
      </c>
      <c r="X23" s="27">
        <v>0</v>
      </c>
      <c r="Y23" s="27">
        <v>30000</v>
      </c>
      <c r="Z23" s="27">
        <v>30000</v>
      </c>
      <c r="AA23" s="11">
        <f t="shared" si="0"/>
        <v>32000</v>
      </c>
      <c r="AB23" s="11">
        <f t="shared" si="1"/>
        <v>30000</v>
      </c>
      <c r="AC23" s="11">
        <f t="shared" si="2"/>
        <v>30000</v>
      </c>
      <c r="AD23" s="11">
        <f t="shared" si="3"/>
        <v>30000</v>
      </c>
      <c r="AE23" s="11">
        <f t="shared" si="4"/>
        <v>30000</v>
      </c>
      <c r="AF23" s="11">
        <f t="shared" si="5"/>
        <v>30210.526315789473</v>
      </c>
    </row>
    <row r="24" spans="1:32" x14ac:dyDescent="0.35">
      <c r="A24" s="3">
        <v>20</v>
      </c>
      <c r="B24" s="3" t="s">
        <v>254</v>
      </c>
      <c r="C24" s="3" t="s">
        <v>304</v>
      </c>
      <c r="D24" s="27">
        <v>0</v>
      </c>
      <c r="E24" s="27">
        <v>35000</v>
      </c>
      <c r="F24" s="27">
        <v>35000</v>
      </c>
      <c r="G24" s="27">
        <v>32000</v>
      </c>
      <c r="H24" s="27">
        <v>32000</v>
      </c>
      <c r="I24" s="27">
        <v>32000</v>
      </c>
      <c r="J24" s="27">
        <v>32000</v>
      </c>
      <c r="K24" s="27">
        <v>35000</v>
      </c>
      <c r="L24" s="27">
        <v>35000</v>
      </c>
      <c r="M24" s="27">
        <v>35000</v>
      </c>
      <c r="N24" s="27">
        <v>35000</v>
      </c>
      <c r="O24" s="27">
        <v>35000</v>
      </c>
      <c r="P24" s="27">
        <v>35000</v>
      </c>
      <c r="Q24" s="27">
        <v>35000</v>
      </c>
      <c r="R24" s="27">
        <v>35000</v>
      </c>
      <c r="S24" s="27">
        <v>35000</v>
      </c>
      <c r="T24" s="27">
        <v>35000</v>
      </c>
      <c r="U24" s="27">
        <v>35000</v>
      </c>
      <c r="V24" s="27">
        <v>0</v>
      </c>
      <c r="W24" s="27">
        <v>0</v>
      </c>
      <c r="X24" s="27">
        <v>0</v>
      </c>
      <c r="Y24" s="27">
        <v>35000</v>
      </c>
      <c r="Z24" s="27">
        <v>35000</v>
      </c>
      <c r="AA24" s="11">
        <f t="shared" si="0"/>
        <v>35000</v>
      </c>
      <c r="AB24" s="11">
        <f t="shared" si="1"/>
        <v>32600</v>
      </c>
      <c r="AC24" s="11">
        <f t="shared" si="2"/>
        <v>35000</v>
      </c>
      <c r="AD24" s="11">
        <f t="shared" si="3"/>
        <v>35000</v>
      </c>
      <c r="AE24" s="11">
        <f t="shared" si="4"/>
        <v>35000</v>
      </c>
      <c r="AF24" s="11">
        <f t="shared" si="5"/>
        <v>34368.42105263158</v>
      </c>
    </row>
    <row r="25" spans="1:32" x14ac:dyDescent="0.35">
      <c r="A25" s="3">
        <v>21</v>
      </c>
      <c r="B25" s="3" t="s">
        <v>307</v>
      </c>
      <c r="C25" s="3" t="s">
        <v>304</v>
      </c>
      <c r="D25" s="27">
        <v>0</v>
      </c>
      <c r="E25" s="27">
        <v>75000</v>
      </c>
      <c r="F25" s="27">
        <v>75000</v>
      </c>
      <c r="G25" s="27">
        <v>70000</v>
      </c>
      <c r="H25" s="27">
        <v>70000</v>
      </c>
      <c r="I25" s="27">
        <v>70000</v>
      </c>
      <c r="J25" s="27">
        <v>70000</v>
      </c>
      <c r="K25" s="27">
        <v>75000</v>
      </c>
      <c r="L25" s="27">
        <v>75000</v>
      </c>
      <c r="M25" s="27">
        <v>75000</v>
      </c>
      <c r="N25" s="27">
        <v>75000</v>
      </c>
      <c r="O25" s="27">
        <v>75000</v>
      </c>
      <c r="P25" s="27">
        <v>75000</v>
      </c>
      <c r="Q25" s="27">
        <v>75000</v>
      </c>
      <c r="R25" s="27">
        <v>75000</v>
      </c>
      <c r="S25" s="27">
        <v>75000</v>
      </c>
      <c r="T25" s="27">
        <v>75000</v>
      </c>
      <c r="U25" s="27">
        <v>75000</v>
      </c>
      <c r="V25" s="27">
        <v>0</v>
      </c>
      <c r="W25" s="27">
        <v>0</v>
      </c>
      <c r="X25" s="27">
        <v>0</v>
      </c>
      <c r="Y25" s="27">
        <v>75000</v>
      </c>
      <c r="Z25" s="27">
        <v>75000</v>
      </c>
      <c r="AA25" s="11">
        <f t="shared" si="0"/>
        <v>75000</v>
      </c>
      <c r="AB25" s="11">
        <f t="shared" si="1"/>
        <v>71000</v>
      </c>
      <c r="AC25" s="11">
        <f t="shared" si="2"/>
        <v>75000</v>
      </c>
      <c r="AD25" s="11">
        <f t="shared" si="3"/>
        <v>75000</v>
      </c>
      <c r="AE25" s="11">
        <f t="shared" si="4"/>
        <v>75000</v>
      </c>
      <c r="AF25" s="11">
        <f t="shared" si="5"/>
        <v>73947.368421052626</v>
      </c>
    </row>
    <row r="26" spans="1:32" x14ac:dyDescent="0.35">
      <c r="A26" s="3">
        <v>22</v>
      </c>
      <c r="B26" s="3" t="s">
        <v>259</v>
      </c>
      <c r="C26" s="3" t="s">
        <v>304</v>
      </c>
      <c r="D26" s="27">
        <v>0</v>
      </c>
      <c r="E26" s="27">
        <v>2800</v>
      </c>
      <c r="F26" s="27">
        <v>2800</v>
      </c>
      <c r="G26" s="27">
        <v>2800</v>
      </c>
      <c r="H26" s="27">
        <v>2800</v>
      </c>
      <c r="I26" s="27">
        <v>2800</v>
      </c>
      <c r="J26" s="27">
        <v>2800</v>
      </c>
      <c r="K26" s="27">
        <v>2800</v>
      </c>
      <c r="L26" s="27">
        <v>2800</v>
      </c>
      <c r="M26" s="27">
        <v>2800</v>
      </c>
      <c r="N26" s="27">
        <v>2800</v>
      </c>
      <c r="O26" s="27">
        <v>2800</v>
      </c>
      <c r="P26" s="27">
        <v>2800</v>
      </c>
      <c r="Q26" s="27">
        <v>2800</v>
      </c>
      <c r="R26" s="27">
        <v>2800</v>
      </c>
      <c r="S26" s="27">
        <v>2800</v>
      </c>
      <c r="T26" s="27">
        <v>2800</v>
      </c>
      <c r="U26" s="27">
        <v>2800</v>
      </c>
      <c r="V26" s="27">
        <v>0</v>
      </c>
      <c r="W26" s="27">
        <v>0</v>
      </c>
      <c r="X26" s="27">
        <v>0</v>
      </c>
      <c r="Y26" s="27">
        <v>2800</v>
      </c>
      <c r="Z26" s="27">
        <v>2800</v>
      </c>
      <c r="AA26" s="11">
        <f t="shared" si="0"/>
        <v>2800</v>
      </c>
      <c r="AB26" s="11">
        <f t="shared" si="1"/>
        <v>2800</v>
      </c>
      <c r="AC26" s="11">
        <f t="shared" si="2"/>
        <v>2800</v>
      </c>
      <c r="AD26" s="11">
        <f t="shared" si="3"/>
        <v>2800</v>
      </c>
      <c r="AE26" s="11">
        <f t="shared" si="4"/>
        <v>2800</v>
      </c>
      <c r="AF26" s="11">
        <f t="shared" si="5"/>
        <v>2800</v>
      </c>
    </row>
    <row r="27" spans="1:32" x14ac:dyDescent="0.35">
      <c r="A27" s="3">
        <v>23</v>
      </c>
      <c r="B27" s="3" t="s">
        <v>257</v>
      </c>
      <c r="C27" s="3" t="s">
        <v>304</v>
      </c>
      <c r="D27" s="27">
        <v>0</v>
      </c>
      <c r="E27" s="27">
        <v>34000</v>
      </c>
      <c r="F27" s="27">
        <v>34000</v>
      </c>
      <c r="G27" s="27">
        <v>34000</v>
      </c>
      <c r="H27" s="27">
        <v>34000</v>
      </c>
      <c r="I27" s="27">
        <v>34000</v>
      </c>
      <c r="J27" s="27">
        <v>34000</v>
      </c>
      <c r="K27" s="27">
        <v>34000</v>
      </c>
      <c r="L27" s="27">
        <v>34000</v>
      </c>
      <c r="M27" s="27">
        <v>34000</v>
      </c>
      <c r="N27" s="27">
        <v>34000</v>
      </c>
      <c r="O27" s="27">
        <v>34000</v>
      </c>
      <c r="P27" s="27">
        <v>34000</v>
      </c>
      <c r="Q27" s="27">
        <v>34000</v>
      </c>
      <c r="R27" s="27">
        <v>34000</v>
      </c>
      <c r="S27" s="27">
        <v>34000</v>
      </c>
      <c r="T27" s="27">
        <v>34000</v>
      </c>
      <c r="U27" s="27">
        <v>34000</v>
      </c>
      <c r="V27" s="27">
        <v>0</v>
      </c>
      <c r="W27" s="27">
        <v>0</v>
      </c>
      <c r="X27" s="27">
        <v>0</v>
      </c>
      <c r="Y27" s="27">
        <v>34000</v>
      </c>
      <c r="Z27" s="27">
        <v>34000</v>
      </c>
      <c r="AA27" s="11">
        <f t="shared" si="0"/>
        <v>34000</v>
      </c>
      <c r="AB27" s="11">
        <f t="shared" si="1"/>
        <v>34000</v>
      </c>
      <c r="AC27" s="11">
        <f t="shared" si="2"/>
        <v>34000</v>
      </c>
      <c r="AD27" s="11">
        <f t="shared" si="3"/>
        <v>34000</v>
      </c>
      <c r="AE27" s="11">
        <f t="shared" si="4"/>
        <v>34000</v>
      </c>
      <c r="AF27" s="11">
        <f t="shared" si="5"/>
        <v>34000</v>
      </c>
    </row>
    <row r="28" spans="1:32" x14ac:dyDescent="0.35">
      <c r="A28" s="3">
        <v>24</v>
      </c>
      <c r="B28" s="3" t="s">
        <v>258</v>
      </c>
      <c r="C28" s="3" t="s">
        <v>304</v>
      </c>
      <c r="D28" s="27">
        <v>0</v>
      </c>
      <c r="E28" s="27">
        <v>38000</v>
      </c>
      <c r="F28" s="27">
        <v>38000</v>
      </c>
      <c r="G28" s="27">
        <v>38000</v>
      </c>
      <c r="H28" s="27">
        <v>38000</v>
      </c>
      <c r="I28" s="27">
        <v>38000</v>
      </c>
      <c r="J28" s="27">
        <v>38000</v>
      </c>
      <c r="K28" s="27">
        <v>38000</v>
      </c>
      <c r="L28" s="27">
        <v>38000</v>
      </c>
      <c r="M28" s="27">
        <v>38000</v>
      </c>
      <c r="N28" s="27">
        <v>38000</v>
      </c>
      <c r="O28" s="27">
        <v>38000</v>
      </c>
      <c r="P28" s="27">
        <v>38000</v>
      </c>
      <c r="Q28" s="27">
        <v>38000</v>
      </c>
      <c r="R28" s="27">
        <v>38000</v>
      </c>
      <c r="S28" s="27">
        <v>38000</v>
      </c>
      <c r="T28" s="27">
        <v>38000</v>
      </c>
      <c r="U28" s="27">
        <v>38000</v>
      </c>
      <c r="V28" s="27">
        <v>0</v>
      </c>
      <c r="W28" s="27">
        <v>0</v>
      </c>
      <c r="X28" s="27">
        <v>0</v>
      </c>
      <c r="Y28" s="27">
        <v>38000</v>
      </c>
      <c r="Z28" s="27">
        <v>38000</v>
      </c>
      <c r="AA28" s="11">
        <f t="shared" si="0"/>
        <v>38000</v>
      </c>
      <c r="AB28" s="11">
        <f t="shared" si="1"/>
        <v>38000</v>
      </c>
      <c r="AC28" s="11">
        <f t="shared" si="2"/>
        <v>38000</v>
      </c>
      <c r="AD28" s="11">
        <f t="shared" si="3"/>
        <v>38000</v>
      </c>
      <c r="AE28" s="11">
        <f t="shared" si="4"/>
        <v>38000</v>
      </c>
      <c r="AF28" s="11">
        <f t="shared" si="5"/>
        <v>38000</v>
      </c>
    </row>
    <row r="29" spans="1:32" x14ac:dyDescent="0.35">
      <c r="A29" s="3">
        <v>25</v>
      </c>
      <c r="B29" s="3" t="s">
        <v>308</v>
      </c>
      <c r="C29" s="3" t="s">
        <v>304</v>
      </c>
      <c r="D29" s="27">
        <v>0</v>
      </c>
      <c r="E29" s="27">
        <v>27000</v>
      </c>
      <c r="F29" s="27">
        <v>27000</v>
      </c>
      <c r="G29" s="27">
        <v>25000</v>
      </c>
      <c r="H29" s="27">
        <v>25000</v>
      </c>
      <c r="I29" s="27">
        <v>25000</v>
      </c>
      <c r="J29" s="27">
        <v>25000</v>
      </c>
      <c r="K29" s="27">
        <v>25000</v>
      </c>
      <c r="L29" s="27">
        <v>25000</v>
      </c>
      <c r="M29" s="27">
        <v>25000</v>
      </c>
      <c r="N29" s="27">
        <v>25000</v>
      </c>
      <c r="O29" s="27">
        <v>25000</v>
      </c>
      <c r="P29" s="27">
        <v>25000</v>
      </c>
      <c r="Q29" s="27">
        <v>25000</v>
      </c>
      <c r="R29" s="27">
        <v>25000</v>
      </c>
      <c r="S29" s="27">
        <v>25000</v>
      </c>
      <c r="T29" s="27">
        <v>25000</v>
      </c>
      <c r="U29" s="27">
        <v>25000</v>
      </c>
      <c r="V29" s="27">
        <v>0</v>
      </c>
      <c r="W29" s="27">
        <v>0</v>
      </c>
      <c r="X29" s="27">
        <v>0</v>
      </c>
      <c r="Y29" s="27">
        <v>25000</v>
      </c>
      <c r="Z29" s="27">
        <v>25000</v>
      </c>
      <c r="AA29" s="11">
        <f t="shared" si="0"/>
        <v>27000</v>
      </c>
      <c r="AB29" s="11">
        <f t="shared" si="1"/>
        <v>25000</v>
      </c>
      <c r="AC29" s="11">
        <f t="shared" si="2"/>
        <v>25000</v>
      </c>
      <c r="AD29" s="11">
        <f t="shared" si="3"/>
        <v>25000</v>
      </c>
      <c r="AE29" s="11">
        <f t="shared" si="4"/>
        <v>25000</v>
      </c>
      <c r="AF29" s="11">
        <f t="shared" si="5"/>
        <v>25210.526315789473</v>
      </c>
    </row>
    <row r="30" spans="1:32" x14ac:dyDescent="0.35">
      <c r="A30" s="3">
        <v>26</v>
      </c>
      <c r="B30" s="3" t="s">
        <v>309</v>
      </c>
      <c r="C30" s="3" t="s">
        <v>304</v>
      </c>
      <c r="D30" s="27">
        <v>0</v>
      </c>
      <c r="E30" s="27">
        <v>8000</v>
      </c>
      <c r="F30" s="27">
        <v>8000</v>
      </c>
      <c r="G30" s="27">
        <v>8000</v>
      </c>
      <c r="H30" s="27">
        <v>8000</v>
      </c>
      <c r="I30" s="27">
        <v>8000</v>
      </c>
      <c r="J30" s="27">
        <v>8000</v>
      </c>
      <c r="K30" s="27">
        <v>8000</v>
      </c>
      <c r="L30" s="27">
        <v>8000</v>
      </c>
      <c r="M30" s="27">
        <v>8000</v>
      </c>
      <c r="N30" s="27">
        <v>8000</v>
      </c>
      <c r="O30" s="27">
        <v>8000</v>
      </c>
      <c r="P30" s="27">
        <v>8000</v>
      </c>
      <c r="Q30" s="27">
        <v>8000</v>
      </c>
      <c r="R30" s="27">
        <v>8000</v>
      </c>
      <c r="S30" s="27">
        <v>8000</v>
      </c>
      <c r="T30" s="27">
        <v>8000</v>
      </c>
      <c r="U30" s="27">
        <v>8000</v>
      </c>
      <c r="V30" s="27">
        <v>0</v>
      </c>
      <c r="W30" s="27">
        <v>0</v>
      </c>
      <c r="X30" s="27">
        <v>0</v>
      </c>
      <c r="Y30" s="27">
        <v>8000</v>
      </c>
      <c r="Z30" s="27">
        <v>8000</v>
      </c>
      <c r="AA30" s="11">
        <f t="shared" si="0"/>
        <v>8000</v>
      </c>
      <c r="AB30" s="11">
        <f t="shared" si="1"/>
        <v>8000</v>
      </c>
      <c r="AC30" s="11">
        <f t="shared" si="2"/>
        <v>8000</v>
      </c>
      <c r="AD30" s="11">
        <f t="shared" si="3"/>
        <v>8000</v>
      </c>
      <c r="AE30" s="11">
        <f t="shared" si="4"/>
        <v>8000</v>
      </c>
      <c r="AF30" s="11">
        <f t="shared" si="5"/>
        <v>8000</v>
      </c>
    </row>
    <row r="31" spans="1:32" x14ac:dyDescent="0.35">
      <c r="A31" s="3">
        <v>27</v>
      </c>
      <c r="B31" s="3" t="s">
        <v>260</v>
      </c>
      <c r="C31" s="3" t="s">
        <v>304</v>
      </c>
      <c r="D31" s="27">
        <v>0</v>
      </c>
      <c r="E31" s="27">
        <v>10500</v>
      </c>
      <c r="F31" s="27">
        <v>10500</v>
      </c>
      <c r="G31" s="27">
        <v>10500</v>
      </c>
      <c r="H31" s="27">
        <v>10500</v>
      </c>
      <c r="I31" s="27">
        <v>10500</v>
      </c>
      <c r="J31" s="27">
        <v>10500</v>
      </c>
      <c r="K31" s="27">
        <v>10500</v>
      </c>
      <c r="L31" s="27">
        <v>10500</v>
      </c>
      <c r="M31" s="27">
        <v>10500</v>
      </c>
      <c r="N31" s="27">
        <v>10500</v>
      </c>
      <c r="O31" s="27">
        <v>10500</v>
      </c>
      <c r="P31" s="27">
        <v>10500</v>
      </c>
      <c r="Q31" s="27">
        <v>10500</v>
      </c>
      <c r="R31" s="27">
        <v>10500</v>
      </c>
      <c r="S31" s="27">
        <v>10500</v>
      </c>
      <c r="T31" s="27">
        <v>10500</v>
      </c>
      <c r="U31" s="27">
        <v>10500</v>
      </c>
      <c r="V31" s="27">
        <v>0</v>
      </c>
      <c r="W31" s="27">
        <v>0</v>
      </c>
      <c r="X31" s="27">
        <v>0</v>
      </c>
      <c r="Y31" s="27">
        <v>10500</v>
      </c>
      <c r="Z31" s="27">
        <v>10500</v>
      </c>
      <c r="AA31" s="11">
        <f t="shared" si="0"/>
        <v>10500</v>
      </c>
      <c r="AB31" s="11">
        <f t="shared" si="1"/>
        <v>10500</v>
      </c>
      <c r="AC31" s="11">
        <f t="shared" si="2"/>
        <v>10500</v>
      </c>
      <c r="AD31" s="11">
        <f t="shared" si="3"/>
        <v>10500</v>
      </c>
      <c r="AE31" s="11">
        <f t="shared" si="4"/>
        <v>10500</v>
      </c>
      <c r="AF31" s="11">
        <f t="shared" si="5"/>
        <v>10500</v>
      </c>
    </row>
    <row r="32" spans="1:32" x14ac:dyDescent="0.35">
      <c r="A32" s="3">
        <v>28</v>
      </c>
      <c r="B32" s="3" t="s">
        <v>255</v>
      </c>
      <c r="C32" s="3" t="s">
        <v>304</v>
      </c>
      <c r="D32" s="27">
        <v>0</v>
      </c>
      <c r="E32" s="27">
        <v>42000</v>
      </c>
      <c r="F32" s="27">
        <v>42000</v>
      </c>
      <c r="G32" s="27">
        <v>42000</v>
      </c>
      <c r="H32" s="27">
        <v>42000</v>
      </c>
      <c r="I32" s="27">
        <v>42000</v>
      </c>
      <c r="J32" s="27">
        <v>42000</v>
      </c>
      <c r="K32" s="27">
        <v>42000</v>
      </c>
      <c r="L32" s="27">
        <v>42000</v>
      </c>
      <c r="M32" s="27">
        <v>42000</v>
      </c>
      <c r="N32" s="27">
        <v>42000</v>
      </c>
      <c r="O32" s="27">
        <v>42000</v>
      </c>
      <c r="P32" s="27">
        <v>42000</v>
      </c>
      <c r="Q32" s="27">
        <v>42000</v>
      </c>
      <c r="R32" s="27">
        <v>42000</v>
      </c>
      <c r="S32" s="27">
        <v>42000</v>
      </c>
      <c r="T32" s="27">
        <v>42000</v>
      </c>
      <c r="U32" s="27">
        <v>42000</v>
      </c>
      <c r="V32" s="27">
        <v>0</v>
      </c>
      <c r="W32" s="27">
        <v>0</v>
      </c>
      <c r="X32" s="27">
        <v>0</v>
      </c>
      <c r="Y32" s="27">
        <v>42000</v>
      </c>
      <c r="Z32" s="27">
        <v>42000</v>
      </c>
      <c r="AA32" s="11">
        <f t="shared" si="0"/>
        <v>42000</v>
      </c>
      <c r="AB32" s="11">
        <f t="shared" si="1"/>
        <v>42000</v>
      </c>
      <c r="AC32" s="11">
        <f t="shared" si="2"/>
        <v>42000</v>
      </c>
      <c r="AD32" s="11">
        <f t="shared" si="3"/>
        <v>42000</v>
      </c>
      <c r="AE32" s="11">
        <f t="shared" si="4"/>
        <v>42000</v>
      </c>
      <c r="AF32" s="11">
        <f t="shared" si="5"/>
        <v>42000</v>
      </c>
    </row>
    <row r="33" spans="1:32" x14ac:dyDescent="0.35">
      <c r="A33" s="3">
        <v>29</v>
      </c>
      <c r="B33" s="3" t="s">
        <v>266</v>
      </c>
      <c r="C33" s="3" t="s">
        <v>304</v>
      </c>
      <c r="D33" s="27">
        <v>0</v>
      </c>
      <c r="E33" s="27">
        <v>9000</v>
      </c>
      <c r="F33" s="27">
        <v>9000</v>
      </c>
      <c r="G33" s="27">
        <v>9000</v>
      </c>
      <c r="H33" s="27">
        <v>9000</v>
      </c>
      <c r="I33" s="27">
        <v>9000</v>
      </c>
      <c r="J33" s="27">
        <v>9000</v>
      </c>
      <c r="K33" s="27">
        <v>9000</v>
      </c>
      <c r="L33" s="27">
        <v>9000</v>
      </c>
      <c r="M33" s="27">
        <v>9000</v>
      </c>
      <c r="N33" s="27">
        <v>9000</v>
      </c>
      <c r="O33" s="27">
        <v>9000</v>
      </c>
      <c r="P33" s="27">
        <v>9000</v>
      </c>
      <c r="Q33" s="27">
        <v>9000</v>
      </c>
      <c r="R33" s="27">
        <v>9000</v>
      </c>
      <c r="S33" s="27">
        <v>9000</v>
      </c>
      <c r="T33" s="27">
        <v>9000</v>
      </c>
      <c r="U33" s="27">
        <v>9000</v>
      </c>
      <c r="V33" s="27">
        <v>0</v>
      </c>
      <c r="W33" s="27">
        <v>0</v>
      </c>
      <c r="X33" s="27">
        <v>0</v>
      </c>
      <c r="Y33" s="27">
        <v>9000</v>
      </c>
      <c r="Z33" s="27">
        <v>9000</v>
      </c>
      <c r="AA33" s="11">
        <f t="shared" si="0"/>
        <v>9000</v>
      </c>
      <c r="AB33" s="11">
        <f t="shared" si="1"/>
        <v>9000</v>
      </c>
      <c r="AC33" s="11">
        <f t="shared" si="2"/>
        <v>9000</v>
      </c>
      <c r="AD33" s="11">
        <f t="shared" si="3"/>
        <v>9000</v>
      </c>
      <c r="AE33" s="11">
        <f t="shared" si="4"/>
        <v>9000</v>
      </c>
      <c r="AF33" s="11">
        <f t="shared" si="5"/>
        <v>9000</v>
      </c>
    </row>
    <row r="34" spans="1:32" x14ac:dyDescent="0.35">
      <c r="A34" s="3">
        <v>30</v>
      </c>
      <c r="B34" s="3" t="s">
        <v>244</v>
      </c>
      <c r="C34" s="3" t="s">
        <v>304</v>
      </c>
      <c r="D34" s="27">
        <v>0</v>
      </c>
      <c r="E34" s="27">
        <v>4750</v>
      </c>
      <c r="F34" s="27">
        <v>4750</v>
      </c>
      <c r="G34" s="27">
        <v>4750</v>
      </c>
      <c r="H34" s="27">
        <v>4750</v>
      </c>
      <c r="I34" s="27">
        <v>4750</v>
      </c>
      <c r="J34" s="27">
        <v>4750</v>
      </c>
      <c r="K34" s="27">
        <v>4750</v>
      </c>
      <c r="L34" s="27">
        <v>4750</v>
      </c>
      <c r="M34" s="27">
        <v>4750</v>
      </c>
      <c r="N34" s="27">
        <v>4750</v>
      </c>
      <c r="O34" s="27">
        <v>4750</v>
      </c>
      <c r="P34" s="27">
        <v>4750</v>
      </c>
      <c r="Q34" s="27">
        <v>4750</v>
      </c>
      <c r="R34" s="27">
        <v>4750</v>
      </c>
      <c r="S34" s="27">
        <v>4750</v>
      </c>
      <c r="T34" s="27">
        <v>4750</v>
      </c>
      <c r="U34" s="27">
        <v>4750</v>
      </c>
      <c r="V34" s="27">
        <v>0</v>
      </c>
      <c r="W34" s="27">
        <v>0</v>
      </c>
      <c r="X34" s="27">
        <v>0</v>
      </c>
      <c r="Y34" s="27">
        <v>4750</v>
      </c>
      <c r="Z34" s="27">
        <v>4750</v>
      </c>
      <c r="AA34" s="11">
        <f t="shared" si="0"/>
        <v>4750</v>
      </c>
      <c r="AB34" s="11">
        <f t="shared" si="1"/>
        <v>4750</v>
      </c>
      <c r="AC34" s="11">
        <f t="shared" si="2"/>
        <v>4750</v>
      </c>
      <c r="AD34" s="11">
        <f t="shared" si="3"/>
        <v>4750</v>
      </c>
      <c r="AE34" s="11">
        <f t="shared" si="4"/>
        <v>4750</v>
      </c>
      <c r="AF34" s="11">
        <f t="shared" si="5"/>
        <v>4750</v>
      </c>
    </row>
    <row r="35" spans="1:32" x14ac:dyDescent="0.35">
      <c r="A35" s="3">
        <v>31</v>
      </c>
      <c r="B35" s="3" t="s">
        <v>249</v>
      </c>
      <c r="C35" s="3" t="s">
        <v>304</v>
      </c>
      <c r="D35" s="27">
        <v>0</v>
      </c>
      <c r="E35" s="27">
        <v>68000</v>
      </c>
      <c r="F35" s="27">
        <v>68000</v>
      </c>
      <c r="G35" s="27">
        <v>68000</v>
      </c>
      <c r="H35" s="27">
        <v>68000</v>
      </c>
      <c r="I35" s="27">
        <v>68000</v>
      </c>
      <c r="J35" s="27">
        <v>68000</v>
      </c>
      <c r="K35" s="27">
        <v>68000</v>
      </c>
      <c r="L35" s="27">
        <v>68000</v>
      </c>
      <c r="M35" s="27">
        <v>68000</v>
      </c>
      <c r="N35" s="27">
        <v>68000</v>
      </c>
      <c r="O35" s="27">
        <v>68000</v>
      </c>
      <c r="P35" s="27">
        <v>68000</v>
      </c>
      <c r="Q35" s="27">
        <v>68000</v>
      </c>
      <c r="R35" s="27">
        <v>68000</v>
      </c>
      <c r="S35" s="27">
        <v>68000</v>
      </c>
      <c r="T35" s="27">
        <v>68000</v>
      </c>
      <c r="U35" s="27">
        <v>68000</v>
      </c>
      <c r="V35" s="27">
        <v>0</v>
      </c>
      <c r="W35" s="27">
        <v>0</v>
      </c>
      <c r="X35" s="27">
        <v>0</v>
      </c>
      <c r="Y35" s="27">
        <v>68000</v>
      </c>
      <c r="Z35" s="27">
        <v>68000</v>
      </c>
      <c r="AA35" s="11">
        <f t="shared" si="0"/>
        <v>68000</v>
      </c>
      <c r="AB35" s="11">
        <f t="shared" si="1"/>
        <v>68000</v>
      </c>
      <c r="AC35" s="11">
        <f t="shared" si="2"/>
        <v>68000</v>
      </c>
      <c r="AD35" s="11">
        <f t="shared" si="3"/>
        <v>68000</v>
      </c>
      <c r="AE35" s="11">
        <f t="shared" si="4"/>
        <v>68000</v>
      </c>
      <c r="AF35" s="11">
        <f t="shared" si="5"/>
        <v>68000</v>
      </c>
    </row>
    <row r="36" spans="1:32" x14ac:dyDescent="0.35">
      <c r="A36" s="3">
        <v>32</v>
      </c>
      <c r="B36" s="3" t="s">
        <v>250</v>
      </c>
      <c r="C36" s="3" t="s">
        <v>304</v>
      </c>
      <c r="D36" s="27">
        <v>0</v>
      </c>
      <c r="E36" s="27">
        <v>13000</v>
      </c>
      <c r="F36" s="27">
        <v>13000</v>
      </c>
      <c r="G36" s="27">
        <v>13000</v>
      </c>
      <c r="H36" s="27">
        <v>13000</v>
      </c>
      <c r="I36" s="27">
        <v>13000</v>
      </c>
      <c r="J36" s="27">
        <v>13000</v>
      </c>
      <c r="K36" s="27">
        <v>13000</v>
      </c>
      <c r="L36" s="27">
        <v>13000</v>
      </c>
      <c r="M36" s="27">
        <v>13000</v>
      </c>
      <c r="N36" s="27">
        <v>13000</v>
      </c>
      <c r="O36" s="27">
        <v>13000</v>
      </c>
      <c r="P36" s="27">
        <v>13000</v>
      </c>
      <c r="Q36" s="27">
        <v>13000</v>
      </c>
      <c r="R36" s="27">
        <v>13000</v>
      </c>
      <c r="S36" s="27">
        <v>13000</v>
      </c>
      <c r="T36" s="27">
        <v>13000</v>
      </c>
      <c r="U36" s="27">
        <v>13000</v>
      </c>
      <c r="V36" s="27">
        <v>0</v>
      </c>
      <c r="W36" s="27">
        <v>0</v>
      </c>
      <c r="X36" s="27">
        <v>0</v>
      </c>
      <c r="Y36" s="27">
        <v>13000</v>
      </c>
      <c r="Z36" s="27">
        <v>13000</v>
      </c>
      <c r="AA36" s="11">
        <f t="shared" si="0"/>
        <v>13000</v>
      </c>
      <c r="AB36" s="11">
        <f t="shared" si="1"/>
        <v>13000</v>
      </c>
      <c r="AC36" s="11">
        <f t="shared" si="2"/>
        <v>13000</v>
      </c>
      <c r="AD36" s="11">
        <f t="shared" si="3"/>
        <v>13000</v>
      </c>
      <c r="AE36" s="11">
        <f t="shared" si="4"/>
        <v>13000</v>
      </c>
      <c r="AF36" s="11">
        <f t="shared" si="5"/>
        <v>13000</v>
      </c>
    </row>
    <row r="37" spans="1:32" x14ac:dyDescent="0.35">
      <c r="A37" s="3">
        <v>33</v>
      </c>
      <c r="B37" s="3" t="s">
        <v>267</v>
      </c>
      <c r="C37" s="3" t="s">
        <v>304</v>
      </c>
      <c r="D37" s="27">
        <v>0</v>
      </c>
      <c r="E37" s="27">
        <v>9000</v>
      </c>
      <c r="F37" s="27">
        <v>9000</v>
      </c>
      <c r="G37" s="27">
        <v>9000</v>
      </c>
      <c r="H37" s="27">
        <v>9000</v>
      </c>
      <c r="I37" s="27">
        <v>9000</v>
      </c>
      <c r="J37" s="27">
        <v>9000</v>
      </c>
      <c r="K37" s="27">
        <v>9000</v>
      </c>
      <c r="L37" s="27">
        <v>9000</v>
      </c>
      <c r="M37" s="27">
        <v>9000</v>
      </c>
      <c r="N37" s="27">
        <v>9000</v>
      </c>
      <c r="O37" s="27">
        <v>9000</v>
      </c>
      <c r="P37" s="27">
        <v>9000</v>
      </c>
      <c r="Q37" s="27">
        <v>9000</v>
      </c>
      <c r="R37" s="27">
        <v>9000</v>
      </c>
      <c r="S37" s="27">
        <v>9000</v>
      </c>
      <c r="T37" s="27">
        <v>9000</v>
      </c>
      <c r="U37" s="27">
        <v>9000</v>
      </c>
      <c r="V37" s="27">
        <v>0</v>
      </c>
      <c r="W37" s="27">
        <v>0</v>
      </c>
      <c r="X37" s="27">
        <v>0</v>
      </c>
      <c r="Y37" s="27">
        <v>9000</v>
      </c>
      <c r="Z37" s="27">
        <v>9000</v>
      </c>
      <c r="AA37" s="11">
        <f t="shared" si="0"/>
        <v>9000</v>
      </c>
      <c r="AB37" s="11">
        <f t="shared" si="1"/>
        <v>9000</v>
      </c>
      <c r="AC37" s="11">
        <f t="shared" si="2"/>
        <v>9000</v>
      </c>
      <c r="AD37" s="11">
        <f t="shared" si="3"/>
        <v>9000</v>
      </c>
      <c r="AE37" s="11">
        <f t="shared" si="4"/>
        <v>9000</v>
      </c>
      <c r="AF37" s="11">
        <f t="shared" si="5"/>
        <v>9000</v>
      </c>
    </row>
    <row r="38" spans="1:32" x14ac:dyDescent="0.35">
      <c r="A38" s="3">
        <v>34</v>
      </c>
      <c r="B38" s="3" t="s">
        <v>310</v>
      </c>
      <c r="C38" s="3" t="s">
        <v>304</v>
      </c>
      <c r="D38" s="27">
        <v>0</v>
      </c>
      <c r="E38" s="27">
        <v>6000</v>
      </c>
      <c r="F38" s="27">
        <v>6000</v>
      </c>
      <c r="G38" s="27">
        <v>6000</v>
      </c>
      <c r="H38" s="27">
        <v>6000</v>
      </c>
      <c r="I38" s="27">
        <v>6000</v>
      </c>
      <c r="J38" s="27">
        <v>6000</v>
      </c>
      <c r="K38" s="27">
        <v>6000</v>
      </c>
      <c r="L38" s="27">
        <v>6000</v>
      </c>
      <c r="M38" s="27">
        <v>6000</v>
      </c>
      <c r="N38" s="27">
        <v>6000</v>
      </c>
      <c r="O38" s="27">
        <v>6000</v>
      </c>
      <c r="P38" s="27">
        <v>6000</v>
      </c>
      <c r="Q38" s="27">
        <v>6000</v>
      </c>
      <c r="R38" s="27">
        <v>6000</v>
      </c>
      <c r="S38" s="27">
        <v>6000</v>
      </c>
      <c r="T38" s="27">
        <v>6000</v>
      </c>
      <c r="U38" s="27">
        <v>6000</v>
      </c>
      <c r="V38" s="27">
        <v>0</v>
      </c>
      <c r="W38" s="27">
        <v>0</v>
      </c>
      <c r="X38" s="27">
        <v>0</v>
      </c>
      <c r="Y38" s="27">
        <v>6000</v>
      </c>
      <c r="Z38" s="27">
        <v>6000</v>
      </c>
      <c r="AA38" s="11">
        <f t="shared" si="0"/>
        <v>6000</v>
      </c>
      <c r="AB38" s="11">
        <f t="shared" si="1"/>
        <v>6000</v>
      </c>
      <c r="AC38" s="11">
        <f t="shared" si="2"/>
        <v>6000</v>
      </c>
      <c r="AD38" s="11">
        <f t="shared" si="3"/>
        <v>6000</v>
      </c>
      <c r="AE38" s="11">
        <f t="shared" si="4"/>
        <v>6000</v>
      </c>
      <c r="AF38" s="11">
        <f t="shared" si="5"/>
        <v>6000</v>
      </c>
    </row>
    <row r="39" spans="1:32" x14ac:dyDescent="0.35">
      <c r="A39" s="3">
        <v>35</v>
      </c>
      <c r="B39" s="3" t="s">
        <v>311</v>
      </c>
      <c r="C39" s="3" t="s">
        <v>304</v>
      </c>
      <c r="D39" s="27">
        <v>0</v>
      </c>
      <c r="E39" s="27">
        <v>16000</v>
      </c>
      <c r="F39" s="27">
        <v>16000</v>
      </c>
      <c r="G39" s="27">
        <v>16000</v>
      </c>
      <c r="H39" s="27">
        <v>16000</v>
      </c>
      <c r="I39" s="27">
        <v>16000</v>
      </c>
      <c r="J39" s="27">
        <v>16000</v>
      </c>
      <c r="K39" s="27">
        <v>15000</v>
      </c>
      <c r="L39" s="27">
        <v>15000</v>
      </c>
      <c r="M39" s="27">
        <v>15000</v>
      </c>
      <c r="N39" s="27">
        <v>15000</v>
      </c>
      <c r="O39" s="27">
        <v>15000</v>
      </c>
      <c r="P39" s="27">
        <v>15000</v>
      </c>
      <c r="Q39" s="27">
        <v>15000</v>
      </c>
      <c r="R39" s="27">
        <v>15000</v>
      </c>
      <c r="S39" s="27">
        <v>15000</v>
      </c>
      <c r="T39" s="27">
        <v>15000</v>
      </c>
      <c r="U39" s="27">
        <v>15000</v>
      </c>
      <c r="V39" s="27">
        <v>0</v>
      </c>
      <c r="W39" s="27">
        <v>0</v>
      </c>
      <c r="X39" s="27">
        <v>0</v>
      </c>
      <c r="Y39" s="27">
        <v>15000</v>
      </c>
      <c r="Z39" s="27">
        <v>15000</v>
      </c>
      <c r="AA39" s="11">
        <f t="shared" si="0"/>
        <v>16000</v>
      </c>
      <c r="AB39" s="11">
        <f t="shared" si="1"/>
        <v>15800</v>
      </c>
      <c r="AC39" s="11">
        <f t="shared" si="2"/>
        <v>15000</v>
      </c>
      <c r="AD39" s="11">
        <f t="shared" si="3"/>
        <v>15000</v>
      </c>
      <c r="AE39" s="11">
        <f t="shared" si="4"/>
        <v>15000</v>
      </c>
      <c r="AF39" s="11">
        <f t="shared" si="5"/>
        <v>15315.78947368421</v>
      </c>
    </row>
    <row r="40" spans="1:32" x14ac:dyDescent="0.35">
      <c r="A40" s="3">
        <v>36</v>
      </c>
      <c r="B40" s="3" t="s">
        <v>312</v>
      </c>
      <c r="C40" s="3" t="s">
        <v>304</v>
      </c>
      <c r="D40" s="27">
        <v>0</v>
      </c>
      <c r="E40" s="27">
        <v>4000</v>
      </c>
      <c r="F40" s="27">
        <v>4000</v>
      </c>
      <c r="G40" s="27">
        <v>4000</v>
      </c>
      <c r="H40" s="27">
        <v>4000</v>
      </c>
      <c r="I40" s="27">
        <v>4000</v>
      </c>
      <c r="J40" s="27">
        <v>4000</v>
      </c>
      <c r="K40" s="27">
        <v>4000</v>
      </c>
      <c r="L40" s="27">
        <v>4000</v>
      </c>
      <c r="M40" s="27">
        <v>4000</v>
      </c>
      <c r="N40" s="27">
        <v>4000</v>
      </c>
      <c r="O40" s="27">
        <v>4000</v>
      </c>
      <c r="P40" s="27">
        <v>4000</v>
      </c>
      <c r="Q40" s="27">
        <v>4000</v>
      </c>
      <c r="R40" s="27">
        <v>4000</v>
      </c>
      <c r="S40" s="27">
        <v>4000</v>
      </c>
      <c r="T40" s="27">
        <v>4000</v>
      </c>
      <c r="U40" s="27">
        <v>4000</v>
      </c>
      <c r="V40" s="27">
        <v>0</v>
      </c>
      <c r="W40" s="27">
        <v>0</v>
      </c>
      <c r="X40" s="27">
        <v>0</v>
      </c>
      <c r="Y40" s="27">
        <v>4000</v>
      </c>
      <c r="Z40" s="27">
        <v>4000</v>
      </c>
      <c r="AA40" s="11">
        <f t="shared" si="0"/>
        <v>4000</v>
      </c>
      <c r="AB40" s="11">
        <f t="shared" si="1"/>
        <v>4000</v>
      </c>
      <c r="AC40" s="11">
        <f t="shared" si="2"/>
        <v>4000</v>
      </c>
      <c r="AD40" s="11">
        <f t="shared" si="3"/>
        <v>4000</v>
      </c>
      <c r="AE40" s="11">
        <f t="shared" si="4"/>
        <v>4000</v>
      </c>
      <c r="AF40" s="11">
        <f t="shared" si="5"/>
        <v>4000</v>
      </c>
    </row>
    <row r="41" spans="1:32" x14ac:dyDescent="0.35">
      <c r="A41" s="3">
        <v>37</v>
      </c>
      <c r="B41" s="3" t="s">
        <v>313</v>
      </c>
      <c r="C41" s="3" t="s">
        <v>304</v>
      </c>
      <c r="D41" s="27">
        <v>0</v>
      </c>
      <c r="E41" s="27">
        <v>2000</v>
      </c>
      <c r="F41" s="27">
        <v>2000</v>
      </c>
      <c r="G41" s="27">
        <v>2000</v>
      </c>
      <c r="H41" s="27">
        <v>2000</v>
      </c>
      <c r="I41" s="27">
        <v>2000</v>
      </c>
      <c r="J41" s="27">
        <v>2000</v>
      </c>
      <c r="K41" s="27">
        <v>2000</v>
      </c>
      <c r="L41" s="27">
        <v>2000</v>
      </c>
      <c r="M41" s="27">
        <v>2000</v>
      </c>
      <c r="N41" s="27">
        <v>2000</v>
      </c>
      <c r="O41" s="27">
        <v>2000</v>
      </c>
      <c r="P41" s="27">
        <v>2000</v>
      </c>
      <c r="Q41" s="27">
        <v>2000</v>
      </c>
      <c r="R41" s="27">
        <v>2000</v>
      </c>
      <c r="S41" s="27">
        <v>2000</v>
      </c>
      <c r="T41" s="27">
        <v>2000</v>
      </c>
      <c r="U41" s="27">
        <v>2000</v>
      </c>
      <c r="V41" s="27">
        <v>0</v>
      </c>
      <c r="W41" s="27">
        <v>0</v>
      </c>
      <c r="X41" s="27">
        <v>0</v>
      </c>
      <c r="Y41" s="27">
        <v>2000</v>
      </c>
      <c r="Z41" s="27">
        <v>2000</v>
      </c>
      <c r="AA41" s="11">
        <f t="shared" si="0"/>
        <v>2000</v>
      </c>
      <c r="AB41" s="11">
        <f t="shared" si="1"/>
        <v>2000</v>
      </c>
      <c r="AC41" s="11">
        <f t="shared" si="2"/>
        <v>2000</v>
      </c>
      <c r="AD41" s="11">
        <f t="shared" si="3"/>
        <v>2000</v>
      </c>
      <c r="AE41" s="11">
        <f t="shared" si="4"/>
        <v>2000</v>
      </c>
      <c r="AF41" s="11">
        <f t="shared" si="5"/>
        <v>2000</v>
      </c>
    </row>
    <row r="42" spans="1:32" x14ac:dyDescent="0.35">
      <c r="A42" s="3">
        <v>38</v>
      </c>
      <c r="B42" s="3" t="s">
        <v>314</v>
      </c>
      <c r="C42" s="3" t="s">
        <v>304</v>
      </c>
      <c r="D42" s="27">
        <v>0</v>
      </c>
      <c r="E42" s="27">
        <v>5000</v>
      </c>
      <c r="F42" s="27">
        <v>5000</v>
      </c>
      <c r="G42" s="27">
        <v>5000</v>
      </c>
      <c r="H42" s="27">
        <v>5000</v>
      </c>
      <c r="I42" s="27">
        <v>5000</v>
      </c>
      <c r="J42" s="27">
        <v>5000</v>
      </c>
      <c r="K42" s="27">
        <v>5000</v>
      </c>
      <c r="L42" s="27">
        <v>5000</v>
      </c>
      <c r="M42" s="27">
        <v>5000</v>
      </c>
      <c r="N42" s="27">
        <v>5000</v>
      </c>
      <c r="O42" s="27">
        <v>5000</v>
      </c>
      <c r="P42" s="27">
        <v>5000</v>
      </c>
      <c r="Q42" s="27">
        <v>5000</v>
      </c>
      <c r="R42" s="27">
        <v>5000</v>
      </c>
      <c r="S42" s="27">
        <v>5000</v>
      </c>
      <c r="T42" s="27">
        <v>5000</v>
      </c>
      <c r="U42" s="27">
        <v>5000</v>
      </c>
      <c r="V42" s="27">
        <v>0</v>
      </c>
      <c r="W42" s="27">
        <v>0</v>
      </c>
      <c r="X42" s="27">
        <v>0</v>
      </c>
      <c r="Y42" s="27">
        <v>5000</v>
      </c>
      <c r="Z42" s="27">
        <v>5000</v>
      </c>
      <c r="AA42" s="11">
        <f t="shared" si="0"/>
        <v>5000</v>
      </c>
      <c r="AB42" s="11">
        <f t="shared" si="1"/>
        <v>5000</v>
      </c>
      <c r="AC42" s="11">
        <f t="shared" si="2"/>
        <v>5000</v>
      </c>
      <c r="AD42" s="11">
        <f t="shared" si="3"/>
        <v>5000</v>
      </c>
      <c r="AE42" s="11">
        <f t="shared" si="4"/>
        <v>5000</v>
      </c>
      <c r="AF42" s="11">
        <f t="shared" si="5"/>
        <v>5000</v>
      </c>
    </row>
    <row r="43" spans="1:32" x14ac:dyDescent="0.35">
      <c r="A43" s="3">
        <v>39</v>
      </c>
      <c r="B43" s="3" t="s">
        <v>315</v>
      </c>
      <c r="C43" s="3" t="s">
        <v>304</v>
      </c>
      <c r="D43" s="27">
        <v>0</v>
      </c>
      <c r="E43" s="27">
        <v>7000</v>
      </c>
      <c r="F43" s="27">
        <v>7000</v>
      </c>
      <c r="G43" s="27">
        <v>7000</v>
      </c>
      <c r="H43" s="27">
        <v>7000</v>
      </c>
      <c r="I43" s="27">
        <v>7000</v>
      </c>
      <c r="J43" s="27">
        <v>7000</v>
      </c>
      <c r="K43" s="27">
        <v>7000</v>
      </c>
      <c r="L43" s="27">
        <v>7000</v>
      </c>
      <c r="M43" s="27">
        <v>7000</v>
      </c>
      <c r="N43" s="27">
        <v>7000</v>
      </c>
      <c r="O43" s="27">
        <v>7000</v>
      </c>
      <c r="P43" s="27">
        <v>7000</v>
      </c>
      <c r="Q43" s="27">
        <v>7000</v>
      </c>
      <c r="R43" s="27">
        <v>7000</v>
      </c>
      <c r="S43" s="27">
        <v>7000</v>
      </c>
      <c r="T43" s="27">
        <v>7000</v>
      </c>
      <c r="U43" s="27">
        <v>7000</v>
      </c>
      <c r="V43" s="27">
        <v>0</v>
      </c>
      <c r="W43" s="27">
        <v>0</v>
      </c>
      <c r="X43" s="27">
        <v>0</v>
      </c>
      <c r="Y43" s="27">
        <v>7000</v>
      </c>
      <c r="Z43" s="27">
        <v>7000</v>
      </c>
      <c r="AA43" s="11">
        <f t="shared" si="0"/>
        <v>7000</v>
      </c>
      <c r="AB43" s="11">
        <f t="shared" si="1"/>
        <v>7000</v>
      </c>
      <c r="AC43" s="11">
        <f t="shared" si="2"/>
        <v>7000</v>
      </c>
      <c r="AD43" s="11">
        <f t="shared" si="3"/>
        <v>7000</v>
      </c>
      <c r="AE43" s="11">
        <f t="shared" si="4"/>
        <v>7000</v>
      </c>
      <c r="AF43" s="11">
        <f t="shared" si="5"/>
        <v>7000</v>
      </c>
    </row>
    <row r="44" spans="1:32" x14ac:dyDescent="0.35">
      <c r="A44" s="3">
        <v>40</v>
      </c>
      <c r="B44" s="3" t="s">
        <v>316</v>
      </c>
      <c r="C44" s="3" t="s">
        <v>304</v>
      </c>
      <c r="D44" s="27">
        <v>0</v>
      </c>
      <c r="E44" s="27">
        <v>5000</v>
      </c>
      <c r="F44" s="27">
        <v>5000</v>
      </c>
      <c r="G44" s="27">
        <v>5000</v>
      </c>
      <c r="H44" s="27">
        <v>5000</v>
      </c>
      <c r="I44" s="27">
        <v>5000</v>
      </c>
      <c r="J44" s="27">
        <v>5000</v>
      </c>
      <c r="K44" s="27">
        <v>5000</v>
      </c>
      <c r="L44" s="27">
        <v>5000</v>
      </c>
      <c r="M44" s="27">
        <v>5000</v>
      </c>
      <c r="N44" s="27">
        <v>5000</v>
      </c>
      <c r="O44" s="27">
        <v>5000</v>
      </c>
      <c r="P44" s="27">
        <v>5000</v>
      </c>
      <c r="Q44" s="27">
        <v>5000</v>
      </c>
      <c r="R44" s="27">
        <v>5000</v>
      </c>
      <c r="S44" s="27">
        <v>5000</v>
      </c>
      <c r="T44" s="27">
        <v>5000</v>
      </c>
      <c r="U44" s="27">
        <v>5000</v>
      </c>
      <c r="V44" s="27">
        <v>0</v>
      </c>
      <c r="W44" s="27">
        <v>0</v>
      </c>
      <c r="X44" s="27">
        <v>0</v>
      </c>
      <c r="Y44" s="27">
        <v>5000</v>
      </c>
      <c r="Z44" s="27">
        <v>5000</v>
      </c>
      <c r="AA44" s="11">
        <f t="shared" si="0"/>
        <v>5000</v>
      </c>
      <c r="AB44" s="11">
        <f t="shared" si="1"/>
        <v>5000</v>
      </c>
      <c r="AC44" s="11">
        <f t="shared" si="2"/>
        <v>5000</v>
      </c>
      <c r="AD44" s="11">
        <f t="shared" si="3"/>
        <v>5000</v>
      </c>
      <c r="AE44" s="11">
        <f t="shared" si="4"/>
        <v>5000</v>
      </c>
      <c r="AF44" s="11">
        <f t="shared" si="5"/>
        <v>5000</v>
      </c>
    </row>
    <row r="45" spans="1:32" x14ac:dyDescent="0.35">
      <c r="A45" s="3">
        <v>41</v>
      </c>
      <c r="B45" s="3" t="s">
        <v>317</v>
      </c>
      <c r="C45" s="3" t="s">
        <v>304</v>
      </c>
      <c r="D45" s="27">
        <v>0</v>
      </c>
      <c r="E45" s="27">
        <v>78000</v>
      </c>
      <c r="F45" s="27">
        <v>78000</v>
      </c>
      <c r="G45" s="27">
        <v>78000</v>
      </c>
      <c r="H45" s="27">
        <v>78000</v>
      </c>
      <c r="I45" s="27">
        <v>78000</v>
      </c>
      <c r="J45" s="27">
        <v>78000</v>
      </c>
      <c r="K45" s="27">
        <v>78000</v>
      </c>
      <c r="L45" s="27">
        <v>78000</v>
      </c>
      <c r="M45" s="27">
        <v>78000</v>
      </c>
      <c r="N45" s="27">
        <v>78000</v>
      </c>
      <c r="O45" s="27">
        <v>78000</v>
      </c>
      <c r="P45" s="27">
        <v>78000</v>
      </c>
      <c r="Q45" s="27">
        <v>70000</v>
      </c>
      <c r="R45" s="27">
        <v>70000</v>
      </c>
      <c r="S45" s="27">
        <v>70000</v>
      </c>
      <c r="T45" s="27">
        <v>70000</v>
      </c>
      <c r="U45" s="27">
        <v>70000</v>
      </c>
      <c r="V45" s="27">
        <v>0</v>
      </c>
      <c r="W45" s="27">
        <v>0</v>
      </c>
      <c r="X45" s="27">
        <v>0</v>
      </c>
      <c r="Y45" s="27">
        <v>70000</v>
      </c>
      <c r="Z45" s="27">
        <v>70000</v>
      </c>
      <c r="AA45" s="11">
        <f t="shared" si="0"/>
        <v>78000</v>
      </c>
      <c r="AB45" s="11">
        <f t="shared" si="1"/>
        <v>78000</v>
      </c>
      <c r="AC45" s="11">
        <f t="shared" si="2"/>
        <v>78000</v>
      </c>
      <c r="AD45" s="11">
        <f t="shared" si="3"/>
        <v>70000</v>
      </c>
      <c r="AE45" s="11">
        <f t="shared" si="4"/>
        <v>70000</v>
      </c>
      <c r="AF45" s="11">
        <f t="shared" si="5"/>
        <v>75052.631578947374</v>
      </c>
    </row>
    <row r="46" spans="1:32" x14ac:dyDescent="0.35">
      <c r="A46" s="3">
        <v>42</v>
      </c>
      <c r="B46" s="3" t="s">
        <v>318</v>
      </c>
      <c r="C46" s="3" t="s">
        <v>304</v>
      </c>
      <c r="D46" s="27">
        <v>0</v>
      </c>
      <c r="E46" s="27">
        <v>40000</v>
      </c>
      <c r="F46" s="27">
        <v>40000</v>
      </c>
      <c r="G46" s="27">
        <v>40000</v>
      </c>
      <c r="H46" s="27">
        <v>40000</v>
      </c>
      <c r="I46" s="27">
        <v>40000</v>
      </c>
      <c r="J46" s="27">
        <v>40000</v>
      </c>
      <c r="K46" s="27">
        <v>40000</v>
      </c>
      <c r="L46" s="27">
        <v>40000</v>
      </c>
      <c r="M46" s="27">
        <v>40000</v>
      </c>
      <c r="N46" s="27">
        <v>40000</v>
      </c>
      <c r="O46" s="27">
        <v>40000</v>
      </c>
      <c r="P46" s="27">
        <v>40000</v>
      </c>
      <c r="Q46" s="27">
        <v>40000</v>
      </c>
      <c r="R46" s="27">
        <v>40000</v>
      </c>
      <c r="S46" s="27">
        <v>40000</v>
      </c>
      <c r="T46" s="27">
        <v>40000</v>
      </c>
      <c r="U46" s="27">
        <v>40000</v>
      </c>
      <c r="V46" s="27">
        <v>0</v>
      </c>
      <c r="W46" s="27">
        <v>0</v>
      </c>
      <c r="X46" s="27">
        <v>0</v>
      </c>
      <c r="Y46" s="27">
        <v>40000</v>
      </c>
      <c r="Z46" s="27">
        <v>40000</v>
      </c>
      <c r="AA46" s="11">
        <f t="shared" si="0"/>
        <v>40000</v>
      </c>
      <c r="AB46" s="11">
        <f t="shared" si="1"/>
        <v>40000</v>
      </c>
      <c r="AC46" s="11">
        <f t="shared" si="2"/>
        <v>40000</v>
      </c>
      <c r="AD46" s="11">
        <f t="shared" si="3"/>
        <v>40000</v>
      </c>
      <c r="AE46" s="11">
        <f t="shared" si="4"/>
        <v>40000</v>
      </c>
      <c r="AF46" s="11">
        <f t="shared" si="5"/>
        <v>40000</v>
      </c>
    </row>
    <row r="47" spans="1:32" x14ac:dyDescent="0.35">
      <c r="A47" s="3">
        <v>43</v>
      </c>
      <c r="B47" s="3" t="s">
        <v>319</v>
      </c>
      <c r="C47" s="3" t="s">
        <v>304</v>
      </c>
      <c r="D47" s="27">
        <v>0</v>
      </c>
      <c r="E47" s="27">
        <v>27000</v>
      </c>
      <c r="F47" s="27">
        <v>27000</v>
      </c>
      <c r="G47" s="27">
        <v>27000</v>
      </c>
      <c r="H47" s="27">
        <v>27000</v>
      </c>
      <c r="I47" s="27">
        <v>27000</v>
      </c>
      <c r="J47" s="27">
        <v>27000</v>
      </c>
      <c r="K47" s="27">
        <v>27000</v>
      </c>
      <c r="L47" s="27">
        <v>27000</v>
      </c>
      <c r="M47" s="27">
        <v>27000</v>
      </c>
      <c r="N47" s="27">
        <v>27000</v>
      </c>
      <c r="O47" s="27">
        <v>27000</v>
      </c>
      <c r="P47" s="27">
        <v>27000</v>
      </c>
      <c r="Q47" s="27">
        <v>27000</v>
      </c>
      <c r="R47" s="27">
        <v>27000</v>
      </c>
      <c r="S47" s="27">
        <v>27000</v>
      </c>
      <c r="T47" s="27">
        <v>27000</v>
      </c>
      <c r="U47" s="27">
        <v>27000</v>
      </c>
      <c r="V47" s="27">
        <v>0</v>
      </c>
      <c r="W47" s="27">
        <v>0</v>
      </c>
      <c r="X47" s="27">
        <v>0</v>
      </c>
      <c r="Y47" s="27">
        <v>27000</v>
      </c>
      <c r="Z47" s="27">
        <v>27000</v>
      </c>
      <c r="AA47" s="11">
        <f t="shared" si="0"/>
        <v>27000</v>
      </c>
      <c r="AB47" s="11">
        <f t="shared" si="1"/>
        <v>27000</v>
      </c>
      <c r="AC47" s="11">
        <f t="shared" si="2"/>
        <v>27000</v>
      </c>
      <c r="AD47" s="11">
        <f t="shared" si="3"/>
        <v>27000</v>
      </c>
      <c r="AE47" s="11">
        <f t="shared" si="4"/>
        <v>27000</v>
      </c>
      <c r="AF47" s="11">
        <f t="shared" si="5"/>
        <v>27000</v>
      </c>
    </row>
    <row r="48" spans="1:32" x14ac:dyDescent="0.35">
      <c r="A48" s="3">
        <v>44</v>
      </c>
      <c r="B48" s="3" t="s">
        <v>320</v>
      </c>
      <c r="C48" s="3" t="s">
        <v>304</v>
      </c>
      <c r="D48" s="27">
        <v>0</v>
      </c>
      <c r="E48" s="27">
        <v>17000</v>
      </c>
      <c r="F48" s="27">
        <v>17000</v>
      </c>
      <c r="G48" s="27">
        <v>17000</v>
      </c>
      <c r="H48" s="27">
        <v>17000</v>
      </c>
      <c r="I48" s="27">
        <v>17000</v>
      </c>
      <c r="J48" s="27">
        <v>17000</v>
      </c>
      <c r="K48" s="27">
        <v>17000</v>
      </c>
      <c r="L48" s="27">
        <v>17000</v>
      </c>
      <c r="M48" s="27">
        <v>17000</v>
      </c>
      <c r="N48" s="27">
        <v>14000</v>
      </c>
      <c r="O48" s="27">
        <v>14000</v>
      </c>
      <c r="P48" s="27">
        <v>14000</v>
      </c>
      <c r="Q48" s="27">
        <v>14000</v>
      </c>
      <c r="R48" s="27">
        <v>14000</v>
      </c>
      <c r="S48" s="27">
        <v>14000</v>
      </c>
      <c r="T48" s="27">
        <v>14000</v>
      </c>
      <c r="U48" s="27">
        <v>14000</v>
      </c>
      <c r="V48" s="27">
        <v>0</v>
      </c>
      <c r="W48" s="27">
        <v>0</v>
      </c>
      <c r="X48" s="27">
        <v>0</v>
      </c>
      <c r="Y48" s="27">
        <v>14000</v>
      </c>
      <c r="Z48" s="27">
        <v>14000</v>
      </c>
      <c r="AA48" s="11">
        <f t="shared" si="0"/>
        <v>17000</v>
      </c>
      <c r="AB48" s="11">
        <f t="shared" si="1"/>
        <v>17000</v>
      </c>
      <c r="AC48" s="11">
        <f t="shared" si="2"/>
        <v>15200</v>
      </c>
      <c r="AD48" s="11">
        <f t="shared" si="3"/>
        <v>14000</v>
      </c>
      <c r="AE48" s="11">
        <f t="shared" si="4"/>
        <v>14000</v>
      </c>
      <c r="AF48" s="11">
        <f t="shared" si="5"/>
        <v>15421.052631578947</v>
      </c>
    </row>
  </sheetData>
  <mergeCells count="1">
    <mergeCell ref="A1:AF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48"/>
  <sheetViews>
    <sheetView showGridLines="0" zoomScaleNormal="100" workbookViewId="0">
      <pane xSplit="3" ySplit="4" topLeftCell="D5" activePane="bottomRight" state="frozen"/>
      <selection pane="topRight" activeCell="D1" sqref="D1"/>
      <selection pane="bottomLeft" activeCell="A5" sqref="A5"/>
      <selection pane="bottomRight" sqref="A1:AB1"/>
    </sheetView>
  </sheetViews>
  <sheetFormatPr defaultColWidth="8.6328125" defaultRowHeight="14.5" x14ac:dyDescent="0.35"/>
  <cols>
    <col min="1" max="1" width="4" customWidth="1"/>
    <col min="2" max="2" width="30" customWidth="1"/>
    <col min="3" max="3" width="4" customWidth="1"/>
    <col min="4" max="23" width="9" customWidth="1"/>
    <col min="24" max="28" width="14" customWidth="1"/>
  </cols>
  <sheetData>
    <row r="1" spans="1:28" ht="16.5" x14ac:dyDescent="0.35">
      <c r="A1" s="30" t="s">
        <v>381</v>
      </c>
      <c r="B1" s="30"/>
      <c r="C1" s="30"/>
      <c r="D1" s="30"/>
      <c r="E1" s="30"/>
      <c r="F1" s="30"/>
      <c r="G1" s="30"/>
      <c r="H1" s="30"/>
      <c r="I1" s="30"/>
      <c r="J1" s="30"/>
      <c r="K1" s="30"/>
      <c r="L1" s="30"/>
      <c r="M1" s="30"/>
      <c r="N1" s="30"/>
      <c r="O1" s="30"/>
      <c r="P1" s="30"/>
      <c r="Q1" s="30"/>
      <c r="R1" s="30"/>
      <c r="S1" s="30"/>
      <c r="T1" s="30"/>
      <c r="U1" s="30"/>
      <c r="V1" s="30"/>
      <c r="W1" s="30"/>
      <c r="X1" s="30"/>
      <c r="Y1" s="30"/>
      <c r="Z1" s="30"/>
      <c r="AA1" s="30"/>
      <c r="AB1" s="30"/>
    </row>
    <row r="2" spans="1:28" x14ac:dyDescent="0.35">
      <c r="A2" s="6" t="s">
        <v>276</v>
      </c>
    </row>
    <row r="4" spans="1:28" ht="21" x14ac:dyDescent="0.35">
      <c r="A4" s="8" t="s">
        <v>0</v>
      </c>
      <c r="B4" s="8" t="s">
        <v>277</v>
      </c>
      <c r="C4" s="8" t="s">
        <v>278</v>
      </c>
      <c r="D4" s="29">
        <v>46056</v>
      </c>
      <c r="E4" s="29">
        <v>46057</v>
      </c>
      <c r="F4" s="29">
        <v>46058</v>
      </c>
      <c r="G4" s="29">
        <v>46059</v>
      </c>
      <c r="H4" s="29">
        <v>46060</v>
      </c>
      <c r="I4" s="29">
        <v>46063</v>
      </c>
      <c r="J4" s="29">
        <v>46064</v>
      </c>
      <c r="K4" s="29">
        <v>46065</v>
      </c>
      <c r="L4" s="29">
        <v>46066</v>
      </c>
      <c r="M4" s="29">
        <v>46067</v>
      </c>
      <c r="N4" s="29">
        <v>46070</v>
      </c>
      <c r="O4" s="29">
        <v>46071</v>
      </c>
      <c r="P4" s="29">
        <v>46072</v>
      </c>
      <c r="Q4" s="29">
        <v>46073</v>
      </c>
      <c r="R4" s="29">
        <v>46074</v>
      </c>
      <c r="S4" s="29">
        <v>46077</v>
      </c>
      <c r="T4" s="29">
        <v>46078</v>
      </c>
      <c r="U4" s="29">
        <v>46079</v>
      </c>
      <c r="V4" s="29">
        <v>46080</v>
      </c>
      <c r="W4" s="29">
        <v>46081</v>
      </c>
      <c r="X4" s="8" t="s">
        <v>326</v>
      </c>
      <c r="Y4" s="8" t="s">
        <v>327</v>
      </c>
      <c r="Z4" s="8" t="s">
        <v>328</v>
      </c>
      <c r="AA4" s="8" t="s">
        <v>329</v>
      </c>
      <c r="AB4" s="8" t="s">
        <v>382</v>
      </c>
    </row>
    <row r="5" spans="1:28" x14ac:dyDescent="0.35">
      <c r="A5" s="3">
        <v>1</v>
      </c>
      <c r="B5" s="3" t="s">
        <v>240</v>
      </c>
      <c r="C5" s="3" t="s">
        <v>304</v>
      </c>
      <c r="D5" s="27">
        <v>12000</v>
      </c>
      <c r="E5" s="27">
        <v>12000</v>
      </c>
      <c r="F5" s="27">
        <v>12000</v>
      </c>
      <c r="G5" s="27">
        <v>12000</v>
      </c>
      <c r="H5" s="27">
        <v>12000</v>
      </c>
      <c r="I5" s="27">
        <v>12000</v>
      </c>
      <c r="J5" s="27">
        <v>12000</v>
      </c>
      <c r="K5" s="27">
        <v>12000</v>
      </c>
      <c r="L5" s="27">
        <v>12000</v>
      </c>
      <c r="M5" s="27">
        <v>12000</v>
      </c>
      <c r="N5" s="27">
        <v>12000</v>
      </c>
      <c r="O5" s="27">
        <v>12000</v>
      </c>
      <c r="P5" s="27">
        <v>12000</v>
      </c>
      <c r="Q5" s="27">
        <v>12000</v>
      </c>
      <c r="R5" s="27">
        <v>12000</v>
      </c>
      <c r="S5" s="27">
        <v>12000</v>
      </c>
      <c r="T5" s="27">
        <v>12000</v>
      </c>
      <c r="U5" s="27">
        <v>0</v>
      </c>
      <c r="V5" s="27">
        <v>12000</v>
      </c>
      <c r="W5" s="27">
        <v>12000</v>
      </c>
      <c r="X5" s="11">
        <f t="shared" ref="X5:X48" si="0">IFERROR(AVERAGEIF(D5:H5,"&lt;&gt;0"),"")</f>
        <v>12000</v>
      </c>
      <c r="Y5" s="11">
        <f t="shared" ref="Y5:Y48" si="1">IFERROR(AVERAGEIF(I5:M5,"&lt;&gt;0"),"")</f>
        <v>12000</v>
      </c>
      <c r="Z5" s="11">
        <f t="shared" ref="Z5:Z48" si="2">IFERROR(AVERAGEIF(N5:R5,"&lt;&gt;0"),"")</f>
        <v>12000</v>
      </c>
      <c r="AA5" s="11">
        <f t="shared" ref="AA5:AA48" si="3">IFERROR(AVERAGEIF(S5:W5,"&lt;&gt;0"),"")</f>
        <v>12000</v>
      </c>
      <c r="AB5" s="11">
        <f t="shared" ref="AB5:AB48" si="4">IFERROR(AVERAGEIF(D5:W5,"&lt;&gt;0"),"")</f>
        <v>12000</v>
      </c>
    </row>
    <row r="6" spans="1:28" x14ac:dyDescent="0.35">
      <c r="A6" s="3">
        <v>2</v>
      </c>
      <c r="B6" s="3" t="s">
        <v>241</v>
      </c>
      <c r="C6" s="3" t="s">
        <v>304</v>
      </c>
      <c r="D6" s="27">
        <v>13000</v>
      </c>
      <c r="E6" s="27">
        <v>13000</v>
      </c>
      <c r="F6" s="27">
        <v>13000</v>
      </c>
      <c r="G6" s="27">
        <v>13000</v>
      </c>
      <c r="H6" s="27">
        <v>13000</v>
      </c>
      <c r="I6" s="27">
        <v>13000</v>
      </c>
      <c r="J6" s="27">
        <v>13000</v>
      </c>
      <c r="K6" s="27">
        <v>13000</v>
      </c>
      <c r="L6" s="27">
        <v>13000</v>
      </c>
      <c r="M6" s="27">
        <v>13000</v>
      </c>
      <c r="N6" s="27">
        <v>13000</v>
      </c>
      <c r="O6" s="27">
        <v>13000</v>
      </c>
      <c r="P6" s="27">
        <v>13000</v>
      </c>
      <c r="Q6" s="27">
        <v>13000</v>
      </c>
      <c r="R6" s="27">
        <v>13000</v>
      </c>
      <c r="S6" s="27">
        <v>13000</v>
      </c>
      <c r="T6" s="27">
        <v>13000</v>
      </c>
      <c r="U6" s="27">
        <v>0</v>
      </c>
      <c r="V6" s="27">
        <v>13000</v>
      </c>
      <c r="W6" s="27">
        <v>13000</v>
      </c>
      <c r="X6" s="11">
        <f t="shared" si="0"/>
        <v>13000</v>
      </c>
      <c r="Y6" s="11">
        <f t="shared" si="1"/>
        <v>13000</v>
      </c>
      <c r="Z6" s="11">
        <f t="shared" si="2"/>
        <v>13000</v>
      </c>
      <c r="AA6" s="11">
        <f t="shared" si="3"/>
        <v>13000</v>
      </c>
      <c r="AB6" s="11">
        <f t="shared" si="4"/>
        <v>13000</v>
      </c>
    </row>
    <row r="7" spans="1:28" x14ac:dyDescent="0.35">
      <c r="A7" s="3">
        <v>3</v>
      </c>
      <c r="B7" s="3" t="s">
        <v>242</v>
      </c>
      <c r="C7" s="3" t="s">
        <v>304</v>
      </c>
      <c r="D7" s="27">
        <v>12500</v>
      </c>
      <c r="E7" s="27">
        <v>12500</v>
      </c>
      <c r="F7" s="27">
        <v>12500</v>
      </c>
      <c r="G7" s="27">
        <v>12500</v>
      </c>
      <c r="H7" s="27">
        <v>12500</v>
      </c>
      <c r="I7" s="27">
        <v>12500</v>
      </c>
      <c r="J7" s="27">
        <v>12500</v>
      </c>
      <c r="K7" s="27">
        <v>12500</v>
      </c>
      <c r="L7" s="27">
        <v>12500</v>
      </c>
      <c r="M7" s="27">
        <v>12500</v>
      </c>
      <c r="N7" s="27">
        <v>0</v>
      </c>
      <c r="O7" s="27">
        <v>0</v>
      </c>
      <c r="P7" s="27">
        <v>0</v>
      </c>
      <c r="Q7" s="27">
        <v>0</v>
      </c>
      <c r="R7" s="27">
        <v>0</v>
      </c>
      <c r="S7" s="27">
        <v>0</v>
      </c>
      <c r="T7" s="27">
        <v>0</v>
      </c>
      <c r="U7" s="27">
        <v>0</v>
      </c>
      <c r="V7" s="27">
        <v>0</v>
      </c>
      <c r="W7" s="27">
        <v>0</v>
      </c>
      <c r="X7" s="11">
        <f t="shared" si="0"/>
        <v>12500</v>
      </c>
      <c r="Y7" s="11">
        <f t="shared" si="1"/>
        <v>12500</v>
      </c>
      <c r="Z7" s="11" t="str">
        <f t="shared" si="2"/>
        <v/>
      </c>
      <c r="AA7" s="11" t="str">
        <f t="shared" si="3"/>
        <v/>
      </c>
      <c r="AB7" s="11">
        <f t="shared" si="4"/>
        <v>12500</v>
      </c>
    </row>
    <row r="8" spans="1:28" x14ac:dyDescent="0.35">
      <c r="A8" s="3">
        <v>4</v>
      </c>
      <c r="B8" s="3" t="s">
        <v>305</v>
      </c>
      <c r="C8" s="3" t="s">
        <v>304</v>
      </c>
      <c r="D8" s="27">
        <v>11000</v>
      </c>
      <c r="E8" s="27">
        <v>11000</v>
      </c>
      <c r="F8" s="27">
        <v>11000</v>
      </c>
      <c r="G8" s="27">
        <v>11000</v>
      </c>
      <c r="H8" s="27">
        <v>11000</v>
      </c>
      <c r="I8" s="27">
        <v>11000</v>
      </c>
      <c r="J8" s="27">
        <v>11000</v>
      </c>
      <c r="K8" s="27">
        <v>11000</v>
      </c>
      <c r="L8" s="27">
        <v>11000</v>
      </c>
      <c r="M8" s="27">
        <v>11000</v>
      </c>
      <c r="N8" s="27">
        <v>11000</v>
      </c>
      <c r="O8" s="27">
        <v>11000</v>
      </c>
      <c r="P8" s="27">
        <v>11000</v>
      </c>
      <c r="Q8" s="27">
        <v>11000</v>
      </c>
      <c r="R8" s="27">
        <v>11000</v>
      </c>
      <c r="S8" s="27">
        <v>11000</v>
      </c>
      <c r="T8" s="27">
        <v>11000</v>
      </c>
      <c r="U8" s="27">
        <v>0</v>
      </c>
      <c r="V8" s="27">
        <v>11000</v>
      </c>
      <c r="W8" s="27">
        <v>11000</v>
      </c>
      <c r="X8" s="11">
        <f t="shared" si="0"/>
        <v>11000</v>
      </c>
      <c r="Y8" s="11">
        <f t="shared" si="1"/>
        <v>11000</v>
      </c>
      <c r="Z8" s="11">
        <f t="shared" si="2"/>
        <v>11000</v>
      </c>
      <c r="AA8" s="11">
        <f t="shared" si="3"/>
        <v>11000</v>
      </c>
      <c r="AB8" s="11">
        <f t="shared" si="4"/>
        <v>11000</v>
      </c>
    </row>
    <row r="9" spans="1:28" x14ac:dyDescent="0.35">
      <c r="A9" s="3">
        <v>5</v>
      </c>
      <c r="B9" s="3" t="s">
        <v>261</v>
      </c>
      <c r="C9" s="3" t="s">
        <v>304</v>
      </c>
      <c r="D9" s="27">
        <v>36000</v>
      </c>
      <c r="E9" s="27">
        <v>36000</v>
      </c>
      <c r="F9" s="27">
        <v>36000</v>
      </c>
      <c r="G9" s="27">
        <v>36000</v>
      </c>
      <c r="H9" s="27">
        <v>36000</v>
      </c>
      <c r="I9" s="27">
        <v>36000</v>
      </c>
      <c r="J9" s="27">
        <v>36000</v>
      </c>
      <c r="K9" s="27">
        <v>36000</v>
      </c>
      <c r="L9" s="27">
        <v>36000</v>
      </c>
      <c r="M9" s="27">
        <v>36000</v>
      </c>
      <c r="N9" s="27">
        <v>35000</v>
      </c>
      <c r="O9" s="27">
        <v>36000</v>
      </c>
      <c r="P9" s="27">
        <v>36000</v>
      </c>
      <c r="Q9" s="27">
        <v>36000</v>
      </c>
      <c r="R9" s="27">
        <v>36000</v>
      </c>
      <c r="S9" s="27">
        <v>36000</v>
      </c>
      <c r="T9" s="27">
        <v>36000</v>
      </c>
      <c r="U9" s="27">
        <v>0</v>
      </c>
      <c r="V9" s="27">
        <v>36000</v>
      </c>
      <c r="W9" s="27">
        <v>36000</v>
      </c>
      <c r="X9" s="11">
        <f t="shared" si="0"/>
        <v>36000</v>
      </c>
      <c r="Y9" s="11">
        <f t="shared" si="1"/>
        <v>36000</v>
      </c>
      <c r="Z9" s="11">
        <f t="shared" si="2"/>
        <v>35800</v>
      </c>
      <c r="AA9" s="11">
        <f t="shared" si="3"/>
        <v>36000</v>
      </c>
      <c r="AB9" s="11">
        <f t="shared" si="4"/>
        <v>35947.368421052633</v>
      </c>
    </row>
    <row r="10" spans="1:28" x14ac:dyDescent="0.35">
      <c r="A10" s="3">
        <v>6</v>
      </c>
      <c r="B10" s="3" t="s">
        <v>262</v>
      </c>
      <c r="C10" s="3" t="s">
        <v>304</v>
      </c>
      <c r="D10" s="27">
        <v>36000</v>
      </c>
      <c r="E10" s="27">
        <v>36000</v>
      </c>
      <c r="F10" s="27">
        <v>36000</v>
      </c>
      <c r="G10" s="27">
        <v>36000</v>
      </c>
      <c r="H10" s="27">
        <v>36000</v>
      </c>
      <c r="I10" s="27">
        <v>36000</v>
      </c>
      <c r="J10" s="27">
        <v>36000</v>
      </c>
      <c r="K10" s="27">
        <v>36000</v>
      </c>
      <c r="L10" s="27">
        <v>36000</v>
      </c>
      <c r="M10" s="27">
        <v>36000</v>
      </c>
      <c r="N10" s="27">
        <v>35000</v>
      </c>
      <c r="O10" s="27">
        <v>36000</v>
      </c>
      <c r="P10" s="27">
        <v>36000</v>
      </c>
      <c r="Q10" s="27">
        <v>36000</v>
      </c>
      <c r="R10" s="27">
        <v>36000</v>
      </c>
      <c r="S10" s="27">
        <v>36000</v>
      </c>
      <c r="T10" s="27">
        <v>36000</v>
      </c>
      <c r="U10" s="27">
        <v>0</v>
      </c>
      <c r="V10" s="27">
        <v>36000</v>
      </c>
      <c r="W10" s="27">
        <v>36000</v>
      </c>
      <c r="X10" s="11">
        <f t="shared" si="0"/>
        <v>36000</v>
      </c>
      <c r="Y10" s="11">
        <f t="shared" si="1"/>
        <v>36000</v>
      </c>
      <c r="Z10" s="11">
        <f t="shared" si="2"/>
        <v>35800</v>
      </c>
      <c r="AA10" s="11">
        <f t="shared" si="3"/>
        <v>36000</v>
      </c>
      <c r="AB10" s="11">
        <f t="shared" si="4"/>
        <v>35947.368421052633</v>
      </c>
    </row>
    <row r="11" spans="1:28" x14ac:dyDescent="0.35">
      <c r="A11" s="3">
        <v>7</v>
      </c>
      <c r="B11" s="3" t="s">
        <v>251</v>
      </c>
      <c r="C11" s="3" t="s">
        <v>304</v>
      </c>
      <c r="D11" s="27">
        <v>47000</v>
      </c>
      <c r="E11" s="27">
        <v>47000</v>
      </c>
      <c r="F11" s="27">
        <v>47000</v>
      </c>
      <c r="G11" s="27">
        <v>47000</v>
      </c>
      <c r="H11" s="27">
        <v>47000</v>
      </c>
      <c r="I11" s="27">
        <v>47000</v>
      </c>
      <c r="J11" s="27">
        <v>47000</v>
      </c>
      <c r="K11" s="27">
        <v>47000</v>
      </c>
      <c r="L11" s="27">
        <v>47000</v>
      </c>
      <c r="M11" s="27">
        <v>47000</v>
      </c>
      <c r="N11" s="27">
        <v>48000</v>
      </c>
      <c r="O11" s="27">
        <v>50000</v>
      </c>
      <c r="P11" s="27">
        <v>50000</v>
      </c>
      <c r="Q11" s="27">
        <v>50000</v>
      </c>
      <c r="R11" s="27">
        <v>50000</v>
      </c>
      <c r="S11" s="27">
        <v>50000</v>
      </c>
      <c r="T11" s="27">
        <v>50000</v>
      </c>
      <c r="U11" s="27">
        <v>0</v>
      </c>
      <c r="V11" s="27">
        <v>50000</v>
      </c>
      <c r="W11" s="27">
        <v>50000</v>
      </c>
      <c r="X11" s="11">
        <f t="shared" si="0"/>
        <v>47000</v>
      </c>
      <c r="Y11" s="11">
        <f t="shared" si="1"/>
        <v>47000</v>
      </c>
      <c r="Z11" s="11">
        <f t="shared" si="2"/>
        <v>49600</v>
      </c>
      <c r="AA11" s="11">
        <f t="shared" si="3"/>
        <v>50000</v>
      </c>
      <c r="AB11" s="11">
        <f t="shared" si="4"/>
        <v>48315.789473684214</v>
      </c>
    </row>
    <row r="12" spans="1:28" x14ac:dyDescent="0.35">
      <c r="A12" s="3">
        <v>8</v>
      </c>
      <c r="B12" s="3" t="s">
        <v>256</v>
      </c>
      <c r="C12" s="3" t="s">
        <v>304</v>
      </c>
      <c r="D12" s="27">
        <v>23000</v>
      </c>
      <c r="E12" s="27">
        <v>23000</v>
      </c>
      <c r="F12" s="27">
        <v>23500</v>
      </c>
      <c r="G12" s="27">
        <v>23250</v>
      </c>
      <c r="H12" s="27">
        <v>23000</v>
      </c>
      <c r="I12" s="27">
        <v>24000</v>
      </c>
      <c r="J12" s="27">
        <v>24000</v>
      </c>
      <c r="K12" s="27">
        <v>24000</v>
      </c>
      <c r="L12" s="27">
        <v>24000</v>
      </c>
      <c r="M12" s="27">
        <v>24000</v>
      </c>
      <c r="N12" s="27">
        <v>24000</v>
      </c>
      <c r="O12" s="27">
        <v>24000</v>
      </c>
      <c r="P12" s="27">
        <v>24000</v>
      </c>
      <c r="Q12" s="27">
        <v>24000</v>
      </c>
      <c r="R12" s="27">
        <v>24000</v>
      </c>
      <c r="S12" s="27">
        <v>24000</v>
      </c>
      <c r="T12" s="27">
        <v>24000</v>
      </c>
      <c r="U12" s="27">
        <v>0</v>
      </c>
      <c r="V12" s="27">
        <v>24000</v>
      </c>
      <c r="W12" s="27">
        <v>24000</v>
      </c>
      <c r="X12" s="11">
        <f t="shared" si="0"/>
        <v>23150</v>
      </c>
      <c r="Y12" s="11">
        <f t="shared" si="1"/>
        <v>24000</v>
      </c>
      <c r="Z12" s="11">
        <f t="shared" si="2"/>
        <v>24000</v>
      </c>
      <c r="AA12" s="11">
        <f t="shared" si="3"/>
        <v>24000</v>
      </c>
      <c r="AB12" s="11">
        <f t="shared" si="4"/>
        <v>23776.315789473683</v>
      </c>
    </row>
    <row r="13" spans="1:28" x14ac:dyDescent="0.35">
      <c r="A13" s="3">
        <v>9</v>
      </c>
      <c r="B13" s="3" t="s">
        <v>253</v>
      </c>
      <c r="C13" s="3" t="s">
        <v>304</v>
      </c>
      <c r="D13" s="27">
        <v>16500</v>
      </c>
      <c r="E13" s="27">
        <v>16500</v>
      </c>
      <c r="F13" s="27">
        <v>16500</v>
      </c>
      <c r="G13" s="27">
        <v>16500</v>
      </c>
      <c r="H13" s="27">
        <v>16500</v>
      </c>
      <c r="I13" s="27">
        <v>16500</v>
      </c>
      <c r="J13" s="27">
        <v>16500</v>
      </c>
      <c r="K13" s="27">
        <v>16500</v>
      </c>
      <c r="L13" s="27">
        <v>16500</v>
      </c>
      <c r="M13" s="27">
        <v>16500</v>
      </c>
      <c r="N13" s="27">
        <v>16500</v>
      </c>
      <c r="O13" s="27">
        <v>16500</v>
      </c>
      <c r="P13" s="27">
        <v>16500</v>
      </c>
      <c r="Q13" s="27">
        <v>16500</v>
      </c>
      <c r="R13" s="27">
        <v>16500</v>
      </c>
      <c r="S13" s="27">
        <v>16500</v>
      </c>
      <c r="T13" s="27">
        <v>16500</v>
      </c>
      <c r="U13" s="27">
        <v>0</v>
      </c>
      <c r="V13" s="27">
        <v>16500</v>
      </c>
      <c r="W13" s="27">
        <v>16500</v>
      </c>
      <c r="X13" s="11">
        <f t="shared" si="0"/>
        <v>16500</v>
      </c>
      <c r="Y13" s="11">
        <f t="shared" si="1"/>
        <v>16500</v>
      </c>
      <c r="Z13" s="11">
        <f t="shared" si="2"/>
        <v>16500</v>
      </c>
      <c r="AA13" s="11">
        <f t="shared" si="3"/>
        <v>16500</v>
      </c>
      <c r="AB13" s="11">
        <f t="shared" si="4"/>
        <v>16500</v>
      </c>
    </row>
    <row r="14" spans="1:28" x14ac:dyDescent="0.35">
      <c r="A14" s="3">
        <v>10</v>
      </c>
      <c r="B14" s="3" t="s">
        <v>246</v>
      </c>
      <c r="C14" s="3" t="s">
        <v>304</v>
      </c>
      <c r="D14" s="27">
        <v>15750</v>
      </c>
      <c r="E14" s="27">
        <v>15750</v>
      </c>
      <c r="F14" s="27">
        <v>15750</v>
      </c>
      <c r="G14" s="27">
        <v>15750</v>
      </c>
      <c r="H14" s="27">
        <v>15750</v>
      </c>
      <c r="I14" s="27">
        <v>15750</v>
      </c>
      <c r="J14" s="27">
        <v>15750</v>
      </c>
      <c r="K14" s="27">
        <v>15750</v>
      </c>
      <c r="L14" s="27">
        <v>15750</v>
      </c>
      <c r="M14" s="27">
        <v>15750</v>
      </c>
      <c r="N14" s="27">
        <v>15750</v>
      </c>
      <c r="O14" s="27">
        <v>15750</v>
      </c>
      <c r="P14" s="27">
        <v>15750</v>
      </c>
      <c r="Q14" s="27">
        <v>15750</v>
      </c>
      <c r="R14" s="27">
        <v>15750</v>
      </c>
      <c r="S14" s="27">
        <v>15750</v>
      </c>
      <c r="T14" s="27">
        <v>15750</v>
      </c>
      <c r="U14" s="27">
        <v>0</v>
      </c>
      <c r="V14" s="27">
        <v>15750</v>
      </c>
      <c r="W14" s="27">
        <v>15750</v>
      </c>
      <c r="X14" s="11">
        <f t="shared" si="0"/>
        <v>15750</v>
      </c>
      <c r="Y14" s="11">
        <f t="shared" si="1"/>
        <v>15750</v>
      </c>
      <c r="Z14" s="11">
        <f t="shared" si="2"/>
        <v>15750</v>
      </c>
      <c r="AA14" s="11">
        <f t="shared" si="3"/>
        <v>15750</v>
      </c>
      <c r="AB14" s="11">
        <f t="shared" si="4"/>
        <v>15750</v>
      </c>
    </row>
    <row r="15" spans="1:28" x14ac:dyDescent="0.35">
      <c r="A15" s="3">
        <v>11</v>
      </c>
      <c r="B15" s="3" t="s">
        <v>247</v>
      </c>
      <c r="C15" s="3" t="s">
        <v>304</v>
      </c>
      <c r="D15" s="27">
        <v>18000</v>
      </c>
      <c r="E15" s="27">
        <v>18000</v>
      </c>
      <c r="F15" s="27">
        <v>18000</v>
      </c>
      <c r="G15" s="27">
        <v>18000</v>
      </c>
      <c r="H15" s="27">
        <v>18000</v>
      </c>
      <c r="I15" s="27">
        <v>18000</v>
      </c>
      <c r="J15" s="27">
        <v>18000</v>
      </c>
      <c r="K15" s="27">
        <v>18000</v>
      </c>
      <c r="L15" s="27">
        <v>18000</v>
      </c>
      <c r="M15" s="27">
        <v>18000</v>
      </c>
      <c r="N15" s="27">
        <v>18000</v>
      </c>
      <c r="O15" s="27">
        <v>18000</v>
      </c>
      <c r="P15" s="27">
        <v>18000</v>
      </c>
      <c r="Q15" s="27">
        <v>18000</v>
      </c>
      <c r="R15" s="27">
        <v>18000</v>
      </c>
      <c r="S15" s="27">
        <v>18000</v>
      </c>
      <c r="T15" s="27">
        <v>18000</v>
      </c>
      <c r="U15" s="27">
        <v>0</v>
      </c>
      <c r="V15" s="27">
        <v>18000</v>
      </c>
      <c r="W15" s="27">
        <v>18000</v>
      </c>
      <c r="X15" s="11">
        <f t="shared" si="0"/>
        <v>18000</v>
      </c>
      <c r="Y15" s="11">
        <f t="shared" si="1"/>
        <v>18000</v>
      </c>
      <c r="Z15" s="11">
        <f t="shared" si="2"/>
        <v>18000</v>
      </c>
      <c r="AA15" s="11">
        <f t="shared" si="3"/>
        <v>18000</v>
      </c>
      <c r="AB15" s="11">
        <f t="shared" si="4"/>
        <v>18000</v>
      </c>
    </row>
    <row r="16" spans="1:28" x14ac:dyDescent="0.35">
      <c r="A16" s="3">
        <v>12</v>
      </c>
      <c r="B16" s="3" t="s">
        <v>248</v>
      </c>
      <c r="C16" s="3" t="s">
        <v>304</v>
      </c>
      <c r="D16" s="27">
        <v>15000</v>
      </c>
      <c r="E16" s="27">
        <v>15000</v>
      </c>
      <c r="F16" s="27">
        <v>15000</v>
      </c>
      <c r="G16" s="27">
        <v>15000</v>
      </c>
      <c r="H16" s="27">
        <v>15000</v>
      </c>
      <c r="I16" s="27">
        <v>15500</v>
      </c>
      <c r="J16" s="27">
        <v>15500</v>
      </c>
      <c r="K16" s="27">
        <v>15500</v>
      </c>
      <c r="L16" s="27">
        <v>15500</v>
      </c>
      <c r="M16" s="27">
        <v>15500</v>
      </c>
      <c r="N16" s="27">
        <v>15500</v>
      </c>
      <c r="O16" s="27">
        <v>15500</v>
      </c>
      <c r="P16" s="27">
        <v>15500</v>
      </c>
      <c r="Q16" s="27">
        <v>15500</v>
      </c>
      <c r="R16" s="27">
        <v>15500</v>
      </c>
      <c r="S16" s="27">
        <v>15500</v>
      </c>
      <c r="T16" s="27">
        <v>15500</v>
      </c>
      <c r="U16" s="27">
        <v>0</v>
      </c>
      <c r="V16" s="27">
        <v>15500</v>
      </c>
      <c r="W16" s="27">
        <v>15500</v>
      </c>
      <c r="X16" s="11">
        <f t="shared" si="0"/>
        <v>15000</v>
      </c>
      <c r="Y16" s="11">
        <f t="shared" si="1"/>
        <v>15500</v>
      </c>
      <c r="Z16" s="11">
        <f t="shared" si="2"/>
        <v>15500</v>
      </c>
      <c r="AA16" s="11">
        <f t="shared" si="3"/>
        <v>15500</v>
      </c>
      <c r="AB16" s="11">
        <f t="shared" si="4"/>
        <v>15368.421052631578</v>
      </c>
    </row>
    <row r="17" spans="1:28" x14ac:dyDescent="0.35">
      <c r="A17" s="3">
        <v>13</v>
      </c>
      <c r="B17" s="3" t="s">
        <v>243</v>
      </c>
      <c r="C17" s="3" t="s">
        <v>304</v>
      </c>
      <c r="D17" s="27">
        <v>9000</v>
      </c>
      <c r="E17" s="27">
        <v>9000</v>
      </c>
      <c r="F17" s="27">
        <v>9000</v>
      </c>
      <c r="G17" s="27">
        <v>9000</v>
      </c>
      <c r="H17" s="27">
        <v>9000</v>
      </c>
      <c r="I17" s="27">
        <v>9000</v>
      </c>
      <c r="J17" s="27">
        <v>9000</v>
      </c>
      <c r="K17" s="27">
        <v>9000</v>
      </c>
      <c r="L17" s="27">
        <v>9000</v>
      </c>
      <c r="M17" s="27">
        <v>9000</v>
      </c>
      <c r="N17" s="27">
        <v>9000</v>
      </c>
      <c r="O17" s="27">
        <v>9000</v>
      </c>
      <c r="P17" s="27">
        <v>9000</v>
      </c>
      <c r="Q17" s="27">
        <v>9000</v>
      </c>
      <c r="R17" s="27">
        <v>9000</v>
      </c>
      <c r="S17" s="27">
        <v>9000</v>
      </c>
      <c r="T17" s="27">
        <v>9000</v>
      </c>
      <c r="U17" s="27">
        <v>0</v>
      </c>
      <c r="V17" s="27">
        <v>9000</v>
      </c>
      <c r="W17" s="27">
        <v>9000</v>
      </c>
      <c r="X17" s="11">
        <f t="shared" si="0"/>
        <v>9000</v>
      </c>
      <c r="Y17" s="11">
        <f t="shared" si="1"/>
        <v>9000</v>
      </c>
      <c r="Z17" s="11">
        <f t="shared" si="2"/>
        <v>9000</v>
      </c>
      <c r="AA17" s="11">
        <f t="shared" si="3"/>
        <v>9000</v>
      </c>
      <c r="AB17" s="11">
        <f t="shared" si="4"/>
        <v>9000</v>
      </c>
    </row>
    <row r="18" spans="1:28" x14ac:dyDescent="0.35">
      <c r="A18" s="3">
        <v>14</v>
      </c>
      <c r="B18" s="3" t="s">
        <v>245</v>
      </c>
      <c r="C18" s="3" t="s">
        <v>304</v>
      </c>
      <c r="D18" s="27">
        <v>29000</v>
      </c>
      <c r="E18" s="27">
        <v>29000</v>
      </c>
      <c r="F18" s="27">
        <v>29000</v>
      </c>
      <c r="G18" s="27">
        <v>29000</v>
      </c>
      <c r="H18" s="27">
        <v>29000</v>
      </c>
      <c r="I18" s="27">
        <v>30000</v>
      </c>
      <c r="J18" s="27">
        <v>30000</v>
      </c>
      <c r="K18" s="27">
        <v>30000</v>
      </c>
      <c r="L18" s="27">
        <v>30000</v>
      </c>
      <c r="M18" s="27">
        <v>30000</v>
      </c>
      <c r="N18" s="27">
        <v>30000</v>
      </c>
      <c r="O18" s="27">
        <v>31000</v>
      </c>
      <c r="P18" s="27">
        <v>31000</v>
      </c>
      <c r="Q18" s="27">
        <v>31000</v>
      </c>
      <c r="R18" s="27">
        <v>31000</v>
      </c>
      <c r="S18" s="27">
        <v>31000</v>
      </c>
      <c r="T18" s="27">
        <v>31000</v>
      </c>
      <c r="U18" s="27">
        <v>0</v>
      </c>
      <c r="V18" s="27">
        <v>31000</v>
      </c>
      <c r="W18" s="27">
        <v>31000</v>
      </c>
      <c r="X18" s="11">
        <f t="shared" si="0"/>
        <v>29000</v>
      </c>
      <c r="Y18" s="11">
        <f t="shared" si="1"/>
        <v>30000</v>
      </c>
      <c r="Z18" s="11">
        <f t="shared" si="2"/>
        <v>30800</v>
      </c>
      <c r="AA18" s="11">
        <f t="shared" si="3"/>
        <v>31000</v>
      </c>
      <c r="AB18" s="11">
        <f t="shared" si="4"/>
        <v>30157.894736842107</v>
      </c>
    </row>
    <row r="19" spans="1:28" x14ac:dyDescent="0.35">
      <c r="A19" s="3">
        <v>15</v>
      </c>
      <c r="B19" s="3" t="s">
        <v>252</v>
      </c>
      <c r="C19" s="3" t="s">
        <v>304</v>
      </c>
      <c r="D19" s="27">
        <v>24500</v>
      </c>
      <c r="E19" s="27">
        <v>25000</v>
      </c>
      <c r="F19" s="27">
        <v>25000</v>
      </c>
      <c r="G19" s="27">
        <v>25000</v>
      </c>
      <c r="H19" s="27">
        <v>25000</v>
      </c>
      <c r="I19" s="27">
        <v>25500</v>
      </c>
      <c r="J19" s="27">
        <v>25500</v>
      </c>
      <c r="K19" s="27">
        <v>25500</v>
      </c>
      <c r="L19" s="27">
        <v>25500</v>
      </c>
      <c r="M19" s="27">
        <v>25500</v>
      </c>
      <c r="N19" s="27">
        <v>25500</v>
      </c>
      <c r="O19" s="27">
        <v>26000</v>
      </c>
      <c r="P19" s="27">
        <v>26000</v>
      </c>
      <c r="Q19" s="27">
        <v>26500</v>
      </c>
      <c r="R19" s="27">
        <v>26500</v>
      </c>
      <c r="S19" s="27">
        <v>26500</v>
      </c>
      <c r="T19" s="27">
        <v>26500</v>
      </c>
      <c r="U19" s="27">
        <v>0</v>
      </c>
      <c r="V19" s="27">
        <v>26500</v>
      </c>
      <c r="W19" s="27">
        <v>26500</v>
      </c>
      <c r="X19" s="11">
        <f t="shared" si="0"/>
        <v>24900</v>
      </c>
      <c r="Y19" s="11">
        <f t="shared" si="1"/>
        <v>25500</v>
      </c>
      <c r="Z19" s="11">
        <f t="shared" si="2"/>
        <v>26100</v>
      </c>
      <c r="AA19" s="11">
        <f t="shared" si="3"/>
        <v>26500</v>
      </c>
      <c r="AB19" s="11">
        <f t="shared" si="4"/>
        <v>25710.526315789473</v>
      </c>
    </row>
    <row r="20" spans="1:28" x14ac:dyDescent="0.35">
      <c r="A20" s="3">
        <v>16</v>
      </c>
      <c r="B20" s="3" t="s">
        <v>263</v>
      </c>
      <c r="C20" s="3" t="s">
        <v>304</v>
      </c>
      <c r="D20" s="27">
        <v>103000</v>
      </c>
      <c r="E20" s="27">
        <v>103000</v>
      </c>
      <c r="F20" s="27">
        <v>103000</v>
      </c>
      <c r="G20" s="27">
        <v>103000</v>
      </c>
      <c r="H20" s="27">
        <v>103000</v>
      </c>
      <c r="I20" s="27">
        <v>103000</v>
      </c>
      <c r="J20" s="27">
        <v>103000</v>
      </c>
      <c r="K20" s="27">
        <v>103000</v>
      </c>
      <c r="L20" s="27">
        <v>103000</v>
      </c>
      <c r="M20" s="27">
        <v>103000</v>
      </c>
      <c r="N20" s="27">
        <v>103000</v>
      </c>
      <c r="O20" s="27">
        <v>103000</v>
      </c>
      <c r="P20" s="27">
        <v>103000</v>
      </c>
      <c r="Q20" s="27">
        <v>103000</v>
      </c>
      <c r="R20" s="27">
        <v>103000</v>
      </c>
      <c r="S20" s="27">
        <v>103000</v>
      </c>
      <c r="T20" s="27">
        <v>103000</v>
      </c>
      <c r="U20" s="27">
        <v>0</v>
      </c>
      <c r="V20" s="27">
        <v>103000</v>
      </c>
      <c r="W20" s="27">
        <v>103000</v>
      </c>
      <c r="X20" s="11">
        <f t="shared" si="0"/>
        <v>103000</v>
      </c>
      <c r="Y20" s="11">
        <f t="shared" si="1"/>
        <v>103000</v>
      </c>
      <c r="Z20" s="11">
        <f t="shared" si="2"/>
        <v>103000</v>
      </c>
      <c r="AA20" s="11">
        <f t="shared" si="3"/>
        <v>103000</v>
      </c>
      <c r="AB20" s="11">
        <f t="shared" si="4"/>
        <v>103000</v>
      </c>
    </row>
    <row r="21" spans="1:28" x14ac:dyDescent="0.35">
      <c r="A21" s="3">
        <v>17</v>
      </c>
      <c r="B21" s="3" t="s">
        <v>264</v>
      </c>
      <c r="C21" s="3" t="s">
        <v>304</v>
      </c>
      <c r="D21" s="27">
        <v>60000</v>
      </c>
      <c r="E21" s="27">
        <v>60000</v>
      </c>
      <c r="F21" s="27">
        <v>60000</v>
      </c>
      <c r="G21" s="27">
        <v>60000</v>
      </c>
      <c r="H21" s="27">
        <v>60000</v>
      </c>
      <c r="I21" s="27">
        <v>60000</v>
      </c>
      <c r="J21" s="27">
        <v>60000</v>
      </c>
      <c r="K21" s="27">
        <v>60000</v>
      </c>
      <c r="L21" s="27">
        <v>60000</v>
      </c>
      <c r="M21" s="27">
        <v>60000</v>
      </c>
      <c r="N21" s="27">
        <v>60000</v>
      </c>
      <c r="O21" s="27">
        <v>60000</v>
      </c>
      <c r="P21" s="27">
        <v>60000</v>
      </c>
      <c r="Q21" s="27">
        <v>60000</v>
      </c>
      <c r="R21" s="27">
        <v>60000</v>
      </c>
      <c r="S21" s="27">
        <v>60000</v>
      </c>
      <c r="T21" s="27">
        <v>60000</v>
      </c>
      <c r="U21" s="27">
        <v>0</v>
      </c>
      <c r="V21" s="27">
        <v>60000</v>
      </c>
      <c r="W21" s="27">
        <v>60000</v>
      </c>
      <c r="X21" s="11">
        <f t="shared" si="0"/>
        <v>60000</v>
      </c>
      <c r="Y21" s="11">
        <f t="shared" si="1"/>
        <v>60000</v>
      </c>
      <c r="Z21" s="11">
        <f t="shared" si="2"/>
        <v>60000</v>
      </c>
      <c r="AA21" s="11">
        <f t="shared" si="3"/>
        <v>60000</v>
      </c>
      <c r="AB21" s="11">
        <f t="shared" si="4"/>
        <v>60000</v>
      </c>
    </row>
    <row r="22" spans="1:28" x14ac:dyDescent="0.35">
      <c r="A22" s="3">
        <v>18</v>
      </c>
      <c r="B22" s="3" t="s">
        <v>265</v>
      </c>
      <c r="C22" s="3" t="s">
        <v>304</v>
      </c>
      <c r="D22" s="27">
        <v>70000</v>
      </c>
      <c r="E22" s="27">
        <v>70000</v>
      </c>
      <c r="F22" s="27">
        <v>70000</v>
      </c>
      <c r="G22" s="27">
        <v>70000</v>
      </c>
      <c r="H22" s="27">
        <v>70000</v>
      </c>
      <c r="I22" s="27">
        <v>70000</v>
      </c>
      <c r="J22" s="27">
        <v>70000</v>
      </c>
      <c r="K22" s="27">
        <v>70000</v>
      </c>
      <c r="L22" s="27">
        <v>70000</v>
      </c>
      <c r="M22" s="27">
        <v>70000</v>
      </c>
      <c r="N22" s="27">
        <v>70000</v>
      </c>
      <c r="O22" s="27">
        <v>70000</v>
      </c>
      <c r="P22" s="27">
        <v>70000</v>
      </c>
      <c r="Q22" s="27">
        <v>70000</v>
      </c>
      <c r="R22" s="27">
        <v>70000</v>
      </c>
      <c r="S22" s="27">
        <v>70000</v>
      </c>
      <c r="T22" s="27">
        <v>70000</v>
      </c>
      <c r="U22" s="27">
        <v>0</v>
      </c>
      <c r="V22" s="27">
        <v>70000</v>
      </c>
      <c r="W22" s="27">
        <v>70000</v>
      </c>
      <c r="X22" s="11">
        <f t="shared" si="0"/>
        <v>70000</v>
      </c>
      <c r="Y22" s="11">
        <f t="shared" si="1"/>
        <v>70000</v>
      </c>
      <c r="Z22" s="11">
        <f t="shared" si="2"/>
        <v>70000</v>
      </c>
      <c r="AA22" s="11">
        <f t="shared" si="3"/>
        <v>70000</v>
      </c>
      <c r="AB22" s="11">
        <f t="shared" si="4"/>
        <v>70000</v>
      </c>
    </row>
    <row r="23" spans="1:28" x14ac:dyDescent="0.35">
      <c r="A23" s="3">
        <v>19</v>
      </c>
      <c r="B23" s="3" t="s">
        <v>306</v>
      </c>
      <c r="C23" s="3" t="s">
        <v>304</v>
      </c>
      <c r="D23" s="27">
        <v>30000</v>
      </c>
      <c r="E23" s="27">
        <v>30000</v>
      </c>
      <c r="F23" s="27">
        <v>30000</v>
      </c>
      <c r="G23" s="27">
        <v>30000</v>
      </c>
      <c r="H23" s="27">
        <v>30000</v>
      </c>
      <c r="I23" s="27">
        <v>30000</v>
      </c>
      <c r="J23" s="27">
        <v>30000</v>
      </c>
      <c r="K23" s="27">
        <v>30000</v>
      </c>
      <c r="L23" s="27">
        <v>30000</v>
      </c>
      <c r="M23" s="27">
        <v>30000</v>
      </c>
      <c r="N23" s="27">
        <v>30000</v>
      </c>
      <c r="O23" s="27">
        <v>30000</v>
      </c>
      <c r="P23" s="27">
        <v>30000</v>
      </c>
      <c r="Q23" s="27">
        <v>30000</v>
      </c>
      <c r="R23" s="27">
        <v>30000</v>
      </c>
      <c r="S23" s="27">
        <v>30000</v>
      </c>
      <c r="T23" s="27">
        <v>30000</v>
      </c>
      <c r="U23" s="27">
        <v>0</v>
      </c>
      <c r="V23" s="27">
        <v>30000</v>
      </c>
      <c r="W23" s="27">
        <v>30000</v>
      </c>
      <c r="X23" s="11">
        <f t="shared" si="0"/>
        <v>30000</v>
      </c>
      <c r="Y23" s="11">
        <f t="shared" si="1"/>
        <v>30000</v>
      </c>
      <c r="Z23" s="11">
        <f t="shared" si="2"/>
        <v>30000</v>
      </c>
      <c r="AA23" s="11">
        <f t="shared" si="3"/>
        <v>30000</v>
      </c>
      <c r="AB23" s="11">
        <f t="shared" si="4"/>
        <v>30000</v>
      </c>
    </row>
    <row r="24" spans="1:28" x14ac:dyDescent="0.35">
      <c r="A24" s="3">
        <v>20</v>
      </c>
      <c r="B24" s="3" t="s">
        <v>254</v>
      </c>
      <c r="C24" s="3" t="s">
        <v>304</v>
      </c>
      <c r="D24" s="27">
        <v>35000</v>
      </c>
      <c r="E24" s="27">
        <v>35000</v>
      </c>
      <c r="F24" s="27">
        <v>35000</v>
      </c>
      <c r="G24" s="27">
        <v>35000</v>
      </c>
      <c r="H24" s="27">
        <v>35000</v>
      </c>
      <c r="I24" s="27">
        <v>35000</v>
      </c>
      <c r="J24" s="27">
        <v>35000</v>
      </c>
      <c r="K24" s="27">
        <v>35000</v>
      </c>
      <c r="L24" s="27">
        <v>35000</v>
      </c>
      <c r="M24" s="27">
        <v>35000</v>
      </c>
      <c r="N24" s="27">
        <v>35000</v>
      </c>
      <c r="O24" s="27">
        <v>35000</v>
      </c>
      <c r="P24" s="27">
        <v>35000</v>
      </c>
      <c r="Q24" s="27">
        <v>35000</v>
      </c>
      <c r="R24" s="27">
        <v>35000</v>
      </c>
      <c r="S24" s="27">
        <v>35000</v>
      </c>
      <c r="T24" s="27">
        <v>35000</v>
      </c>
      <c r="U24" s="27">
        <v>0</v>
      </c>
      <c r="V24" s="27">
        <v>35000</v>
      </c>
      <c r="W24" s="27">
        <v>35000</v>
      </c>
      <c r="X24" s="11">
        <f t="shared" si="0"/>
        <v>35000</v>
      </c>
      <c r="Y24" s="11">
        <f t="shared" si="1"/>
        <v>35000</v>
      </c>
      <c r="Z24" s="11">
        <f t="shared" si="2"/>
        <v>35000</v>
      </c>
      <c r="AA24" s="11">
        <f t="shared" si="3"/>
        <v>35000</v>
      </c>
      <c r="AB24" s="11">
        <f t="shared" si="4"/>
        <v>35000</v>
      </c>
    </row>
    <row r="25" spans="1:28" x14ac:dyDescent="0.35">
      <c r="A25" s="3">
        <v>21</v>
      </c>
      <c r="B25" s="3" t="s">
        <v>307</v>
      </c>
      <c r="C25" s="3" t="s">
        <v>304</v>
      </c>
      <c r="D25" s="27">
        <v>75000</v>
      </c>
      <c r="E25" s="27">
        <v>75000</v>
      </c>
      <c r="F25" s="27">
        <v>75000</v>
      </c>
      <c r="G25" s="27">
        <v>75000</v>
      </c>
      <c r="H25" s="27">
        <v>75000</v>
      </c>
      <c r="I25" s="27">
        <v>75000</v>
      </c>
      <c r="J25" s="27">
        <v>75000</v>
      </c>
      <c r="K25" s="27">
        <v>75000</v>
      </c>
      <c r="L25" s="27">
        <v>75000</v>
      </c>
      <c r="M25" s="27">
        <v>75000</v>
      </c>
      <c r="N25" s="27">
        <v>75000</v>
      </c>
      <c r="O25" s="27">
        <v>75000</v>
      </c>
      <c r="P25" s="27">
        <v>75000</v>
      </c>
      <c r="Q25" s="27">
        <v>75000</v>
      </c>
      <c r="R25" s="27">
        <v>75000</v>
      </c>
      <c r="S25" s="27">
        <v>75000</v>
      </c>
      <c r="T25" s="27">
        <v>75000</v>
      </c>
      <c r="U25" s="27">
        <v>0</v>
      </c>
      <c r="V25" s="27">
        <v>75000</v>
      </c>
      <c r="W25" s="27">
        <v>75000</v>
      </c>
      <c r="X25" s="11">
        <f t="shared" si="0"/>
        <v>75000</v>
      </c>
      <c r="Y25" s="11">
        <f t="shared" si="1"/>
        <v>75000</v>
      </c>
      <c r="Z25" s="11">
        <f t="shared" si="2"/>
        <v>75000</v>
      </c>
      <c r="AA25" s="11">
        <f t="shared" si="3"/>
        <v>75000</v>
      </c>
      <c r="AB25" s="11">
        <f t="shared" si="4"/>
        <v>75000</v>
      </c>
    </row>
    <row r="26" spans="1:28" x14ac:dyDescent="0.35">
      <c r="A26" s="3">
        <v>22</v>
      </c>
      <c r="B26" s="3" t="s">
        <v>259</v>
      </c>
      <c r="C26" s="3" t="s">
        <v>304</v>
      </c>
      <c r="D26" s="27">
        <v>2800</v>
      </c>
      <c r="E26" s="27">
        <v>2800</v>
      </c>
      <c r="F26" s="27">
        <v>2800</v>
      </c>
      <c r="G26" s="27">
        <v>2800</v>
      </c>
      <c r="H26" s="27">
        <v>2800</v>
      </c>
      <c r="I26" s="27">
        <v>2800</v>
      </c>
      <c r="J26" s="27">
        <v>2800</v>
      </c>
      <c r="K26" s="27">
        <v>2800</v>
      </c>
      <c r="L26" s="27">
        <v>2800</v>
      </c>
      <c r="M26" s="27">
        <v>2800</v>
      </c>
      <c r="N26" s="27">
        <v>2800</v>
      </c>
      <c r="O26" s="27">
        <v>2800</v>
      </c>
      <c r="P26" s="27">
        <v>2800</v>
      </c>
      <c r="Q26" s="27">
        <v>2800</v>
      </c>
      <c r="R26" s="27">
        <v>2800</v>
      </c>
      <c r="S26" s="27">
        <v>2800</v>
      </c>
      <c r="T26" s="27">
        <v>2800</v>
      </c>
      <c r="U26" s="27">
        <v>0</v>
      </c>
      <c r="V26" s="27">
        <v>2800</v>
      </c>
      <c r="W26" s="27">
        <v>2800</v>
      </c>
      <c r="X26" s="11">
        <f t="shared" si="0"/>
        <v>2800</v>
      </c>
      <c r="Y26" s="11">
        <f t="shared" si="1"/>
        <v>2800</v>
      </c>
      <c r="Z26" s="11">
        <f t="shared" si="2"/>
        <v>2800</v>
      </c>
      <c r="AA26" s="11">
        <f t="shared" si="3"/>
        <v>2800</v>
      </c>
      <c r="AB26" s="11">
        <f t="shared" si="4"/>
        <v>2800</v>
      </c>
    </row>
    <row r="27" spans="1:28" x14ac:dyDescent="0.35">
      <c r="A27" s="3">
        <v>23</v>
      </c>
      <c r="B27" s="3" t="s">
        <v>257</v>
      </c>
      <c r="C27" s="3" t="s">
        <v>304</v>
      </c>
      <c r="D27" s="27">
        <v>34000</v>
      </c>
      <c r="E27" s="27">
        <v>34000</v>
      </c>
      <c r="F27" s="27">
        <v>34000</v>
      </c>
      <c r="G27" s="27">
        <v>34000</v>
      </c>
      <c r="H27" s="27">
        <v>34000</v>
      </c>
      <c r="I27" s="27">
        <v>35000</v>
      </c>
      <c r="J27" s="27">
        <v>35000</v>
      </c>
      <c r="K27" s="27">
        <v>35000</v>
      </c>
      <c r="L27" s="27">
        <v>35000</v>
      </c>
      <c r="M27" s="27">
        <v>35000</v>
      </c>
      <c r="N27" s="27">
        <v>36000</v>
      </c>
      <c r="O27" s="27">
        <v>36000</v>
      </c>
      <c r="P27" s="27">
        <v>36000</v>
      </c>
      <c r="Q27" s="27">
        <v>36000</v>
      </c>
      <c r="R27" s="27">
        <v>36000</v>
      </c>
      <c r="S27" s="27">
        <v>36000</v>
      </c>
      <c r="T27" s="27">
        <v>36000</v>
      </c>
      <c r="U27" s="27">
        <v>0</v>
      </c>
      <c r="V27" s="27">
        <v>36000</v>
      </c>
      <c r="W27" s="27">
        <v>36000</v>
      </c>
      <c r="X27" s="11">
        <f t="shared" si="0"/>
        <v>34000</v>
      </c>
      <c r="Y27" s="11">
        <f t="shared" si="1"/>
        <v>35000</v>
      </c>
      <c r="Z27" s="11">
        <f t="shared" si="2"/>
        <v>36000</v>
      </c>
      <c r="AA27" s="11">
        <f t="shared" si="3"/>
        <v>36000</v>
      </c>
      <c r="AB27" s="11">
        <f t="shared" si="4"/>
        <v>35210.526315789473</v>
      </c>
    </row>
    <row r="28" spans="1:28" x14ac:dyDescent="0.35">
      <c r="A28" s="3">
        <v>24</v>
      </c>
      <c r="B28" s="3" t="s">
        <v>258</v>
      </c>
      <c r="C28" s="3" t="s">
        <v>304</v>
      </c>
      <c r="D28" s="27">
        <v>38000</v>
      </c>
      <c r="E28" s="27">
        <v>38000</v>
      </c>
      <c r="F28" s="27">
        <v>38000</v>
      </c>
      <c r="G28" s="27">
        <v>38000</v>
      </c>
      <c r="H28" s="27">
        <v>38000</v>
      </c>
      <c r="I28" s="27">
        <v>38000</v>
      </c>
      <c r="J28" s="27">
        <v>38000</v>
      </c>
      <c r="K28" s="27">
        <v>38000</v>
      </c>
      <c r="L28" s="27">
        <v>38000</v>
      </c>
      <c r="M28" s="27">
        <v>38000</v>
      </c>
      <c r="N28" s="27">
        <v>38000</v>
      </c>
      <c r="O28" s="27">
        <v>38000</v>
      </c>
      <c r="P28" s="27">
        <v>38000</v>
      </c>
      <c r="Q28" s="27">
        <v>38000</v>
      </c>
      <c r="R28" s="27">
        <v>38000</v>
      </c>
      <c r="S28" s="27">
        <v>38000</v>
      </c>
      <c r="T28" s="27">
        <v>38000</v>
      </c>
      <c r="U28" s="27">
        <v>0</v>
      </c>
      <c r="V28" s="27">
        <v>38000</v>
      </c>
      <c r="W28" s="27">
        <v>38000</v>
      </c>
      <c r="X28" s="11">
        <f t="shared" si="0"/>
        <v>38000</v>
      </c>
      <c r="Y28" s="11">
        <f t="shared" si="1"/>
        <v>38000</v>
      </c>
      <c r="Z28" s="11">
        <f t="shared" si="2"/>
        <v>38000</v>
      </c>
      <c r="AA28" s="11">
        <f t="shared" si="3"/>
        <v>38000</v>
      </c>
      <c r="AB28" s="11">
        <f t="shared" si="4"/>
        <v>38000</v>
      </c>
    </row>
    <row r="29" spans="1:28" x14ac:dyDescent="0.35">
      <c r="A29" s="3">
        <v>25</v>
      </c>
      <c r="B29" s="3" t="s">
        <v>308</v>
      </c>
      <c r="C29" s="3" t="s">
        <v>304</v>
      </c>
      <c r="D29" s="27">
        <v>25000</v>
      </c>
      <c r="E29" s="27">
        <v>25000</v>
      </c>
      <c r="F29" s="27">
        <v>25000</v>
      </c>
      <c r="G29" s="27">
        <v>25000</v>
      </c>
      <c r="H29" s="27">
        <v>25000</v>
      </c>
      <c r="I29" s="27">
        <v>25000</v>
      </c>
      <c r="J29" s="27">
        <v>25000</v>
      </c>
      <c r="K29" s="27">
        <v>25000</v>
      </c>
      <c r="L29" s="27">
        <v>25000</v>
      </c>
      <c r="M29" s="27">
        <v>25000</v>
      </c>
      <c r="N29" s="27">
        <v>25000</v>
      </c>
      <c r="O29" s="27">
        <v>25000</v>
      </c>
      <c r="P29" s="27">
        <v>25000</v>
      </c>
      <c r="Q29" s="27">
        <v>25000</v>
      </c>
      <c r="R29" s="27">
        <v>25000</v>
      </c>
      <c r="S29" s="27">
        <v>25000</v>
      </c>
      <c r="T29" s="27">
        <v>25000</v>
      </c>
      <c r="U29" s="27">
        <v>0</v>
      </c>
      <c r="V29" s="27">
        <v>25000</v>
      </c>
      <c r="W29" s="27">
        <v>25000</v>
      </c>
      <c r="X29" s="11">
        <f t="shared" si="0"/>
        <v>25000</v>
      </c>
      <c r="Y29" s="11">
        <f t="shared" si="1"/>
        <v>25000</v>
      </c>
      <c r="Z29" s="11">
        <f t="shared" si="2"/>
        <v>25000</v>
      </c>
      <c r="AA29" s="11">
        <f t="shared" si="3"/>
        <v>25000</v>
      </c>
      <c r="AB29" s="11">
        <f t="shared" si="4"/>
        <v>25000</v>
      </c>
    </row>
    <row r="30" spans="1:28" x14ac:dyDescent="0.35">
      <c r="A30" s="3">
        <v>26</v>
      </c>
      <c r="B30" s="3" t="s">
        <v>309</v>
      </c>
      <c r="C30" s="3" t="s">
        <v>304</v>
      </c>
      <c r="D30" s="27">
        <v>8000</v>
      </c>
      <c r="E30" s="27">
        <v>8000</v>
      </c>
      <c r="F30" s="27">
        <v>8000</v>
      </c>
      <c r="G30" s="27">
        <v>8000</v>
      </c>
      <c r="H30" s="27">
        <v>8000</v>
      </c>
      <c r="I30" s="27">
        <v>8000</v>
      </c>
      <c r="J30" s="27">
        <v>8000</v>
      </c>
      <c r="K30" s="27">
        <v>8000</v>
      </c>
      <c r="L30" s="27">
        <v>8000</v>
      </c>
      <c r="M30" s="27">
        <v>8000</v>
      </c>
      <c r="N30" s="27">
        <v>8000</v>
      </c>
      <c r="O30" s="27">
        <v>8000</v>
      </c>
      <c r="P30" s="27">
        <v>8000</v>
      </c>
      <c r="Q30" s="27">
        <v>8000</v>
      </c>
      <c r="R30" s="27">
        <v>8000</v>
      </c>
      <c r="S30" s="27">
        <v>8000</v>
      </c>
      <c r="T30" s="27">
        <v>8000</v>
      </c>
      <c r="U30" s="27">
        <v>0</v>
      </c>
      <c r="V30" s="27">
        <v>8000</v>
      </c>
      <c r="W30" s="27">
        <v>8000</v>
      </c>
      <c r="X30" s="11">
        <f t="shared" si="0"/>
        <v>8000</v>
      </c>
      <c r="Y30" s="11">
        <f t="shared" si="1"/>
        <v>8000</v>
      </c>
      <c r="Z30" s="11">
        <f t="shared" si="2"/>
        <v>8000</v>
      </c>
      <c r="AA30" s="11">
        <f t="shared" si="3"/>
        <v>8000</v>
      </c>
      <c r="AB30" s="11">
        <f t="shared" si="4"/>
        <v>8000</v>
      </c>
    </row>
    <row r="31" spans="1:28" x14ac:dyDescent="0.35">
      <c r="A31" s="3">
        <v>27</v>
      </c>
      <c r="B31" s="3" t="s">
        <v>260</v>
      </c>
      <c r="C31" s="3" t="s">
        <v>304</v>
      </c>
      <c r="D31" s="27">
        <v>10500</v>
      </c>
      <c r="E31" s="27">
        <v>10500</v>
      </c>
      <c r="F31" s="27">
        <v>10500</v>
      </c>
      <c r="G31" s="27">
        <v>10500</v>
      </c>
      <c r="H31" s="27">
        <v>10500</v>
      </c>
      <c r="I31" s="27">
        <v>10500</v>
      </c>
      <c r="J31" s="27">
        <v>10500</v>
      </c>
      <c r="K31" s="27">
        <v>10500</v>
      </c>
      <c r="L31" s="27">
        <v>10500</v>
      </c>
      <c r="M31" s="27">
        <v>10500</v>
      </c>
      <c r="N31" s="27">
        <v>10500</v>
      </c>
      <c r="O31" s="27">
        <v>10500</v>
      </c>
      <c r="P31" s="27">
        <v>10500</v>
      </c>
      <c r="Q31" s="27">
        <v>10500</v>
      </c>
      <c r="R31" s="27">
        <v>10500</v>
      </c>
      <c r="S31" s="27">
        <v>10500</v>
      </c>
      <c r="T31" s="27">
        <v>10500</v>
      </c>
      <c r="U31" s="27">
        <v>0</v>
      </c>
      <c r="V31" s="27">
        <v>10500</v>
      </c>
      <c r="W31" s="27">
        <v>10500</v>
      </c>
      <c r="X31" s="11">
        <f t="shared" si="0"/>
        <v>10500</v>
      </c>
      <c r="Y31" s="11">
        <f t="shared" si="1"/>
        <v>10500</v>
      </c>
      <c r="Z31" s="11">
        <f t="shared" si="2"/>
        <v>10500</v>
      </c>
      <c r="AA31" s="11">
        <f t="shared" si="3"/>
        <v>10500</v>
      </c>
      <c r="AB31" s="11">
        <f t="shared" si="4"/>
        <v>10500</v>
      </c>
    </row>
    <row r="32" spans="1:28" x14ac:dyDescent="0.35">
      <c r="A32" s="3">
        <v>28</v>
      </c>
      <c r="B32" s="3" t="s">
        <v>255</v>
      </c>
      <c r="C32" s="3" t="s">
        <v>304</v>
      </c>
      <c r="D32" s="27">
        <v>42000</v>
      </c>
      <c r="E32" s="27">
        <v>42000</v>
      </c>
      <c r="F32" s="27">
        <v>42000</v>
      </c>
      <c r="G32" s="27">
        <v>42000</v>
      </c>
      <c r="H32" s="27">
        <v>42000</v>
      </c>
      <c r="I32" s="27">
        <v>42000</v>
      </c>
      <c r="J32" s="27">
        <v>42000</v>
      </c>
      <c r="K32" s="27">
        <v>42000</v>
      </c>
      <c r="L32" s="27">
        <v>42000</v>
      </c>
      <c r="M32" s="27">
        <v>42000</v>
      </c>
      <c r="N32" s="27">
        <v>42000</v>
      </c>
      <c r="O32" s="27">
        <v>42000</v>
      </c>
      <c r="P32" s="27">
        <v>42000</v>
      </c>
      <c r="Q32" s="27">
        <v>42000</v>
      </c>
      <c r="R32" s="27">
        <v>42000</v>
      </c>
      <c r="S32" s="27">
        <v>42000</v>
      </c>
      <c r="T32" s="27">
        <v>42000</v>
      </c>
      <c r="U32" s="27">
        <v>0</v>
      </c>
      <c r="V32" s="27">
        <v>42000</v>
      </c>
      <c r="W32" s="27">
        <v>42000</v>
      </c>
      <c r="X32" s="11">
        <f t="shared" si="0"/>
        <v>42000</v>
      </c>
      <c r="Y32" s="11">
        <f t="shared" si="1"/>
        <v>42000</v>
      </c>
      <c r="Z32" s="11">
        <f t="shared" si="2"/>
        <v>42000</v>
      </c>
      <c r="AA32" s="11">
        <f t="shared" si="3"/>
        <v>42000</v>
      </c>
      <c r="AB32" s="11">
        <f t="shared" si="4"/>
        <v>42000</v>
      </c>
    </row>
    <row r="33" spans="1:28" x14ac:dyDescent="0.35">
      <c r="A33" s="3">
        <v>29</v>
      </c>
      <c r="B33" s="3" t="s">
        <v>266</v>
      </c>
      <c r="C33" s="3" t="s">
        <v>304</v>
      </c>
      <c r="D33" s="27">
        <v>9000</v>
      </c>
      <c r="E33" s="27">
        <v>9000</v>
      </c>
      <c r="F33" s="27">
        <v>9000</v>
      </c>
      <c r="G33" s="27">
        <v>9000</v>
      </c>
      <c r="H33" s="27">
        <v>9000</v>
      </c>
      <c r="I33" s="27">
        <v>9000</v>
      </c>
      <c r="J33" s="27">
        <v>9000</v>
      </c>
      <c r="K33" s="27">
        <v>9000</v>
      </c>
      <c r="L33" s="27">
        <v>9000</v>
      </c>
      <c r="M33" s="27">
        <v>9000</v>
      </c>
      <c r="N33" s="27">
        <v>9000</v>
      </c>
      <c r="O33" s="27">
        <v>9000</v>
      </c>
      <c r="P33" s="27">
        <v>9000</v>
      </c>
      <c r="Q33" s="27">
        <v>9000</v>
      </c>
      <c r="R33" s="27">
        <v>9000</v>
      </c>
      <c r="S33" s="27">
        <v>9000</v>
      </c>
      <c r="T33" s="27">
        <v>9000</v>
      </c>
      <c r="U33" s="27">
        <v>0</v>
      </c>
      <c r="V33" s="27">
        <v>9000</v>
      </c>
      <c r="W33" s="27">
        <v>9000</v>
      </c>
      <c r="X33" s="11">
        <f t="shared" si="0"/>
        <v>9000</v>
      </c>
      <c r="Y33" s="11">
        <f t="shared" si="1"/>
        <v>9000</v>
      </c>
      <c r="Z33" s="11">
        <f t="shared" si="2"/>
        <v>9000</v>
      </c>
      <c r="AA33" s="11">
        <f t="shared" si="3"/>
        <v>9000</v>
      </c>
      <c r="AB33" s="11">
        <f t="shared" si="4"/>
        <v>9000</v>
      </c>
    </row>
    <row r="34" spans="1:28" x14ac:dyDescent="0.35">
      <c r="A34" s="3">
        <v>30</v>
      </c>
      <c r="B34" s="3" t="s">
        <v>244</v>
      </c>
      <c r="C34" s="3" t="s">
        <v>304</v>
      </c>
      <c r="D34" s="27">
        <v>4750</v>
      </c>
      <c r="E34" s="27">
        <v>4750</v>
      </c>
      <c r="F34" s="27">
        <v>4750</v>
      </c>
      <c r="G34" s="27">
        <v>4750</v>
      </c>
      <c r="H34" s="27">
        <v>4750</v>
      </c>
      <c r="I34" s="27">
        <v>4750</v>
      </c>
      <c r="J34" s="27">
        <v>4750</v>
      </c>
      <c r="K34" s="27">
        <v>4750</v>
      </c>
      <c r="L34" s="27">
        <v>4750</v>
      </c>
      <c r="M34" s="27">
        <v>4750</v>
      </c>
      <c r="N34" s="27">
        <v>4750</v>
      </c>
      <c r="O34" s="27">
        <v>4750</v>
      </c>
      <c r="P34" s="27">
        <v>4750</v>
      </c>
      <c r="Q34" s="27">
        <v>4750</v>
      </c>
      <c r="R34" s="27">
        <v>4750</v>
      </c>
      <c r="S34" s="27">
        <v>4750</v>
      </c>
      <c r="T34" s="27">
        <v>4750</v>
      </c>
      <c r="U34" s="27">
        <v>0</v>
      </c>
      <c r="V34" s="27">
        <v>4750</v>
      </c>
      <c r="W34" s="27">
        <v>4750</v>
      </c>
      <c r="X34" s="11">
        <f t="shared" si="0"/>
        <v>4750</v>
      </c>
      <c r="Y34" s="11">
        <f t="shared" si="1"/>
        <v>4750</v>
      </c>
      <c r="Z34" s="11">
        <f t="shared" si="2"/>
        <v>4750</v>
      </c>
      <c r="AA34" s="11">
        <f t="shared" si="3"/>
        <v>4750</v>
      </c>
      <c r="AB34" s="11">
        <f t="shared" si="4"/>
        <v>4750</v>
      </c>
    </row>
    <row r="35" spans="1:28" x14ac:dyDescent="0.35">
      <c r="A35" s="3">
        <v>31</v>
      </c>
      <c r="B35" s="3" t="s">
        <v>249</v>
      </c>
      <c r="C35" s="3" t="s">
        <v>304</v>
      </c>
      <c r="D35" s="27">
        <v>68000</v>
      </c>
      <c r="E35" s="27">
        <v>68000</v>
      </c>
      <c r="F35" s="27">
        <v>68000</v>
      </c>
      <c r="G35" s="27">
        <v>68000</v>
      </c>
      <c r="H35" s="27">
        <v>68000</v>
      </c>
      <c r="I35" s="27">
        <v>68000</v>
      </c>
      <c r="J35" s="27">
        <v>68000</v>
      </c>
      <c r="K35" s="27">
        <v>68000</v>
      </c>
      <c r="L35" s="27">
        <v>68000</v>
      </c>
      <c r="M35" s="27">
        <v>68000</v>
      </c>
      <c r="N35" s="27">
        <v>68000</v>
      </c>
      <c r="O35" s="27">
        <v>68000</v>
      </c>
      <c r="P35" s="27">
        <v>68000</v>
      </c>
      <c r="Q35" s="27">
        <v>68000</v>
      </c>
      <c r="R35" s="27">
        <v>68000</v>
      </c>
      <c r="S35" s="27">
        <v>68000</v>
      </c>
      <c r="T35" s="27">
        <v>68000</v>
      </c>
      <c r="U35" s="27">
        <v>0</v>
      </c>
      <c r="V35" s="27">
        <v>68000</v>
      </c>
      <c r="W35" s="27">
        <v>68000</v>
      </c>
      <c r="X35" s="11">
        <f t="shared" si="0"/>
        <v>68000</v>
      </c>
      <c r="Y35" s="11">
        <f t="shared" si="1"/>
        <v>68000</v>
      </c>
      <c r="Z35" s="11">
        <f t="shared" si="2"/>
        <v>68000</v>
      </c>
      <c r="AA35" s="11">
        <f t="shared" si="3"/>
        <v>68000</v>
      </c>
      <c r="AB35" s="11">
        <f t="shared" si="4"/>
        <v>68000</v>
      </c>
    </row>
    <row r="36" spans="1:28" x14ac:dyDescent="0.35">
      <c r="A36" s="3">
        <v>32</v>
      </c>
      <c r="B36" s="3" t="s">
        <v>250</v>
      </c>
      <c r="C36" s="3" t="s">
        <v>304</v>
      </c>
      <c r="D36" s="27">
        <v>13000</v>
      </c>
      <c r="E36" s="27">
        <v>13000</v>
      </c>
      <c r="F36" s="27">
        <v>13000</v>
      </c>
      <c r="G36" s="27">
        <v>13000</v>
      </c>
      <c r="H36" s="27">
        <v>13000</v>
      </c>
      <c r="I36" s="27">
        <v>13000</v>
      </c>
      <c r="J36" s="27">
        <v>13000</v>
      </c>
      <c r="K36" s="27">
        <v>13000</v>
      </c>
      <c r="L36" s="27">
        <v>13000</v>
      </c>
      <c r="M36" s="27">
        <v>13000</v>
      </c>
      <c r="N36" s="27">
        <v>13000</v>
      </c>
      <c r="O36" s="27">
        <v>13000</v>
      </c>
      <c r="P36" s="27">
        <v>13000</v>
      </c>
      <c r="Q36" s="27">
        <v>13000</v>
      </c>
      <c r="R36" s="27">
        <v>13000</v>
      </c>
      <c r="S36" s="27">
        <v>13000</v>
      </c>
      <c r="T36" s="27">
        <v>13000</v>
      </c>
      <c r="U36" s="27">
        <v>0</v>
      </c>
      <c r="V36" s="27">
        <v>13000</v>
      </c>
      <c r="W36" s="27">
        <v>13000</v>
      </c>
      <c r="X36" s="11">
        <f t="shared" si="0"/>
        <v>13000</v>
      </c>
      <c r="Y36" s="11">
        <f t="shared" si="1"/>
        <v>13000</v>
      </c>
      <c r="Z36" s="11">
        <f t="shared" si="2"/>
        <v>13000</v>
      </c>
      <c r="AA36" s="11">
        <f t="shared" si="3"/>
        <v>13000</v>
      </c>
      <c r="AB36" s="11">
        <f t="shared" si="4"/>
        <v>13000</v>
      </c>
    </row>
    <row r="37" spans="1:28" x14ac:dyDescent="0.35">
      <c r="A37" s="3">
        <v>33</v>
      </c>
      <c r="B37" s="3" t="s">
        <v>267</v>
      </c>
      <c r="C37" s="3" t="s">
        <v>304</v>
      </c>
      <c r="D37" s="27">
        <v>9000</v>
      </c>
      <c r="E37" s="27">
        <v>9000</v>
      </c>
      <c r="F37" s="27">
        <v>9000</v>
      </c>
      <c r="G37" s="27">
        <v>9000</v>
      </c>
      <c r="H37" s="27">
        <v>9000</v>
      </c>
      <c r="I37" s="27">
        <v>9000</v>
      </c>
      <c r="J37" s="27">
        <v>9000</v>
      </c>
      <c r="K37" s="27">
        <v>9000</v>
      </c>
      <c r="L37" s="27">
        <v>9000</v>
      </c>
      <c r="M37" s="27">
        <v>9000</v>
      </c>
      <c r="N37" s="27">
        <v>9000</v>
      </c>
      <c r="O37" s="27">
        <v>9000</v>
      </c>
      <c r="P37" s="27">
        <v>9000</v>
      </c>
      <c r="Q37" s="27">
        <v>9000</v>
      </c>
      <c r="R37" s="27">
        <v>9000</v>
      </c>
      <c r="S37" s="27">
        <v>9000</v>
      </c>
      <c r="T37" s="27">
        <v>9000</v>
      </c>
      <c r="U37" s="27">
        <v>0</v>
      </c>
      <c r="V37" s="27">
        <v>9000</v>
      </c>
      <c r="W37" s="27">
        <v>9000</v>
      </c>
      <c r="X37" s="11">
        <f t="shared" si="0"/>
        <v>9000</v>
      </c>
      <c r="Y37" s="11">
        <f t="shared" si="1"/>
        <v>9000</v>
      </c>
      <c r="Z37" s="11">
        <f t="shared" si="2"/>
        <v>9000</v>
      </c>
      <c r="AA37" s="11">
        <f t="shared" si="3"/>
        <v>9000</v>
      </c>
      <c r="AB37" s="11">
        <f t="shared" si="4"/>
        <v>9000</v>
      </c>
    </row>
    <row r="38" spans="1:28" x14ac:dyDescent="0.35">
      <c r="A38" s="3">
        <v>34</v>
      </c>
      <c r="B38" s="3" t="s">
        <v>310</v>
      </c>
      <c r="C38" s="3" t="s">
        <v>304</v>
      </c>
      <c r="D38" s="27">
        <v>6000</v>
      </c>
      <c r="E38" s="27">
        <v>6000</v>
      </c>
      <c r="F38" s="27">
        <v>6000</v>
      </c>
      <c r="G38" s="27">
        <v>6000</v>
      </c>
      <c r="H38" s="27">
        <v>6000</v>
      </c>
      <c r="I38" s="27">
        <v>6000</v>
      </c>
      <c r="J38" s="27">
        <v>6000</v>
      </c>
      <c r="K38" s="27">
        <v>6000</v>
      </c>
      <c r="L38" s="27">
        <v>6000</v>
      </c>
      <c r="M38" s="27">
        <v>6000</v>
      </c>
      <c r="N38" s="27">
        <v>6000</v>
      </c>
      <c r="O38" s="27">
        <v>6000</v>
      </c>
      <c r="P38" s="27">
        <v>6000</v>
      </c>
      <c r="Q38" s="27">
        <v>6000</v>
      </c>
      <c r="R38" s="27">
        <v>6000</v>
      </c>
      <c r="S38" s="27">
        <v>6000</v>
      </c>
      <c r="T38" s="27">
        <v>6000</v>
      </c>
      <c r="U38" s="27">
        <v>0</v>
      </c>
      <c r="V38" s="27">
        <v>6000</v>
      </c>
      <c r="W38" s="27">
        <v>6000</v>
      </c>
      <c r="X38" s="11">
        <f t="shared" si="0"/>
        <v>6000</v>
      </c>
      <c r="Y38" s="11">
        <f t="shared" si="1"/>
        <v>6000</v>
      </c>
      <c r="Z38" s="11">
        <f t="shared" si="2"/>
        <v>6000</v>
      </c>
      <c r="AA38" s="11">
        <f t="shared" si="3"/>
        <v>6000</v>
      </c>
      <c r="AB38" s="11">
        <f t="shared" si="4"/>
        <v>6000</v>
      </c>
    </row>
    <row r="39" spans="1:28" x14ac:dyDescent="0.35">
      <c r="A39" s="3">
        <v>35</v>
      </c>
      <c r="B39" s="3" t="s">
        <v>311</v>
      </c>
      <c r="C39" s="3" t="s">
        <v>304</v>
      </c>
      <c r="D39" s="27">
        <v>15000</v>
      </c>
      <c r="E39" s="27">
        <v>15000</v>
      </c>
      <c r="F39" s="27">
        <v>15000</v>
      </c>
      <c r="G39" s="27">
        <v>15000</v>
      </c>
      <c r="H39" s="27">
        <v>15000</v>
      </c>
      <c r="I39" s="27">
        <v>15000</v>
      </c>
      <c r="J39" s="27">
        <v>15000</v>
      </c>
      <c r="K39" s="27">
        <v>15000</v>
      </c>
      <c r="L39" s="27">
        <v>15000</v>
      </c>
      <c r="M39" s="27">
        <v>15000</v>
      </c>
      <c r="N39" s="27">
        <v>15000</v>
      </c>
      <c r="O39" s="27">
        <v>15000</v>
      </c>
      <c r="P39" s="27">
        <v>15000</v>
      </c>
      <c r="Q39" s="27">
        <v>15000</v>
      </c>
      <c r="R39" s="27">
        <v>15000</v>
      </c>
      <c r="S39" s="27">
        <v>15000</v>
      </c>
      <c r="T39" s="27">
        <v>15000</v>
      </c>
      <c r="U39" s="27">
        <v>0</v>
      </c>
      <c r="V39" s="27">
        <v>15000</v>
      </c>
      <c r="W39" s="27">
        <v>15000</v>
      </c>
      <c r="X39" s="11">
        <f t="shared" si="0"/>
        <v>15000</v>
      </c>
      <c r="Y39" s="11">
        <f t="shared" si="1"/>
        <v>15000</v>
      </c>
      <c r="Z39" s="11">
        <f t="shared" si="2"/>
        <v>15000</v>
      </c>
      <c r="AA39" s="11">
        <f t="shared" si="3"/>
        <v>15000</v>
      </c>
      <c r="AB39" s="11">
        <f t="shared" si="4"/>
        <v>15000</v>
      </c>
    </row>
    <row r="40" spans="1:28" x14ac:dyDescent="0.35">
      <c r="A40" s="3">
        <v>36</v>
      </c>
      <c r="B40" s="3" t="s">
        <v>312</v>
      </c>
      <c r="C40" s="3" t="s">
        <v>304</v>
      </c>
      <c r="D40" s="27">
        <v>4000</v>
      </c>
      <c r="E40" s="27">
        <v>4000</v>
      </c>
      <c r="F40" s="27">
        <v>4000</v>
      </c>
      <c r="G40" s="27">
        <v>4000</v>
      </c>
      <c r="H40" s="27">
        <v>4000</v>
      </c>
      <c r="I40" s="27">
        <v>4000</v>
      </c>
      <c r="J40" s="27">
        <v>4000</v>
      </c>
      <c r="K40" s="27">
        <v>4000</v>
      </c>
      <c r="L40" s="27">
        <v>4000</v>
      </c>
      <c r="M40" s="27">
        <v>4000</v>
      </c>
      <c r="N40" s="27">
        <v>4000</v>
      </c>
      <c r="O40" s="27">
        <v>4000</v>
      </c>
      <c r="P40" s="27">
        <v>4000</v>
      </c>
      <c r="Q40" s="27">
        <v>4000</v>
      </c>
      <c r="R40" s="27">
        <v>4000</v>
      </c>
      <c r="S40" s="27">
        <v>4000</v>
      </c>
      <c r="T40" s="27">
        <v>4000</v>
      </c>
      <c r="U40" s="27">
        <v>0</v>
      </c>
      <c r="V40" s="27">
        <v>4000</v>
      </c>
      <c r="W40" s="27">
        <v>4000</v>
      </c>
      <c r="X40" s="11">
        <f t="shared" si="0"/>
        <v>4000</v>
      </c>
      <c r="Y40" s="11">
        <f t="shared" si="1"/>
        <v>4000</v>
      </c>
      <c r="Z40" s="11">
        <f t="shared" si="2"/>
        <v>4000</v>
      </c>
      <c r="AA40" s="11">
        <f t="shared" si="3"/>
        <v>4000</v>
      </c>
      <c r="AB40" s="11">
        <f t="shared" si="4"/>
        <v>4000</v>
      </c>
    </row>
    <row r="41" spans="1:28" x14ac:dyDescent="0.35">
      <c r="A41" s="3">
        <v>37</v>
      </c>
      <c r="B41" s="3" t="s">
        <v>313</v>
      </c>
      <c r="C41" s="3" t="s">
        <v>304</v>
      </c>
      <c r="D41" s="27">
        <v>2000</v>
      </c>
      <c r="E41" s="27">
        <v>2000</v>
      </c>
      <c r="F41" s="27">
        <v>2000</v>
      </c>
      <c r="G41" s="27">
        <v>2000</v>
      </c>
      <c r="H41" s="27">
        <v>2000</v>
      </c>
      <c r="I41" s="27">
        <v>2000</v>
      </c>
      <c r="J41" s="27">
        <v>2000</v>
      </c>
      <c r="K41" s="27">
        <v>2000</v>
      </c>
      <c r="L41" s="27">
        <v>2000</v>
      </c>
      <c r="M41" s="27">
        <v>2000</v>
      </c>
      <c r="N41" s="27">
        <v>2000</v>
      </c>
      <c r="O41" s="27">
        <v>2000</v>
      </c>
      <c r="P41" s="27">
        <v>2000</v>
      </c>
      <c r="Q41" s="27">
        <v>2000</v>
      </c>
      <c r="R41" s="27">
        <v>2000</v>
      </c>
      <c r="S41" s="27">
        <v>2000</v>
      </c>
      <c r="T41" s="27">
        <v>2000</v>
      </c>
      <c r="U41" s="27">
        <v>0</v>
      </c>
      <c r="V41" s="27">
        <v>2000</v>
      </c>
      <c r="W41" s="27">
        <v>2000</v>
      </c>
      <c r="X41" s="11">
        <f t="shared" si="0"/>
        <v>2000</v>
      </c>
      <c r="Y41" s="11">
        <f t="shared" si="1"/>
        <v>2000</v>
      </c>
      <c r="Z41" s="11">
        <f t="shared" si="2"/>
        <v>2000</v>
      </c>
      <c r="AA41" s="11">
        <f t="shared" si="3"/>
        <v>2000</v>
      </c>
      <c r="AB41" s="11">
        <f t="shared" si="4"/>
        <v>2000</v>
      </c>
    </row>
    <row r="42" spans="1:28" x14ac:dyDescent="0.35">
      <c r="A42" s="3">
        <v>38</v>
      </c>
      <c r="B42" s="3" t="s">
        <v>314</v>
      </c>
      <c r="C42" s="3" t="s">
        <v>304</v>
      </c>
      <c r="D42" s="27">
        <v>5000</v>
      </c>
      <c r="E42" s="27">
        <v>5000</v>
      </c>
      <c r="F42" s="27">
        <v>5000</v>
      </c>
      <c r="G42" s="27">
        <v>5000</v>
      </c>
      <c r="H42" s="27">
        <v>5000</v>
      </c>
      <c r="I42" s="27">
        <v>5000</v>
      </c>
      <c r="J42" s="27">
        <v>5000</v>
      </c>
      <c r="K42" s="27">
        <v>5000</v>
      </c>
      <c r="L42" s="27">
        <v>5000</v>
      </c>
      <c r="M42" s="27">
        <v>5000</v>
      </c>
      <c r="N42" s="27">
        <v>5000</v>
      </c>
      <c r="O42" s="27">
        <v>5000</v>
      </c>
      <c r="P42" s="27">
        <v>5000</v>
      </c>
      <c r="Q42" s="27">
        <v>5000</v>
      </c>
      <c r="R42" s="27">
        <v>5000</v>
      </c>
      <c r="S42" s="27">
        <v>5000</v>
      </c>
      <c r="T42" s="27">
        <v>5000</v>
      </c>
      <c r="U42" s="27">
        <v>0</v>
      </c>
      <c r="V42" s="27">
        <v>5000</v>
      </c>
      <c r="W42" s="27">
        <v>5000</v>
      </c>
      <c r="X42" s="11">
        <f t="shared" si="0"/>
        <v>5000</v>
      </c>
      <c r="Y42" s="11">
        <f t="shared" si="1"/>
        <v>5000</v>
      </c>
      <c r="Z42" s="11">
        <f t="shared" si="2"/>
        <v>5000</v>
      </c>
      <c r="AA42" s="11">
        <f t="shared" si="3"/>
        <v>5000</v>
      </c>
      <c r="AB42" s="11">
        <f t="shared" si="4"/>
        <v>5000</v>
      </c>
    </row>
    <row r="43" spans="1:28" x14ac:dyDescent="0.35">
      <c r="A43" s="3">
        <v>39</v>
      </c>
      <c r="B43" s="3" t="s">
        <v>315</v>
      </c>
      <c r="C43" s="3" t="s">
        <v>304</v>
      </c>
      <c r="D43" s="27">
        <v>7000</v>
      </c>
      <c r="E43" s="27">
        <v>7000</v>
      </c>
      <c r="F43" s="27">
        <v>7000</v>
      </c>
      <c r="G43" s="27">
        <v>7000</v>
      </c>
      <c r="H43" s="27">
        <v>7000</v>
      </c>
      <c r="I43" s="27">
        <v>7000</v>
      </c>
      <c r="J43" s="27">
        <v>7000</v>
      </c>
      <c r="K43" s="27">
        <v>7000</v>
      </c>
      <c r="L43" s="27">
        <v>7000</v>
      </c>
      <c r="M43" s="27">
        <v>7000</v>
      </c>
      <c r="N43" s="27">
        <v>7000</v>
      </c>
      <c r="O43" s="27">
        <v>7000</v>
      </c>
      <c r="P43" s="27">
        <v>7000</v>
      </c>
      <c r="Q43" s="27">
        <v>7000</v>
      </c>
      <c r="R43" s="27">
        <v>7000</v>
      </c>
      <c r="S43" s="27">
        <v>7000</v>
      </c>
      <c r="T43" s="27">
        <v>7000</v>
      </c>
      <c r="U43" s="27">
        <v>0</v>
      </c>
      <c r="V43" s="27">
        <v>7000</v>
      </c>
      <c r="W43" s="27">
        <v>7000</v>
      </c>
      <c r="X43" s="11">
        <f t="shared" si="0"/>
        <v>7000</v>
      </c>
      <c r="Y43" s="11">
        <f t="shared" si="1"/>
        <v>7000</v>
      </c>
      <c r="Z43" s="11">
        <f t="shared" si="2"/>
        <v>7000</v>
      </c>
      <c r="AA43" s="11">
        <f t="shared" si="3"/>
        <v>7000</v>
      </c>
      <c r="AB43" s="11">
        <f t="shared" si="4"/>
        <v>7000</v>
      </c>
    </row>
    <row r="44" spans="1:28" x14ac:dyDescent="0.35">
      <c r="A44" s="3">
        <v>40</v>
      </c>
      <c r="B44" s="3" t="s">
        <v>316</v>
      </c>
      <c r="C44" s="3" t="s">
        <v>304</v>
      </c>
      <c r="D44" s="27">
        <v>5000</v>
      </c>
      <c r="E44" s="27">
        <v>5000</v>
      </c>
      <c r="F44" s="27">
        <v>5000</v>
      </c>
      <c r="G44" s="27">
        <v>5000</v>
      </c>
      <c r="H44" s="27">
        <v>5000</v>
      </c>
      <c r="I44" s="27">
        <v>5000</v>
      </c>
      <c r="J44" s="27">
        <v>5000</v>
      </c>
      <c r="K44" s="27">
        <v>5000</v>
      </c>
      <c r="L44" s="27">
        <v>5000</v>
      </c>
      <c r="M44" s="27">
        <v>5000</v>
      </c>
      <c r="N44" s="27">
        <v>5000</v>
      </c>
      <c r="O44" s="27">
        <v>5000</v>
      </c>
      <c r="P44" s="27">
        <v>5000</v>
      </c>
      <c r="Q44" s="27">
        <v>5000</v>
      </c>
      <c r="R44" s="27">
        <v>5000</v>
      </c>
      <c r="S44" s="27">
        <v>5000</v>
      </c>
      <c r="T44" s="27">
        <v>5000</v>
      </c>
      <c r="U44" s="27">
        <v>0</v>
      </c>
      <c r="V44" s="27">
        <v>5000</v>
      </c>
      <c r="W44" s="27">
        <v>5000</v>
      </c>
      <c r="X44" s="11">
        <f t="shared" si="0"/>
        <v>5000</v>
      </c>
      <c r="Y44" s="11">
        <f t="shared" si="1"/>
        <v>5000</v>
      </c>
      <c r="Z44" s="11">
        <f t="shared" si="2"/>
        <v>5000</v>
      </c>
      <c r="AA44" s="11">
        <f t="shared" si="3"/>
        <v>5000</v>
      </c>
      <c r="AB44" s="11">
        <f t="shared" si="4"/>
        <v>5000</v>
      </c>
    </row>
    <row r="45" spans="1:28" x14ac:dyDescent="0.35">
      <c r="A45" s="3">
        <v>41</v>
      </c>
      <c r="B45" s="3" t="s">
        <v>317</v>
      </c>
      <c r="C45" s="3" t="s">
        <v>304</v>
      </c>
      <c r="D45" s="27">
        <v>70000</v>
      </c>
      <c r="E45" s="27">
        <v>70000</v>
      </c>
      <c r="F45" s="27">
        <v>70000</v>
      </c>
      <c r="G45" s="27">
        <v>70000</v>
      </c>
      <c r="H45" s="27">
        <v>70000</v>
      </c>
      <c r="I45" s="27">
        <v>70000</v>
      </c>
      <c r="J45" s="27">
        <v>7000</v>
      </c>
      <c r="K45" s="27">
        <v>7000</v>
      </c>
      <c r="L45" s="27">
        <v>7000</v>
      </c>
      <c r="M45" s="27">
        <v>70000</v>
      </c>
      <c r="N45" s="27">
        <v>70000</v>
      </c>
      <c r="O45" s="27">
        <v>70000</v>
      </c>
      <c r="P45" s="27">
        <v>70000</v>
      </c>
      <c r="Q45" s="27">
        <v>70000</v>
      </c>
      <c r="R45" s="27">
        <v>70000</v>
      </c>
      <c r="S45" s="27">
        <v>70000</v>
      </c>
      <c r="T45" s="27">
        <v>70000</v>
      </c>
      <c r="U45" s="27">
        <v>0</v>
      </c>
      <c r="V45" s="27">
        <v>70000</v>
      </c>
      <c r="W45" s="27">
        <v>70000</v>
      </c>
      <c r="X45" s="11">
        <f t="shared" si="0"/>
        <v>70000</v>
      </c>
      <c r="Y45" s="11">
        <f t="shared" si="1"/>
        <v>32200</v>
      </c>
      <c r="Z45" s="11">
        <f t="shared" si="2"/>
        <v>70000</v>
      </c>
      <c r="AA45" s="11">
        <f t="shared" si="3"/>
        <v>70000</v>
      </c>
      <c r="AB45" s="11">
        <f t="shared" si="4"/>
        <v>60052.631578947367</v>
      </c>
    </row>
    <row r="46" spans="1:28" x14ac:dyDescent="0.35">
      <c r="A46" s="3">
        <v>42</v>
      </c>
      <c r="B46" s="3" t="s">
        <v>318</v>
      </c>
      <c r="C46" s="3" t="s">
        <v>304</v>
      </c>
      <c r="D46" s="27">
        <v>40000</v>
      </c>
      <c r="E46" s="27">
        <v>40000</v>
      </c>
      <c r="F46" s="27">
        <v>40000</v>
      </c>
      <c r="G46" s="27">
        <v>40000</v>
      </c>
      <c r="H46" s="27">
        <v>40000</v>
      </c>
      <c r="I46" s="27">
        <v>40000</v>
      </c>
      <c r="J46" s="27">
        <v>40000</v>
      </c>
      <c r="K46" s="27">
        <v>40000</v>
      </c>
      <c r="L46" s="27">
        <v>40000</v>
      </c>
      <c r="M46" s="27">
        <v>40000</v>
      </c>
      <c r="N46" s="27">
        <v>40000</v>
      </c>
      <c r="O46" s="27">
        <v>40000</v>
      </c>
      <c r="P46" s="27">
        <v>40000</v>
      </c>
      <c r="Q46" s="27">
        <v>40000</v>
      </c>
      <c r="R46" s="27">
        <v>40000</v>
      </c>
      <c r="S46" s="27">
        <v>40000</v>
      </c>
      <c r="T46" s="27">
        <v>40000</v>
      </c>
      <c r="U46" s="27">
        <v>0</v>
      </c>
      <c r="V46" s="27">
        <v>40000</v>
      </c>
      <c r="W46" s="27">
        <v>40000</v>
      </c>
      <c r="X46" s="11">
        <f t="shared" si="0"/>
        <v>40000</v>
      </c>
      <c r="Y46" s="11">
        <f t="shared" si="1"/>
        <v>40000</v>
      </c>
      <c r="Z46" s="11">
        <f t="shared" si="2"/>
        <v>40000</v>
      </c>
      <c r="AA46" s="11">
        <f t="shared" si="3"/>
        <v>40000</v>
      </c>
      <c r="AB46" s="11">
        <f t="shared" si="4"/>
        <v>40000</v>
      </c>
    </row>
    <row r="47" spans="1:28" x14ac:dyDescent="0.35">
      <c r="A47" s="3">
        <v>43</v>
      </c>
      <c r="B47" s="3" t="s">
        <v>319</v>
      </c>
      <c r="C47" s="3" t="s">
        <v>304</v>
      </c>
      <c r="D47" s="27">
        <v>27000</v>
      </c>
      <c r="E47" s="27">
        <v>27000</v>
      </c>
      <c r="F47" s="27">
        <v>27000</v>
      </c>
      <c r="G47" s="27">
        <v>27000</v>
      </c>
      <c r="H47" s="27">
        <v>27000</v>
      </c>
      <c r="I47" s="27">
        <v>27000</v>
      </c>
      <c r="J47" s="27">
        <v>27000</v>
      </c>
      <c r="K47" s="27">
        <v>27000</v>
      </c>
      <c r="L47" s="27">
        <v>27000</v>
      </c>
      <c r="M47" s="27">
        <v>27000</v>
      </c>
      <c r="N47" s="27">
        <v>27000</v>
      </c>
      <c r="O47" s="27">
        <v>27000</v>
      </c>
      <c r="P47" s="27">
        <v>27000</v>
      </c>
      <c r="Q47" s="27">
        <v>27000</v>
      </c>
      <c r="R47" s="27">
        <v>27000</v>
      </c>
      <c r="S47" s="27">
        <v>27000</v>
      </c>
      <c r="T47" s="27">
        <v>27000</v>
      </c>
      <c r="U47" s="27">
        <v>0</v>
      </c>
      <c r="V47" s="27">
        <v>27000</v>
      </c>
      <c r="W47" s="27">
        <v>27000</v>
      </c>
      <c r="X47" s="11">
        <f t="shared" si="0"/>
        <v>27000</v>
      </c>
      <c r="Y47" s="11">
        <f t="shared" si="1"/>
        <v>27000</v>
      </c>
      <c r="Z47" s="11">
        <f t="shared" si="2"/>
        <v>27000</v>
      </c>
      <c r="AA47" s="11">
        <f t="shared" si="3"/>
        <v>27000</v>
      </c>
      <c r="AB47" s="11">
        <f t="shared" si="4"/>
        <v>27000</v>
      </c>
    </row>
    <row r="48" spans="1:28" x14ac:dyDescent="0.35">
      <c r="A48" s="3">
        <v>44</v>
      </c>
      <c r="B48" s="3" t="s">
        <v>320</v>
      </c>
      <c r="C48" s="3" t="s">
        <v>304</v>
      </c>
      <c r="D48" s="27">
        <v>14000</v>
      </c>
      <c r="E48" s="27">
        <v>14000</v>
      </c>
      <c r="F48" s="27">
        <v>14000</v>
      </c>
      <c r="G48" s="27">
        <v>14000</v>
      </c>
      <c r="H48" s="27">
        <v>14000</v>
      </c>
      <c r="I48" s="27">
        <v>14000</v>
      </c>
      <c r="J48" s="27">
        <v>14000</v>
      </c>
      <c r="K48" s="27">
        <v>14000</v>
      </c>
      <c r="L48" s="27">
        <v>14000</v>
      </c>
      <c r="M48" s="27">
        <v>14000</v>
      </c>
      <c r="N48" s="27">
        <v>14000</v>
      </c>
      <c r="O48" s="27">
        <v>14000</v>
      </c>
      <c r="P48" s="27">
        <v>14000</v>
      </c>
      <c r="Q48" s="27">
        <v>14000</v>
      </c>
      <c r="R48" s="27">
        <v>14000</v>
      </c>
      <c r="S48" s="27">
        <v>14000</v>
      </c>
      <c r="T48" s="27">
        <v>14000</v>
      </c>
      <c r="U48" s="27">
        <v>0</v>
      </c>
      <c r="V48" s="27">
        <v>14000</v>
      </c>
      <c r="W48" s="27">
        <v>14000</v>
      </c>
      <c r="X48" s="11">
        <f t="shared" si="0"/>
        <v>14000</v>
      </c>
      <c r="Y48" s="11">
        <f t="shared" si="1"/>
        <v>14000</v>
      </c>
      <c r="Z48" s="11">
        <f t="shared" si="2"/>
        <v>14000</v>
      </c>
      <c r="AA48" s="11">
        <f t="shared" si="3"/>
        <v>14000</v>
      </c>
      <c r="AB48" s="11">
        <f t="shared" si="4"/>
        <v>14000</v>
      </c>
    </row>
  </sheetData>
  <mergeCells count="1">
    <mergeCell ref="A1:AB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zoomScaleNormal="100" workbookViewId="0">
      <pane xSplit="3" ySplit="4" topLeftCell="D5" activePane="bottomRight" state="frozen"/>
      <selection pane="topRight" activeCell="D1" sqref="D1"/>
      <selection pane="bottomLeft" activeCell="A5" sqref="A5"/>
      <selection pane="bottomRight" sqref="A1:AD1"/>
    </sheetView>
  </sheetViews>
  <sheetFormatPr defaultColWidth="8.6328125" defaultRowHeight="14.5" x14ac:dyDescent="0.35"/>
  <cols>
    <col min="1" max="1" width="4" customWidth="1"/>
    <col min="2" max="2" width="30" customWidth="1"/>
    <col min="3" max="3" width="4" customWidth="1"/>
    <col min="4" max="24" width="9" customWidth="1"/>
    <col min="25" max="30" width="14" customWidth="1"/>
  </cols>
  <sheetData>
    <row r="1" spans="1:30" ht="16.5" x14ac:dyDescent="0.35">
      <c r="A1" s="30" t="s">
        <v>383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row>
    <row r="2" spans="1:30" x14ac:dyDescent="0.35">
      <c r="A2" s="6" t="s">
        <v>276</v>
      </c>
    </row>
    <row r="4" spans="1:30" ht="21" x14ac:dyDescent="0.35">
      <c r="A4" s="8" t="s">
        <v>0</v>
      </c>
      <c r="B4" s="8" t="s">
        <v>277</v>
      </c>
      <c r="C4" s="8" t="s">
        <v>278</v>
      </c>
      <c r="D4" s="29">
        <v>46084</v>
      </c>
      <c r="E4" s="29">
        <v>46085</v>
      </c>
      <c r="F4" s="29">
        <v>46086</v>
      </c>
      <c r="G4" s="29">
        <v>46087</v>
      </c>
      <c r="H4" s="29">
        <v>46088</v>
      </c>
      <c r="I4" s="29">
        <v>46091</v>
      </c>
      <c r="J4" s="29">
        <v>46092</v>
      </c>
      <c r="K4" s="29">
        <v>46093</v>
      </c>
      <c r="L4" s="29">
        <v>46094</v>
      </c>
      <c r="M4" s="29">
        <v>46095</v>
      </c>
      <c r="N4" s="29">
        <v>46098</v>
      </c>
      <c r="O4" s="29">
        <v>46099</v>
      </c>
      <c r="P4" s="29">
        <v>46100</v>
      </c>
      <c r="Q4" s="29">
        <v>46101</v>
      </c>
      <c r="R4" s="29">
        <v>46102</v>
      </c>
      <c r="S4" s="29">
        <v>46105</v>
      </c>
      <c r="T4" s="29">
        <v>46106</v>
      </c>
      <c r="U4" s="29">
        <v>46107</v>
      </c>
      <c r="V4" s="29">
        <v>46108</v>
      </c>
      <c r="W4" s="29">
        <v>46109</v>
      </c>
      <c r="X4" s="29">
        <v>46112</v>
      </c>
      <c r="Y4" s="8" t="s">
        <v>326</v>
      </c>
      <c r="Z4" s="8" t="s">
        <v>327</v>
      </c>
      <c r="AA4" s="8" t="s">
        <v>328</v>
      </c>
      <c r="AB4" s="8" t="s">
        <v>329</v>
      </c>
      <c r="AC4" s="8" t="s">
        <v>330</v>
      </c>
      <c r="AD4" s="8" t="s">
        <v>384</v>
      </c>
    </row>
    <row r="5" spans="1:30" x14ac:dyDescent="0.35">
      <c r="A5" s="3">
        <v>1</v>
      </c>
      <c r="B5" s="3" t="s">
        <v>240</v>
      </c>
      <c r="C5" s="3" t="s">
        <v>304</v>
      </c>
      <c r="D5" s="27">
        <v>12000</v>
      </c>
      <c r="E5" s="27">
        <v>12000</v>
      </c>
      <c r="F5" s="27">
        <v>12000</v>
      </c>
      <c r="G5" s="27">
        <v>12000</v>
      </c>
      <c r="H5" s="27">
        <v>12000</v>
      </c>
      <c r="I5" s="27">
        <v>12000</v>
      </c>
      <c r="J5" s="27">
        <v>12000</v>
      </c>
      <c r="K5" s="27">
        <v>12000</v>
      </c>
      <c r="L5" s="27">
        <v>12000</v>
      </c>
      <c r="M5" s="27">
        <v>12000</v>
      </c>
      <c r="N5" s="27">
        <v>12000</v>
      </c>
      <c r="O5" s="27">
        <v>12000</v>
      </c>
      <c r="P5" s="27">
        <v>12000</v>
      </c>
      <c r="Q5" s="27">
        <v>12000</v>
      </c>
      <c r="R5" s="27">
        <v>12000</v>
      </c>
      <c r="S5" s="27">
        <v>12000</v>
      </c>
      <c r="T5" s="27">
        <v>12000</v>
      </c>
      <c r="U5" s="27">
        <v>12000</v>
      </c>
      <c r="V5" s="27">
        <v>12000</v>
      </c>
      <c r="W5" s="27">
        <v>0</v>
      </c>
      <c r="X5" s="27">
        <v>0</v>
      </c>
      <c r="Y5" s="11">
        <f t="shared" ref="Y5:Y48" si="0">IFERROR(AVERAGEIF(D5:H5,"&lt;&gt;0"),"")</f>
        <v>12000</v>
      </c>
      <c r="Z5" s="11">
        <f t="shared" ref="Z5:Z48" si="1">IFERROR(AVERAGEIF(I5:M5,"&lt;&gt;0"),"")</f>
        <v>12000</v>
      </c>
      <c r="AA5" s="11">
        <f t="shared" ref="AA5:AA48" si="2">IFERROR(AVERAGEIF(N5:R5,"&lt;&gt;0"),"")</f>
        <v>12000</v>
      </c>
      <c r="AB5" s="11">
        <f t="shared" ref="AB5:AB48" si="3">IFERROR(AVERAGEIF(S5:W5,"&lt;&gt;0"),"")</f>
        <v>12000</v>
      </c>
      <c r="AC5" s="11" t="str">
        <f t="shared" ref="AC5:AC48" si="4">IFERROR(AVERAGEIF(X5:X5,"&lt;&gt;0"),"")</f>
        <v/>
      </c>
      <c r="AD5" s="11">
        <f t="shared" ref="AD5:AD48" si="5">IFERROR(AVERAGEIF(D5:X5,"&lt;&gt;0"),"")</f>
        <v>12000</v>
      </c>
    </row>
    <row r="6" spans="1:30" x14ac:dyDescent="0.35">
      <c r="A6" s="3">
        <v>2</v>
      </c>
      <c r="B6" s="3" t="s">
        <v>241</v>
      </c>
      <c r="C6" s="3" t="s">
        <v>304</v>
      </c>
      <c r="D6" s="27">
        <v>13000</v>
      </c>
      <c r="E6" s="27">
        <v>13000</v>
      </c>
      <c r="F6" s="27">
        <v>13000</v>
      </c>
      <c r="G6" s="27">
        <v>13000</v>
      </c>
      <c r="H6" s="27">
        <v>13000</v>
      </c>
      <c r="I6" s="27">
        <v>13000</v>
      </c>
      <c r="J6" s="27">
        <v>13000</v>
      </c>
      <c r="K6" s="27">
        <v>13000</v>
      </c>
      <c r="L6" s="27">
        <v>13000</v>
      </c>
      <c r="M6" s="27">
        <v>13000</v>
      </c>
      <c r="N6" s="27">
        <v>13000</v>
      </c>
      <c r="O6" s="27">
        <v>13000</v>
      </c>
      <c r="P6" s="27">
        <v>13000</v>
      </c>
      <c r="Q6" s="27">
        <v>13000</v>
      </c>
      <c r="R6" s="27">
        <v>13000</v>
      </c>
      <c r="S6" s="27">
        <v>13000</v>
      </c>
      <c r="T6" s="27">
        <v>13000</v>
      </c>
      <c r="U6" s="27">
        <v>13000</v>
      </c>
      <c r="V6" s="27">
        <v>13000</v>
      </c>
      <c r="W6" s="27">
        <v>0</v>
      </c>
      <c r="X6" s="27">
        <v>0</v>
      </c>
      <c r="Y6" s="11">
        <f t="shared" si="0"/>
        <v>13000</v>
      </c>
      <c r="Z6" s="11">
        <f t="shared" si="1"/>
        <v>13000</v>
      </c>
      <c r="AA6" s="11">
        <f t="shared" si="2"/>
        <v>13000</v>
      </c>
      <c r="AB6" s="11">
        <f t="shared" si="3"/>
        <v>13000</v>
      </c>
      <c r="AC6" s="11" t="str">
        <f t="shared" si="4"/>
        <v/>
      </c>
      <c r="AD6" s="11">
        <f t="shared" si="5"/>
        <v>13000</v>
      </c>
    </row>
    <row r="7" spans="1:30" x14ac:dyDescent="0.35">
      <c r="A7" s="3">
        <v>3</v>
      </c>
      <c r="B7" s="3" t="s">
        <v>242</v>
      </c>
      <c r="C7" s="3" t="s">
        <v>304</v>
      </c>
      <c r="D7" s="27">
        <v>0</v>
      </c>
      <c r="E7" s="27">
        <v>0</v>
      </c>
      <c r="F7" s="27">
        <v>0</v>
      </c>
      <c r="G7" s="27">
        <v>0</v>
      </c>
      <c r="H7" s="27">
        <v>12500</v>
      </c>
      <c r="I7" s="27">
        <v>12500</v>
      </c>
      <c r="J7" s="27">
        <v>12500</v>
      </c>
      <c r="K7" s="27">
        <v>12500</v>
      </c>
      <c r="L7" s="27">
        <v>12500</v>
      </c>
      <c r="M7" s="27">
        <v>12500</v>
      </c>
      <c r="N7" s="27">
        <v>12500</v>
      </c>
      <c r="O7" s="27">
        <v>12500</v>
      </c>
      <c r="P7" s="27">
        <v>12500</v>
      </c>
      <c r="Q7" s="27">
        <v>12500</v>
      </c>
      <c r="R7" s="27">
        <v>12500</v>
      </c>
      <c r="S7" s="27">
        <v>12500</v>
      </c>
      <c r="T7" s="27">
        <v>12500</v>
      </c>
      <c r="U7" s="27">
        <v>12500</v>
      </c>
      <c r="V7" s="27">
        <v>12500</v>
      </c>
      <c r="W7" s="27">
        <v>0</v>
      </c>
      <c r="X7" s="27">
        <v>0</v>
      </c>
      <c r="Y7" s="11">
        <f t="shared" si="0"/>
        <v>12500</v>
      </c>
      <c r="Z7" s="11">
        <f t="shared" si="1"/>
        <v>12500</v>
      </c>
      <c r="AA7" s="11">
        <f t="shared" si="2"/>
        <v>12500</v>
      </c>
      <c r="AB7" s="11">
        <f t="shared" si="3"/>
        <v>12500</v>
      </c>
      <c r="AC7" s="11" t="str">
        <f t="shared" si="4"/>
        <v/>
      </c>
      <c r="AD7" s="11">
        <f t="shared" si="5"/>
        <v>12500</v>
      </c>
    </row>
    <row r="8" spans="1:30" x14ac:dyDescent="0.35">
      <c r="A8" s="3">
        <v>4</v>
      </c>
      <c r="B8" s="3" t="s">
        <v>305</v>
      </c>
      <c r="C8" s="3" t="s">
        <v>304</v>
      </c>
      <c r="D8" s="27">
        <v>11000</v>
      </c>
      <c r="E8" s="27">
        <v>11000</v>
      </c>
      <c r="F8" s="27">
        <v>11000</v>
      </c>
      <c r="G8" s="27">
        <v>11000</v>
      </c>
      <c r="H8" s="27">
        <v>11000</v>
      </c>
      <c r="I8" s="27">
        <v>11000</v>
      </c>
      <c r="J8" s="27">
        <v>11000</v>
      </c>
      <c r="K8" s="27">
        <v>11000</v>
      </c>
      <c r="L8" s="27">
        <v>12000</v>
      </c>
      <c r="M8" s="27">
        <v>12000</v>
      </c>
      <c r="N8" s="27">
        <v>12000</v>
      </c>
      <c r="O8" s="27">
        <v>12000</v>
      </c>
      <c r="P8" s="27">
        <v>12000</v>
      </c>
      <c r="Q8" s="27">
        <v>12000</v>
      </c>
      <c r="R8" s="27">
        <v>12000</v>
      </c>
      <c r="S8" s="27">
        <v>12000</v>
      </c>
      <c r="T8" s="27">
        <v>12000</v>
      </c>
      <c r="U8" s="27">
        <v>12000</v>
      </c>
      <c r="V8" s="27">
        <v>12000</v>
      </c>
      <c r="W8" s="27">
        <v>0</v>
      </c>
      <c r="X8" s="27">
        <v>0</v>
      </c>
      <c r="Y8" s="11">
        <f t="shared" si="0"/>
        <v>11000</v>
      </c>
      <c r="Z8" s="11">
        <f t="shared" si="1"/>
        <v>11400</v>
      </c>
      <c r="AA8" s="11">
        <f t="shared" si="2"/>
        <v>12000</v>
      </c>
      <c r="AB8" s="11">
        <f t="shared" si="3"/>
        <v>12000</v>
      </c>
      <c r="AC8" s="11" t="str">
        <f t="shared" si="4"/>
        <v/>
      </c>
      <c r="AD8" s="11">
        <f t="shared" si="5"/>
        <v>11578.947368421053</v>
      </c>
    </row>
    <row r="9" spans="1:30" x14ac:dyDescent="0.35">
      <c r="A9" s="3">
        <v>5</v>
      </c>
      <c r="B9" s="3" t="s">
        <v>261</v>
      </c>
      <c r="C9" s="3" t="s">
        <v>304</v>
      </c>
      <c r="D9" s="27">
        <v>36000</v>
      </c>
      <c r="E9" s="27">
        <v>30000</v>
      </c>
      <c r="F9" s="27">
        <v>30000</v>
      </c>
      <c r="G9" s="27">
        <v>30000</v>
      </c>
      <c r="H9" s="27">
        <v>30000</v>
      </c>
      <c r="I9" s="27">
        <v>30000</v>
      </c>
      <c r="J9" s="27">
        <v>30000</v>
      </c>
      <c r="K9" s="27">
        <v>30000</v>
      </c>
      <c r="L9" s="27">
        <v>30000</v>
      </c>
      <c r="M9" s="27">
        <v>30000</v>
      </c>
      <c r="N9" s="27">
        <v>30000</v>
      </c>
      <c r="O9" s="27">
        <v>30000</v>
      </c>
      <c r="P9" s="27">
        <v>32000</v>
      </c>
      <c r="Q9" s="27">
        <v>32000</v>
      </c>
      <c r="R9" s="27">
        <v>32000</v>
      </c>
      <c r="S9" s="27">
        <v>32000</v>
      </c>
      <c r="T9" s="27">
        <v>32000</v>
      </c>
      <c r="U9" s="27">
        <v>32000</v>
      </c>
      <c r="V9" s="27">
        <v>35000</v>
      </c>
      <c r="W9" s="27">
        <v>0</v>
      </c>
      <c r="X9" s="27">
        <v>0</v>
      </c>
      <c r="Y9" s="11">
        <f t="shared" si="0"/>
        <v>31200</v>
      </c>
      <c r="Z9" s="11">
        <f t="shared" si="1"/>
        <v>30000</v>
      </c>
      <c r="AA9" s="11">
        <f t="shared" si="2"/>
        <v>31200</v>
      </c>
      <c r="AB9" s="11">
        <f t="shared" si="3"/>
        <v>32750</v>
      </c>
      <c r="AC9" s="11" t="str">
        <f t="shared" si="4"/>
        <v/>
      </c>
      <c r="AD9" s="11">
        <f t="shared" si="5"/>
        <v>31210.526315789473</v>
      </c>
    </row>
    <row r="10" spans="1:30" x14ac:dyDescent="0.35">
      <c r="A10" s="3">
        <v>6</v>
      </c>
      <c r="B10" s="3" t="s">
        <v>262</v>
      </c>
      <c r="C10" s="3" t="s">
        <v>304</v>
      </c>
      <c r="D10" s="27">
        <v>36000</v>
      </c>
      <c r="E10" s="27">
        <v>30000</v>
      </c>
      <c r="F10" s="27">
        <v>30000</v>
      </c>
      <c r="G10" s="27">
        <v>30000</v>
      </c>
      <c r="H10" s="27">
        <v>30000</v>
      </c>
      <c r="I10" s="27">
        <v>30000</v>
      </c>
      <c r="J10" s="27">
        <v>30000</v>
      </c>
      <c r="K10" s="27">
        <v>30000</v>
      </c>
      <c r="L10" s="27">
        <v>30000</v>
      </c>
      <c r="M10" s="27">
        <v>30000</v>
      </c>
      <c r="N10" s="27">
        <v>30000</v>
      </c>
      <c r="O10" s="27">
        <v>30000</v>
      </c>
      <c r="P10" s="27">
        <v>32000</v>
      </c>
      <c r="Q10" s="27">
        <v>32000</v>
      </c>
      <c r="R10" s="27">
        <v>32000</v>
      </c>
      <c r="S10" s="27">
        <v>32000</v>
      </c>
      <c r="T10" s="27">
        <v>32000</v>
      </c>
      <c r="U10" s="27">
        <v>32000</v>
      </c>
      <c r="V10" s="27">
        <v>35000</v>
      </c>
      <c r="W10" s="27">
        <v>0</v>
      </c>
      <c r="X10" s="27">
        <v>0</v>
      </c>
      <c r="Y10" s="11">
        <f t="shared" si="0"/>
        <v>31200</v>
      </c>
      <c r="Z10" s="11">
        <f t="shared" si="1"/>
        <v>30000</v>
      </c>
      <c r="AA10" s="11">
        <f t="shared" si="2"/>
        <v>31200</v>
      </c>
      <c r="AB10" s="11">
        <f t="shared" si="3"/>
        <v>32750</v>
      </c>
      <c r="AC10" s="11" t="str">
        <f t="shared" si="4"/>
        <v/>
      </c>
      <c r="AD10" s="11">
        <f t="shared" si="5"/>
        <v>31210.526315789473</v>
      </c>
    </row>
    <row r="11" spans="1:30" x14ac:dyDescent="0.35">
      <c r="A11" s="3">
        <v>7</v>
      </c>
      <c r="B11" s="3" t="s">
        <v>251</v>
      </c>
      <c r="C11" s="3" t="s">
        <v>304</v>
      </c>
      <c r="D11" s="27">
        <v>50000</v>
      </c>
      <c r="E11" s="27">
        <v>45000</v>
      </c>
      <c r="F11" s="27">
        <v>45000</v>
      </c>
      <c r="G11" s="27">
        <v>45000</v>
      </c>
      <c r="H11" s="27">
        <v>45000</v>
      </c>
      <c r="I11" s="27">
        <v>45000</v>
      </c>
      <c r="J11" s="27">
        <v>45000</v>
      </c>
      <c r="K11" s="27">
        <v>45000</v>
      </c>
      <c r="L11" s="27">
        <v>45000</v>
      </c>
      <c r="M11" s="27">
        <v>45000</v>
      </c>
      <c r="N11" s="27">
        <v>45000</v>
      </c>
      <c r="O11" s="27">
        <v>45000</v>
      </c>
      <c r="P11" s="27">
        <v>47000</v>
      </c>
      <c r="Q11" s="27">
        <v>47000</v>
      </c>
      <c r="R11" s="27">
        <v>47000</v>
      </c>
      <c r="S11" s="27">
        <v>47000</v>
      </c>
      <c r="T11" s="27">
        <v>47000</v>
      </c>
      <c r="U11" s="27">
        <v>47000</v>
      </c>
      <c r="V11" s="27">
        <v>50000</v>
      </c>
      <c r="W11" s="27">
        <v>0</v>
      </c>
      <c r="X11" s="27">
        <v>0</v>
      </c>
      <c r="Y11" s="11">
        <f t="shared" si="0"/>
        <v>46000</v>
      </c>
      <c r="Z11" s="11">
        <f t="shared" si="1"/>
        <v>45000</v>
      </c>
      <c r="AA11" s="11">
        <f t="shared" si="2"/>
        <v>46200</v>
      </c>
      <c r="AB11" s="11">
        <f t="shared" si="3"/>
        <v>47750</v>
      </c>
      <c r="AC11" s="11" t="str">
        <f t="shared" si="4"/>
        <v/>
      </c>
      <c r="AD11" s="11">
        <f t="shared" si="5"/>
        <v>46157.894736842107</v>
      </c>
    </row>
    <row r="12" spans="1:30" x14ac:dyDescent="0.35">
      <c r="A12" s="3">
        <v>8</v>
      </c>
      <c r="B12" s="3" t="s">
        <v>256</v>
      </c>
      <c r="C12" s="3" t="s">
        <v>304</v>
      </c>
      <c r="D12" s="27">
        <v>24000</v>
      </c>
      <c r="E12" s="27">
        <v>24000</v>
      </c>
      <c r="F12" s="27">
        <v>24000</v>
      </c>
      <c r="G12" s="27">
        <v>24000</v>
      </c>
      <c r="H12" s="27">
        <v>24000</v>
      </c>
      <c r="I12" s="27">
        <v>24000</v>
      </c>
      <c r="J12" s="27">
        <v>24000</v>
      </c>
      <c r="K12" s="27">
        <v>24000</v>
      </c>
      <c r="L12" s="27">
        <v>24000</v>
      </c>
      <c r="M12" s="27">
        <v>24000</v>
      </c>
      <c r="N12" s="27">
        <v>24000</v>
      </c>
      <c r="O12" s="27">
        <v>24000</v>
      </c>
      <c r="P12" s="27">
        <v>26000</v>
      </c>
      <c r="Q12" s="27">
        <v>26000</v>
      </c>
      <c r="R12" s="27">
        <v>26000</v>
      </c>
      <c r="S12" s="27">
        <v>26000</v>
      </c>
      <c r="T12" s="27">
        <v>26000</v>
      </c>
      <c r="U12" s="27">
        <v>26000</v>
      </c>
      <c r="V12" s="27">
        <v>30000</v>
      </c>
      <c r="W12" s="27">
        <v>0</v>
      </c>
      <c r="X12" s="27">
        <v>0</v>
      </c>
      <c r="Y12" s="11">
        <f t="shared" si="0"/>
        <v>24000</v>
      </c>
      <c r="Z12" s="11">
        <f t="shared" si="1"/>
        <v>24000</v>
      </c>
      <c r="AA12" s="11">
        <f t="shared" si="2"/>
        <v>25200</v>
      </c>
      <c r="AB12" s="11">
        <f t="shared" si="3"/>
        <v>27000</v>
      </c>
      <c r="AC12" s="11" t="str">
        <f t="shared" si="4"/>
        <v/>
      </c>
      <c r="AD12" s="11">
        <f t="shared" si="5"/>
        <v>24947.36842105263</v>
      </c>
    </row>
    <row r="13" spans="1:30" x14ac:dyDescent="0.35">
      <c r="A13" s="3">
        <v>9</v>
      </c>
      <c r="B13" s="3" t="s">
        <v>253</v>
      </c>
      <c r="C13" s="3" t="s">
        <v>304</v>
      </c>
      <c r="D13" s="27">
        <v>16500</v>
      </c>
      <c r="E13" s="27">
        <v>16500</v>
      </c>
      <c r="F13" s="27">
        <v>16500</v>
      </c>
      <c r="G13" s="27">
        <v>16500</v>
      </c>
      <c r="H13" s="27">
        <v>16500</v>
      </c>
      <c r="I13" s="27">
        <v>16500</v>
      </c>
      <c r="J13" s="27">
        <v>16500</v>
      </c>
      <c r="K13" s="27">
        <v>16500</v>
      </c>
      <c r="L13" s="27">
        <v>16500</v>
      </c>
      <c r="M13" s="27">
        <v>16500</v>
      </c>
      <c r="N13" s="27">
        <v>16500</v>
      </c>
      <c r="O13" s="27">
        <v>16500</v>
      </c>
      <c r="P13" s="27">
        <v>16500</v>
      </c>
      <c r="Q13" s="27">
        <v>16500</v>
      </c>
      <c r="R13" s="27">
        <v>16500</v>
      </c>
      <c r="S13" s="27">
        <v>16500</v>
      </c>
      <c r="T13" s="27">
        <v>16500</v>
      </c>
      <c r="U13" s="27">
        <v>16500</v>
      </c>
      <c r="V13" s="27">
        <v>16500</v>
      </c>
      <c r="W13" s="27">
        <v>0</v>
      </c>
      <c r="X13" s="27">
        <v>0</v>
      </c>
      <c r="Y13" s="11">
        <f t="shared" si="0"/>
        <v>16500</v>
      </c>
      <c r="Z13" s="11">
        <f t="shared" si="1"/>
        <v>16500</v>
      </c>
      <c r="AA13" s="11">
        <f t="shared" si="2"/>
        <v>16500</v>
      </c>
      <c r="AB13" s="11">
        <f t="shared" si="3"/>
        <v>16500</v>
      </c>
      <c r="AC13" s="11" t="str">
        <f t="shared" si="4"/>
        <v/>
      </c>
      <c r="AD13" s="11">
        <f t="shared" si="5"/>
        <v>16500</v>
      </c>
    </row>
    <row r="14" spans="1:30" x14ac:dyDescent="0.35">
      <c r="A14" s="3">
        <v>10</v>
      </c>
      <c r="B14" s="3" t="s">
        <v>246</v>
      </c>
      <c r="C14" s="3" t="s">
        <v>304</v>
      </c>
      <c r="D14" s="27">
        <v>15750</v>
      </c>
      <c r="E14" s="27">
        <v>15750</v>
      </c>
      <c r="F14" s="27">
        <v>15750</v>
      </c>
      <c r="G14" s="27">
        <v>15750</v>
      </c>
      <c r="H14" s="27">
        <v>15750</v>
      </c>
      <c r="I14" s="27">
        <v>15750</v>
      </c>
      <c r="J14" s="27">
        <v>15750</v>
      </c>
      <c r="K14" s="27">
        <v>15750</v>
      </c>
      <c r="L14" s="27">
        <v>15750</v>
      </c>
      <c r="M14" s="27">
        <v>15750</v>
      </c>
      <c r="N14" s="27">
        <v>15750</v>
      </c>
      <c r="O14" s="27">
        <v>15750</v>
      </c>
      <c r="P14" s="27">
        <v>15750</v>
      </c>
      <c r="Q14" s="27">
        <v>15750</v>
      </c>
      <c r="R14" s="27">
        <v>15750</v>
      </c>
      <c r="S14" s="27">
        <v>15750</v>
      </c>
      <c r="T14" s="27">
        <v>15750</v>
      </c>
      <c r="U14" s="27">
        <v>15750</v>
      </c>
      <c r="V14" s="27">
        <v>15750</v>
      </c>
      <c r="W14" s="27">
        <v>0</v>
      </c>
      <c r="X14" s="27">
        <v>0</v>
      </c>
      <c r="Y14" s="11">
        <f t="shared" si="0"/>
        <v>15750</v>
      </c>
      <c r="Z14" s="11">
        <f t="shared" si="1"/>
        <v>15750</v>
      </c>
      <c r="AA14" s="11">
        <f t="shared" si="2"/>
        <v>15750</v>
      </c>
      <c r="AB14" s="11">
        <f t="shared" si="3"/>
        <v>15750</v>
      </c>
      <c r="AC14" s="11" t="str">
        <f t="shared" si="4"/>
        <v/>
      </c>
      <c r="AD14" s="11">
        <f t="shared" si="5"/>
        <v>15750</v>
      </c>
    </row>
    <row r="15" spans="1:30" x14ac:dyDescent="0.35">
      <c r="A15" s="3">
        <v>11</v>
      </c>
      <c r="B15" s="3" t="s">
        <v>247</v>
      </c>
      <c r="C15" s="3" t="s">
        <v>304</v>
      </c>
      <c r="D15" s="27">
        <v>18000</v>
      </c>
      <c r="E15" s="27">
        <v>18000</v>
      </c>
      <c r="F15" s="27">
        <v>18000</v>
      </c>
      <c r="G15" s="27">
        <v>18000</v>
      </c>
      <c r="H15" s="27">
        <v>18000</v>
      </c>
      <c r="I15" s="27">
        <v>18000</v>
      </c>
      <c r="J15" s="27">
        <v>18000</v>
      </c>
      <c r="K15" s="27">
        <v>18000</v>
      </c>
      <c r="L15" s="27">
        <v>18000</v>
      </c>
      <c r="M15" s="27">
        <v>18000</v>
      </c>
      <c r="N15" s="27">
        <v>18000</v>
      </c>
      <c r="O15" s="27">
        <v>18000</v>
      </c>
      <c r="P15" s="27">
        <v>18000</v>
      </c>
      <c r="Q15" s="27">
        <v>18000</v>
      </c>
      <c r="R15" s="27">
        <v>18000</v>
      </c>
      <c r="S15" s="27">
        <v>18000</v>
      </c>
      <c r="T15" s="27">
        <v>18000</v>
      </c>
      <c r="U15" s="27">
        <v>18000</v>
      </c>
      <c r="V15" s="27">
        <v>18000</v>
      </c>
      <c r="W15" s="27">
        <v>0</v>
      </c>
      <c r="X15" s="27">
        <v>0</v>
      </c>
      <c r="Y15" s="11">
        <f t="shared" si="0"/>
        <v>18000</v>
      </c>
      <c r="Z15" s="11">
        <f t="shared" si="1"/>
        <v>18000</v>
      </c>
      <c r="AA15" s="11">
        <f t="shared" si="2"/>
        <v>18000</v>
      </c>
      <c r="AB15" s="11">
        <f t="shared" si="3"/>
        <v>18000</v>
      </c>
      <c r="AC15" s="11" t="str">
        <f t="shared" si="4"/>
        <v/>
      </c>
      <c r="AD15" s="11">
        <f t="shared" si="5"/>
        <v>18000</v>
      </c>
    </row>
    <row r="16" spans="1:30" x14ac:dyDescent="0.35">
      <c r="A16" s="3">
        <v>12</v>
      </c>
      <c r="B16" s="3" t="s">
        <v>248</v>
      </c>
      <c r="C16" s="3" t="s">
        <v>304</v>
      </c>
      <c r="D16" s="27">
        <v>15500</v>
      </c>
      <c r="E16" s="27">
        <v>15500</v>
      </c>
      <c r="F16" s="27">
        <v>15500</v>
      </c>
      <c r="G16" s="27">
        <v>15500</v>
      </c>
      <c r="H16" s="27">
        <v>15500</v>
      </c>
      <c r="I16" s="27">
        <v>15500</v>
      </c>
      <c r="J16" s="27">
        <v>15500</v>
      </c>
      <c r="K16" s="27">
        <v>15500</v>
      </c>
      <c r="L16" s="27">
        <v>15500</v>
      </c>
      <c r="M16" s="27">
        <v>15500</v>
      </c>
      <c r="N16" s="27">
        <v>15500</v>
      </c>
      <c r="O16" s="27">
        <v>15500</v>
      </c>
      <c r="P16" s="27">
        <v>15500</v>
      </c>
      <c r="Q16" s="27">
        <v>15500</v>
      </c>
      <c r="R16" s="27">
        <v>15500</v>
      </c>
      <c r="S16" s="27">
        <v>15500</v>
      </c>
      <c r="T16" s="27">
        <v>15500</v>
      </c>
      <c r="U16" s="27">
        <v>15500</v>
      </c>
      <c r="V16" s="27">
        <v>15500</v>
      </c>
      <c r="W16" s="27">
        <v>0</v>
      </c>
      <c r="X16" s="27">
        <v>0</v>
      </c>
      <c r="Y16" s="11">
        <f t="shared" si="0"/>
        <v>15500</v>
      </c>
      <c r="Z16" s="11">
        <f t="shared" si="1"/>
        <v>15500</v>
      </c>
      <c r="AA16" s="11">
        <f t="shared" si="2"/>
        <v>15500</v>
      </c>
      <c r="AB16" s="11">
        <f t="shared" si="3"/>
        <v>15500</v>
      </c>
      <c r="AC16" s="11" t="str">
        <f t="shared" si="4"/>
        <v/>
      </c>
      <c r="AD16" s="11">
        <f t="shared" si="5"/>
        <v>15500</v>
      </c>
    </row>
    <row r="17" spans="1:30" x14ac:dyDescent="0.35">
      <c r="A17" s="3">
        <v>13</v>
      </c>
      <c r="B17" s="3" t="s">
        <v>243</v>
      </c>
      <c r="C17" s="3" t="s">
        <v>304</v>
      </c>
      <c r="D17" s="27">
        <v>9000</v>
      </c>
      <c r="E17" s="27">
        <v>9000</v>
      </c>
      <c r="F17" s="27">
        <v>9000</v>
      </c>
      <c r="G17" s="27">
        <v>9000</v>
      </c>
      <c r="H17" s="27">
        <v>9000</v>
      </c>
      <c r="I17" s="27">
        <v>9000</v>
      </c>
      <c r="J17" s="27">
        <v>9000</v>
      </c>
      <c r="K17" s="27">
        <v>9000</v>
      </c>
      <c r="L17" s="27">
        <v>9000</v>
      </c>
      <c r="M17" s="27">
        <v>9000</v>
      </c>
      <c r="N17" s="27">
        <v>9000</v>
      </c>
      <c r="O17" s="27">
        <v>9000</v>
      </c>
      <c r="P17" s="27">
        <v>9000</v>
      </c>
      <c r="Q17" s="27">
        <v>9000</v>
      </c>
      <c r="R17" s="27">
        <v>9000</v>
      </c>
      <c r="S17" s="27">
        <v>9000</v>
      </c>
      <c r="T17" s="27">
        <v>9000</v>
      </c>
      <c r="U17" s="27">
        <v>9000</v>
      </c>
      <c r="V17" s="27">
        <v>9000</v>
      </c>
      <c r="W17" s="27">
        <v>0</v>
      </c>
      <c r="X17" s="27">
        <v>0</v>
      </c>
      <c r="Y17" s="11">
        <f t="shared" si="0"/>
        <v>9000</v>
      </c>
      <c r="Z17" s="11">
        <f t="shared" si="1"/>
        <v>9000</v>
      </c>
      <c r="AA17" s="11">
        <f t="shared" si="2"/>
        <v>9000</v>
      </c>
      <c r="AB17" s="11">
        <f t="shared" si="3"/>
        <v>9000</v>
      </c>
      <c r="AC17" s="11" t="str">
        <f t="shared" si="4"/>
        <v/>
      </c>
      <c r="AD17" s="11">
        <f t="shared" si="5"/>
        <v>9000</v>
      </c>
    </row>
    <row r="18" spans="1:30" x14ac:dyDescent="0.35">
      <c r="A18" s="3">
        <v>14</v>
      </c>
      <c r="B18" s="3" t="s">
        <v>245</v>
      </c>
      <c r="C18" s="3" t="s">
        <v>304</v>
      </c>
      <c r="D18" s="27">
        <v>31000</v>
      </c>
      <c r="E18" s="27">
        <v>31000</v>
      </c>
      <c r="F18" s="27">
        <v>31000</v>
      </c>
      <c r="G18" s="27">
        <v>30000</v>
      </c>
      <c r="H18" s="27">
        <v>30000</v>
      </c>
      <c r="I18" s="27">
        <v>30000</v>
      </c>
      <c r="J18" s="27">
        <v>30000</v>
      </c>
      <c r="K18" s="27">
        <v>30000</v>
      </c>
      <c r="L18" s="27">
        <v>30000</v>
      </c>
      <c r="M18" s="27">
        <v>30000</v>
      </c>
      <c r="N18" s="27">
        <v>30000</v>
      </c>
      <c r="O18" s="27">
        <v>30000</v>
      </c>
      <c r="P18" s="27">
        <v>30000</v>
      </c>
      <c r="Q18" s="27">
        <v>30000</v>
      </c>
      <c r="R18" s="27">
        <v>30000</v>
      </c>
      <c r="S18" s="27">
        <v>30000</v>
      </c>
      <c r="T18" s="27">
        <v>30000</v>
      </c>
      <c r="U18" s="27">
        <v>30000</v>
      </c>
      <c r="V18" s="27">
        <v>29000</v>
      </c>
      <c r="W18" s="27">
        <v>0</v>
      </c>
      <c r="X18" s="27">
        <v>0</v>
      </c>
      <c r="Y18" s="11">
        <f t="shared" si="0"/>
        <v>30600</v>
      </c>
      <c r="Z18" s="11">
        <f t="shared" si="1"/>
        <v>30000</v>
      </c>
      <c r="AA18" s="11">
        <f t="shared" si="2"/>
        <v>30000</v>
      </c>
      <c r="AB18" s="11">
        <f t="shared" si="3"/>
        <v>29750</v>
      </c>
      <c r="AC18" s="11" t="str">
        <f t="shared" si="4"/>
        <v/>
      </c>
      <c r="AD18" s="11">
        <f t="shared" si="5"/>
        <v>30105.263157894737</v>
      </c>
    </row>
    <row r="19" spans="1:30" x14ac:dyDescent="0.35">
      <c r="A19" s="3">
        <v>15</v>
      </c>
      <c r="B19" s="3" t="s">
        <v>252</v>
      </c>
      <c r="C19" s="3" t="s">
        <v>304</v>
      </c>
      <c r="D19" s="27">
        <v>26500</v>
      </c>
      <c r="E19" s="27">
        <v>26000</v>
      </c>
      <c r="F19" s="27">
        <v>26000</v>
      </c>
      <c r="G19" s="27">
        <v>26000</v>
      </c>
      <c r="H19" s="27">
        <v>26000</v>
      </c>
      <c r="I19" s="27">
        <v>26000</v>
      </c>
      <c r="J19" s="27">
        <v>26000</v>
      </c>
      <c r="K19" s="27">
        <v>26000</v>
      </c>
      <c r="L19" s="27">
        <v>25000</v>
      </c>
      <c r="M19" s="27">
        <v>25000</v>
      </c>
      <c r="N19" s="27">
        <v>25000</v>
      </c>
      <c r="O19" s="27">
        <v>25000</v>
      </c>
      <c r="P19" s="27">
        <v>25000</v>
      </c>
      <c r="Q19" s="27">
        <v>25000</v>
      </c>
      <c r="R19" s="27">
        <v>25000</v>
      </c>
      <c r="S19" s="27">
        <v>25000</v>
      </c>
      <c r="T19" s="27">
        <v>25000</v>
      </c>
      <c r="U19" s="27">
        <v>25000</v>
      </c>
      <c r="V19" s="27">
        <v>24500</v>
      </c>
      <c r="W19" s="27">
        <v>0</v>
      </c>
      <c r="X19" s="27">
        <v>0</v>
      </c>
      <c r="Y19" s="11">
        <f t="shared" si="0"/>
        <v>26100</v>
      </c>
      <c r="Z19" s="11">
        <f t="shared" si="1"/>
        <v>25600</v>
      </c>
      <c r="AA19" s="11">
        <f t="shared" si="2"/>
        <v>25000</v>
      </c>
      <c r="AB19" s="11">
        <f t="shared" si="3"/>
        <v>24875</v>
      </c>
      <c r="AC19" s="11" t="str">
        <f t="shared" si="4"/>
        <v/>
      </c>
      <c r="AD19" s="11">
        <f t="shared" si="5"/>
        <v>25421.052631578947</v>
      </c>
    </row>
    <row r="20" spans="1:30" x14ac:dyDescent="0.35">
      <c r="A20" s="3">
        <v>16</v>
      </c>
      <c r="B20" s="3" t="s">
        <v>263</v>
      </c>
      <c r="C20" s="3" t="s">
        <v>304</v>
      </c>
      <c r="D20" s="27">
        <v>103000</v>
      </c>
      <c r="E20" s="27">
        <v>103000</v>
      </c>
      <c r="F20" s="27">
        <v>103000</v>
      </c>
      <c r="G20" s="27">
        <v>103000</v>
      </c>
      <c r="H20" s="27">
        <v>103000</v>
      </c>
      <c r="I20" s="27">
        <v>103000</v>
      </c>
      <c r="J20" s="27">
        <v>103000</v>
      </c>
      <c r="K20" s="27">
        <v>103000</v>
      </c>
      <c r="L20" s="27">
        <v>103000</v>
      </c>
      <c r="M20" s="27">
        <v>103000</v>
      </c>
      <c r="N20" s="27">
        <v>103000</v>
      </c>
      <c r="O20" s="27">
        <v>103000</v>
      </c>
      <c r="P20" s="27">
        <v>103000</v>
      </c>
      <c r="Q20" s="27">
        <v>103000</v>
      </c>
      <c r="R20" s="27">
        <v>103000</v>
      </c>
      <c r="S20" s="27">
        <v>103000</v>
      </c>
      <c r="T20" s="27">
        <v>103000</v>
      </c>
      <c r="U20" s="27">
        <v>103000</v>
      </c>
      <c r="V20" s="27">
        <v>102000</v>
      </c>
      <c r="W20" s="27">
        <v>0</v>
      </c>
      <c r="X20" s="27">
        <v>0</v>
      </c>
      <c r="Y20" s="11">
        <f t="shared" si="0"/>
        <v>103000</v>
      </c>
      <c r="Z20" s="11">
        <f t="shared" si="1"/>
        <v>103000</v>
      </c>
      <c r="AA20" s="11">
        <f t="shared" si="2"/>
        <v>103000</v>
      </c>
      <c r="AB20" s="11">
        <f t="shared" si="3"/>
        <v>102750</v>
      </c>
      <c r="AC20" s="11" t="str">
        <f t="shared" si="4"/>
        <v/>
      </c>
      <c r="AD20" s="11">
        <f t="shared" si="5"/>
        <v>102947.36842105263</v>
      </c>
    </row>
    <row r="21" spans="1:30" x14ac:dyDescent="0.35">
      <c r="A21" s="3">
        <v>17</v>
      </c>
      <c r="B21" s="3" t="s">
        <v>264</v>
      </c>
      <c r="C21" s="3" t="s">
        <v>304</v>
      </c>
      <c r="D21" s="27">
        <v>60000</v>
      </c>
      <c r="E21" s="27">
        <v>60000</v>
      </c>
      <c r="F21" s="27">
        <v>60000</v>
      </c>
      <c r="G21" s="27">
        <v>60000</v>
      </c>
      <c r="H21" s="27">
        <v>60000</v>
      </c>
      <c r="I21" s="27">
        <v>60000</v>
      </c>
      <c r="J21" s="27">
        <v>60000</v>
      </c>
      <c r="K21" s="27">
        <v>60000</v>
      </c>
      <c r="L21" s="27">
        <v>60000</v>
      </c>
      <c r="M21" s="27">
        <v>60000</v>
      </c>
      <c r="N21" s="27">
        <v>60000</v>
      </c>
      <c r="O21" s="27">
        <v>60000</v>
      </c>
      <c r="P21" s="27">
        <v>60000</v>
      </c>
      <c r="Q21" s="27">
        <v>60000</v>
      </c>
      <c r="R21" s="27">
        <v>60000</v>
      </c>
      <c r="S21" s="27">
        <v>60000</v>
      </c>
      <c r="T21" s="27">
        <v>60000</v>
      </c>
      <c r="U21" s="27">
        <v>60000</v>
      </c>
      <c r="V21" s="27">
        <v>60000</v>
      </c>
      <c r="W21" s="27">
        <v>0</v>
      </c>
      <c r="X21" s="27">
        <v>0</v>
      </c>
      <c r="Y21" s="11">
        <f t="shared" si="0"/>
        <v>60000</v>
      </c>
      <c r="Z21" s="11">
        <f t="shared" si="1"/>
        <v>60000</v>
      </c>
      <c r="AA21" s="11">
        <f t="shared" si="2"/>
        <v>60000</v>
      </c>
      <c r="AB21" s="11">
        <f t="shared" si="3"/>
        <v>60000</v>
      </c>
      <c r="AC21" s="11" t="str">
        <f t="shared" si="4"/>
        <v/>
      </c>
      <c r="AD21" s="11">
        <f t="shared" si="5"/>
        <v>60000</v>
      </c>
    </row>
    <row r="22" spans="1:30" x14ac:dyDescent="0.35">
      <c r="A22" s="3">
        <v>18</v>
      </c>
      <c r="B22" s="3" t="s">
        <v>265</v>
      </c>
      <c r="C22" s="3" t="s">
        <v>304</v>
      </c>
      <c r="D22" s="27">
        <v>70000</v>
      </c>
      <c r="E22" s="27">
        <v>70000</v>
      </c>
      <c r="F22" s="27">
        <v>70000</v>
      </c>
      <c r="G22" s="27">
        <v>70000</v>
      </c>
      <c r="H22" s="27">
        <v>70000</v>
      </c>
      <c r="I22" s="27">
        <v>70000</v>
      </c>
      <c r="J22" s="27">
        <v>70000</v>
      </c>
      <c r="K22" s="27">
        <v>70000</v>
      </c>
      <c r="L22" s="27">
        <v>70000</v>
      </c>
      <c r="M22" s="27">
        <v>70000</v>
      </c>
      <c r="N22" s="27">
        <v>70000</v>
      </c>
      <c r="O22" s="27">
        <v>70000</v>
      </c>
      <c r="P22" s="27">
        <v>70000</v>
      </c>
      <c r="Q22" s="27">
        <v>70000</v>
      </c>
      <c r="R22" s="27">
        <v>70000</v>
      </c>
      <c r="S22" s="27">
        <v>70000</v>
      </c>
      <c r="T22" s="27">
        <v>70000</v>
      </c>
      <c r="U22" s="27">
        <v>70000</v>
      </c>
      <c r="V22" s="27">
        <v>70000</v>
      </c>
      <c r="W22" s="27">
        <v>0</v>
      </c>
      <c r="X22" s="27">
        <v>0</v>
      </c>
      <c r="Y22" s="11">
        <f t="shared" si="0"/>
        <v>70000</v>
      </c>
      <c r="Z22" s="11">
        <f t="shared" si="1"/>
        <v>70000</v>
      </c>
      <c r="AA22" s="11">
        <f t="shared" si="2"/>
        <v>70000</v>
      </c>
      <c r="AB22" s="11">
        <f t="shared" si="3"/>
        <v>70000</v>
      </c>
      <c r="AC22" s="11" t="str">
        <f t="shared" si="4"/>
        <v/>
      </c>
      <c r="AD22" s="11">
        <f t="shared" si="5"/>
        <v>70000</v>
      </c>
    </row>
    <row r="23" spans="1:30" x14ac:dyDescent="0.35">
      <c r="A23" s="3">
        <v>19</v>
      </c>
      <c r="B23" s="3" t="s">
        <v>306</v>
      </c>
      <c r="C23" s="3" t="s">
        <v>304</v>
      </c>
      <c r="D23" s="27">
        <v>30000</v>
      </c>
      <c r="E23" s="27">
        <v>30000</v>
      </c>
      <c r="F23" s="27">
        <v>30000</v>
      </c>
      <c r="G23" s="27">
        <v>30000</v>
      </c>
      <c r="H23" s="27">
        <v>30000</v>
      </c>
      <c r="I23" s="27">
        <v>30000</v>
      </c>
      <c r="J23" s="27">
        <v>30000</v>
      </c>
      <c r="K23" s="27">
        <v>30000</v>
      </c>
      <c r="L23" s="27">
        <v>30000</v>
      </c>
      <c r="M23" s="27">
        <v>30000</v>
      </c>
      <c r="N23" s="27">
        <v>30000</v>
      </c>
      <c r="O23" s="27">
        <v>30000</v>
      </c>
      <c r="P23" s="27">
        <v>30000</v>
      </c>
      <c r="Q23" s="27">
        <v>30000</v>
      </c>
      <c r="R23" s="27">
        <v>30000</v>
      </c>
      <c r="S23" s="27">
        <v>30000</v>
      </c>
      <c r="T23" s="27">
        <v>30000</v>
      </c>
      <c r="U23" s="27">
        <v>30000</v>
      </c>
      <c r="V23" s="27">
        <v>30000</v>
      </c>
      <c r="W23" s="27">
        <v>0</v>
      </c>
      <c r="X23" s="27">
        <v>0</v>
      </c>
      <c r="Y23" s="11">
        <f t="shared" si="0"/>
        <v>30000</v>
      </c>
      <c r="Z23" s="11">
        <f t="shared" si="1"/>
        <v>30000</v>
      </c>
      <c r="AA23" s="11">
        <f t="shared" si="2"/>
        <v>30000</v>
      </c>
      <c r="AB23" s="11">
        <f t="shared" si="3"/>
        <v>30000</v>
      </c>
      <c r="AC23" s="11" t="str">
        <f t="shared" si="4"/>
        <v/>
      </c>
      <c r="AD23" s="11">
        <f t="shared" si="5"/>
        <v>30000</v>
      </c>
    </row>
    <row r="24" spans="1:30" x14ac:dyDescent="0.35">
      <c r="A24" s="3">
        <v>20</v>
      </c>
      <c r="B24" s="3" t="s">
        <v>254</v>
      </c>
      <c r="C24" s="3" t="s">
        <v>304</v>
      </c>
      <c r="D24" s="27">
        <v>35000</v>
      </c>
      <c r="E24" s="27">
        <v>35000</v>
      </c>
      <c r="F24" s="27">
        <v>35000</v>
      </c>
      <c r="G24" s="27">
        <v>35000</v>
      </c>
      <c r="H24" s="27">
        <v>35000</v>
      </c>
      <c r="I24" s="27">
        <v>35000</v>
      </c>
      <c r="J24" s="27">
        <v>35000</v>
      </c>
      <c r="K24" s="27">
        <v>35000</v>
      </c>
      <c r="L24" s="27">
        <v>35000</v>
      </c>
      <c r="M24" s="27">
        <v>35000</v>
      </c>
      <c r="N24" s="27">
        <v>35000</v>
      </c>
      <c r="O24" s="27">
        <v>35000</v>
      </c>
      <c r="P24" s="27">
        <v>35000</v>
      </c>
      <c r="Q24" s="27">
        <v>35000</v>
      </c>
      <c r="R24" s="27">
        <v>35000</v>
      </c>
      <c r="S24" s="27">
        <v>35000</v>
      </c>
      <c r="T24" s="27">
        <v>35000</v>
      </c>
      <c r="U24" s="27">
        <v>35000</v>
      </c>
      <c r="V24" s="27">
        <v>35000</v>
      </c>
      <c r="W24" s="27">
        <v>0</v>
      </c>
      <c r="X24" s="27">
        <v>0</v>
      </c>
      <c r="Y24" s="11">
        <f t="shared" si="0"/>
        <v>35000</v>
      </c>
      <c r="Z24" s="11">
        <f t="shared" si="1"/>
        <v>35000</v>
      </c>
      <c r="AA24" s="11">
        <f t="shared" si="2"/>
        <v>35000</v>
      </c>
      <c r="AB24" s="11">
        <f t="shared" si="3"/>
        <v>35000</v>
      </c>
      <c r="AC24" s="11" t="str">
        <f t="shared" si="4"/>
        <v/>
      </c>
      <c r="AD24" s="11">
        <f t="shared" si="5"/>
        <v>35000</v>
      </c>
    </row>
    <row r="25" spans="1:30" x14ac:dyDescent="0.35">
      <c r="A25" s="3">
        <v>21</v>
      </c>
      <c r="B25" s="3" t="s">
        <v>307</v>
      </c>
      <c r="C25" s="3" t="s">
        <v>304</v>
      </c>
      <c r="D25" s="27">
        <v>75000</v>
      </c>
      <c r="E25" s="27">
        <v>75000</v>
      </c>
      <c r="F25" s="27">
        <v>75000</v>
      </c>
      <c r="G25" s="27">
        <v>75000</v>
      </c>
      <c r="H25" s="27">
        <v>75000</v>
      </c>
      <c r="I25" s="27">
        <v>75000</v>
      </c>
      <c r="J25" s="27">
        <v>75000</v>
      </c>
      <c r="K25" s="27">
        <v>75000</v>
      </c>
      <c r="L25" s="27">
        <v>75000</v>
      </c>
      <c r="M25" s="27">
        <v>75000</v>
      </c>
      <c r="N25" s="27">
        <v>75000</v>
      </c>
      <c r="O25" s="27">
        <v>75000</v>
      </c>
      <c r="P25" s="27">
        <v>75000</v>
      </c>
      <c r="Q25" s="27">
        <v>75000</v>
      </c>
      <c r="R25" s="27">
        <v>75000</v>
      </c>
      <c r="S25" s="27">
        <v>75000</v>
      </c>
      <c r="T25" s="27">
        <v>75000</v>
      </c>
      <c r="U25" s="27">
        <v>75000</v>
      </c>
      <c r="V25" s="27">
        <v>75000</v>
      </c>
      <c r="W25" s="27">
        <v>0</v>
      </c>
      <c r="X25" s="27">
        <v>0</v>
      </c>
      <c r="Y25" s="11">
        <f t="shared" si="0"/>
        <v>75000</v>
      </c>
      <c r="Z25" s="11">
        <f t="shared" si="1"/>
        <v>75000</v>
      </c>
      <c r="AA25" s="11">
        <f t="shared" si="2"/>
        <v>75000</v>
      </c>
      <c r="AB25" s="11">
        <f t="shared" si="3"/>
        <v>75000</v>
      </c>
      <c r="AC25" s="11" t="str">
        <f t="shared" si="4"/>
        <v/>
      </c>
      <c r="AD25" s="11">
        <f t="shared" si="5"/>
        <v>75000</v>
      </c>
    </row>
    <row r="26" spans="1:30" x14ac:dyDescent="0.35">
      <c r="A26" s="3">
        <v>22</v>
      </c>
      <c r="B26" s="3" t="s">
        <v>259</v>
      </c>
      <c r="C26" s="3" t="s">
        <v>304</v>
      </c>
      <c r="D26" s="27">
        <v>2800</v>
      </c>
      <c r="E26" s="27">
        <v>2800</v>
      </c>
      <c r="F26" s="27">
        <v>2800</v>
      </c>
      <c r="G26" s="27">
        <v>2800</v>
      </c>
      <c r="H26" s="27">
        <v>2800</v>
      </c>
      <c r="I26" s="27">
        <v>2800</v>
      </c>
      <c r="J26" s="27">
        <v>2800</v>
      </c>
      <c r="K26" s="27">
        <v>2800</v>
      </c>
      <c r="L26" s="27">
        <v>2800</v>
      </c>
      <c r="M26" s="27">
        <v>2800</v>
      </c>
      <c r="N26" s="27">
        <v>2800</v>
      </c>
      <c r="O26" s="27">
        <v>2800</v>
      </c>
      <c r="P26" s="27">
        <v>2800</v>
      </c>
      <c r="Q26" s="27">
        <v>2800</v>
      </c>
      <c r="R26" s="27">
        <v>2800</v>
      </c>
      <c r="S26" s="27">
        <v>2800</v>
      </c>
      <c r="T26" s="27">
        <v>2800</v>
      </c>
      <c r="U26" s="27">
        <v>2800</v>
      </c>
      <c r="V26" s="27">
        <v>2800</v>
      </c>
      <c r="W26" s="27">
        <v>0</v>
      </c>
      <c r="X26" s="27">
        <v>0</v>
      </c>
      <c r="Y26" s="11">
        <f t="shared" si="0"/>
        <v>2800</v>
      </c>
      <c r="Z26" s="11">
        <f t="shared" si="1"/>
        <v>2800</v>
      </c>
      <c r="AA26" s="11">
        <f t="shared" si="2"/>
        <v>2800</v>
      </c>
      <c r="AB26" s="11">
        <f t="shared" si="3"/>
        <v>2800</v>
      </c>
      <c r="AC26" s="11" t="str">
        <f t="shared" si="4"/>
        <v/>
      </c>
      <c r="AD26" s="11">
        <f t="shared" si="5"/>
        <v>2800</v>
      </c>
    </row>
    <row r="27" spans="1:30" x14ac:dyDescent="0.35">
      <c r="A27" s="3">
        <v>23</v>
      </c>
      <c r="B27" s="3" t="s">
        <v>257</v>
      </c>
      <c r="C27" s="3" t="s">
        <v>304</v>
      </c>
      <c r="D27" s="27">
        <v>36000</v>
      </c>
      <c r="E27" s="27">
        <v>36000</v>
      </c>
      <c r="F27" s="27">
        <v>36000</v>
      </c>
      <c r="G27" s="27">
        <v>36000</v>
      </c>
      <c r="H27" s="27">
        <v>36000</v>
      </c>
      <c r="I27" s="27">
        <v>36000</v>
      </c>
      <c r="J27" s="27">
        <v>36000</v>
      </c>
      <c r="K27" s="27">
        <v>36000</v>
      </c>
      <c r="L27" s="27">
        <v>36000</v>
      </c>
      <c r="M27" s="27">
        <v>36000</v>
      </c>
      <c r="N27" s="27">
        <v>36000</v>
      </c>
      <c r="O27" s="27">
        <v>36000</v>
      </c>
      <c r="P27" s="27">
        <v>36000</v>
      </c>
      <c r="Q27" s="27">
        <v>36000</v>
      </c>
      <c r="R27" s="27">
        <v>36000</v>
      </c>
      <c r="S27" s="27">
        <v>36000</v>
      </c>
      <c r="T27" s="27">
        <v>36000</v>
      </c>
      <c r="U27" s="27">
        <v>36000</v>
      </c>
      <c r="V27" s="27">
        <v>38000</v>
      </c>
      <c r="W27" s="27">
        <v>0</v>
      </c>
      <c r="X27" s="27">
        <v>0</v>
      </c>
      <c r="Y27" s="11">
        <f t="shared" si="0"/>
        <v>36000</v>
      </c>
      <c r="Z27" s="11">
        <f t="shared" si="1"/>
        <v>36000</v>
      </c>
      <c r="AA27" s="11">
        <f t="shared" si="2"/>
        <v>36000</v>
      </c>
      <c r="AB27" s="11">
        <f t="shared" si="3"/>
        <v>36500</v>
      </c>
      <c r="AC27" s="11" t="str">
        <f t="shared" si="4"/>
        <v/>
      </c>
      <c r="AD27" s="11">
        <f t="shared" si="5"/>
        <v>36105.26315789474</v>
      </c>
    </row>
    <row r="28" spans="1:30" x14ac:dyDescent="0.35">
      <c r="A28" s="3">
        <v>24</v>
      </c>
      <c r="B28" s="3" t="s">
        <v>258</v>
      </c>
      <c r="C28" s="3" t="s">
        <v>304</v>
      </c>
      <c r="D28" s="27">
        <v>38000</v>
      </c>
      <c r="E28" s="27">
        <v>36000</v>
      </c>
      <c r="F28" s="27">
        <v>36000</v>
      </c>
      <c r="G28" s="27">
        <v>36000</v>
      </c>
      <c r="H28" s="27">
        <v>36000</v>
      </c>
      <c r="I28" s="27">
        <v>36000</v>
      </c>
      <c r="J28" s="27">
        <v>36000</v>
      </c>
      <c r="K28" s="27">
        <v>36000</v>
      </c>
      <c r="L28" s="27">
        <v>36000</v>
      </c>
      <c r="M28" s="27">
        <v>36000</v>
      </c>
      <c r="N28" s="27">
        <v>36000</v>
      </c>
      <c r="O28" s="27">
        <v>36000</v>
      </c>
      <c r="P28" s="27">
        <v>36000</v>
      </c>
      <c r="Q28" s="27">
        <v>36000</v>
      </c>
      <c r="R28" s="27">
        <v>36000</v>
      </c>
      <c r="S28" s="27">
        <v>36000</v>
      </c>
      <c r="T28" s="27">
        <v>36000</v>
      </c>
      <c r="U28" s="27">
        <v>36000</v>
      </c>
      <c r="V28" s="27">
        <v>36000</v>
      </c>
      <c r="W28" s="27">
        <v>0</v>
      </c>
      <c r="X28" s="27">
        <v>0</v>
      </c>
      <c r="Y28" s="11">
        <f t="shared" si="0"/>
        <v>36400</v>
      </c>
      <c r="Z28" s="11">
        <f t="shared" si="1"/>
        <v>36000</v>
      </c>
      <c r="AA28" s="11">
        <f t="shared" si="2"/>
        <v>36000</v>
      </c>
      <c r="AB28" s="11">
        <f t="shared" si="3"/>
        <v>36000</v>
      </c>
      <c r="AC28" s="11" t="str">
        <f t="shared" si="4"/>
        <v/>
      </c>
      <c r="AD28" s="11">
        <f t="shared" si="5"/>
        <v>36105.26315789474</v>
      </c>
    </row>
    <row r="29" spans="1:30" x14ac:dyDescent="0.35">
      <c r="A29" s="3">
        <v>25</v>
      </c>
      <c r="B29" s="3" t="s">
        <v>308</v>
      </c>
      <c r="C29" s="3" t="s">
        <v>304</v>
      </c>
      <c r="D29" s="27">
        <v>25000</v>
      </c>
      <c r="E29" s="27">
        <v>25000</v>
      </c>
      <c r="F29" s="27">
        <v>25000</v>
      </c>
      <c r="G29" s="27">
        <v>25000</v>
      </c>
      <c r="H29" s="27">
        <v>25000</v>
      </c>
      <c r="I29" s="27">
        <v>25000</v>
      </c>
      <c r="J29" s="27">
        <v>25000</v>
      </c>
      <c r="K29" s="27">
        <v>25000</v>
      </c>
      <c r="L29" s="27">
        <v>25000</v>
      </c>
      <c r="M29" s="27">
        <v>25000</v>
      </c>
      <c r="N29" s="27">
        <v>25000</v>
      </c>
      <c r="O29" s="27">
        <v>25000</v>
      </c>
      <c r="P29" s="27">
        <v>25000</v>
      </c>
      <c r="Q29" s="27">
        <v>25000</v>
      </c>
      <c r="R29" s="27">
        <v>25000</v>
      </c>
      <c r="S29" s="27">
        <v>25000</v>
      </c>
      <c r="T29" s="27">
        <v>25000</v>
      </c>
      <c r="U29" s="27">
        <v>25000</v>
      </c>
      <c r="V29" s="27">
        <v>25000</v>
      </c>
      <c r="W29" s="27">
        <v>0</v>
      </c>
      <c r="X29" s="27">
        <v>0</v>
      </c>
      <c r="Y29" s="11">
        <f t="shared" si="0"/>
        <v>25000</v>
      </c>
      <c r="Z29" s="11">
        <f t="shared" si="1"/>
        <v>25000</v>
      </c>
      <c r="AA29" s="11">
        <f t="shared" si="2"/>
        <v>25000</v>
      </c>
      <c r="AB29" s="11">
        <f t="shared" si="3"/>
        <v>25000</v>
      </c>
      <c r="AC29" s="11" t="str">
        <f t="shared" si="4"/>
        <v/>
      </c>
      <c r="AD29" s="11">
        <f t="shared" si="5"/>
        <v>25000</v>
      </c>
    </row>
    <row r="30" spans="1:30" x14ac:dyDescent="0.35">
      <c r="A30" s="3">
        <v>26</v>
      </c>
      <c r="B30" s="3" t="s">
        <v>309</v>
      </c>
      <c r="C30" s="3" t="s">
        <v>304</v>
      </c>
      <c r="D30" s="27">
        <v>8000</v>
      </c>
      <c r="E30" s="27">
        <v>8000</v>
      </c>
      <c r="F30" s="27">
        <v>8000</v>
      </c>
      <c r="G30" s="27">
        <v>8000</v>
      </c>
      <c r="H30" s="27">
        <v>8000</v>
      </c>
      <c r="I30" s="27">
        <v>8000</v>
      </c>
      <c r="J30" s="27">
        <v>8000</v>
      </c>
      <c r="K30" s="27">
        <v>8000</v>
      </c>
      <c r="L30" s="27">
        <v>8000</v>
      </c>
      <c r="M30" s="27">
        <v>8000</v>
      </c>
      <c r="N30" s="27">
        <v>8000</v>
      </c>
      <c r="O30" s="27">
        <v>8000</v>
      </c>
      <c r="P30" s="27">
        <v>8000</v>
      </c>
      <c r="Q30" s="27">
        <v>8000</v>
      </c>
      <c r="R30" s="27">
        <v>8000</v>
      </c>
      <c r="S30" s="27">
        <v>8000</v>
      </c>
      <c r="T30" s="27">
        <v>8000</v>
      </c>
      <c r="U30" s="27">
        <v>8000</v>
      </c>
      <c r="V30" s="27">
        <v>8000</v>
      </c>
      <c r="W30" s="27">
        <v>0</v>
      </c>
      <c r="X30" s="27">
        <v>0</v>
      </c>
      <c r="Y30" s="11">
        <f t="shared" si="0"/>
        <v>8000</v>
      </c>
      <c r="Z30" s="11">
        <f t="shared" si="1"/>
        <v>8000</v>
      </c>
      <c r="AA30" s="11">
        <f t="shared" si="2"/>
        <v>8000</v>
      </c>
      <c r="AB30" s="11">
        <f t="shared" si="3"/>
        <v>8000</v>
      </c>
      <c r="AC30" s="11" t="str">
        <f t="shared" si="4"/>
        <v/>
      </c>
      <c r="AD30" s="11">
        <f t="shared" si="5"/>
        <v>8000</v>
      </c>
    </row>
    <row r="31" spans="1:30" x14ac:dyDescent="0.35">
      <c r="A31" s="3">
        <v>27</v>
      </c>
      <c r="B31" s="3" t="s">
        <v>260</v>
      </c>
      <c r="C31" s="3" t="s">
        <v>304</v>
      </c>
      <c r="D31" s="27">
        <v>10500</v>
      </c>
      <c r="E31" s="27">
        <v>10500</v>
      </c>
      <c r="F31" s="27">
        <v>10500</v>
      </c>
      <c r="G31" s="27">
        <v>10500</v>
      </c>
      <c r="H31" s="27">
        <v>10500</v>
      </c>
      <c r="I31" s="27">
        <v>10500</v>
      </c>
      <c r="J31" s="27">
        <v>10500</v>
      </c>
      <c r="K31" s="27">
        <v>10500</v>
      </c>
      <c r="L31" s="27">
        <v>10500</v>
      </c>
      <c r="M31" s="27">
        <v>10500</v>
      </c>
      <c r="N31" s="27">
        <v>10500</v>
      </c>
      <c r="O31" s="27">
        <v>10500</v>
      </c>
      <c r="P31" s="27">
        <v>10500</v>
      </c>
      <c r="Q31" s="27">
        <v>10500</v>
      </c>
      <c r="R31" s="27">
        <v>10500</v>
      </c>
      <c r="S31" s="27">
        <v>10500</v>
      </c>
      <c r="T31" s="27">
        <v>10500</v>
      </c>
      <c r="U31" s="27">
        <v>10500</v>
      </c>
      <c r="V31" s="27">
        <v>10500</v>
      </c>
      <c r="W31" s="27">
        <v>0</v>
      </c>
      <c r="X31" s="27">
        <v>0</v>
      </c>
      <c r="Y31" s="11">
        <f t="shared" si="0"/>
        <v>10500</v>
      </c>
      <c r="Z31" s="11">
        <f t="shared" si="1"/>
        <v>10500</v>
      </c>
      <c r="AA31" s="11">
        <f t="shared" si="2"/>
        <v>10500</v>
      </c>
      <c r="AB31" s="11">
        <f t="shared" si="3"/>
        <v>10500</v>
      </c>
      <c r="AC31" s="11" t="str">
        <f t="shared" si="4"/>
        <v/>
      </c>
      <c r="AD31" s="11">
        <f t="shared" si="5"/>
        <v>10500</v>
      </c>
    </row>
    <row r="32" spans="1:30" x14ac:dyDescent="0.35">
      <c r="A32" s="3">
        <v>28</v>
      </c>
      <c r="B32" s="3" t="s">
        <v>255</v>
      </c>
      <c r="C32" s="3" t="s">
        <v>304</v>
      </c>
      <c r="D32" s="27">
        <v>42000</v>
      </c>
      <c r="E32" s="27">
        <v>42000</v>
      </c>
      <c r="F32" s="27">
        <v>42000</v>
      </c>
      <c r="G32" s="27">
        <v>42000</v>
      </c>
      <c r="H32" s="27">
        <v>42000</v>
      </c>
      <c r="I32" s="27">
        <v>42000</v>
      </c>
      <c r="J32" s="27">
        <v>42000</v>
      </c>
      <c r="K32" s="27">
        <v>42000</v>
      </c>
      <c r="L32" s="27">
        <v>42000</v>
      </c>
      <c r="M32" s="27">
        <v>42000</v>
      </c>
      <c r="N32" s="27">
        <v>42000</v>
      </c>
      <c r="O32" s="27">
        <v>42000</v>
      </c>
      <c r="P32" s="27">
        <v>42000</v>
      </c>
      <c r="Q32" s="27">
        <v>42000</v>
      </c>
      <c r="R32" s="27">
        <v>42000</v>
      </c>
      <c r="S32" s="27">
        <v>42000</v>
      </c>
      <c r="T32" s="27">
        <v>42000</v>
      </c>
      <c r="U32" s="27">
        <v>42000</v>
      </c>
      <c r="V32" s="27">
        <v>42000</v>
      </c>
      <c r="W32" s="27">
        <v>0</v>
      </c>
      <c r="X32" s="27">
        <v>0</v>
      </c>
      <c r="Y32" s="11">
        <f t="shared" si="0"/>
        <v>42000</v>
      </c>
      <c r="Z32" s="11">
        <f t="shared" si="1"/>
        <v>42000</v>
      </c>
      <c r="AA32" s="11">
        <f t="shared" si="2"/>
        <v>42000</v>
      </c>
      <c r="AB32" s="11">
        <f t="shared" si="3"/>
        <v>42000</v>
      </c>
      <c r="AC32" s="11" t="str">
        <f t="shared" si="4"/>
        <v/>
      </c>
      <c r="AD32" s="11">
        <f t="shared" si="5"/>
        <v>42000</v>
      </c>
    </row>
    <row r="33" spans="1:30" x14ac:dyDescent="0.35">
      <c r="A33" s="3">
        <v>29</v>
      </c>
      <c r="B33" s="3" t="s">
        <v>266</v>
      </c>
      <c r="C33" s="3" t="s">
        <v>304</v>
      </c>
      <c r="D33" s="27">
        <v>9000</v>
      </c>
      <c r="E33" s="27">
        <v>9000</v>
      </c>
      <c r="F33" s="27">
        <v>9000</v>
      </c>
      <c r="G33" s="27">
        <v>9000</v>
      </c>
      <c r="H33" s="27">
        <v>9000</v>
      </c>
      <c r="I33" s="27">
        <v>9000</v>
      </c>
      <c r="J33" s="27">
        <v>9000</v>
      </c>
      <c r="K33" s="27">
        <v>9000</v>
      </c>
      <c r="L33" s="27">
        <v>9000</v>
      </c>
      <c r="M33" s="27">
        <v>9000</v>
      </c>
      <c r="N33" s="27">
        <v>9000</v>
      </c>
      <c r="O33" s="27">
        <v>9000</v>
      </c>
      <c r="P33" s="27">
        <v>9000</v>
      </c>
      <c r="Q33" s="27">
        <v>9000</v>
      </c>
      <c r="R33" s="27">
        <v>9000</v>
      </c>
      <c r="S33" s="27">
        <v>9000</v>
      </c>
      <c r="T33" s="27">
        <v>9000</v>
      </c>
      <c r="U33" s="27">
        <v>9000</v>
      </c>
      <c r="V33" s="27">
        <v>9000</v>
      </c>
      <c r="W33" s="27">
        <v>0</v>
      </c>
      <c r="X33" s="27">
        <v>0</v>
      </c>
      <c r="Y33" s="11">
        <f t="shared" si="0"/>
        <v>9000</v>
      </c>
      <c r="Z33" s="11">
        <f t="shared" si="1"/>
        <v>9000</v>
      </c>
      <c r="AA33" s="11">
        <f t="shared" si="2"/>
        <v>9000</v>
      </c>
      <c r="AB33" s="11">
        <f t="shared" si="3"/>
        <v>9000</v>
      </c>
      <c r="AC33" s="11" t="str">
        <f t="shared" si="4"/>
        <v/>
      </c>
      <c r="AD33" s="11">
        <f t="shared" si="5"/>
        <v>9000</v>
      </c>
    </row>
    <row r="34" spans="1:30" x14ac:dyDescent="0.35">
      <c r="A34" s="3">
        <v>30</v>
      </c>
      <c r="B34" s="3" t="s">
        <v>244</v>
      </c>
      <c r="C34" s="3" t="s">
        <v>304</v>
      </c>
      <c r="D34" s="27">
        <v>4750</v>
      </c>
      <c r="E34" s="27">
        <v>4750</v>
      </c>
      <c r="F34" s="27">
        <v>4750</v>
      </c>
      <c r="G34" s="27">
        <v>4750</v>
      </c>
      <c r="H34" s="27">
        <v>4750</v>
      </c>
      <c r="I34" s="27">
        <v>4750</v>
      </c>
      <c r="J34" s="27">
        <v>4750</v>
      </c>
      <c r="K34" s="27">
        <v>4750</v>
      </c>
      <c r="L34" s="27">
        <v>4750</v>
      </c>
      <c r="M34" s="27">
        <v>4750</v>
      </c>
      <c r="N34" s="27">
        <v>4750</v>
      </c>
      <c r="O34" s="27">
        <v>4750</v>
      </c>
      <c r="P34" s="27">
        <v>4750</v>
      </c>
      <c r="Q34" s="27">
        <v>4750</v>
      </c>
      <c r="R34" s="27">
        <v>4750</v>
      </c>
      <c r="S34" s="27">
        <v>4750</v>
      </c>
      <c r="T34" s="27">
        <v>4750</v>
      </c>
      <c r="U34" s="27">
        <v>4750</v>
      </c>
      <c r="V34" s="27">
        <v>4750</v>
      </c>
      <c r="W34" s="27">
        <v>0</v>
      </c>
      <c r="X34" s="27">
        <v>0</v>
      </c>
      <c r="Y34" s="11">
        <f t="shared" si="0"/>
        <v>4750</v>
      </c>
      <c r="Z34" s="11">
        <f t="shared" si="1"/>
        <v>4750</v>
      </c>
      <c r="AA34" s="11">
        <f t="shared" si="2"/>
        <v>4750</v>
      </c>
      <c r="AB34" s="11">
        <f t="shared" si="3"/>
        <v>4750</v>
      </c>
      <c r="AC34" s="11" t="str">
        <f t="shared" si="4"/>
        <v/>
      </c>
      <c r="AD34" s="11">
        <f t="shared" si="5"/>
        <v>4750</v>
      </c>
    </row>
    <row r="35" spans="1:30" x14ac:dyDescent="0.35">
      <c r="A35" s="3">
        <v>31</v>
      </c>
      <c r="B35" s="3" t="s">
        <v>249</v>
      </c>
      <c r="C35" s="3" t="s">
        <v>304</v>
      </c>
      <c r="D35" s="27">
        <v>68000</v>
      </c>
      <c r="E35" s="27">
        <v>68000</v>
      </c>
      <c r="F35" s="27">
        <v>65000</v>
      </c>
      <c r="G35" s="27">
        <v>65000</v>
      </c>
      <c r="H35" s="27">
        <v>65000</v>
      </c>
      <c r="I35" s="27">
        <v>65000</v>
      </c>
      <c r="J35" s="27">
        <v>65000</v>
      </c>
      <c r="K35" s="27">
        <v>65000</v>
      </c>
      <c r="L35" s="27">
        <v>65000</v>
      </c>
      <c r="M35" s="27">
        <v>65000</v>
      </c>
      <c r="N35" s="27">
        <v>65000</v>
      </c>
      <c r="O35" s="27">
        <v>65000</v>
      </c>
      <c r="P35" s="27">
        <v>65000</v>
      </c>
      <c r="Q35" s="27">
        <v>65000</v>
      </c>
      <c r="R35" s="27">
        <v>65000</v>
      </c>
      <c r="S35" s="27">
        <v>65000</v>
      </c>
      <c r="T35" s="27">
        <v>65000</v>
      </c>
      <c r="U35" s="27">
        <v>65000</v>
      </c>
      <c r="V35" s="27">
        <v>65000</v>
      </c>
      <c r="W35" s="27">
        <v>0</v>
      </c>
      <c r="X35" s="27">
        <v>0</v>
      </c>
      <c r="Y35" s="11">
        <f t="shared" si="0"/>
        <v>66200</v>
      </c>
      <c r="Z35" s="11">
        <f t="shared" si="1"/>
        <v>65000</v>
      </c>
      <c r="AA35" s="11">
        <f t="shared" si="2"/>
        <v>65000</v>
      </c>
      <c r="AB35" s="11">
        <f t="shared" si="3"/>
        <v>65000</v>
      </c>
      <c r="AC35" s="11" t="str">
        <f t="shared" si="4"/>
        <v/>
      </c>
      <c r="AD35" s="11">
        <f t="shared" si="5"/>
        <v>65315.789473684214</v>
      </c>
    </row>
    <row r="36" spans="1:30" x14ac:dyDescent="0.35">
      <c r="A36" s="3">
        <v>32</v>
      </c>
      <c r="B36" s="3" t="s">
        <v>250</v>
      </c>
      <c r="C36" s="3" t="s">
        <v>304</v>
      </c>
      <c r="D36" s="27">
        <v>13000</v>
      </c>
      <c r="E36" s="27">
        <v>13000</v>
      </c>
      <c r="F36" s="27">
        <v>13000</v>
      </c>
      <c r="G36" s="27">
        <v>13000</v>
      </c>
      <c r="H36" s="27">
        <v>13000</v>
      </c>
      <c r="I36" s="27">
        <v>13000</v>
      </c>
      <c r="J36" s="27">
        <v>13000</v>
      </c>
      <c r="K36" s="27">
        <v>13000</v>
      </c>
      <c r="L36" s="27">
        <v>13000</v>
      </c>
      <c r="M36" s="27">
        <v>13000</v>
      </c>
      <c r="N36" s="27">
        <v>13000</v>
      </c>
      <c r="O36" s="27">
        <v>13000</v>
      </c>
      <c r="P36" s="27">
        <v>13000</v>
      </c>
      <c r="Q36" s="27">
        <v>13000</v>
      </c>
      <c r="R36" s="27">
        <v>13000</v>
      </c>
      <c r="S36" s="27">
        <v>13000</v>
      </c>
      <c r="T36" s="27">
        <v>13000</v>
      </c>
      <c r="U36" s="27">
        <v>13000</v>
      </c>
      <c r="V36" s="27">
        <v>13000</v>
      </c>
      <c r="W36" s="27">
        <v>0</v>
      </c>
      <c r="X36" s="27">
        <v>0</v>
      </c>
      <c r="Y36" s="11">
        <f t="shared" si="0"/>
        <v>13000</v>
      </c>
      <c r="Z36" s="11">
        <f t="shared" si="1"/>
        <v>13000</v>
      </c>
      <c r="AA36" s="11">
        <f t="shared" si="2"/>
        <v>13000</v>
      </c>
      <c r="AB36" s="11">
        <f t="shared" si="3"/>
        <v>13000</v>
      </c>
      <c r="AC36" s="11" t="str">
        <f t="shared" si="4"/>
        <v/>
      </c>
      <c r="AD36" s="11">
        <f t="shared" si="5"/>
        <v>13000</v>
      </c>
    </row>
    <row r="37" spans="1:30" x14ac:dyDescent="0.35">
      <c r="A37" s="3">
        <v>33</v>
      </c>
      <c r="B37" s="3" t="s">
        <v>267</v>
      </c>
      <c r="C37" s="3" t="s">
        <v>304</v>
      </c>
      <c r="D37" s="27">
        <v>9000</v>
      </c>
      <c r="E37" s="27">
        <v>9000</v>
      </c>
      <c r="F37" s="27">
        <v>9000</v>
      </c>
      <c r="G37" s="27">
        <v>9000</v>
      </c>
      <c r="H37" s="27">
        <v>9000</v>
      </c>
      <c r="I37" s="27">
        <v>9000</v>
      </c>
      <c r="J37" s="27">
        <v>9000</v>
      </c>
      <c r="K37" s="27">
        <v>9000</v>
      </c>
      <c r="L37" s="27">
        <v>9000</v>
      </c>
      <c r="M37" s="27">
        <v>9000</v>
      </c>
      <c r="N37" s="27">
        <v>9000</v>
      </c>
      <c r="O37" s="27">
        <v>9000</v>
      </c>
      <c r="P37" s="27">
        <v>9000</v>
      </c>
      <c r="Q37" s="27">
        <v>9000</v>
      </c>
      <c r="R37" s="27">
        <v>9000</v>
      </c>
      <c r="S37" s="27">
        <v>9000</v>
      </c>
      <c r="T37" s="27">
        <v>9000</v>
      </c>
      <c r="U37" s="27">
        <v>9000</v>
      </c>
      <c r="V37" s="27">
        <v>9000</v>
      </c>
      <c r="W37" s="27">
        <v>0</v>
      </c>
      <c r="X37" s="27">
        <v>0</v>
      </c>
      <c r="Y37" s="11">
        <f t="shared" si="0"/>
        <v>9000</v>
      </c>
      <c r="Z37" s="11">
        <f t="shared" si="1"/>
        <v>9000</v>
      </c>
      <c r="AA37" s="11">
        <f t="shared" si="2"/>
        <v>9000</v>
      </c>
      <c r="AB37" s="11">
        <f t="shared" si="3"/>
        <v>9000</v>
      </c>
      <c r="AC37" s="11" t="str">
        <f t="shared" si="4"/>
        <v/>
      </c>
      <c r="AD37" s="11">
        <f t="shared" si="5"/>
        <v>9000</v>
      </c>
    </row>
    <row r="38" spans="1:30" x14ac:dyDescent="0.35">
      <c r="A38" s="3">
        <v>34</v>
      </c>
      <c r="B38" s="3" t="s">
        <v>310</v>
      </c>
      <c r="C38" s="3" t="s">
        <v>304</v>
      </c>
      <c r="D38" s="27">
        <v>6000</v>
      </c>
      <c r="E38" s="27">
        <v>6000</v>
      </c>
      <c r="F38" s="27">
        <v>6000</v>
      </c>
      <c r="G38" s="27">
        <v>6000</v>
      </c>
      <c r="H38" s="27">
        <v>6000</v>
      </c>
      <c r="I38" s="27">
        <v>6000</v>
      </c>
      <c r="J38" s="27">
        <v>6000</v>
      </c>
      <c r="K38" s="27">
        <v>6000</v>
      </c>
      <c r="L38" s="27">
        <v>6000</v>
      </c>
      <c r="M38" s="27">
        <v>6000</v>
      </c>
      <c r="N38" s="27">
        <v>6000</v>
      </c>
      <c r="O38" s="27">
        <v>6000</v>
      </c>
      <c r="P38" s="27">
        <v>6000</v>
      </c>
      <c r="Q38" s="27">
        <v>6000</v>
      </c>
      <c r="R38" s="27">
        <v>6000</v>
      </c>
      <c r="S38" s="27">
        <v>6000</v>
      </c>
      <c r="T38" s="27">
        <v>6000</v>
      </c>
      <c r="U38" s="27">
        <v>6000</v>
      </c>
      <c r="V38" s="27">
        <v>6000</v>
      </c>
      <c r="W38" s="27">
        <v>0</v>
      </c>
      <c r="X38" s="27">
        <v>0</v>
      </c>
      <c r="Y38" s="11">
        <f t="shared" si="0"/>
        <v>6000</v>
      </c>
      <c r="Z38" s="11">
        <f t="shared" si="1"/>
        <v>6000</v>
      </c>
      <c r="AA38" s="11">
        <f t="shared" si="2"/>
        <v>6000</v>
      </c>
      <c r="AB38" s="11">
        <f t="shared" si="3"/>
        <v>6000</v>
      </c>
      <c r="AC38" s="11" t="str">
        <f t="shared" si="4"/>
        <v/>
      </c>
      <c r="AD38" s="11">
        <f t="shared" si="5"/>
        <v>6000</v>
      </c>
    </row>
    <row r="39" spans="1:30" x14ac:dyDescent="0.35">
      <c r="A39" s="3">
        <v>35</v>
      </c>
      <c r="B39" s="3" t="s">
        <v>311</v>
      </c>
      <c r="C39" s="3" t="s">
        <v>304</v>
      </c>
      <c r="D39" s="27">
        <v>15000</v>
      </c>
      <c r="E39" s="27">
        <v>15000</v>
      </c>
      <c r="F39" s="27">
        <v>15000</v>
      </c>
      <c r="G39" s="27">
        <v>15000</v>
      </c>
      <c r="H39" s="27">
        <v>15000</v>
      </c>
      <c r="I39" s="27">
        <v>15000</v>
      </c>
      <c r="J39" s="27">
        <v>15000</v>
      </c>
      <c r="K39" s="27">
        <v>15000</v>
      </c>
      <c r="L39" s="27">
        <v>15000</v>
      </c>
      <c r="M39" s="27">
        <v>15000</v>
      </c>
      <c r="N39" s="27">
        <v>15000</v>
      </c>
      <c r="O39" s="27">
        <v>15000</v>
      </c>
      <c r="P39" s="27">
        <v>15000</v>
      </c>
      <c r="Q39" s="27">
        <v>15000</v>
      </c>
      <c r="R39" s="27">
        <v>15000</v>
      </c>
      <c r="S39" s="27">
        <v>15000</v>
      </c>
      <c r="T39" s="27">
        <v>15000</v>
      </c>
      <c r="U39" s="27">
        <v>15000</v>
      </c>
      <c r="V39" s="27">
        <v>15000</v>
      </c>
      <c r="W39" s="27">
        <v>0</v>
      </c>
      <c r="X39" s="27">
        <v>0</v>
      </c>
      <c r="Y39" s="11">
        <f t="shared" si="0"/>
        <v>15000</v>
      </c>
      <c r="Z39" s="11">
        <f t="shared" si="1"/>
        <v>15000</v>
      </c>
      <c r="AA39" s="11">
        <f t="shared" si="2"/>
        <v>15000</v>
      </c>
      <c r="AB39" s="11">
        <f t="shared" si="3"/>
        <v>15000</v>
      </c>
      <c r="AC39" s="11" t="str">
        <f t="shared" si="4"/>
        <v/>
      </c>
      <c r="AD39" s="11">
        <f t="shared" si="5"/>
        <v>15000</v>
      </c>
    </row>
    <row r="40" spans="1:30" x14ac:dyDescent="0.35">
      <c r="A40" s="3">
        <v>36</v>
      </c>
      <c r="B40" s="3" t="s">
        <v>312</v>
      </c>
      <c r="C40" s="3" t="s">
        <v>304</v>
      </c>
      <c r="D40" s="27">
        <v>4000</v>
      </c>
      <c r="E40" s="27">
        <v>4000</v>
      </c>
      <c r="F40" s="27">
        <v>4000</v>
      </c>
      <c r="G40" s="27">
        <v>4000</v>
      </c>
      <c r="H40" s="27">
        <v>4000</v>
      </c>
      <c r="I40" s="27">
        <v>4000</v>
      </c>
      <c r="J40" s="27">
        <v>4000</v>
      </c>
      <c r="K40" s="27">
        <v>4000</v>
      </c>
      <c r="L40" s="27">
        <v>4000</v>
      </c>
      <c r="M40" s="27">
        <v>4000</v>
      </c>
      <c r="N40" s="27">
        <v>4000</v>
      </c>
      <c r="O40" s="27">
        <v>4000</v>
      </c>
      <c r="P40" s="27">
        <v>4000</v>
      </c>
      <c r="Q40" s="27">
        <v>4000</v>
      </c>
      <c r="R40" s="27">
        <v>4000</v>
      </c>
      <c r="S40" s="27">
        <v>4000</v>
      </c>
      <c r="T40" s="27">
        <v>4000</v>
      </c>
      <c r="U40" s="27">
        <v>4000</v>
      </c>
      <c r="V40" s="27">
        <v>4000</v>
      </c>
      <c r="W40" s="27">
        <v>0</v>
      </c>
      <c r="X40" s="27">
        <v>0</v>
      </c>
      <c r="Y40" s="11">
        <f t="shared" si="0"/>
        <v>4000</v>
      </c>
      <c r="Z40" s="11">
        <f t="shared" si="1"/>
        <v>4000</v>
      </c>
      <c r="AA40" s="11">
        <f t="shared" si="2"/>
        <v>4000</v>
      </c>
      <c r="AB40" s="11">
        <f t="shared" si="3"/>
        <v>4000</v>
      </c>
      <c r="AC40" s="11" t="str">
        <f t="shared" si="4"/>
        <v/>
      </c>
      <c r="AD40" s="11">
        <f t="shared" si="5"/>
        <v>4000</v>
      </c>
    </row>
    <row r="41" spans="1:30" x14ac:dyDescent="0.35">
      <c r="A41" s="3">
        <v>37</v>
      </c>
      <c r="B41" s="3" t="s">
        <v>313</v>
      </c>
      <c r="C41" s="3" t="s">
        <v>304</v>
      </c>
      <c r="D41" s="27">
        <v>2000</v>
      </c>
      <c r="E41" s="27">
        <v>2000</v>
      </c>
      <c r="F41" s="27">
        <v>2000</v>
      </c>
      <c r="G41" s="27">
        <v>2000</v>
      </c>
      <c r="H41" s="27">
        <v>2000</v>
      </c>
      <c r="I41" s="27">
        <v>2000</v>
      </c>
      <c r="J41" s="27">
        <v>2000</v>
      </c>
      <c r="K41" s="27">
        <v>2000</v>
      </c>
      <c r="L41" s="27">
        <v>2000</v>
      </c>
      <c r="M41" s="27">
        <v>2000</v>
      </c>
      <c r="N41" s="27">
        <v>2000</v>
      </c>
      <c r="O41" s="27">
        <v>2000</v>
      </c>
      <c r="P41" s="27">
        <v>2000</v>
      </c>
      <c r="Q41" s="27">
        <v>2000</v>
      </c>
      <c r="R41" s="27">
        <v>2000</v>
      </c>
      <c r="S41" s="27">
        <v>2000</v>
      </c>
      <c r="T41" s="27">
        <v>2000</v>
      </c>
      <c r="U41" s="27">
        <v>2000</v>
      </c>
      <c r="V41" s="27">
        <v>2000</v>
      </c>
      <c r="W41" s="27">
        <v>0</v>
      </c>
      <c r="X41" s="27">
        <v>0</v>
      </c>
      <c r="Y41" s="11">
        <f t="shared" si="0"/>
        <v>2000</v>
      </c>
      <c r="Z41" s="11">
        <f t="shared" si="1"/>
        <v>2000</v>
      </c>
      <c r="AA41" s="11">
        <f t="shared" si="2"/>
        <v>2000</v>
      </c>
      <c r="AB41" s="11">
        <f t="shared" si="3"/>
        <v>2000</v>
      </c>
      <c r="AC41" s="11" t="str">
        <f t="shared" si="4"/>
        <v/>
      </c>
      <c r="AD41" s="11">
        <f t="shared" si="5"/>
        <v>2000</v>
      </c>
    </row>
    <row r="42" spans="1:30" x14ac:dyDescent="0.35">
      <c r="A42" s="3">
        <v>38</v>
      </c>
      <c r="B42" s="3" t="s">
        <v>314</v>
      </c>
      <c r="C42" s="3" t="s">
        <v>304</v>
      </c>
      <c r="D42" s="27">
        <v>5000</v>
      </c>
      <c r="E42" s="27">
        <v>5000</v>
      </c>
      <c r="F42" s="27">
        <v>5000</v>
      </c>
      <c r="G42" s="27">
        <v>5000</v>
      </c>
      <c r="H42" s="27">
        <v>5000</v>
      </c>
      <c r="I42" s="27">
        <v>5000</v>
      </c>
      <c r="J42" s="27">
        <v>5000</v>
      </c>
      <c r="K42" s="27">
        <v>5000</v>
      </c>
      <c r="L42" s="27">
        <v>5000</v>
      </c>
      <c r="M42" s="27">
        <v>5000</v>
      </c>
      <c r="N42" s="27">
        <v>5000</v>
      </c>
      <c r="O42" s="27">
        <v>5000</v>
      </c>
      <c r="P42" s="27">
        <v>5000</v>
      </c>
      <c r="Q42" s="27">
        <v>5000</v>
      </c>
      <c r="R42" s="27">
        <v>5000</v>
      </c>
      <c r="S42" s="27">
        <v>5000</v>
      </c>
      <c r="T42" s="27">
        <v>5000</v>
      </c>
      <c r="U42" s="27">
        <v>5000</v>
      </c>
      <c r="V42" s="27">
        <v>5000</v>
      </c>
      <c r="W42" s="27">
        <v>0</v>
      </c>
      <c r="X42" s="27">
        <v>0</v>
      </c>
      <c r="Y42" s="11">
        <f t="shared" si="0"/>
        <v>5000</v>
      </c>
      <c r="Z42" s="11">
        <f t="shared" si="1"/>
        <v>5000</v>
      </c>
      <c r="AA42" s="11">
        <f t="shared" si="2"/>
        <v>5000</v>
      </c>
      <c r="AB42" s="11">
        <f t="shared" si="3"/>
        <v>5000</v>
      </c>
      <c r="AC42" s="11" t="str">
        <f t="shared" si="4"/>
        <v/>
      </c>
      <c r="AD42" s="11">
        <f t="shared" si="5"/>
        <v>5000</v>
      </c>
    </row>
    <row r="43" spans="1:30" x14ac:dyDescent="0.35">
      <c r="A43" s="3">
        <v>39</v>
      </c>
      <c r="B43" s="3" t="s">
        <v>315</v>
      </c>
      <c r="C43" s="3" t="s">
        <v>304</v>
      </c>
      <c r="D43" s="27">
        <v>7000</v>
      </c>
      <c r="E43" s="27">
        <v>7000</v>
      </c>
      <c r="F43" s="27">
        <v>7000</v>
      </c>
      <c r="G43" s="27">
        <v>7000</v>
      </c>
      <c r="H43" s="27">
        <v>7000</v>
      </c>
      <c r="I43" s="27">
        <v>7000</v>
      </c>
      <c r="J43" s="27">
        <v>7000</v>
      </c>
      <c r="K43" s="27">
        <v>7000</v>
      </c>
      <c r="L43" s="27">
        <v>7000</v>
      </c>
      <c r="M43" s="27">
        <v>7000</v>
      </c>
      <c r="N43" s="27">
        <v>7000</v>
      </c>
      <c r="O43" s="27">
        <v>7000</v>
      </c>
      <c r="P43" s="27">
        <v>7000</v>
      </c>
      <c r="Q43" s="27">
        <v>7000</v>
      </c>
      <c r="R43" s="27">
        <v>7000</v>
      </c>
      <c r="S43" s="27">
        <v>7000</v>
      </c>
      <c r="T43" s="27">
        <v>7000</v>
      </c>
      <c r="U43" s="27">
        <v>7000</v>
      </c>
      <c r="V43" s="27">
        <v>7000</v>
      </c>
      <c r="W43" s="27">
        <v>0</v>
      </c>
      <c r="X43" s="27">
        <v>0</v>
      </c>
      <c r="Y43" s="11">
        <f t="shared" si="0"/>
        <v>7000</v>
      </c>
      <c r="Z43" s="11">
        <f t="shared" si="1"/>
        <v>7000</v>
      </c>
      <c r="AA43" s="11">
        <f t="shared" si="2"/>
        <v>7000</v>
      </c>
      <c r="AB43" s="11">
        <f t="shared" si="3"/>
        <v>7000</v>
      </c>
      <c r="AC43" s="11" t="str">
        <f t="shared" si="4"/>
        <v/>
      </c>
      <c r="AD43" s="11">
        <f t="shared" si="5"/>
        <v>7000</v>
      </c>
    </row>
    <row r="44" spans="1:30" x14ac:dyDescent="0.35">
      <c r="A44" s="3">
        <v>40</v>
      </c>
      <c r="B44" s="3" t="s">
        <v>316</v>
      </c>
      <c r="C44" s="3" t="s">
        <v>304</v>
      </c>
      <c r="D44" s="27">
        <v>5000</v>
      </c>
      <c r="E44" s="27">
        <v>5000</v>
      </c>
      <c r="F44" s="27">
        <v>5000</v>
      </c>
      <c r="G44" s="27">
        <v>5000</v>
      </c>
      <c r="H44" s="27">
        <v>5000</v>
      </c>
      <c r="I44" s="27">
        <v>5000</v>
      </c>
      <c r="J44" s="27">
        <v>5000</v>
      </c>
      <c r="K44" s="27">
        <v>5000</v>
      </c>
      <c r="L44" s="27">
        <v>5000</v>
      </c>
      <c r="M44" s="27">
        <v>5000</v>
      </c>
      <c r="N44" s="27">
        <v>5000</v>
      </c>
      <c r="O44" s="27">
        <v>5000</v>
      </c>
      <c r="P44" s="27">
        <v>5000</v>
      </c>
      <c r="Q44" s="27">
        <v>5000</v>
      </c>
      <c r="R44" s="27">
        <v>5000</v>
      </c>
      <c r="S44" s="27">
        <v>5000</v>
      </c>
      <c r="T44" s="27">
        <v>5000</v>
      </c>
      <c r="U44" s="27">
        <v>5000</v>
      </c>
      <c r="V44" s="27">
        <v>5000</v>
      </c>
      <c r="W44" s="27">
        <v>0</v>
      </c>
      <c r="X44" s="27">
        <v>0</v>
      </c>
      <c r="Y44" s="11">
        <f t="shared" si="0"/>
        <v>5000</v>
      </c>
      <c r="Z44" s="11">
        <f t="shared" si="1"/>
        <v>5000</v>
      </c>
      <c r="AA44" s="11">
        <f t="shared" si="2"/>
        <v>5000</v>
      </c>
      <c r="AB44" s="11">
        <f t="shared" si="3"/>
        <v>5000</v>
      </c>
      <c r="AC44" s="11" t="str">
        <f t="shared" si="4"/>
        <v/>
      </c>
      <c r="AD44" s="11">
        <f t="shared" si="5"/>
        <v>5000</v>
      </c>
    </row>
    <row r="45" spans="1:30" x14ac:dyDescent="0.35">
      <c r="A45" s="3">
        <v>41</v>
      </c>
      <c r="B45" s="3" t="s">
        <v>317</v>
      </c>
      <c r="C45" s="3" t="s">
        <v>304</v>
      </c>
      <c r="D45" s="27">
        <v>70000</v>
      </c>
      <c r="E45" s="27">
        <v>70000</v>
      </c>
      <c r="F45" s="27">
        <v>70000</v>
      </c>
      <c r="G45" s="27">
        <v>70000</v>
      </c>
      <c r="H45" s="27">
        <v>70000</v>
      </c>
      <c r="I45" s="27">
        <v>70000</v>
      </c>
      <c r="J45" s="27">
        <v>70000</v>
      </c>
      <c r="K45" s="27">
        <v>70000</v>
      </c>
      <c r="L45" s="27">
        <v>70000</v>
      </c>
      <c r="M45" s="27">
        <v>70000</v>
      </c>
      <c r="N45" s="27">
        <v>70000</v>
      </c>
      <c r="O45" s="27">
        <v>70000</v>
      </c>
      <c r="P45" s="27">
        <v>70000</v>
      </c>
      <c r="Q45" s="27">
        <v>70000</v>
      </c>
      <c r="R45" s="27">
        <v>70000</v>
      </c>
      <c r="S45" s="27">
        <v>70000</v>
      </c>
      <c r="T45" s="27">
        <v>70000</v>
      </c>
      <c r="U45" s="27">
        <v>70000</v>
      </c>
      <c r="V45" s="27">
        <v>70000</v>
      </c>
      <c r="W45" s="27">
        <v>0</v>
      </c>
      <c r="X45" s="27">
        <v>0</v>
      </c>
      <c r="Y45" s="11">
        <f t="shared" si="0"/>
        <v>70000</v>
      </c>
      <c r="Z45" s="11">
        <f t="shared" si="1"/>
        <v>70000</v>
      </c>
      <c r="AA45" s="11">
        <f t="shared" si="2"/>
        <v>70000</v>
      </c>
      <c r="AB45" s="11">
        <f t="shared" si="3"/>
        <v>70000</v>
      </c>
      <c r="AC45" s="11" t="str">
        <f t="shared" si="4"/>
        <v/>
      </c>
      <c r="AD45" s="11">
        <f t="shared" si="5"/>
        <v>70000</v>
      </c>
    </row>
    <row r="46" spans="1:30" x14ac:dyDescent="0.35">
      <c r="A46" s="3">
        <v>42</v>
      </c>
      <c r="B46" s="3" t="s">
        <v>318</v>
      </c>
      <c r="C46" s="3" t="s">
        <v>304</v>
      </c>
      <c r="D46" s="27">
        <v>40000</v>
      </c>
      <c r="E46" s="27">
        <v>40000</v>
      </c>
      <c r="F46" s="27">
        <v>40000</v>
      </c>
      <c r="G46" s="27">
        <v>40000</v>
      </c>
      <c r="H46" s="27">
        <v>40000</v>
      </c>
      <c r="I46" s="27">
        <v>40000</v>
      </c>
      <c r="J46" s="27">
        <v>40000</v>
      </c>
      <c r="K46" s="27">
        <v>40000</v>
      </c>
      <c r="L46" s="27">
        <v>40000</v>
      </c>
      <c r="M46" s="27">
        <v>40000</v>
      </c>
      <c r="N46" s="27">
        <v>40000</v>
      </c>
      <c r="O46" s="27">
        <v>40000</v>
      </c>
      <c r="P46" s="27">
        <v>40000</v>
      </c>
      <c r="Q46" s="27">
        <v>40000</v>
      </c>
      <c r="R46" s="27">
        <v>40000</v>
      </c>
      <c r="S46" s="27">
        <v>40000</v>
      </c>
      <c r="T46" s="27">
        <v>40000</v>
      </c>
      <c r="U46" s="27">
        <v>40000</v>
      </c>
      <c r="V46" s="27">
        <v>40000</v>
      </c>
      <c r="W46" s="27">
        <v>0</v>
      </c>
      <c r="X46" s="27">
        <v>0</v>
      </c>
      <c r="Y46" s="11">
        <f t="shared" si="0"/>
        <v>40000</v>
      </c>
      <c r="Z46" s="11">
        <f t="shared" si="1"/>
        <v>40000</v>
      </c>
      <c r="AA46" s="11">
        <f t="shared" si="2"/>
        <v>40000</v>
      </c>
      <c r="AB46" s="11">
        <f t="shared" si="3"/>
        <v>40000</v>
      </c>
      <c r="AC46" s="11" t="str">
        <f t="shared" si="4"/>
        <v/>
      </c>
      <c r="AD46" s="11">
        <f t="shared" si="5"/>
        <v>40000</v>
      </c>
    </row>
    <row r="47" spans="1:30" x14ac:dyDescent="0.35">
      <c r="A47" s="3">
        <v>43</v>
      </c>
      <c r="B47" s="3" t="s">
        <v>319</v>
      </c>
      <c r="C47" s="3" t="s">
        <v>304</v>
      </c>
      <c r="D47" s="27">
        <v>27000</v>
      </c>
      <c r="E47" s="27">
        <v>27000</v>
      </c>
      <c r="F47" s="27">
        <v>27000</v>
      </c>
      <c r="G47" s="27">
        <v>27000</v>
      </c>
      <c r="H47" s="27">
        <v>27000</v>
      </c>
      <c r="I47" s="27">
        <v>27000</v>
      </c>
      <c r="J47" s="27">
        <v>27000</v>
      </c>
      <c r="K47" s="27">
        <v>27000</v>
      </c>
      <c r="L47" s="27">
        <v>27000</v>
      </c>
      <c r="M47" s="27">
        <v>27000</v>
      </c>
      <c r="N47" s="27">
        <v>27000</v>
      </c>
      <c r="O47" s="27">
        <v>27000</v>
      </c>
      <c r="P47" s="27">
        <v>27000</v>
      </c>
      <c r="Q47" s="27">
        <v>27000</v>
      </c>
      <c r="R47" s="27">
        <v>27000</v>
      </c>
      <c r="S47" s="27">
        <v>27000</v>
      </c>
      <c r="T47" s="27">
        <v>27000</v>
      </c>
      <c r="U47" s="27">
        <v>27000</v>
      </c>
      <c r="V47" s="27">
        <v>27000</v>
      </c>
      <c r="W47" s="27">
        <v>0</v>
      </c>
      <c r="X47" s="27">
        <v>0</v>
      </c>
      <c r="Y47" s="11">
        <f t="shared" si="0"/>
        <v>27000</v>
      </c>
      <c r="Z47" s="11">
        <f t="shared" si="1"/>
        <v>27000</v>
      </c>
      <c r="AA47" s="11">
        <f t="shared" si="2"/>
        <v>27000</v>
      </c>
      <c r="AB47" s="11">
        <f t="shared" si="3"/>
        <v>27000</v>
      </c>
      <c r="AC47" s="11" t="str">
        <f t="shared" si="4"/>
        <v/>
      </c>
      <c r="AD47" s="11">
        <f t="shared" si="5"/>
        <v>27000</v>
      </c>
    </row>
    <row r="48" spans="1:30" x14ac:dyDescent="0.35">
      <c r="A48" s="3">
        <v>44</v>
      </c>
      <c r="B48" s="3" t="s">
        <v>320</v>
      </c>
      <c r="C48" s="3" t="s">
        <v>304</v>
      </c>
      <c r="D48" s="27">
        <v>14000</v>
      </c>
      <c r="E48" s="27">
        <v>14000</v>
      </c>
      <c r="F48" s="27">
        <v>14000</v>
      </c>
      <c r="G48" s="27">
        <v>14000</v>
      </c>
      <c r="H48" s="27">
        <v>14000</v>
      </c>
      <c r="I48" s="27">
        <v>14000</v>
      </c>
      <c r="J48" s="27">
        <v>14000</v>
      </c>
      <c r="K48" s="27">
        <v>14000</v>
      </c>
      <c r="L48" s="27">
        <v>14000</v>
      </c>
      <c r="M48" s="27">
        <v>14000</v>
      </c>
      <c r="N48" s="27">
        <v>14000</v>
      </c>
      <c r="O48" s="27">
        <v>14000</v>
      </c>
      <c r="P48" s="27">
        <v>14000</v>
      </c>
      <c r="Q48" s="27">
        <v>14000</v>
      </c>
      <c r="R48" s="27">
        <v>14000</v>
      </c>
      <c r="S48" s="27">
        <v>14000</v>
      </c>
      <c r="T48" s="27">
        <v>14000</v>
      </c>
      <c r="U48" s="27">
        <v>14000</v>
      </c>
      <c r="V48" s="27">
        <v>14000</v>
      </c>
      <c r="W48" s="27">
        <v>0</v>
      </c>
      <c r="X48" s="27">
        <v>0</v>
      </c>
      <c r="Y48" s="11">
        <f t="shared" si="0"/>
        <v>14000</v>
      </c>
      <c r="Z48" s="11">
        <f t="shared" si="1"/>
        <v>14000</v>
      </c>
      <c r="AA48" s="11">
        <f t="shared" si="2"/>
        <v>14000</v>
      </c>
      <c r="AB48" s="11">
        <f t="shared" si="3"/>
        <v>14000</v>
      </c>
      <c r="AC48" s="11" t="str">
        <f t="shared" si="4"/>
        <v/>
      </c>
      <c r="AD48" s="11">
        <f t="shared" si="5"/>
        <v>14000</v>
      </c>
    </row>
  </sheetData>
  <mergeCells count="1">
    <mergeCell ref="A1:AD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48"/>
  <sheetViews>
    <sheetView showGridLines="0" zoomScaleNormal="100" workbookViewId="0">
      <pane xSplit="3" ySplit="4" topLeftCell="D5" activePane="bottomRight" state="frozen"/>
      <selection pane="topRight" activeCell="D1" sqref="D1"/>
      <selection pane="bottomLeft" activeCell="A5" sqref="A5"/>
      <selection pane="bottomRight" sqref="A1:AE1"/>
    </sheetView>
  </sheetViews>
  <sheetFormatPr defaultColWidth="8.6328125" defaultRowHeight="14.5" x14ac:dyDescent="0.35"/>
  <cols>
    <col min="1" max="1" width="4" customWidth="1"/>
    <col min="2" max="2" width="30" customWidth="1"/>
    <col min="3" max="3" width="4" customWidth="1"/>
    <col min="4" max="25" width="9" customWidth="1"/>
    <col min="26" max="31" width="14" customWidth="1"/>
  </cols>
  <sheetData>
    <row r="1" spans="1:31" ht="16.5" x14ac:dyDescent="0.35">
      <c r="A1" s="30" t="s">
        <v>373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row>
    <row r="2" spans="1:31" x14ac:dyDescent="0.35">
      <c r="A2" s="6" t="s">
        <v>276</v>
      </c>
    </row>
    <row r="4" spans="1:31" ht="21" x14ac:dyDescent="0.35">
      <c r="A4" s="8" t="s">
        <v>0</v>
      </c>
      <c r="B4" s="8" t="s">
        <v>277</v>
      </c>
      <c r="C4" s="8" t="s">
        <v>278</v>
      </c>
      <c r="D4" s="29">
        <v>46113</v>
      </c>
      <c r="E4" s="29">
        <v>46114</v>
      </c>
      <c r="F4" s="29">
        <v>46115</v>
      </c>
      <c r="G4" s="29">
        <v>46116</v>
      </c>
      <c r="H4" s="29">
        <v>46119</v>
      </c>
      <c r="I4" s="29">
        <v>46120</v>
      </c>
      <c r="J4" s="29">
        <v>46121</v>
      </c>
      <c r="K4" s="29">
        <v>46122</v>
      </c>
      <c r="L4" s="29">
        <v>46123</v>
      </c>
      <c r="M4" s="29">
        <v>46126</v>
      </c>
      <c r="N4" s="29">
        <v>46127</v>
      </c>
      <c r="O4" s="29">
        <v>46128</v>
      </c>
      <c r="P4" s="29">
        <v>46129</v>
      </c>
      <c r="Q4" s="29">
        <v>46130</v>
      </c>
      <c r="R4" s="29">
        <v>46133</v>
      </c>
      <c r="S4" s="29">
        <v>46134</v>
      </c>
      <c r="T4" s="29">
        <v>46135</v>
      </c>
      <c r="U4" s="29">
        <v>46136</v>
      </c>
      <c r="V4" s="29">
        <v>46137</v>
      </c>
      <c r="W4" s="29">
        <v>46140</v>
      </c>
      <c r="X4" s="29">
        <v>46141</v>
      </c>
      <c r="Y4" s="29">
        <v>46142</v>
      </c>
      <c r="Z4" s="8" t="s">
        <v>331</v>
      </c>
      <c r="AA4" s="8" t="s">
        <v>332</v>
      </c>
      <c r="AB4" s="8" t="s">
        <v>333</v>
      </c>
      <c r="AC4" s="8" t="s">
        <v>334</v>
      </c>
      <c r="AD4" s="8" t="s">
        <v>335</v>
      </c>
      <c r="AE4" s="8" t="s">
        <v>374</v>
      </c>
    </row>
    <row r="5" spans="1:31" x14ac:dyDescent="0.35">
      <c r="A5" s="3">
        <v>1</v>
      </c>
      <c r="B5" s="3" t="s">
        <v>240</v>
      </c>
      <c r="C5" s="3" t="s">
        <v>304</v>
      </c>
      <c r="D5" s="27">
        <v>0</v>
      </c>
      <c r="E5" s="27">
        <v>0</v>
      </c>
      <c r="F5" s="27">
        <v>0</v>
      </c>
      <c r="G5" s="27">
        <v>0</v>
      </c>
      <c r="H5" s="27">
        <v>0</v>
      </c>
      <c r="I5" s="27">
        <v>12000</v>
      </c>
      <c r="J5" s="27">
        <v>12000</v>
      </c>
      <c r="K5" s="27">
        <v>12000</v>
      </c>
      <c r="L5" s="27">
        <v>12000</v>
      </c>
      <c r="M5" s="27">
        <v>12000</v>
      </c>
      <c r="N5" s="27">
        <v>12000</v>
      </c>
      <c r="O5" s="27">
        <v>12000</v>
      </c>
      <c r="P5" s="27">
        <v>12000</v>
      </c>
      <c r="Q5" s="27">
        <v>0</v>
      </c>
      <c r="R5" s="27">
        <v>12000</v>
      </c>
      <c r="S5" s="27">
        <v>12000</v>
      </c>
      <c r="T5" s="27">
        <v>12000</v>
      </c>
      <c r="U5" s="27">
        <v>12000</v>
      </c>
      <c r="V5" s="27">
        <v>12000</v>
      </c>
      <c r="W5" s="27">
        <v>12000</v>
      </c>
      <c r="X5" s="27">
        <v>12000</v>
      </c>
      <c r="Y5" s="27">
        <v>12000</v>
      </c>
      <c r="Z5" s="11" t="str">
        <f t="shared" ref="Z5:Z48" si="0">IFERROR(AVERAGEIF(D5:G5,"&lt;&gt;0"),"")</f>
        <v/>
      </c>
      <c r="AA5" s="11">
        <f t="shared" ref="AA5:AA48" si="1">IFERROR(AVERAGEIF(H5:L5,"&lt;&gt;0"),"")</f>
        <v>12000</v>
      </c>
      <c r="AB5" s="11">
        <f t="shared" ref="AB5:AB48" si="2">IFERROR(AVERAGEIF(M5:Q5,"&lt;&gt;0"),"")</f>
        <v>12000</v>
      </c>
      <c r="AC5" s="11">
        <f t="shared" ref="AC5:AC48" si="3">IFERROR(AVERAGEIF(R5:V5,"&lt;&gt;0"),"")</f>
        <v>12000</v>
      </c>
      <c r="AD5" s="11">
        <f t="shared" ref="AD5:AD48" si="4">IFERROR(AVERAGEIF(W5:Y5,"&lt;&gt;0"),"")</f>
        <v>12000</v>
      </c>
      <c r="AE5" s="11">
        <f t="shared" ref="AE5:AE48" si="5">IFERROR(AVERAGEIF(D5:Y5,"&lt;&gt;0"),"")</f>
        <v>12000</v>
      </c>
    </row>
    <row r="6" spans="1:31" x14ac:dyDescent="0.35">
      <c r="A6" s="3">
        <v>2</v>
      </c>
      <c r="B6" s="3" t="s">
        <v>241</v>
      </c>
      <c r="C6" s="3" t="s">
        <v>304</v>
      </c>
      <c r="D6" s="27">
        <v>0</v>
      </c>
      <c r="E6" s="27">
        <v>0</v>
      </c>
      <c r="F6" s="27">
        <v>0</v>
      </c>
      <c r="G6" s="27">
        <v>0</v>
      </c>
      <c r="H6" s="27">
        <v>0</v>
      </c>
      <c r="I6" s="27">
        <v>13000</v>
      </c>
      <c r="J6" s="27">
        <v>13000</v>
      </c>
      <c r="K6" s="27">
        <v>13000</v>
      </c>
      <c r="L6" s="27">
        <v>13000</v>
      </c>
      <c r="M6" s="27">
        <v>13000</v>
      </c>
      <c r="N6" s="27">
        <v>13000</v>
      </c>
      <c r="O6" s="27">
        <v>13000</v>
      </c>
      <c r="P6" s="27">
        <v>13000</v>
      </c>
      <c r="Q6" s="27">
        <v>0</v>
      </c>
      <c r="R6" s="27">
        <v>13000</v>
      </c>
      <c r="S6" s="27">
        <v>13000</v>
      </c>
      <c r="T6" s="27">
        <v>13000</v>
      </c>
      <c r="U6" s="27">
        <v>13000</v>
      </c>
      <c r="V6" s="27">
        <v>13000</v>
      </c>
      <c r="W6" s="27">
        <v>13000</v>
      </c>
      <c r="X6" s="27">
        <v>13000</v>
      </c>
      <c r="Y6" s="27">
        <v>13000</v>
      </c>
      <c r="Z6" s="11" t="str">
        <f t="shared" si="0"/>
        <v/>
      </c>
      <c r="AA6" s="11">
        <f t="shared" si="1"/>
        <v>13000</v>
      </c>
      <c r="AB6" s="11">
        <f t="shared" si="2"/>
        <v>13000</v>
      </c>
      <c r="AC6" s="11">
        <f t="shared" si="3"/>
        <v>13000</v>
      </c>
      <c r="AD6" s="11">
        <f t="shared" si="4"/>
        <v>13000</v>
      </c>
      <c r="AE6" s="11">
        <f t="shared" si="5"/>
        <v>13000</v>
      </c>
    </row>
    <row r="7" spans="1:31" x14ac:dyDescent="0.35">
      <c r="A7" s="3">
        <v>3</v>
      </c>
      <c r="B7" s="3" t="s">
        <v>242</v>
      </c>
      <c r="C7" s="3" t="s">
        <v>304</v>
      </c>
      <c r="D7" s="27">
        <v>0</v>
      </c>
      <c r="E7" s="27">
        <v>0</v>
      </c>
      <c r="F7" s="27">
        <v>0</v>
      </c>
      <c r="G7" s="27">
        <v>0</v>
      </c>
      <c r="H7" s="27">
        <v>0</v>
      </c>
      <c r="I7" s="27">
        <v>12500</v>
      </c>
      <c r="J7" s="27">
        <v>12500</v>
      </c>
      <c r="K7" s="27">
        <v>12500</v>
      </c>
      <c r="L7" s="27">
        <v>12500</v>
      </c>
      <c r="M7" s="27">
        <v>0</v>
      </c>
      <c r="N7" s="27">
        <v>0</v>
      </c>
      <c r="O7" s="27">
        <v>0</v>
      </c>
      <c r="P7" s="27">
        <v>0</v>
      </c>
      <c r="Q7" s="27">
        <v>0</v>
      </c>
      <c r="R7" s="27">
        <v>0</v>
      </c>
      <c r="S7" s="27">
        <v>0</v>
      </c>
      <c r="T7" s="27">
        <v>0</v>
      </c>
      <c r="U7" s="27">
        <v>0</v>
      </c>
      <c r="V7" s="27">
        <v>0</v>
      </c>
      <c r="W7" s="27">
        <v>0</v>
      </c>
      <c r="X7" s="27">
        <v>0</v>
      </c>
      <c r="Y7" s="27">
        <v>0</v>
      </c>
      <c r="Z7" s="11" t="str">
        <f t="shared" si="0"/>
        <v/>
      </c>
      <c r="AA7" s="11">
        <f t="shared" si="1"/>
        <v>12500</v>
      </c>
      <c r="AB7" s="11" t="str">
        <f t="shared" si="2"/>
        <v/>
      </c>
      <c r="AC7" s="11" t="str">
        <f t="shared" si="3"/>
        <v/>
      </c>
      <c r="AD7" s="11" t="str">
        <f t="shared" si="4"/>
        <v/>
      </c>
      <c r="AE7" s="11">
        <f t="shared" si="5"/>
        <v>12500</v>
      </c>
    </row>
    <row r="8" spans="1:31" x14ac:dyDescent="0.35">
      <c r="A8" s="3">
        <v>4</v>
      </c>
      <c r="B8" s="3" t="s">
        <v>305</v>
      </c>
      <c r="C8" s="3" t="s">
        <v>304</v>
      </c>
      <c r="D8" s="27">
        <v>0</v>
      </c>
      <c r="E8" s="27">
        <v>0</v>
      </c>
      <c r="F8" s="27">
        <v>0</v>
      </c>
      <c r="G8" s="27">
        <v>0</v>
      </c>
      <c r="H8" s="27">
        <v>0</v>
      </c>
      <c r="I8" s="27">
        <v>12000</v>
      </c>
      <c r="J8" s="27">
        <v>12000</v>
      </c>
      <c r="K8" s="27">
        <v>12000</v>
      </c>
      <c r="L8" s="27">
        <v>12000</v>
      </c>
      <c r="M8" s="27">
        <v>11000</v>
      </c>
      <c r="N8" s="27">
        <v>11000</v>
      </c>
      <c r="O8" s="27">
        <v>11000</v>
      </c>
      <c r="P8" s="27">
        <v>11000</v>
      </c>
      <c r="Q8" s="27">
        <v>0</v>
      </c>
      <c r="R8" s="27">
        <v>11000</v>
      </c>
      <c r="S8" s="27">
        <v>11000</v>
      </c>
      <c r="T8" s="27">
        <v>11000</v>
      </c>
      <c r="U8" s="27">
        <v>11000</v>
      </c>
      <c r="V8" s="27">
        <v>11000</v>
      </c>
      <c r="W8" s="27">
        <v>11000</v>
      </c>
      <c r="X8" s="27">
        <v>11000</v>
      </c>
      <c r="Y8" s="27">
        <v>11000</v>
      </c>
      <c r="Z8" s="11" t="str">
        <f t="shared" si="0"/>
        <v/>
      </c>
      <c r="AA8" s="11">
        <f t="shared" si="1"/>
        <v>12000</v>
      </c>
      <c r="AB8" s="11">
        <f t="shared" si="2"/>
        <v>11000</v>
      </c>
      <c r="AC8" s="11">
        <f t="shared" si="3"/>
        <v>11000</v>
      </c>
      <c r="AD8" s="11">
        <f t="shared" si="4"/>
        <v>11000</v>
      </c>
      <c r="AE8" s="11">
        <f t="shared" si="5"/>
        <v>11250</v>
      </c>
    </row>
    <row r="9" spans="1:31" x14ac:dyDescent="0.35">
      <c r="A9" s="3">
        <v>5</v>
      </c>
      <c r="B9" s="3" t="s">
        <v>261</v>
      </c>
      <c r="C9" s="3" t="s">
        <v>304</v>
      </c>
      <c r="D9" s="27">
        <v>0</v>
      </c>
      <c r="E9" s="27">
        <v>0</v>
      </c>
      <c r="F9" s="27">
        <v>0</v>
      </c>
      <c r="G9" s="27">
        <v>0</v>
      </c>
      <c r="H9" s="27">
        <v>0</v>
      </c>
      <c r="I9" s="27">
        <v>40000</v>
      </c>
      <c r="J9" s="27">
        <v>40000</v>
      </c>
      <c r="K9" s="27">
        <v>40000</v>
      </c>
      <c r="L9" s="27">
        <v>40000</v>
      </c>
      <c r="M9" s="27">
        <v>40000</v>
      </c>
      <c r="N9" s="27">
        <v>40000</v>
      </c>
      <c r="O9" s="27">
        <v>40000</v>
      </c>
      <c r="P9" s="27">
        <v>35000</v>
      </c>
      <c r="Q9" s="27">
        <v>0</v>
      </c>
      <c r="R9" s="27">
        <v>35000</v>
      </c>
      <c r="S9" s="27">
        <v>35000</v>
      </c>
      <c r="T9" s="27">
        <v>35000</v>
      </c>
      <c r="U9" s="27">
        <v>35000</v>
      </c>
      <c r="V9" s="27">
        <v>35000</v>
      </c>
      <c r="W9" s="27">
        <v>26000</v>
      </c>
      <c r="X9" s="27">
        <v>25000</v>
      </c>
      <c r="Y9" s="27">
        <v>25000</v>
      </c>
      <c r="Z9" s="11" t="str">
        <f t="shared" si="0"/>
        <v/>
      </c>
      <c r="AA9" s="11">
        <f t="shared" si="1"/>
        <v>40000</v>
      </c>
      <c r="AB9" s="11">
        <f t="shared" si="2"/>
        <v>38750</v>
      </c>
      <c r="AC9" s="11">
        <f t="shared" si="3"/>
        <v>35000</v>
      </c>
      <c r="AD9" s="11">
        <f t="shared" si="4"/>
        <v>25333.333333333332</v>
      </c>
      <c r="AE9" s="11">
        <f t="shared" si="5"/>
        <v>35375</v>
      </c>
    </row>
    <row r="10" spans="1:31" x14ac:dyDescent="0.35">
      <c r="A10" s="3">
        <v>6</v>
      </c>
      <c r="B10" s="3" t="s">
        <v>262</v>
      </c>
      <c r="C10" s="3" t="s">
        <v>304</v>
      </c>
      <c r="D10" s="27">
        <v>0</v>
      </c>
      <c r="E10" s="27">
        <v>0</v>
      </c>
      <c r="F10" s="27">
        <v>0</v>
      </c>
      <c r="G10" s="27">
        <v>0</v>
      </c>
      <c r="H10" s="27">
        <v>0</v>
      </c>
      <c r="I10" s="27">
        <v>40000</v>
      </c>
      <c r="J10" s="27">
        <v>40000</v>
      </c>
      <c r="K10" s="27">
        <v>40000</v>
      </c>
      <c r="L10" s="27">
        <v>40000</v>
      </c>
      <c r="M10" s="27">
        <v>35000</v>
      </c>
      <c r="N10" s="27">
        <v>35000</v>
      </c>
      <c r="O10" s="27">
        <v>35000</v>
      </c>
      <c r="P10" s="27">
        <v>35000</v>
      </c>
      <c r="Q10" s="27">
        <v>0</v>
      </c>
      <c r="R10" s="27">
        <v>30000</v>
      </c>
      <c r="S10" s="27">
        <v>30000</v>
      </c>
      <c r="T10" s="27">
        <v>30000</v>
      </c>
      <c r="U10" s="27">
        <v>30000</v>
      </c>
      <c r="V10" s="27">
        <v>30000</v>
      </c>
      <c r="W10" s="27">
        <v>25000</v>
      </c>
      <c r="X10" s="27">
        <v>25000</v>
      </c>
      <c r="Y10" s="27">
        <v>25000</v>
      </c>
      <c r="Z10" s="11" t="str">
        <f t="shared" si="0"/>
        <v/>
      </c>
      <c r="AA10" s="11">
        <f t="shared" si="1"/>
        <v>40000</v>
      </c>
      <c r="AB10" s="11">
        <f t="shared" si="2"/>
        <v>35000</v>
      </c>
      <c r="AC10" s="11">
        <f t="shared" si="3"/>
        <v>30000</v>
      </c>
      <c r="AD10" s="11">
        <f t="shared" si="4"/>
        <v>25000</v>
      </c>
      <c r="AE10" s="11">
        <f t="shared" si="5"/>
        <v>32812.5</v>
      </c>
    </row>
    <row r="11" spans="1:31" x14ac:dyDescent="0.35">
      <c r="A11" s="3">
        <v>7</v>
      </c>
      <c r="B11" s="3" t="s">
        <v>251</v>
      </c>
      <c r="C11" s="3" t="s">
        <v>304</v>
      </c>
      <c r="D11" s="27">
        <v>0</v>
      </c>
      <c r="E11" s="27">
        <v>0</v>
      </c>
      <c r="F11" s="27">
        <v>0</v>
      </c>
      <c r="G11" s="27">
        <v>0</v>
      </c>
      <c r="H11" s="27">
        <v>0</v>
      </c>
      <c r="I11" s="27">
        <v>60000</v>
      </c>
      <c r="J11" s="27">
        <v>60000</v>
      </c>
      <c r="K11" s="27">
        <v>60000</v>
      </c>
      <c r="L11" s="27">
        <v>60000</v>
      </c>
      <c r="M11" s="27">
        <v>60000</v>
      </c>
      <c r="N11" s="27">
        <v>60000</v>
      </c>
      <c r="O11" s="27">
        <v>60000</v>
      </c>
      <c r="P11" s="27">
        <v>57500</v>
      </c>
      <c r="Q11" s="27">
        <v>0</v>
      </c>
      <c r="R11" s="27">
        <v>55000</v>
      </c>
      <c r="S11" s="27">
        <v>55000</v>
      </c>
      <c r="T11" s="27">
        <v>55000</v>
      </c>
      <c r="U11" s="27">
        <v>40000</v>
      </c>
      <c r="V11" s="27">
        <v>39500</v>
      </c>
      <c r="W11" s="27">
        <v>30000</v>
      </c>
      <c r="X11" s="27">
        <v>28000</v>
      </c>
      <c r="Y11" s="27">
        <v>28000</v>
      </c>
      <c r="Z11" s="11" t="str">
        <f t="shared" si="0"/>
        <v/>
      </c>
      <c r="AA11" s="11">
        <f t="shared" si="1"/>
        <v>60000</v>
      </c>
      <c r="AB11" s="11">
        <f t="shared" si="2"/>
        <v>59375</v>
      </c>
      <c r="AC11" s="11">
        <f t="shared" si="3"/>
        <v>48900</v>
      </c>
      <c r="AD11" s="11">
        <f t="shared" si="4"/>
        <v>28666.666666666668</v>
      </c>
      <c r="AE11" s="11">
        <f t="shared" si="5"/>
        <v>50500</v>
      </c>
    </row>
    <row r="12" spans="1:31" x14ac:dyDescent="0.35">
      <c r="A12" s="3">
        <v>8</v>
      </c>
      <c r="B12" s="3" t="s">
        <v>256</v>
      </c>
      <c r="C12" s="3" t="s">
        <v>304</v>
      </c>
      <c r="D12" s="27">
        <v>0</v>
      </c>
      <c r="E12" s="27">
        <v>0</v>
      </c>
      <c r="F12" s="27">
        <v>0</v>
      </c>
      <c r="G12" s="27">
        <v>0</v>
      </c>
      <c r="H12" s="27">
        <v>0</v>
      </c>
      <c r="I12" s="27">
        <v>35000</v>
      </c>
      <c r="J12" s="27">
        <v>35000</v>
      </c>
      <c r="K12" s="27">
        <v>35000</v>
      </c>
      <c r="L12" s="27">
        <v>35000</v>
      </c>
      <c r="M12" s="27">
        <v>35000</v>
      </c>
      <c r="N12" s="27">
        <v>35000</v>
      </c>
      <c r="O12" s="27">
        <v>35000</v>
      </c>
      <c r="P12" s="27">
        <v>35000</v>
      </c>
      <c r="Q12" s="27">
        <v>0</v>
      </c>
      <c r="R12" s="27">
        <v>35000</v>
      </c>
      <c r="S12" s="27">
        <v>35000</v>
      </c>
      <c r="T12" s="27">
        <v>35000</v>
      </c>
      <c r="U12" s="27">
        <v>34000</v>
      </c>
      <c r="V12" s="27">
        <v>34000</v>
      </c>
      <c r="W12" s="27">
        <v>30000</v>
      </c>
      <c r="X12" s="27">
        <v>29000</v>
      </c>
      <c r="Y12" s="27">
        <v>29000</v>
      </c>
      <c r="Z12" s="11" t="str">
        <f t="shared" si="0"/>
        <v/>
      </c>
      <c r="AA12" s="11">
        <f t="shared" si="1"/>
        <v>35000</v>
      </c>
      <c r="AB12" s="11">
        <f t="shared" si="2"/>
        <v>35000</v>
      </c>
      <c r="AC12" s="11">
        <f t="shared" si="3"/>
        <v>34600</v>
      </c>
      <c r="AD12" s="11">
        <f t="shared" si="4"/>
        <v>29333.333333333332</v>
      </c>
      <c r="AE12" s="11">
        <f t="shared" si="5"/>
        <v>33812.5</v>
      </c>
    </row>
    <row r="13" spans="1:31" x14ac:dyDescent="0.35">
      <c r="A13" s="3">
        <v>9</v>
      </c>
      <c r="B13" s="3" t="s">
        <v>253</v>
      </c>
      <c r="C13" s="3" t="s">
        <v>304</v>
      </c>
      <c r="D13" s="27">
        <v>0</v>
      </c>
      <c r="E13" s="27">
        <v>0</v>
      </c>
      <c r="F13" s="27">
        <v>0</v>
      </c>
      <c r="G13" s="27">
        <v>0</v>
      </c>
      <c r="H13" s="27">
        <v>0</v>
      </c>
      <c r="I13" s="27">
        <v>16500</v>
      </c>
      <c r="J13" s="27">
        <v>16500</v>
      </c>
      <c r="K13" s="27">
        <v>16500</v>
      </c>
      <c r="L13" s="27">
        <v>16500</v>
      </c>
      <c r="M13" s="27">
        <v>16000</v>
      </c>
      <c r="N13" s="27">
        <v>16000</v>
      </c>
      <c r="O13" s="27">
        <v>16000</v>
      </c>
      <c r="P13" s="27">
        <v>16000</v>
      </c>
      <c r="Q13" s="27">
        <v>0</v>
      </c>
      <c r="R13" s="27">
        <v>16000</v>
      </c>
      <c r="S13" s="27">
        <v>16000</v>
      </c>
      <c r="T13" s="27">
        <v>16000</v>
      </c>
      <c r="U13" s="27">
        <v>16000</v>
      </c>
      <c r="V13" s="27">
        <v>16000</v>
      </c>
      <c r="W13" s="27">
        <v>16000</v>
      </c>
      <c r="X13" s="27">
        <v>16000</v>
      </c>
      <c r="Y13" s="27">
        <v>16000</v>
      </c>
      <c r="Z13" s="11" t="str">
        <f t="shared" si="0"/>
        <v/>
      </c>
      <c r="AA13" s="11">
        <f t="shared" si="1"/>
        <v>16500</v>
      </c>
      <c r="AB13" s="11">
        <f t="shared" si="2"/>
        <v>16000</v>
      </c>
      <c r="AC13" s="11">
        <f t="shared" si="3"/>
        <v>16000</v>
      </c>
      <c r="AD13" s="11">
        <f t="shared" si="4"/>
        <v>16000</v>
      </c>
      <c r="AE13" s="11">
        <f t="shared" si="5"/>
        <v>16125</v>
      </c>
    </row>
    <row r="14" spans="1:31" x14ac:dyDescent="0.35">
      <c r="A14" s="3">
        <v>10</v>
      </c>
      <c r="B14" s="3" t="s">
        <v>246</v>
      </c>
      <c r="C14" s="3" t="s">
        <v>304</v>
      </c>
      <c r="D14" s="27">
        <v>0</v>
      </c>
      <c r="E14" s="27">
        <v>0</v>
      </c>
      <c r="F14" s="27">
        <v>0</v>
      </c>
      <c r="G14" s="27">
        <v>0</v>
      </c>
      <c r="H14" s="27">
        <v>0</v>
      </c>
      <c r="I14" s="27">
        <v>15750</v>
      </c>
      <c r="J14" s="27">
        <v>15750</v>
      </c>
      <c r="K14" s="27">
        <v>15750</v>
      </c>
      <c r="L14" s="27">
        <v>15750</v>
      </c>
      <c r="M14" s="27">
        <v>15750</v>
      </c>
      <c r="N14" s="27">
        <v>15750</v>
      </c>
      <c r="O14" s="27">
        <v>15750</v>
      </c>
      <c r="P14" s="27">
        <v>15750</v>
      </c>
      <c r="Q14" s="27">
        <v>0</v>
      </c>
      <c r="R14" s="27">
        <v>15750</v>
      </c>
      <c r="S14" s="27">
        <v>15750</v>
      </c>
      <c r="T14" s="27">
        <v>15750</v>
      </c>
      <c r="U14" s="27">
        <v>15750</v>
      </c>
      <c r="V14" s="27">
        <v>15750</v>
      </c>
      <c r="W14" s="27">
        <v>15000</v>
      </c>
      <c r="X14" s="27">
        <v>15000</v>
      </c>
      <c r="Y14" s="27">
        <v>15000</v>
      </c>
      <c r="Z14" s="11" t="str">
        <f t="shared" si="0"/>
        <v/>
      </c>
      <c r="AA14" s="11">
        <f t="shared" si="1"/>
        <v>15750</v>
      </c>
      <c r="AB14" s="11">
        <f t="shared" si="2"/>
        <v>15750</v>
      </c>
      <c r="AC14" s="11">
        <f t="shared" si="3"/>
        <v>15750</v>
      </c>
      <c r="AD14" s="11">
        <f t="shared" si="4"/>
        <v>15000</v>
      </c>
      <c r="AE14" s="11">
        <f t="shared" si="5"/>
        <v>15609.375</v>
      </c>
    </row>
    <row r="15" spans="1:31" x14ac:dyDescent="0.35">
      <c r="A15" s="3">
        <v>11</v>
      </c>
      <c r="B15" s="3" t="s">
        <v>247</v>
      </c>
      <c r="C15" s="3" t="s">
        <v>304</v>
      </c>
      <c r="D15" s="27">
        <v>0</v>
      </c>
      <c r="E15" s="27">
        <v>0</v>
      </c>
      <c r="F15" s="27">
        <v>0</v>
      </c>
      <c r="G15" s="27">
        <v>0</v>
      </c>
      <c r="H15" s="27">
        <v>0</v>
      </c>
      <c r="I15" s="27">
        <v>18000</v>
      </c>
      <c r="J15" s="27">
        <v>18000</v>
      </c>
      <c r="K15" s="27">
        <v>18000</v>
      </c>
      <c r="L15" s="27">
        <v>18000</v>
      </c>
      <c r="M15" s="27">
        <v>18000</v>
      </c>
      <c r="N15" s="27">
        <v>18000</v>
      </c>
      <c r="O15" s="27">
        <v>18000</v>
      </c>
      <c r="P15" s="27">
        <v>18000</v>
      </c>
      <c r="Q15" s="27">
        <v>0</v>
      </c>
      <c r="R15" s="27">
        <v>18000</v>
      </c>
      <c r="S15" s="27">
        <v>18000</v>
      </c>
      <c r="T15" s="27">
        <v>18000</v>
      </c>
      <c r="U15" s="27">
        <v>18000</v>
      </c>
      <c r="V15" s="27">
        <v>18000</v>
      </c>
      <c r="W15" s="27">
        <v>18000</v>
      </c>
      <c r="X15" s="27">
        <v>18000</v>
      </c>
      <c r="Y15" s="27">
        <v>18000</v>
      </c>
      <c r="Z15" s="11" t="str">
        <f t="shared" si="0"/>
        <v/>
      </c>
      <c r="AA15" s="11">
        <f t="shared" si="1"/>
        <v>18000</v>
      </c>
      <c r="AB15" s="11">
        <f t="shared" si="2"/>
        <v>18000</v>
      </c>
      <c r="AC15" s="11">
        <f t="shared" si="3"/>
        <v>18000</v>
      </c>
      <c r="AD15" s="11">
        <f t="shared" si="4"/>
        <v>18000</v>
      </c>
      <c r="AE15" s="11">
        <f t="shared" si="5"/>
        <v>18000</v>
      </c>
    </row>
    <row r="16" spans="1:31" x14ac:dyDescent="0.35">
      <c r="A16" s="3">
        <v>12</v>
      </c>
      <c r="B16" s="3" t="s">
        <v>248</v>
      </c>
      <c r="C16" s="3" t="s">
        <v>304</v>
      </c>
      <c r="D16" s="27">
        <v>0</v>
      </c>
      <c r="E16" s="27">
        <v>0</v>
      </c>
      <c r="F16" s="27">
        <v>0</v>
      </c>
      <c r="G16" s="27">
        <v>0</v>
      </c>
      <c r="H16" s="27">
        <v>0</v>
      </c>
      <c r="I16" s="27">
        <v>15500</v>
      </c>
      <c r="J16" s="27">
        <v>15500</v>
      </c>
      <c r="K16" s="27">
        <v>15500</v>
      </c>
      <c r="L16" s="27">
        <v>15500</v>
      </c>
      <c r="M16" s="27">
        <v>15500</v>
      </c>
      <c r="N16" s="27">
        <v>15500</v>
      </c>
      <c r="O16" s="27">
        <v>15500</v>
      </c>
      <c r="P16" s="27">
        <v>15500</v>
      </c>
      <c r="Q16" s="27">
        <v>0</v>
      </c>
      <c r="R16" s="27">
        <v>15500</v>
      </c>
      <c r="S16" s="27">
        <v>15500</v>
      </c>
      <c r="T16" s="27">
        <v>15500</v>
      </c>
      <c r="U16" s="27">
        <v>15500</v>
      </c>
      <c r="V16" s="27">
        <v>15500</v>
      </c>
      <c r="W16" s="27">
        <v>15500</v>
      </c>
      <c r="X16" s="27">
        <v>15500</v>
      </c>
      <c r="Y16" s="27">
        <v>15500</v>
      </c>
      <c r="Z16" s="11" t="str">
        <f t="shared" si="0"/>
        <v/>
      </c>
      <c r="AA16" s="11">
        <f t="shared" si="1"/>
        <v>15500</v>
      </c>
      <c r="AB16" s="11">
        <f t="shared" si="2"/>
        <v>15500</v>
      </c>
      <c r="AC16" s="11">
        <f t="shared" si="3"/>
        <v>15500</v>
      </c>
      <c r="AD16" s="11">
        <f t="shared" si="4"/>
        <v>15500</v>
      </c>
      <c r="AE16" s="11">
        <f t="shared" si="5"/>
        <v>15500</v>
      </c>
    </row>
    <row r="17" spans="1:31" x14ac:dyDescent="0.35">
      <c r="A17" s="3">
        <v>13</v>
      </c>
      <c r="B17" s="3" t="s">
        <v>243</v>
      </c>
      <c r="C17" s="3" t="s">
        <v>304</v>
      </c>
      <c r="D17" s="27">
        <v>0</v>
      </c>
      <c r="E17" s="27">
        <v>0</v>
      </c>
      <c r="F17" s="27">
        <v>0</v>
      </c>
      <c r="G17" s="27">
        <v>0</v>
      </c>
      <c r="H17" s="27">
        <v>0</v>
      </c>
      <c r="I17" s="27">
        <v>9000</v>
      </c>
      <c r="J17" s="27">
        <v>9000</v>
      </c>
      <c r="K17" s="27">
        <v>9000</v>
      </c>
      <c r="L17" s="27">
        <v>9000</v>
      </c>
      <c r="M17" s="27">
        <v>9000</v>
      </c>
      <c r="N17" s="27">
        <v>9000</v>
      </c>
      <c r="O17" s="27">
        <v>9000</v>
      </c>
      <c r="P17" s="27">
        <v>9000</v>
      </c>
      <c r="Q17" s="27">
        <v>0</v>
      </c>
      <c r="R17" s="27">
        <v>9000</v>
      </c>
      <c r="S17" s="27">
        <v>9000</v>
      </c>
      <c r="T17" s="27">
        <v>9000</v>
      </c>
      <c r="U17" s="27">
        <v>9000</v>
      </c>
      <c r="V17" s="27">
        <v>9000</v>
      </c>
      <c r="W17" s="27">
        <v>9000</v>
      </c>
      <c r="X17" s="27">
        <v>9000</v>
      </c>
      <c r="Y17" s="27">
        <v>9000</v>
      </c>
      <c r="Z17" s="11" t="str">
        <f t="shared" si="0"/>
        <v/>
      </c>
      <c r="AA17" s="11">
        <f t="shared" si="1"/>
        <v>9000</v>
      </c>
      <c r="AB17" s="11">
        <f t="shared" si="2"/>
        <v>9000</v>
      </c>
      <c r="AC17" s="11">
        <f t="shared" si="3"/>
        <v>9000</v>
      </c>
      <c r="AD17" s="11">
        <f t="shared" si="4"/>
        <v>9000</v>
      </c>
      <c r="AE17" s="11">
        <f t="shared" si="5"/>
        <v>9000</v>
      </c>
    </row>
    <row r="18" spans="1:31" x14ac:dyDescent="0.35">
      <c r="A18" s="3">
        <v>14</v>
      </c>
      <c r="B18" s="3" t="s">
        <v>245</v>
      </c>
      <c r="C18" s="3" t="s">
        <v>304</v>
      </c>
      <c r="D18" s="27">
        <v>0</v>
      </c>
      <c r="E18" s="27">
        <v>0</v>
      </c>
      <c r="F18" s="27">
        <v>0</v>
      </c>
      <c r="G18" s="27">
        <v>0</v>
      </c>
      <c r="H18" s="27">
        <v>0</v>
      </c>
      <c r="I18" s="27">
        <v>30000</v>
      </c>
      <c r="J18" s="27">
        <v>30000</v>
      </c>
      <c r="K18" s="27">
        <v>30000</v>
      </c>
      <c r="L18" s="27">
        <v>28000</v>
      </c>
      <c r="M18" s="27">
        <v>26000</v>
      </c>
      <c r="N18" s="27">
        <v>26000</v>
      </c>
      <c r="O18" s="27">
        <v>26000</v>
      </c>
      <c r="P18" s="27">
        <v>25000</v>
      </c>
      <c r="Q18" s="27">
        <v>0</v>
      </c>
      <c r="R18" s="27">
        <v>25000</v>
      </c>
      <c r="S18" s="27">
        <v>25000</v>
      </c>
      <c r="T18" s="27">
        <v>25000</v>
      </c>
      <c r="U18" s="27">
        <v>25000</v>
      </c>
      <c r="V18" s="27">
        <v>25000</v>
      </c>
      <c r="W18" s="27">
        <v>25000</v>
      </c>
      <c r="X18" s="27">
        <v>25000</v>
      </c>
      <c r="Y18" s="27">
        <v>25000</v>
      </c>
      <c r="Z18" s="11" t="str">
        <f t="shared" si="0"/>
        <v/>
      </c>
      <c r="AA18" s="11">
        <f t="shared" si="1"/>
        <v>29500</v>
      </c>
      <c r="AB18" s="11">
        <f t="shared" si="2"/>
        <v>25750</v>
      </c>
      <c r="AC18" s="11">
        <f t="shared" si="3"/>
        <v>25000</v>
      </c>
      <c r="AD18" s="11">
        <f t="shared" si="4"/>
        <v>25000</v>
      </c>
      <c r="AE18" s="11">
        <f t="shared" si="5"/>
        <v>26312.5</v>
      </c>
    </row>
    <row r="19" spans="1:31" x14ac:dyDescent="0.35">
      <c r="A19" s="3">
        <v>15</v>
      </c>
      <c r="B19" s="3" t="s">
        <v>252</v>
      </c>
      <c r="C19" s="3" t="s">
        <v>304</v>
      </c>
      <c r="D19" s="27">
        <v>0</v>
      </c>
      <c r="E19" s="27">
        <v>0</v>
      </c>
      <c r="F19" s="27">
        <v>0</v>
      </c>
      <c r="G19" s="27">
        <v>0</v>
      </c>
      <c r="H19" s="27">
        <v>0</v>
      </c>
      <c r="I19" s="27">
        <v>25000</v>
      </c>
      <c r="J19" s="27">
        <v>24000</v>
      </c>
      <c r="K19" s="27">
        <v>24000</v>
      </c>
      <c r="L19" s="27">
        <v>24000</v>
      </c>
      <c r="M19" s="27">
        <v>23500</v>
      </c>
      <c r="N19" s="27">
        <v>23500</v>
      </c>
      <c r="O19" s="27">
        <v>23500</v>
      </c>
      <c r="P19" s="27">
        <v>23000</v>
      </c>
      <c r="Q19" s="27">
        <v>0</v>
      </c>
      <c r="R19" s="27">
        <v>23000</v>
      </c>
      <c r="S19" s="27">
        <v>23000</v>
      </c>
      <c r="T19" s="27">
        <v>23000</v>
      </c>
      <c r="U19" s="27">
        <v>23000</v>
      </c>
      <c r="V19" s="27">
        <v>23000</v>
      </c>
      <c r="W19" s="27">
        <v>23000</v>
      </c>
      <c r="X19" s="27">
        <v>23000</v>
      </c>
      <c r="Y19" s="27">
        <v>23000</v>
      </c>
      <c r="Z19" s="11" t="str">
        <f t="shared" si="0"/>
        <v/>
      </c>
      <c r="AA19" s="11">
        <f t="shared" si="1"/>
        <v>24250</v>
      </c>
      <c r="AB19" s="11">
        <f t="shared" si="2"/>
        <v>23375</v>
      </c>
      <c r="AC19" s="11">
        <f t="shared" si="3"/>
        <v>23000</v>
      </c>
      <c r="AD19" s="11">
        <f t="shared" si="4"/>
        <v>23000</v>
      </c>
      <c r="AE19" s="11">
        <f t="shared" si="5"/>
        <v>23406.25</v>
      </c>
    </row>
    <row r="20" spans="1:31" x14ac:dyDescent="0.35">
      <c r="A20" s="3">
        <v>16</v>
      </c>
      <c r="B20" s="3" t="s">
        <v>263</v>
      </c>
      <c r="C20" s="3" t="s">
        <v>304</v>
      </c>
      <c r="D20" s="27">
        <v>0</v>
      </c>
      <c r="E20" s="27">
        <v>0</v>
      </c>
      <c r="F20" s="27">
        <v>0</v>
      </c>
      <c r="G20" s="27">
        <v>0</v>
      </c>
      <c r="H20" s="27">
        <v>0</v>
      </c>
      <c r="I20" s="27">
        <v>102000</v>
      </c>
      <c r="J20" s="27">
        <v>102000</v>
      </c>
      <c r="K20" s="27">
        <v>102000</v>
      </c>
      <c r="L20" s="27">
        <v>102000</v>
      </c>
      <c r="M20" s="27">
        <v>102000</v>
      </c>
      <c r="N20" s="27">
        <v>102000</v>
      </c>
      <c r="O20" s="27">
        <v>102000</v>
      </c>
      <c r="P20" s="27">
        <v>102000</v>
      </c>
      <c r="Q20" s="27">
        <v>0</v>
      </c>
      <c r="R20" s="27">
        <v>102000</v>
      </c>
      <c r="S20" s="27">
        <v>102000</v>
      </c>
      <c r="T20" s="27">
        <v>102000</v>
      </c>
      <c r="U20" s="27">
        <v>102000</v>
      </c>
      <c r="V20" s="27">
        <v>102000</v>
      </c>
      <c r="W20" s="27">
        <v>100000</v>
      </c>
      <c r="X20" s="27">
        <v>100000</v>
      </c>
      <c r="Y20" s="27">
        <v>100000</v>
      </c>
      <c r="Z20" s="11" t="str">
        <f t="shared" si="0"/>
        <v/>
      </c>
      <c r="AA20" s="11">
        <f t="shared" si="1"/>
        <v>102000</v>
      </c>
      <c r="AB20" s="11">
        <f t="shared" si="2"/>
        <v>102000</v>
      </c>
      <c r="AC20" s="11">
        <f t="shared" si="3"/>
        <v>102000</v>
      </c>
      <c r="AD20" s="11">
        <f t="shared" si="4"/>
        <v>100000</v>
      </c>
      <c r="AE20" s="11">
        <f t="shared" si="5"/>
        <v>101625</v>
      </c>
    </row>
    <row r="21" spans="1:31" x14ac:dyDescent="0.35">
      <c r="A21" s="3">
        <v>17</v>
      </c>
      <c r="B21" s="3" t="s">
        <v>264</v>
      </c>
      <c r="C21" s="3" t="s">
        <v>304</v>
      </c>
      <c r="D21" s="27">
        <v>0</v>
      </c>
      <c r="E21" s="27">
        <v>0</v>
      </c>
      <c r="F21" s="27">
        <v>0</v>
      </c>
      <c r="G21" s="27">
        <v>0</v>
      </c>
      <c r="H21" s="27">
        <v>0</v>
      </c>
      <c r="I21" s="27">
        <v>60000</v>
      </c>
      <c r="J21" s="27">
        <v>60000</v>
      </c>
      <c r="K21" s="27">
        <v>60000</v>
      </c>
      <c r="L21" s="27">
        <v>60000</v>
      </c>
      <c r="M21" s="27">
        <v>60000</v>
      </c>
      <c r="N21" s="27">
        <v>60000</v>
      </c>
      <c r="O21" s="27">
        <v>60000</v>
      </c>
      <c r="P21" s="27">
        <v>60000</v>
      </c>
      <c r="Q21" s="27">
        <v>0</v>
      </c>
      <c r="R21" s="27">
        <v>60000</v>
      </c>
      <c r="S21" s="27">
        <v>60000</v>
      </c>
      <c r="T21" s="27">
        <v>60000</v>
      </c>
      <c r="U21" s="27">
        <v>60000</v>
      </c>
      <c r="V21" s="27">
        <v>60000</v>
      </c>
      <c r="W21" s="27">
        <v>58000</v>
      </c>
      <c r="X21" s="27">
        <v>58000</v>
      </c>
      <c r="Y21" s="27">
        <v>58000</v>
      </c>
      <c r="Z21" s="11" t="str">
        <f t="shared" si="0"/>
        <v/>
      </c>
      <c r="AA21" s="11">
        <f t="shared" si="1"/>
        <v>60000</v>
      </c>
      <c r="AB21" s="11">
        <f t="shared" si="2"/>
        <v>60000</v>
      </c>
      <c r="AC21" s="11">
        <f t="shared" si="3"/>
        <v>60000</v>
      </c>
      <c r="AD21" s="11">
        <f t="shared" si="4"/>
        <v>58000</v>
      </c>
      <c r="AE21" s="11">
        <f t="shared" si="5"/>
        <v>59625</v>
      </c>
    </row>
    <row r="22" spans="1:31" x14ac:dyDescent="0.35">
      <c r="A22" s="3">
        <v>18</v>
      </c>
      <c r="B22" s="3" t="s">
        <v>265</v>
      </c>
      <c r="C22" s="3" t="s">
        <v>304</v>
      </c>
      <c r="D22" s="27">
        <v>0</v>
      </c>
      <c r="E22" s="27">
        <v>0</v>
      </c>
      <c r="F22" s="27">
        <v>0</v>
      </c>
      <c r="G22" s="27">
        <v>0</v>
      </c>
      <c r="H22" s="27">
        <v>0</v>
      </c>
      <c r="I22" s="27">
        <v>70000</v>
      </c>
      <c r="J22" s="27">
        <v>70000</v>
      </c>
      <c r="K22" s="27">
        <v>70000</v>
      </c>
      <c r="L22" s="27">
        <v>70000</v>
      </c>
      <c r="M22" s="27">
        <v>70000</v>
      </c>
      <c r="N22" s="27">
        <v>70000</v>
      </c>
      <c r="O22" s="27">
        <v>70000</v>
      </c>
      <c r="P22" s="27">
        <v>70000</v>
      </c>
      <c r="Q22" s="27">
        <v>0</v>
      </c>
      <c r="R22" s="27">
        <v>70000</v>
      </c>
      <c r="S22" s="27">
        <v>70000</v>
      </c>
      <c r="T22" s="27">
        <v>70000</v>
      </c>
      <c r="U22" s="27">
        <v>70000</v>
      </c>
      <c r="V22" s="27">
        <v>70000</v>
      </c>
      <c r="W22" s="27">
        <v>65000</v>
      </c>
      <c r="X22" s="27">
        <v>65000</v>
      </c>
      <c r="Y22" s="27">
        <v>65000</v>
      </c>
      <c r="Z22" s="11" t="str">
        <f t="shared" si="0"/>
        <v/>
      </c>
      <c r="AA22" s="11">
        <f t="shared" si="1"/>
        <v>70000</v>
      </c>
      <c r="AB22" s="11">
        <f t="shared" si="2"/>
        <v>70000</v>
      </c>
      <c r="AC22" s="11">
        <f t="shared" si="3"/>
        <v>70000</v>
      </c>
      <c r="AD22" s="11">
        <f t="shared" si="4"/>
        <v>65000</v>
      </c>
      <c r="AE22" s="11">
        <f t="shared" si="5"/>
        <v>69062.5</v>
      </c>
    </row>
    <row r="23" spans="1:31" x14ac:dyDescent="0.35">
      <c r="A23" s="3">
        <v>19</v>
      </c>
      <c r="B23" s="3" t="s">
        <v>306</v>
      </c>
      <c r="C23" s="3" t="s">
        <v>304</v>
      </c>
      <c r="D23" s="27">
        <v>0</v>
      </c>
      <c r="E23" s="27">
        <v>0</v>
      </c>
      <c r="F23" s="27">
        <v>0</v>
      </c>
      <c r="G23" s="27">
        <v>0</v>
      </c>
      <c r="H23" s="27">
        <v>0</v>
      </c>
      <c r="I23" s="27">
        <v>30000</v>
      </c>
      <c r="J23" s="27">
        <v>30000</v>
      </c>
      <c r="K23" s="27">
        <v>30000</v>
      </c>
      <c r="L23" s="27">
        <v>30000</v>
      </c>
      <c r="M23" s="27">
        <v>30000</v>
      </c>
      <c r="N23" s="27">
        <v>30000</v>
      </c>
      <c r="O23" s="27">
        <v>30000</v>
      </c>
      <c r="P23" s="27">
        <v>30000</v>
      </c>
      <c r="Q23" s="27">
        <v>0</v>
      </c>
      <c r="R23" s="27">
        <v>30000</v>
      </c>
      <c r="S23" s="27">
        <v>30000</v>
      </c>
      <c r="T23" s="27">
        <v>30000</v>
      </c>
      <c r="U23" s="27">
        <v>30000</v>
      </c>
      <c r="V23" s="27">
        <v>30000</v>
      </c>
      <c r="W23" s="27">
        <v>30000</v>
      </c>
      <c r="X23" s="27">
        <v>30000</v>
      </c>
      <c r="Y23" s="27">
        <v>30000</v>
      </c>
      <c r="Z23" s="11" t="str">
        <f t="shared" si="0"/>
        <v/>
      </c>
      <c r="AA23" s="11">
        <f t="shared" si="1"/>
        <v>30000</v>
      </c>
      <c r="AB23" s="11">
        <f t="shared" si="2"/>
        <v>30000</v>
      </c>
      <c r="AC23" s="11">
        <f t="shared" si="3"/>
        <v>30000</v>
      </c>
      <c r="AD23" s="11">
        <f t="shared" si="4"/>
        <v>30000</v>
      </c>
      <c r="AE23" s="11">
        <f t="shared" si="5"/>
        <v>30000</v>
      </c>
    </row>
    <row r="24" spans="1:31" x14ac:dyDescent="0.35">
      <c r="A24" s="3">
        <v>20</v>
      </c>
      <c r="B24" s="3" t="s">
        <v>254</v>
      </c>
      <c r="C24" s="3" t="s">
        <v>304</v>
      </c>
      <c r="D24" s="27">
        <v>0</v>
      </c>
      <c r="E24" s="27">
        <v>0</v>
      </c>
      <c r="F24" s="27">
        <v>0</v>
      </c>
      <c r="G24" s="27">
        <v>0</v>
      </c>
      <c r="H24" s="27">
        <v>0</v>
      </c>
      <c r="I24" s="27">
        <v>35000</v>
      </c>
      <c r="J24" s="27">
        <v>35000</v>
      </c>
      <c r="K24" s="27">
        <v>35000</v>
      </c>
      <c r="L24" s="27">
        <v>35000</v>
      </c>
      <c r="M24" s="27">
        <v>35000</v>
      </c>
      <c r="N24" s="27">
        <v>35000</v>
      </c>
      <c r="O24" s="27">
        <v>35000</v>
      </c>
      <c r="P24" s="27">
        <v>35000</v>
      </c>
      <c r="Q24" s="27">
        <v>0</v>
      </c>
      <c r="R24" s="27">
        <v>35000</v>
      </c>
      <c r="S24" s="27">
        <v>35000</v>
      </c>
      <c r="T24" s="27">
        <v>35000</v>
      </c>
      <c r="U24" s="27">
        <v>35000</v>
      </c>
      <c r="V24" s="27">
        <v>35000</v>
      </c>
      <c r="W24" s="27">
        <v>32000</v>
      </c>
      <c r="X24" s="27">
        <v>32000</v>
      </c>
      <c r="Y24" s="27">
        <v>32000</v>
      </c>
      <c r="Z24" s="11" t="str">
        <f t="shared" si="0"/>
        <v/>
      </c>
      <c r="AA24" s="11">
        <f t="shared" si="1"/>
        <v>35000</v>
      </c>
      <c r="AB24" s="11">
        <f t="shared" si="2"/>
        <v>35000</v>
      </c>
      <c r="AC24" s="11">
        <f t="shared" si="3"/>
        <v>35000</v>
      </c>
      <c r="AD24" s="11">
        <f t="shared" si="4"/>
        <v>32000</v>
      </c>
      <c r="AE24" s="11">
        <f t="shared" si="5"/>
        <v>34437.5</v>
      </c>
    </row>
    <row r="25" spans="1:31" x14ac:dyDescent="0.35">
      <c r="A25" s="3">
        <v>21</v>
      </c>
      <c r="B25" s="3" t="s">
        <v>307</v>
      </c>
      <c r="C25" s="3" t="s">
        <v>304</v>
      </c>
      <c r="D25" s="27">
        <v>0</v>
      </c>
      <c r="E25" s="27">
        <v>0</v>
      </c>
      <c r="F25" s="27">
        <v>0</v>
      </c>
      <c r="G25" s="27">
        <v>0</v>
      </c>
      <c r="H25" s="27">
        <v>0</v>
      </c>
      <c r="I25" s="27">
        <v>75000</v>
      </c>
      <c r="J25" s="27">
        <v>75000</v>
      </c>
      <c r="K25" s="27">
        <v>75000</v>
      </c>
      <c r="L25" s="27">
        <v>75000</v>
      </c>
      <c r="M25" s="27">
        <v>75000</v>
      </c>
      <c r="N25" s="27">
        <v>75000</v>
      </c>
      <c r="O25" s="27">
        <v>75000</v>
      </c>
      <c r="P25" s="27">
        <v>75000</v>
      </c>
      <c r="Q25" s="27">
        <v>0</v>
      </c>
      <c r="R25" s="27">
        <v>75000</v>
      </c>
      <c r="S25" s="27">
        <v>75000</v>
      </c>
      <c r="T25" s="27">
        <v>75000</v>
      </c>
      <c r="U25" s="27">
        <v>70000</v>
      </c>
      <c r="V25" s="27">
        <v>70000</v>
      </c>
      <c r="W25" s="27">
        <v>68000</v>
      </c>
      <c r="X25" s="27">
        <v>68000</v>
      </c>
      <c r="Y25" s="27">
        <v>68000</v>
      </c>
      <c r="Z25" s="11" t="str">
        <f t="shared" si="0"/>
        <v/>
      </c>
      <c r="AA25" s="11">
        <f t="shared" si="1"/>
        <v>75000</v>
      </c>
      <c r="AB25" s="11">
        <f t="shared" si="2"/>
        <v>75000</v>
      </c>
      <c r="AC25" s="11">
        <f t="shared" si="3"/>
        <v>73000</v>
      </c>
      <c r="AD25" s="11">
        <f t="shared" si="4"/>
        <v>68000</v>
      </c>
      <c r="AE25" s="11">
        <f t="shared" si="5"/>
        <v>73062.5</v>
      </c>
    </row>
    <row r="26" spans="1:31" x14ac:dyDescent="0.35">
      <c r="A26" s="3">
        <v>22</v>
      </c>
      <c r="B26" s="3" t="s">
        <v>259</v>
      </c>
      <c r="C26" s="3" t="s">
        <v>304</v>
      </c>
      <c r="D26" s="27">
        <v>0</v>
      </c>
      <c r="E26" s="27">
        <v>0</v>
      </c>
      <c r="F26" s="27">
        <v>0</v>
      </c>
      <c r="G26" s="27">
        <v>0</v>
      </c>
      <c r="H26" s="27">
        <v>0</v>
      </c>
      <c r="I26" s="27">
        <v>2800</v>
      </c>
      <c r="J26" s="27">
        <v>2800</v>
      </c>
      <c r="K26" s="27">
        <v>2800</v>
      </c>
      <c r="L26" s="27">
        <v>2800</v>
      </c>
      <c r="M26" s="27">
        <v>2800</v>
      </c>
      <c r="N26" s="27">
        <v>2800</v>
      </c>
      <c r="O26" s="27">
        <v>2800</v>
      </c>
      <c r="P26" s="27">
        <v>2800</v>
      </c>
      <c r="Q26" s="27">
        <v>0</v>
      </c>
      <c r="R26" s="27">
        <v>2800</v>
      </c>
      <c r="S26" s="27">
        <v>2800</v>
      </c>
      <c r="T26" s="27">
        <v>2800</v>
      </c>
      <c r="U26" s="27">
        <v>2800</v>
      </c>
      <c r="V26" s="27">
        <v>2800</v>
      </c>
      <c r="W26" s="27">
        <v>2800</v>
      </c>
      <c r="X26" s="27">
        <v>2800</v>
      </c>
      <c r="Y26" s="27">
        <v>2800</v>
      </c>
      <c r="Z26" s="11" t="str">
        <f t="shared" si="0"/>
        <v/>
      </c>
      <c r="AA26" s="11">
        <f t="shared" si="1"/>
        <v>2800</v>
      </c>
      <c r="AB26" s="11">
        <f t="shared" si="2"/>
        <v>2800</v>
      </c>
      <c r="AC26" s="11">
        <f t="shared" si="3"/>
        <v>2800</v>
      </c>
      <c r="AD26" s="11">
        <f t="shared" si="4"/>
        <v>2800</v>
      </c>
      <c r="AE26" s="11">
        <f t="shared" si="5"/>
        <v>2800</v>
      </c>
    </row>
    <row r="27" spans="1:31" x14ac:dyDescent="0.35">
      <c r="A27" s="3">
        <v>23</v>
      </c>
      <c r="B27" s="3" t="s">
        <v>257</v>
      </c>
      <c r="C27" s="3" t="s">
        <v>304</v>
      </c>
      <c r="D27" s="27">
        <v>0</v>
      </c>
      <c r="E27" s="27">
        <v>0</v>
      </c>
      <c r="F27" s="27">
        <v>0</v>
      </c>
      <c r="G27" s="27">
        <v>0</v>
      </c>
      <c r="H27" s="27">
        <v>0</v>
      </c>
      <c r="I27" s="27">
        <v>39000</v>
      </c>
      <c r="J27" s="27">
        <v>39000</v>
      </c>
      <c r="K27" s="27">
        <v>39000</v>
      </c>
      <c r="L27" s="27">
        <v>39000</v>
      </c>
      <c r="M27" s="27">
        <v>35000</v>
      </c>
      <c r="N27" s="27">
        <v>35000</v>
      </c>
      <c r="O27" s="27">
        <v>35000</v>
      </c>
      <c r="P27" s="27">
        <v>35000</v>
      </c>
      <c r="Q27" s="27">
        <v>0</v>
      </c>
      <c r="R27" s="27">
        <v>35000</v>
      </c>
      <c r="S27" s="27">
        <v>35000</v>
      </c>
      <c r="T27" s="27">
        <v>35000</v>
      </c>
      <c r="U27" s="27">
        <v>34000</v>
      </c>
      <c r="V27" s="27">
        <v>34000</v>
      </c>
      <c r="W27" s="27">
        <v>32000</v>
      </c>
      <c r="X27" s="27">
        <v>32000</v>
      </c>
      <c r="Y27" s="27">
        <v>32000</v>
      </c>
      <c r="Z27" s="11" t="str">
        <f t="shared" si="0"/>
        <v/>
      </c>
      <c r="AA27" s="11">
        <f t="shared" si="1"/>
        <v>39000</v>
      </c>
      <c r="AB27" s="11">
        <f t="shared" si="2"/>
        <v>35000</v>
      </c>
      <c r="AC27" s="11">
        <f t="shared" si="3"/>
        <v>34600</v>
      </c>
      <c r="AD27" s="11">
        <f t="shared" si="4"/>
        <v>32000</v>
      </c>
      <c r="AE27" s="11">
        <f t="shared" si="5"/>
        <v>35312.5</v>
      </c>
    </row>
    <row r="28" spans="1:31" x14ac:dyDescent="0.35">
      <c r="A28" s="3">
        <v>24</v>
      </c>
      <c r="B28" s="3" t="s">
        <v>258</v>
      </c>
      <c r="C28" s="3" t="s">
        <v>304</v>
      </c>
      <c r="D28" s="27">
        <v>0</v>
      </c>
      <c r="E28" s="27">
        <v>0</v>
      </c>
      <c r="F28" s="27">
        <v>0</v>
      </c>
      <c r="G28" s="27">
        <v>0</v>
      </c>
      <c r="H28" s="27">
        <v>0</v>
      </c>
      <c r="I28" s="27">
        <v>36000</v>
      </c>
      <c r="J28" s="27">
        <v>36000</v>
      </c>
      <c r="K28" s="27">
        <v>36000</v>
      </c>
      <c r="L28" s="27">
        <v>36000</v>
      </c>
      <c r="M28" s="27">
        <v>36000</v>
      </c>
      <c r="N28" s="27">
        <v>36000</v>
      </c>
      <c r="O28" s="27">
        <v>36000</v>
      </c>
      <c r="P28" s="27">
        <v>36000</v>
      </c>
      <c r="Q28" s="27">
        <v>0</v>
      </c>
      <c r="R28" s="27">
        <v>36000</v>
      </c>
      <c r="S28" s="27">
        <v>36000</v>
      </c>
      <c r="T28" s="27">
        <v>36000</v>
      </c>
      <c r="U28" s="27">
        <v>35000</v>
      </c>
      <c r="V28" s="27">
        <v>35000</v>
      </c>
      <c r="W28" s="27">
        <v>33000</v>
      </c>
      <c r="X28" s="27">
        <v>33000</v>
      </c>
      <c r="Y28" s="27">
        <v>33000</v>
      </c>
      <c r="Z28" s="11" t="str">
        <f t="shared" si="0"/>
        <v/>
      </c>
      <c r="AA28" s="11">
        <f t="shared" si="1"/>
        <v>36000</v>
      </c>
      <c r="AB28" s="11">
        <f t="shared" si="2"/>
        <v>36000</v>
      </c>
      <c r="AC28" s="11">
        <f t="shared" si="3"/>
        <v>35600</v>
      </c>
      <c r="AD28" s="11">
        <f t="shared" si="4"/>
        <v>33000</v>
      </c>
      <c r="AE28" s="11">
        <f t="shared" si="5"/>
        <v>35312.5</v>
      </c>
    </row>
    <row r="29" spans="1:31" x14ac:dyDescent="0.35">
      <c r="A29" s="3">
        <v>25</v>
      </c>
      <c r="B29" s="3" t="s">
        <v>308</v>
      </c>
      <c r="C29" s="3" t="s">
        <v>304</v>
      </c>
      <c r="D29" s="27">
        <v>0</v>
      </c>
      <c r="E29" s="27">
        <v>0</v>
      </c>
      <c r="F29" s="27">
        <v>0</v>
      </c>
      <c r="G29" s="27">
        <v>0</v>
      </c>
      <c r="H29" s="27">
        <v>0</v>
      </c>
      <c r="I29" s="27">
        <v>25000</v>
      </c>
      <c r="J29" s="27">
        <v>25000</v>
      </c>
      <c r="K29" s="27">
        <v>25000</v>
      </c>
      <c r="L29" s="27">
        <v>25000</v>
      </c>
      <c r="M29" s="27">
        <v>25000</v>
      </c>
      <c r="N29" s="27">
        <v>25000</v>
      </c>
      <c r="O29" s="27">
        <v>25000</v>
      </c>
      <c r="P29" s="27">
        <v>25000</v>
      </c>
      <c r="Q29" s="27">
        <v>0</v>
      </c>
      <c r="R29" s="27">
        <v>25000</v>
      </c>
      <c r="S29" s="27">
        <v>25000</v>
      </c>
      <c r="T29" s="27">
        <v>25000</v>
      </c>
      <c r="U29" s="27">
        <v>25000</v>
      </c>
      <c r="V29" s="27">
        <v>25000</v>
      </c>
      <c r="W29" s="27">
        <v>25000</v>
      </c>
      <c r="X29" s="27">
        <v>25000</v>
      </c>
      <c r="Y29" s="27">
        <v>25000</v>
      </c>
      <c r="Z29" s="11" t="str">
        <f t="shared" si="0"/>
        <v/>
      </c>
      <c r="AA29" s="11">
        <f t="shared" si="1"/>
        <v>25000</v>
      </c>
      <c r="AB29" s="11">
        <f t="shared" si="2"/>
        <v>25000</v>
      </c>
      <c r="AC29" s="11">
        <f t="shared" si="3"/>
        <v>25000</v>
      </c>
      <c r="AD29" s="11">
        <f t="shared" si="4"/>
        <v>25000</v>
      </c>
      <c r="AE29" s="11">
        <f t="shared" si="5"/>
        <v>25000</v>
      </c>
    </row>
    <row r="30" spans="1:31" x14ac:dyDescent="0.35">
      <c r="A30" s="3">
        <v>26</v>
      </c>
      <c r="B30" s="3" t="s">
        <v>309</v>
      </c>
      <c r="C30" s="3" t="s">
        <v>304</v>
      </c>
      <c r="D30" s="27">
        <v>0</v>
      </c>
      <c r="E30" s="27">
        <v>0</v>
      </c>
      <c r="F30" s="27">
        <v>0</v>
      </c>
      <c r="G30" s="27">
        <v>0</v>
      </c>
      <c r="H30" s="27">
        <v>0</v>
      </c>
      <c r="I30" s="27">
        <v>8000</v>
      </c>
      <c r="J30" s="27">
        <v>8000</v>
      </c>
      <c r="K30" s="27">
        <v>8000</v>
      </c>
      <c r="L30" s="27">
        <v>8000</v>
      </c>
      <c r="M30" s="27">
        <v>8000</v>
      </c>
      <c r="N30" s="27">
        <v>8000</v>
      </c>
      <c r="O30" s="27">
        <v>8000</v>
      </c>
      <c r="P30" s="27">
        <v>8000</v>
      </c>
      <c r="Q30" s="27">
        <v>0</v>
      </c>
      <c r="R30" s="27">
        <v>8000</v>
      </c>
      <c r="S30" s="27">
        <v>8000</v>
      </c>
      <c r="T30" s="27">
        <v>8000</v>
      </c>
      <c r="U30" s="27">
        <v>8000</v>
      </c>
      <c r="V30" s="27">
        <v>8000</v>
      </c>
      <c r="W30" s="27">
        <v>8000</v>
      </c>
      <c r="X30" s="27">
        <v>8000</v>
      </c>
      <c r="Y30" s="27">
        <v>8000</v>
      </c>
      <c r="Z30" s="11" t="str">
        <f t="shared" si="0"/>
        <v/>
      </c>
      <c r="AA30" s="11">
        <f t="shared" si="1"/>
        <v>8000</v>
      </c>
      <c r="AB30" s="11">
        <f t="shared" si="2"/>
        <v>8000</v>
      </c>
      <c r="AC30" s="11">
        <f t="shared" si="3"/>
        <v>8000</v>
      </c>
      <c r="AD30" s="11">
        <f t="shared" si="4"/>
        <v>8000</v>
      </c>
      <c r="AE30" s="11">
        <f t="shared" si="5"/>
        <v>8000</v>
      </c>
    </row>
    <row r="31" spans="1:31" x14ac:dyDescent="0.35">
      <c r="A31" s="3">
        <v>27</v>
      </c>
      <c r="B31" s="3" t="s">
        <v>260</v>
      </c>
      <c r="C31" s="3" t="s">
        <v>304</v>
      </c>
      <c r="D31" s="27">
        <v>0</v>
      </c>
      <c r="E31" s="27">
        <v>0</v>
      </c>
      <c r="F31" s="27">
        <v>0</v>
      </c>
      <c r="G31" s="27">
        <v>0</v>
      </c>
      <c r="H31" s="27">
        <v>0</v>
      </c>
      <c r="I31" s="27">
        <v>10500</v>
      </c>
      <c r="J31" s="27">
        <v>10500</v>
      </c>
      <c r="K31" s="27">
        <v>10500</v>
      </c>
      <c r="L31" s="27">
        <v>10500</v>
      </c>
      <c r="M31" s="27">
        <v>10500</v>
      </c>
      <c r="N31" s="27">
        <v>10500</v>
      </c>
      <c r="O31" s="27">
        <v>10500</v>
      </c>
      <c r="P31" s="27">
        <v>10500</v>
      </c>
      <c r="Q31" s="27">
        <v>0</v>
      </c>
      <c r="R31" s="27">
        <v>10500</v>
      </c>
      <c r="S31" s="27">
        <v>10500</v>
      </c>
      <c r="T31" s="27">
        <v>10500</v>
      </c>
      <c r="U31" s="27">
        <v>10500</v>
      </c>
      <c r="V31" s="27">
        <v>10500</v>
      </c>
      <c r="W31" s="27">
        <v>10500</v>
      </c>
      <c r="X31" s="27">
        <v>10500</v>
      </c>
      <c r="Y31" s="27">
        <v>10500</v>
      </c>
      <c r="Z31" s="11" t="str">
        <f t="shared" si="0"/>
        <v/>
      </c>
      <c r="AA31" s="11">
        <f t="shared" si="1"/>
        <v>10500</v>
      </c>
      <c r="AB31" s="11">
        <f t="shared" si="2"/>
        <v>10500</v>
      </c>
      <c r="AC31" s="11">
        <f t="shared" si="3"/>
        <v>10500</v>
      </c>
      <c r="AD31" s="11">
        <f t="shared" si="4"/>
        <v>10500</v>
      </c>
      <c r="AE31" s="11">
        <f t="shared" si="5"/>
        <v>10500</v>
      </c>
    </row>
    <row r="32" spans="1:31" x14ac:dyDescent="0.35">
      <c r="A32" s="3">
        <v>28</v>
      </c>
      <c r="B32" s="3" t="s">
        <v>255</v>
      </c>
      <c r="C32" s="3" t="s">
        <v>304</v>
      </c>
      <c r="D32" s="27">
        <v>0</v>
      </c>
      <c r="E32" s="27">
        <v>0</v>
      </c>
      <c r="F32" s="27">
        <v>0</v>
      </c>
      <c r="G32" s="27">
        <v>0</v>
      </c>
      <c r="H32" s="27">
        <v>0</v>
      </c>
      <c r="I32" s="27">
        <v>42000</v>
      </c>
      <c r="J32" s="27">
        <v>42000</v>
      </c>
      <c r="K32" s="27">
        <v>42000</v>
      </c>
      <c r="L32" s="27">
        <v>42000</v>
      </c>
      <c r="M32" s="27">
        <v>42000</v>
      </c>
      <c r="N32" s="27">
        <v>42000</v>
      </c>
      <c r="O32" s="27">
        <v>42000</v>
      </c>
      <c r="P32" s="27">
        <v>42000</v>
      </c>
      <c r="Q32" s="27">
        <v>0</v>
      </c>
      <c r="R32" s="27">
        <v>42000</v>
      </c>
      <c r="S32" s="27">
        <v>42000</v>
      </c>
      <c r="T32" s="27">
        <v>42000</v>
      </c>
      <c r="U32" s="27">
        <v>42000</v>
      </c>
      <c r="V32" s="27">
        <v>42000</v>
      </c>
      <c r="W32" s="27">
        <v>42000</v>
      </c>
      <c r="X32" s="27">
        <v>42000</v>
      </c>
      <c r="Y32" s="27">
        <v>42000</v>
      </c>
      <c r="Z32" s="11" t="str">
        <f t="shared" si="0"/>
        <v/>
      </c>
      <c r="AA32" s="11">
        <f t="shared" si="1"/>
        <v>42000</v>
      </c>
      <c r="AB32" s="11">
        <f t="shared" si="2"/>
        <v>42000</v>
      </c>
      <c r="AC32" s="11">
        <f t="shared" si="3"/>
        <v>42000</v>
      </c>
      <c r="AD32" s="11">
        <f t="shared" si="4"/>
        <v>42000</v>
      </c>
      <c r="AE32" s="11">
        <f t="shared" si="5"/>
        <v>42000</v>
      </c>
    </row>
    <row r="33" spans="1:31" x14ac:dyDescent="0.35">
      <c r="A33" s="3">
        <v>29</v>
      </c>
      <c r="B33" s="3" t="s">
        <v>266</v>
      </c>
      <c r="C33" s="3" t="s">
        <v>304</v>
      </c>
      <c r="D33" s="27">
        <v>0</v>
      </c>
      <c r="E33" s="27">
        <v>0</v>
      </c>
      <c r="F33" s="27">
        <v>0</v>
      </c>
      <c r="G33" s="27">
        <v>0</v>
      </c>
      <c r="H33" s="27">
        <v>0</v>
      </c>
      <c r="I33" s="27">
        <v>9000</v>
      </c>
      <c r="J33" s="27">
        <v>9000</v>
      </c>
      <c r="K33" s="27">
        <v>9000</v>
      </c>
      <c r="L33" s="27">
        <v>9000</v>
      </c>
      <c r="M33" s="27">
        <v>9000</v>
      </c>
      <c r="N33" s="27">
        <v>9000</v>
      </c>
      <c r="O33" s="27">
        <v>9000</v>
      </c>
      <c r="P33" s="27">
        <v>9000</v>
      </c>
      <c r="Q33" s="27">
        <v>0</v>
      </c>
      <c r="R33" s="27">
        <v>9000</v>
      </c>
      <c r="S33" s="27">
        <v>9000</v>
      </c>
      <c r="T33" s="27">
        <v>9000</v>
      </c>
      <c r="U33" s="27">
        <v>9000</v>
      </c>
      <c r="V33" s="27">
        <v>9000</v>
      </c>
      <c r="W33" s="27">
        <v>9000</v>
      </c>
      <c r="X33" s="27">
        <v>9000</v>
      </c>
      <c r="Y33" s="27">
        <v>9000</v>
      </c>
      <c r="Z33" s="11" t="str">
        <f t="shared" si="0"/>
        <v/>
      </c>
      <c r="AA33" s="11">
        <f t="shared" si="1"/>
        <v>9000</v>
      </c>
      <c r="AB33" s="11">
        <f t="shared" si="2"/>
        <v>9000</v>
      </c>
      <c r="AC33" s="11">
        <f t="shared" si="3"/>
        <v>9000</v>
      </c>
      <c r="AD33" s="11">
        <f t="shared" si="4"/>
        <v>9000</v>
      </c>
      <c r="AE33" s="11">
        <f t="shared" si="5"/>
        <v>9000</v>
      </c>
    </row>
    <row r="34" spans="1:31" x14ac:dyDescent="0.35">
      <c r="A34" s="3">
        <v>30</v>
      </c>
      <c r="B34" s="3" t="s">
        <v>244</v>
      </c>
      <c r="C34" s="3" t="s">
        <v>304</v>
      </c>
      <c r="D34" s="27">
        <v>0</v>
      </c>
      <c r="E34" s="27">
        <v>0</v>
      </c>
      <c r="F34" s="27">
        <v>0</v>
      </c>
      <c r="G34" s="27">
        <v>0</v>
      </c>
      <c r="H34" s="27">
        <v>0</v>
      </c>
      <c r="I34" s="27">
        <v>4750</v>
      </c>
      <c r="J34" s="27">
        <v>4750</v>
      </c>
      <c r="K34" s="27">
        <v>4750</v>
      </c>
      <c r="L34" s="27">
        <v>4750</v>
      </c>
      <c r="M34" s="27">
        <v>4750</v>
      </c>
      <c r="N34" s="27">
        <v>4750</v>
      </c>
      <c r="O34" s="27">
        <v>4750</v>
      </c>
      <c r="P34" s="27">
        <v>4750</v>
      </c>
      <c r="Q34" s="27">
        <v>0</v>
      </c>
      <c r="R34" s="27">
        <v>4750</v>
      </c>
      <c r="S34" s="27">
        <v>4750</v>
      </c>
      <c r="T34" s="27">
        <v>4750</v>
      </c>
      <c r="U34" s="27">
        <v>4750</v>
      </c>
      <c r="V34" s="27">
        <v>4750</v>
      </c>
      <c r="W34" s="27">
        <v>4750</v>
      </c>
      <c r="X34" s="27">
        <v>4750</v>
      </c>
      <c r="Y34" s="27">
        <v>4750</v>
      </c>
      <c r="Z34" s="11" t="str">
        <f t="shared" si="0"/>
        <v/>
      </c>
      <c r="AA34" s="11">
        <f t="shared" si="1"/>
        <v>4750</v>
      </c>
      <c r="AB34" s="11">
        <f t="shared" si="2"/>
        <v>4750</v>
      </c>
      <c r="AC34" s="11">
        <f t="shared" si="3"/>
        <v>4750</v>
      </c>
      <c r="AD34" s="11">
        <f t="shared" si="4"/>
        <v>4750</v>
      </c>
      <c r="AE34" s="11">
        <f t="shared" si="5"/>
        <v>4750</v>
      </c>
    </row>
    <row r="35" spans="1:31" x14ac:dyDescent="0.35">
      <c r="A35" s="3">
        <v>31</v>
      </c>
      <c r="B35" s="3" t="s">
        <v>249</v>
      </c>
      <c r="C35" s="3" t="s">
        <v>304</v>
      </c>
      <c r="D35" s="27">
        <v>0</v>
      </c>
      <c r="E35" s="27">
        <v>0</v>
      </c>
      <c r="F35" s="27">
        <v>0</v>
      </c>
      <c r="G35" s="27">
        <v>0</v>
      </c>
      <c r="H35" s="27">
        <v>0</v>
      </c>
      <c r="I35" s="27">
        <v>65000</v>
      </c>
      <c r="J35" s="27">
        <v>65000</v>
      </c>
      <c r="K35" s="27">
        <v>65000</v>
      </c>
      <c r="L35" s="27">
        <v>65000</v>
      </c>
      <c r="M35" s="27">
        <v>60000</v>
      </c>
      <c r="N35" s="27">
        <v>60000</v>
      </c>
      <c r="O35" s="27">
        <v>60000</v>
      </c>
      <c r="P35" s="27">
        <v>60000</v>
      </c>
      <c r="Q35" s="27">
        <v>0</v>
      </c>
      <c r="R35" s="27">
        <v>60000</v>
      </c>
      <c r="S35" s="27">
        <v>60000</v>
      </c>
      <c r="T35" s="27">
        <v>60000</v>
      </c>
      <c r="U35" s="27">
        <v>60000</v>
      </c>
      <c r="V35" s="27">
        <v>60000</v>
      </c>
      <c r="W35" s="27">
        <v>60000</v>
      </c>
      <c r="X35" s="27">
        <v>60000</v>
      </c>
      <c r="Y35" s="27">
        <v>60000</v>
      </c>
      <c r="Z35" s="11" t="str">
        <f t="shared" si="0"/>
        <v/>
      </c>
      <c r="AA35" s="11">
        <f t="shared" si="1"/>
        <v>65000</v>
      </c>
      <c r="AB35" s="11">
        <f t="shared" si="2"/>
        <v>60000</v>
      </c>
      <c r="AC35" s="11">
        <f t="shared" si="3"/>
        <v>60000</v>
      </c>
      <c r="AD35" s="11">
        <f t="shared" si="4"/>
        <v>60000</v>
      </c>
      <c r="AE35" s="11">
        <f t="shared" si="5"/>
        <v>61250</v>
      </c>
    </row>
    <row r="36" spans="1:31" x14ac:dyDescent="0.35">
      <c r="A36" s="3">
        <v>32</v>
      </c>
      <c r="B36" s="3" t="s">
        <v>250</v>
      </c>
      <c r="C36" s="3" t="s">
        <v>304</v>
      </c>
      <c r="D36" s="27">
        <v>0</v>
      </c>
      <c r="E36" s="27">
        <v>0</v>
      </c>
      <c r="F36" s="27">
        <v>0</v>
      </c>
      <c r="G36" s="27">
        <v>0</v>
      </c>
      <c r="H36" s="27">
        <v>0</v>
      </c>
      <c r="I36" s="27">
        <v>13000</v>
      </c>
      <c r="J36" s="27">
        <v>13000</v>
      </c>
      <c r="K36" s="27">
        <v>13000</v>
      </c>
      <c r="L36" s="27">
        <v>13000</v>
      </c>
      <c r="M36" s="27">
        <v>13000</v>
      </c>
      <c r="N36" s="27">
        <v>13000</v>
      </c>
      <c r="O36" s="27">
        <v>13000</v>
      </c>
      <c r="P36" s="27">
        <v>13000</v>
      </c>
      <c r="Q36" s="27">
        <v>0</v>
      </c>
      <c r="R36" s="27">
        <v>13000</v>
      </c>
      <c r="S36" s="27">
        <v>13000</v>
      </c>
      <c r="T36" s="27">
        <v>13000</v>
      </c>
      <c r="U36" s="27">
        <v>12000</v>
      </c>
      <c r="V36" s="27">
        <v>12000</v>
      </c>
      <c r="W36" s="27">
        <v>12000</v>
      </c>
      <c r="X36" s="27">
        <v>12000</v>
      </c>
      <c r="Y36" s="27">
        <v>12000</v>
      </c>
      <c r="Z36" s="11" t="str">
        <f t="shared" si="0"/>
        <v/>
      </c>
      <c r="AA36" s="11">
        <f t="shared" si="1"/>
        <v>13000</v>
      </c>
      <c r="AB36" s="11">
        <f t="shared" si="2"/>
        <v>13000</v>
      </c>
      <c r="AC36" s="11">
        <f t="shared" si="3"/>
        <v>12600</v>
      </c>
      <c r="AD36" s="11">
        <f t="shared" si="4"/>
        <v>12000</v>
      </c>
      <c r="AE36" s="11">
        <f t="shared" si="5"/>
        <v>12687.5</v>
      </c>
    </row>
    <row r="37" spans="1:31" x14ac:dyDescent="0.35">
      <c r="A37" s="3">
        <v>33</v>
      </c>
      <c r="B37" s="3" t="s">
        <v>267</v>
      </c>
      <c r="C37" s="3" t="s">
        <v>304</v>
      </c>
      <c r="D37" s="27">
        <v>0</v>
      </c>
      <c r="E37" s="27">
        <v>0</v>
      </c>
      <c r="F37" s="27">
        <v>0</v>
      </c>
      <c r="G37" s="27">
        <v>0</v>
      </c>
      <c r="H37" s="27">
        <v>0</v>
      </c>
      <c r="I37" s="27">
        <v>9000</v>
      </c>
      <c r="J37" s="27">
        <v>9000</v>
      </c>
      <c r="K37" s="27">
        <v>9000</v>
      </c>
      <c r="L37" s="27">
        <v>9000</v>
      </c>
      <c r="M37" s="27">
        <v>9000</v>
      </c>
      <c r="N37" s="27">
        <v>9000</v>
      </c>
      <c r="O37" s="27">
        <v>9000</v>
      </c>
      <c r="P37" s="27">
        <v>9000</v>
      </c>
      <c r="Q37" s="27">
        <v>0</v>
      </c>
      <c r="R37" s="27">
        <v>9000</v>
      </c>
      <c r="S37" s="27">
        <v>9000</v>
      </c>
      <c r="T37" s="27">
        <v>9000</v>
      </c>
      <c r="U37" s="27">
        <v>9000</v>
      </c>
      <c r="V37" s="27">
        <v>9000</v>
      </c>
      <c r="W37" s="27">
        <v>9000</v>
      </c>
      <c r="X37" s="27">
        <v>9000</v>
      </c>
      <c r="Y37" s="27">
        <v>9000</v>
      </c>
      <c r="Z37" s="11" t="str">
        <f t="shared" si="0"/>
        <v/>
      </c>
      <c r="AA37" s="11">
        <f t="shared" si="1"/>
        <v>9000</v>
      </c>
      <c r="AB37" s="11">
        <f t="shared" si="2"/>
        <v>9000</v>
      </c>
      <c r="AC37" s="11">
        <f t="shared" si="3"/>
        <v>9000</v>
      </c>
      <c r="AD37" s="11">
        <f t="shared" si="4"/>
        <v>9000</v>
      </c>
      <c r="AE37" s="11">
        <f t="shared" si="5"/>
        <v>9000</v>
      </c>
    </row>
    <row r="38" spans="1:31" x14ac:dyDescent="0.35">
      <c r="A38" s="3">
        <v>34</v>
      </c>
      <c r="B38" s="3" t="s">
        <v>310</v>
      </c>
      <c r="C38" s="3" t="s">
        <v>304</v>
      </c>
      <c r="D38" s="27">
        <v>0</v>
      </c>
      <c r="E38" s="27">
        <v>0</v>
      </c>
      <c r="F38" s="27">
        <v>0</v>
      </c>
      <c r="G38" s="27">
        <v>0</v>
      </c>
      <c r="H38" s="27">
        <v>0</v>
      </c>
      <c r="I38" s="27">
        <v>6000</v>
      </c>
      <c r="J38" s="27">
        <v>6000</v>
      </c>
      <c r="K38" s="27">
        <v>6000</v>
      </c>
      <c r="L38" s="27">
        <v>6000</v>
      </c>
      <c r="M38" s="27">
        <v>6000</v>
      </c>
      <c r="N38" s="27">
        <v>6000</v>
      </c>
      <c r="O38" s="27">
        <v>6000</v>
      </c>
      <c r="P38" s="27">
        <v>6000</v>
      </c>
      <c r="Q38" s="27">
        <v>0</v>
      </c>
      <c r="R38" s="27">
        <v>6000</v>
      </c>
      <c r="S38" s="27">
        <v>6000</v>
      </c>
      <c r="T38" s="27">
        <v>6000</v>
      </c>
      <c r="U38" s="27">
        <v>6000</v>
      </c>
      <c r="V38" s="27">
        <v>6000</v>
      </c>
      <c r="W38" s="27">
        <v>6000</v>
      </c>
      <c r="X38" s="27">
        <v>6000</v>
      </c>
      <c r="Y38" s="27">
        <v>6000</v>
      </c>
      <c r="Z38" s="11" t="str">
        <f t="shared" si="0"/>
        <v/>
      </c>
      <c r="AA38" s="11">
        <f t="shared" si="1"/>
        <v>6000</v>
      </c>
      <c r="AB38" s="11">
        <f t="shared" si="2"/>
        <v>6000</v>
      </c>
      <c r="AC38" s="11">
        <f t="shared" si="3"/>
        <v>6000</v>
      </c>
      <c r="AD38" s="11">
        <f t="shared" si="4"/>
        <v>6000</v>
      </c>
      <c r="AE38" s="11">
        <f t="shared" si="5"/>
        <v>6000</v>
      </c>
    </row>
    <row r="39" spans="1:31" x14ac:dyDescent="0.35">
      <c r="A39" s="3">
        <v>35</v>
      </c>
      <c r="B39" s="3" t="s">
        <v>311</v>
      </c>
      <c r="C39" s="3" t="s">
        <v>304</v>
      </c>
      <c r="D39" s="27">
        <v>0</v>
      </c>
      <c r="E39" s="27">
        <v>0</v>
      </c>
      <c r="F39" s="27">
        <v>0</v>
      </c>
      <c r="G39" s="27">
        <v>0</v>
      </c>
      <c r="H39" s="27">
        <v>0</v>
      </c>
      <c r="I39" s="27">
        <v>15000</v>
      </c>
      <c r="J39" s="27">
        <v>15000</v>
      </c>
      <c r="K39" s="27">
        <v>15000</v>
      </c>
      <c r="L39" s="27">
        <v>15000</v>
      </c>
      <c r="M39" s="27">
        <v>13000</v>
      </c>
      <c r="N39" s="27">
        <v>13000</v>
      </c>
      <c r="O39" s="27">
        <v>13000</v>
      </c>
      <c r="P39" s="27">
        <v>13000</v>
      </c>
      <c r="Q39" s="27">
        <v>0</v>
      </c>
      <c r="R39" s="27">
        <v>13000</v>
      </c>
      <c r="S39" s="27">
        <v>13000</v>
      </c>
      <c r="T39" s="27">
        <v>13000</v>
      </c>
      <c r="U39" s="27">
        <v>13000</v>
      </c>
      <c r="V39" s="27">
        <v>13000</v>
      </c>
      <c r="W39" s="27">
        <v>13000</v>
      </c>
      <c r="X39" s="27">
        <v>13000</v>
      </c>
      <c r="Y39" s="27">
        <v>13000</v>
      </c>
      <c r="Z39" s="11" t="str">
        <f t="shared" si="0"/>
        <v/>
      </c>
      <c r="AA39" s="11">
        <f t="shared" si="1"/>
        <v>15000</v>
      </c>
      <c r="AB39" s="11">
        <f t="shared" si="2"/>
        <v>13000</v>
      </c>
      <c r="AC39" s="11">
        <f t="shared" si="3"/>
        <v>13000</v>
      </c>
      <c r="AD39" s="11">
        <f t="shared" si="4"/>
        <v>13000</v>
      </c>
      <c r="AE39" s="11">
        <f t="shared" si="5"/>
        <v>13500</v>
      </c>
    </row>
    <row r="40" spans="1:31" x14ac:dyDescent="0.35">
      <c r="A40" s="3">
        <v>36</v>
      </c>
      <c r="B40" s="3" t="s">
        <v>312</v>
      </c>
      <c r="C40" s="3" t="s">
        <v>304</v>
      </c>
      <c r="D40" s="27">
        <v>0</v>
      </c>
      <c r="E40" s="27">
        <v>0</v>
      </c>
      <c r="F40" s="27">
        <v>0</v>
      </c>
      <c r="G40" s="27">
        <v>0</v>
      </c>
      <c r="H40" s="27">
        <v>0</v>
      </c>
      <c r="I40" s="27">
        <v>4000</v>
      </c>
      <c r="J40" s="27">
        <v>4000</v>
      </c>
      <c r="K40" s="27">
        <v>4000</v>
      </c>
      <c r="L40" s="27">
        <v>4000</v>
      </c>
      <c r="M40" s="27">
        <v>4000</v>
      </c>
      <c r="N40" s="27">
        <v>4000</v>
      </c>
      <c r="O40" s="27">
        <v>4000</v>
      </c>
      <c r="P40" s="27">
        <v>4000</v>
      </c>
      <c r="Q40" s="27">
        <v>0</v>
      </c>
      <c r="R40" s="27">
        <v>4000</v>
      </c>
      <c r="S40" s="27">
        <v>4000</v>
      </c>
      <c r="T40" s="27">
        <v>4000</v>
      </c>
      <c r="U40" s="27">
        <v>4000</v>
      </c>
      <c r="V40" s="27">
        <v>4000</v>
      </c>
      <c r="W40" s="27">
        <v>4000</v>
      </c>
      <c r="X40" s="27">
        <v>4000</v>
      </c>
      <c r="Y40" s="27">
        <v>4000</v>
      </c>
      <c r="Z40" s="11" t="str">
        <f t="shared" si="0"/>
        <v/>
      </c>
      <c r="AA40" s="11">
        <f t="shared" si="1"/>
        <v>4000</v>
      </c>
      <c r="AB40" s="11">
        <f t="shared" si="2"/>
        <v>4000</v>
      </c>
      <c r="AC40" s="11">
        <f t="shared" si="3"/>
        <v>4000</v>
      </c>
      <c r="AD40" s="11">
        <f t="shared" si="4"/>
        <v>4000</v>
      </c>
      <c r="AE40" s="11">
        <f t="shared" si="5"/>
        <v>4000</v>
      </c>
    </row>
    <row r="41" spans="1:31" x14ac:dyDescent="0.35">
      <c r="A41" s="3">
        <v>37</v>
      </c>
      <c r="B41" s="3" t="s">
        <v>313</v>
      </c>
      <c r="C41" s="3" t="s">
        <v>304</v>
      </c>
      <c r="D41" s="27">
        <v>0</v>
      </c>
      <c r="E41" s="27">
        <v>0</v>
      </c>
      <c r="F41" s="27">
        <v>0</v>
      </c>
      <c r="G41" s="27">
        <v>0</v>
      </c>
      <c r="H41" s="27">
        <v>0</v>
      </c>
      <c r="I41" s="27">
        <v>2000</v>
      </c>
      <c r="J41" s="27">
        <v>2000</v>
      </c>
      <c r="K41" s="27">
        <v>2000</v>
      </c>
      <c r="L41" s="27">
        <v>2000</v>
      </c>
      <c r="M41" s="27">
        <v>2000</v>
      </c>
      <c r="N41" s="27">
        <v>2000</v>
      </c>
      <c r="O41" s="27">
        <v>2000</v>
      </c>
      <c r="P41" s="27">
        <v>2000</v>
      </c>
      <c r="Q41" s="27">
        <v>0</v>
      </c>
      <c r="R41" s="27">
        <v>2000</v>
      </c>
      <c r="S41" s="27">
        <v>2000</v>
      </c>
      <c r="T41" s="27">
        <v>2000</v>
      </c>
      <c r="U41" s="27">
        <v>2000</v>
      </c>
      <c r="V41" s="27">
        <v>2000</v>
      </c>
      <c r="W41" s="27">
        <v>2000</v>
      </c>
      <c r="X41" s="27">
        <v>2000</v>
      </c>
      <c r="Y41" s="27">
        <v>2000</v>
      </c>
      <c r="Z41" s="11" t="str">
        <f t="shared" si="0"/>
        <v/>
      </c>
      <c r="AA41" s="11">
        <f t="shared" si="1"/>
        <v>2000</v>
      </c>
      <c r="AB41" s="11">
        <f t="shared" si="2"/>
        <v>2000</v>
      </c>
      <c r="AC41" s="11">
        <f t="shared" si="3"/>
        <v>2000</v>
      </c>
      <c r="AD41" s="11">
        <f t="shared" si="4"/>
        <v>2000</v>
      </c>
      <c r="AE41" s="11">
        <f t="shared" si="5"/>
        <v>2000</v>
      </c>
    </row>
    <row r="42" spans="1:31" x14ac:dyDescent="0.35">
      <c r="A42" s="3">
        <v>38</v>
      </c>
      <c r="B42" s="3" t="s">
        <v>314</v>
      </c>
      <c r="C42" s="3" t="s">
        <v>304</v>
      </c>
      <c r="D42" s="27">
        <v>0</v>
      </c>
      <c r="E42" s="27">
        <v>0</v>
      </c>
      <c r="F42" s="27">
        <v>0</v>
      </c>
      <c r="G42" s="27">
        <v>0</v>
      </c>
      <c r="H42" s="27">
        <v>0</v>
      </c>
      <c r="I42" s="27">
        <v>5000</v>
      </c>
      <c r="J42" s="27">
        <v>5000</v>
      </c>
      <c r="K42" s="27">
        <v>5000</v>
      </c>
      <c r="L42" s="27">
        <v>5000</v>
      </c>
      <c r="M42" s="27">
        <v>5000</v>
      </c>
      <c r="N42" s="27">
        <v>5000</v>
      </c>
      <c r="O42" s="27">
        <v>5000</v>
      </c>
      <c r="P42" s="27">
        <v>5000</v>
      </c>
      <c r="Q42" s="27">
        <v>0</v>
      </c>
      <c r="R42" s="27">
        <v>5000</v>
      </c>
      <c r="S42" s="27">
        <v>5000</v>
      </c>
      <c r="T42" s="27">
        <v>5000</v>
      </c>
      <c r="U42" s="27">
        <v>5000</v>
      </c>
      <c r="V42" s="27">
        <v>5000</v>
      </c>
      <c r="W42" s="27">
        <v>5000</v>
      </c>
      <c r="X42" s="27">
        <v>5000</v>
      </c>
      <c r="Y42" s="27">
        <v>5000</v>
      </c>
      <c r="Z42" s="11" t="str">
        <f t="shared" si="0"/>
        <v/>
      </c>
      <c r="AA42" s="11">
        <f t="shared" si="1"/>
        <v>5000</v>
      </c>
      <c r="AB42" s="11">
        <f t="shared" si="2"/>
        <v>5000</v>
      </c>
      <c r="AC42" s="11">
        <f t="shared" si="3"/>
        <v>5000</v>
      </c>
      <c r="AD42" s="11">
        <f t="shared" si="4"/>
        <v>5000</v>
      </c>
      <c r="AE42" s="11">
        <f t="shared" si="5"/>
        <v>5000</v>
      </c>
    </row>
    <row r="43" spans="1:31" x14ac:dyDescent="0.35">
      <c r="A43" s="3">
        <v>39</v>
      </c>
      <c r="B43" s="3" t="s">
        <v>315</v>
      </c>
      <c r="C43" s="3" t="s">
        <v>304</v>
      </c>
      <c r="D43" s="27">
        <v>0</v>
      </c>
      <c r="E43" s="27">
        <v>0</v>
      </c>
      <c r="F43" s="27">
        <v>0</v>
      </c>
      <c r="G43" s="27">
        <v>0</v>
      </c>
      <c r="H43" s="27">
        <v>0</v>
      </c>
      <c r="I43" s="27">
        <v>7000</v>
      </c>
      <c r="J43" s="27">
        <v>7000</v>
      </c>
      <c r="K43" s="27">
        <v>7000</v>
      </c>
      <c r="L43" s="27">
        <v>7000</v>
      </c>
      <c r="M43" s="27">
        <v>7000</v>
      </c>
      <c r="N43" s="27">
        <v>7000</v>
      </c>
      <c r="O43" s="27">
        <v>7000</v>
      </c>
      <c r="P43" s="27">
        <v>7000</v>
      </c>
      <c r="Q43" s="27">
        <v>0</v>
      </c>
      <c r="R43" s="27">
        <v>7000</v>
      </c>
      <c r="S43" s="27">
        <v>7000</v>
      </c>
      <c r="T43" s="27">
        <v>7000</v>
      </c>
      <c r="U43" s="27">
        <v>7000</v>
      </c>
      <c r="V43" s="27">
        <v>7000</v>
      </c>
      <c r="W43" s="27">
        <v>7000</v>
      </c>
      <c r="X43" s="27">
        <v>7000</v>
      </c>
      <c r="Y43" s="27">
        <v>7000</v>
      </c>
      <c r="Z43" s="11" t="str">
        <f t="shared" si="0"/>
        <v/>
      </c>
      <c r="AA43" s="11">
        <f t="shared" si="1"/>
        <v>7000</v>
      </c>
      <c r="AB43" s="11">
        <f t="shared" si="2"/>
        <v>7000</v>
      </c>
      <c r="AC43" s="11">
        <f t="shared" si="3"/>
        <v>7000</v>
      </c>
      <c r="AD43" s="11">
        <f t="shared" si="4"/>
        <v>7000</v>
      </c>
      <c r="AE43" s="11">
        <f t="shared" si="5"/>
        <v>7000</v>
      </c>
    </row>
    <row r="44" spans="1:31" x14ac:dyDescent="0.35">
      <c r="A44" s="3">
        <v>40</v>
      </c>
      <c r="B44" s="3" t="s">
        <v>316</v>
      </c>
      <c r="C44" s="3" t="s">
        <v>304</v>
      </c>
      <c r="D44" s="27">
        <v>0</v>
      </c>
      <c r="E44" s="27">
        <v>0</v>
      </c>
      <c r="F44" s="27">
        <v>0</v>
      </c>
      <c r="G44" s="27">
        <v>0</v>
      </c>
      <c r="H44" s="27">
        <v>0</v>
      </c>
      <c r="I44" s="27">
        <v>5000</v>
      </c>
      <c r="J44" s="27">
        <v>5000</v>
      </c>
      <c r="K44" s="27">
        <v>5000</v>
      </c>
      <c r="L44" s="27">
        <v>5000</v>
      </c>
      <c r="M44" s="27">
        <v>5000</v>
      </c>
      <c r="N44" s="27">
        <v>5000</v>
      </c>
      <c r="O44" s="27">
        <v>5000</v>
      </c>
      <c r="P44" s="27">
        <v>5000</v>
      </c>
      <c r="Q44" s="27">
        <v>0</v>
      </c>
      <c r="R44" s="27">
        <v>5000</v>
      </c>
      <c r="S44" s="27">
        <v>5000</v>
      </c>
      <c r="T44" s="27">
        <v>5000</v>
      </c>
      <c r="U44" s="27">
        <v>5000</v>
      </c>
      <c r="V44" s="27">
        <v>5000</v>
      </c>
      <c r="W44" s="27">
        <v>5000</v>
      </c>
      <c r="X44" s="27">
        <v>5000</v>
      </c>
      <c r="Y44" s="27">
        <v>5000</v>
      </c>
      <c r="Z44" s="11" t="str">
        <f t="shared" si="0"/>
        <v/>
      </c>
      <c r="AA44" s="11">
        <f t="shared" si="1"/>
        <v>5000</v>
      </c>
      <c r="AB44" s="11">
        <f t="shared" si="2"/>
        <v>5000</v>
      </c>
      <c r="AC44" s="11">
        <f t="shared" si="3"/>
        <v>5000</v>
      </c>
      <c r="AD44" s="11">
        <f t="shared" si="4"/>
        <v>5000</v>
      </c>
      <c r="AE44" s="11">
        <f t="shared" si="5"/>
        <v>5000</v>
      </c>
    </row>
    <row r="45" spans="1:31" x14ac:dyDescent="0.35">
      <c r="A45" s="3">
        <v>41</v>
      </c>
      <c r="B45" s="3" t="s">
        <v>317</v>
      </c>
      <c r="C45" s="3" t="s">
        <v>304</v>
      </c>
      <c r="D45" s="27">
        <v>0</v>
      </c>
      <c r="E45" s="27">
        <v>0</v>
      </c>
      <c r="F45" s="27">
        <v>0</v>
      </c>
      <c r="G45" s="27">
        <v>0</v>
      </c>
      <c r="H45" s="27">
        <v>0</v>
      </c>
      <c r="I45" s="27">
        <v>70000</v>
      </c>
      <c r="J45" s="27">
        <v>70000</v>
      </c>
      <c r="K45" s="27">
        <v>70000</v>
      </c>
      <c r="L45" s="27">
        <v>70000</v>
      </c>
      <c r="M45" s="27">
        <v>70000</v>
      </c>
      <c r="N45" s="27">
        <v>70000</v>
      </c>
      <c r="O45" s="27">
        <v>70000</v>
      </c>
      <c r="P45" s="27">
        <v>70000</v>
      </c>
      <c r="Q45" s="27">
        <v>0</v>
      </c>
      <c r="R45" s="27">
        <v>70000</v>
      </c>
      <c r="S45" s="27">
        <v>70000</v>
      </c>
      <c r="T45" s="27">
        <v>70000</v>
      </c>
      <c r="U45" s="27">
        <v>70000</v>
      </c>
      <c r="V45" s="27">
        <v>70000</v>
      </c>
      <c r="W45" s="27">
        <v>70000</v>
      </c>
      <c r="X45" s="27">
        <v>70000</v>
      </c>
      <c r="Y45" s="27">
        <v>70000</v>
      </c>
      <c r="Z45" s="11" t="str">
        <f t="shared" si="0"/>
        <v/>
      </c>
      <c r="AA45" s="11">
        <f t="shared" si="1"/>
        <v>70000</v>
      </c>
      <c r="AB45" s="11">
        <f t="shared" si="2"/>
        <v>70000</v>
      </c>
      <c r="AC45" s="11">
        <f t="shared" si="3"/>
        <v>70000</v>
      </c>
      <c r="AD45" s="11">
        <f t="shared" si="4"/>
        <v>70000</v>
      </c>
      <c r="AE45" s="11">
        <f t="shared" si="5"/>
        <v>70000</v>
      </c>
    </row>
    <row r="46" spans="1:31" x14ac:dyDescent="0.35">
      <c r="A46" s="3">
        <v>42</v>
      </c>
      <c r="B46" s="3" t="s">
        <v>318</v>
      </c>
      <c r="C46" s="3" t="s">
        <v>304</v>
      </c>
      <c r="D46" s="27">
        <v>0</v>
      </c>
      <c r="E46" s="27">
        <v>0</v>
      </c>
      <c r="F46" s="27">
        <v>0</v>
      </c>
      <c r="G46" s="27">
        <v>0</v>
      </c>
      <c r="H46" s="27">
        <v>0</v>
      </c>
      <c r="I46" s="27">
        <v>40000</v>
      </c>
      <c r="J46" s="27">
        <v>40000</v>
      </c>
      <c r="K46" s="27">
        <v>40000</v>
      </c>
      <c r="L46" s="27">
        <v>40000</v>
      </c>
      <c r="M46" s="27">
        <v>40000</v>
      </c>
      <c r="N46" s="27">
        <v>40000</v>
      </c>
      <c r="O46" s="27">
        <v>40000</v>
      </c>
      <c r="P46" s="27">
        <v>40000</v>
      </c>
      <c r="Q46" s="27">
        <v>0</v>
      </c>
      <c r="R46" s="27">
        <v>40000</v>
      </c>
      <c r="S46" s="27">
        <v>40000</v>
      </c>
      <c r="T46" s="27">
        <v>40000</v>
      </c>
      <c r="U46" s="27">
        <v>40000</v>
      </c>
      <c r="V46" s="27">
        <v>40000</v>
      </c>
      <c r="W46" s="27">
        <v>40000</v>
      </c>
      <c r="X46" s="27">
        <v>40000</v>
      </c>
      <c r="Y46" s="27">
        <v>40000</v>
      </c>
      <c r="Z46" s="11" t="str">
        <f t="shared" si="0"/>
        <v/>
      </c>
      <c r="AA46" s="11">
        <f t="shared" si="1"/>
        <v>40000</v>
      </c>
      <c r="AB46" s="11">
        <f t="shared" si="2"/>
        <v>40000</v>
      </c>
      <c r="AC46" s="11">
        <f t="shared" si="3"/>
        <v>40000</v>
      </c>
      <c r="AD46" s="11">
        <f t="shared" si="4"/>
        <v>40000</v>
      </c>
      <c r="AE46" s="11">
        <f t="shared" si="5"/>
        <v>40000</v>
      </c>
    </row>
    <row r="47" spans="1:31" x14ac:dyDescent="0.35">
      <c r="A47" s="3">
        <v>43</v>
      </c>
      <c r="B47" s="3" t="s">
        <v>319</v>
      </c>
      <c r="C47" s="3" t="s">
        <v>304</v>
      </c>
      <c r="D47" s="27">
        <v>0</v>
      </c>
      <c r="E47" s="27">
        <v>0</v>
      </c>
      <c r="F47" s="27">
        <v>0</v>
      </c>
      <c r="G47" s="27">
        <v>0</v>
      </c>
      <c r="H47" s="27">
        <v>0</v>
      </c>
      <c r="I47" s="27">
        <v>27000</v>
      </c>
      <c r="J47" s="27">
        <v>27000</v>
      </c>
      <c r="K47" s="27">
        <v>27000</v>
      </c>
      <c r="L47" s="27">
        <v>27000</v>
      </c>
      <c r="M47" s="27">
        <v>27000</v>
      </c>
      <c r="N47" s="27">
        <v>27000</v>
      </c>
      <c r="O47" s="27">
        <v>27000</v>
      </c>
      <c r="P47" s="27">
        <v>27000</v>
      </c>
      <c r="Q47" s="27">
        <v>0</v>
      </c>
      <c r="R47" s="27">
        <v>27000</v>
      </c>
      <c r="S47" s="27">
        <v>27000</v>
      </c>
      <c r="T47" s="27">
        <v>27000</v>
      </c>
      <c r="U47" s="27">
        <v>27000</v>
      </c>
      <c r="V47" s="27">
        <v>27000</v>
      </c>
      <c r="W47" s="27">
        <v>27000</v>
      </c>
      <c r="X47" s="27">
        <v>27000</v>
      </c>
      <c r="Y47" s="27">
        <v>27000</v>
      </c>
      <c r="Z47" s="11" t="str">
        <f t="shared" si="0"/>
        <v/>
      </c>
      <c r="AA47" s="11">
        <f t="shared" si="1"/>
        <v>27000</v>
      </c>
      <c r="AB47" s="11">
        <f t="shared" si="2"/>
        <v>27000</v>
      </c>
      <c r="AC47" s="11">
        <f t="shared" si="3"/>
        <v>27000</v>
      </c>
      <c r="AD47" s="11">
        <f t="shared" si="4"/>
        <v>27000</v>
      </c>
      <c r="AE47" s="11">
        <f t="shared" si="5"/>
        <v>27000</v>
      </c>
    </row>
    <row r="48" spans="1:31" x14ac:dyDescent="0.35">
      <c r="A48" s="3">
        <v>44</v>
      </c>
      <c r="B48" s="3" t="s">
        <v>320</v>
      </c>
      <c r="C48" s="3" t="s">
        <v>304</v>
      </c>
      <c r="D48" s="27">
        <v>0</v>
      </c>
      <c r="E48" s="27">
        <v>0</v>
      </c>
      <c r="F48" s="27">
        <v>0</v>
      </c>
      <c r="G48" s="27">
        <v>0</v>
      </c>
      <c r="H48" s="27">
        <v>0</v>
      </c>
      <c r="I48" s="27">
        <v>14000</v>
      </c>
      <c r="J48" s="27">
        <v>14000</v>
      </c>
      <c r="K48" s="27">
        <v>14000</v>
      </c>
      <c r="L48" s="27">
        <v>14000</v>
      </c>
      <c r="M48" s="27">
        <v>14000</v>
      </c>
      <c r="N48" s="27">
        <v>14000</v>
      </c>
      <c r="O48" s="27">
        <v>14000</v>
      </c>
      <c r="P48" s="27">
        <v>14000</v>
      </c>
      <c r="Q48" s="27">
        <v>0</v>
      </c>
      <c r="R48" s="27">
        <v>14000</v>
      </c>
      <c r="S48" s="27">
        <v>14000</v>
      </c>
      <c r="T48" s="27">
        <v>14000</v>
      </c>
      <c r="U48" s="27">
        <v>14000</v>
      </c>
      <c r="V48" s="27">
        <v>14000</v>
      </c>
      <c r="W48" s="27">
        <v>14000</v>
      </c>
      <c r="X48" s="27">
        <v>14000</v>
      </c>
      <c r="Y48" s="27">
        <v>14000</v>
      </c>
      <c r="Z48" s="11" t="str">
        <f t="shared" si="0"/>
        <v/>
      </c>
      <c r="AA48" s="11">
        <f t="shared" si="1"/>
        <v>14000</v>
      </c>
      <c r="AB48" s="11">
        <f t="shared" si="2"/>
        <v>14000</v>
      </c>
      <c r="AC48" s="11">
        <f t="shared" si="3"/>
        <v>14000</v>
      </c>
      <c r="AD48" s="11">
        <f t="shared" si="4"/>
        <v>14000</v>
      </c>
      <c r="AE48" s="11">
        <f t="shared" si="5"/>
        <v>14000</v>
      </c>
    </row>
  </sheetData>
  <mergeCells count="1">
    <mergeCell ref="A1:AE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48"/>
  <sheetViews>
    <sheetView showGridLines="0" zoomScaleNormal="100" workbookViewId="0">
      <pane xSplit="3" ySplit="4" topLeftCell="D5" activePane="bottomRight" state="frozen"/>
      <selection pane="topRight" activeCell="D1" sqref="D1"/>
      <selection pane="bottomLeft" activeCell="A5" sqref="A5"/>
      <selection pane="bottomRight" sqref="A1:AE1"/>
    </sheetView>
  </sheetViews>
  <sheetFormatPr defaultColWidth="8.6328125" defaultRowHeight="14.5" x14ac:dyDescent="0.35"/>
  <cols>
    <col min="1" max="1" width="4" customWidth="1"/>
    <col min="2" max="2" width="30" customWidth="1"/>
    <col min="3" max="3" width="4" customWidth="1"/>
    <col min="4" max="25" width="9" customWidth="1"/>
    <col min="26" max="31" width="14" customWidth="1"/>
  </cols>
  <sheetData>
    <row r="1" spans="1:31" ht="16.5" x14ac:dyDescent="0.35">
      <c r="A1" s="30" t="s">
        <v>375</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row>
    <row r="2" spans="1:31" x14ac:dyDescent="0.35">
      <c r="A2" s="6" t="s">
        <v>276</v>
      </c>
    </row>
    <row r="4" spans="1:31" ht="21" x14ac:dyDescent="0.35">
      <c r="A4" s="8" t="s">
        <v>0</v>
      </c>
      <c r="B4" s="8" t="s">
        <v>277</v>
      </c>
      <c r="C4" s="8" t="s">
        <v>278</v>
      </c>
      <c r="D4" s="29">
        <v>46143</v>
      </c>
      <c r="E4" s="29">
        <v>46144</v>
      </c>
      <c r="F4" s="29">
        <v>46147</v>
      </c>
      <c r="G4" s="29">
        <v>46148</v>
      </c>
      <c r="H4" s="29">
        <v>46149</v>
      </c>
      <c r="I4" s="29">
        <v>46150</v>
      </c>
      <c r="J4" s="29">
        <v>46151</v>
      </c>
      <c r="K4" s="29">
        <v>46154</v>
      </c>
      <c r="L4" s="29">
        <v>46155</v>
      </c>
      <c r="M4" s="29">
        <v>46156</v>
      </c>
      <c r="N4" s="29">
        <v>46157</v>
      </c>
      <c r="O4" s="29">
        <v>46158</v>
      </c>
      <c r="P4" s="29">
        <v>46161</v>
      </c>
      <c r="Q4" s="29">
        <v>46162</v>
      </c>
      <c r="R4" s="29">
        <v>46163</v>
      </c>
      <c r="S4" s="29">
        <v>46164</v>
      </c>
      <c r="T4" s="29">
        <v>46165</v>
      </c>
      <c r="U4" s="29">
        <v>46168</v>
      </c>
      <c r="V4" s="29">
        <v>46169</v>
      </c>
      <c r="W4" s="29">
        <v>46170</v>
      </c>
      <c r="X4" s="29">
        <v>46171</v>
      </c>
      <c r="Y4" s="29">
        <v>46172</v>
      </c>
      <c r="Z4" s="8" t="s">
        <v>336</v>
      </c>
      <c r="AA4" s="8" t="s">
        <v>337</v>
      </c>
      <c r="AB4" s="8" t="s">
        <v>338</v>
      </c>
      <c r="AC4" s="8" t="s">
        <v>339</v>
      </c>
      <c r="AD4" s="8" t="s">
        <v>340</v>
      </c>
      <c r="AE4" s="8" t="s">
        <v>376</v>
      </c>
    </row>
    <row r="5" spans="1:31" x14ac:dyDescent="0.35">
      <c r="A5" s="3">
        <v>1</v>
      </c>
      <c r="B5" s="3" t="s">
        <v>240</v>
      </c>
      <c r="C5" s="3" t="s">
        <v>304</v>
      </c>
      <c r="D5" s="27">
        <v>0</v>
      </c>
      <c r="E5" s="27">
        <v>12000</v>
      </c>
      <c r="F5" s="27">
        <v>12000</v>
      </c>
      <c r="G5" s="27">
        <v>12000</v>
      </c>
      <c r="H5" s="27">
        <v>12000</v>
      </c>
      <c r="I5" s="27">
        <v>12000</v>
      </c>
      <c r="J5" s="27">
        <v>12000</v>
      </c>
      <c r="K5" s="27">
        <v>0</v>
      </c>
      <c r="L5" s="27">
        <v>0</v>
      </c>
      <c r="M5" s="27">
        <v>12000</v>
      </c>
      <c r="N5" s="27">
        <v>12000</v>
      </c>
      <c r="O5" s="27">
        <v>12000</v>
      </c>
      <c r="P5" s="27">
        <v>12000</v>
      </c>
      <c r="Q5" s="27">
        <v>12000</v>
      </c>
      <c r="R5" s="27">
        <v>12000</v>
      </c>
      <c r="S5" s="27">
        <v>12000</v>
      </c>
      <c r="T5" s="27">
        <v>12000</v>
      </c>
      <c r="U5" s="27">
        <v>12000</v>
      </c>
      <c r="V5" s="27">
        <v>12000</v>
      </c>
      <c r="W5" s="27">
        <v>12000</v>
      </c>
      <c r="X5" s="27">
        <v>0</v>
      </c>
      <c r="Y5" s="27">
        <v>0</v>
      </c>
      <c r="Z5" s="11">
        <f t="shared" ref="Z5:Z48" si="0">IFERROR(AVERAGEIF(D5:E5,"&lt;&gt;0"),"")</f>
        <v>12000</v>
      </c>
      <c r="AA5" s="11">
        <f t="shared" ref="AA5:AA48" si="1">IFERROR(AVERAGEIF(F5:J5,"&lt;&gt;0"),"")</f>
        <v>12000</v>
      </c>
      <c r="AB5" s="11">
        <f t="shared" ref="AB5:AB48" si="2">IFERROR(AVERAGEIF(K5:O5,"&lt;&gt;0"),"")</f>
        <v>12000</v>
      </c>
      <c r="AC5" s="11">
        <f t="shared" ref="AC5:AC48" si="3">IFERROR(AVERAGEIF(P5:T5,"&lt;&gt;0"),"")</f>
        <v>12000</v>
      </c>
      <c r="AD5" s="11">
        <f t="shared" ref="AD5:AD48" si="4">IFERROR(AVERAGEIF(U5:Y5,"&lt;&gt;0"),"")</f>
        <v>12000</v>
      </c>
      <c r="AE5" s="11">
        <f t="shared" ref="AE5:AE48" si="5">IFERROR(AVERAGEIF(D5:Y5,"&lt;&gt;0"),"")</f>
        <v>12000</v>
      </c>
    </row>
    <row r="6" spans="1:31" x14ac:dyDescent="0.35">
      <c r="A6" s="3">
        <v>2</v>
      </c>
      <c r="B6" s="3" t="s">
        <v>241</v>
      </c>
      <c r="C6" s="3" t="s">
        <v>304</v>
      </c>
      <c r="D6" s="27">
        <v>0</v>
      </c>
      <c r="E6" s="27">
        <v>13000</v>
      </c>
      <c r="F6" s="27">
        <v>13000</v>
      </c>
      <c r="G6" s="27">
        <v>13000</v>
      </c>
      <c r="H6" s="27">
        <v>13000</v>
      </c>
      <c r="I6" s="27">
        <v>13000</v>
      </c>
      <c r="J6" s="27">
        <v>13000</v>
      </c>
      <c r="K6" s="27">
        <v>0</v>
      </c>
      <c r="L6" s="27">
        <v>0</v>
      </c>
      <c r="M6" s="27">
        <v>13000</v>
      </c>
      <c r="N6" s="27">
        <v>13000</v>
      </c>
      <c r="O6" s="27">
        <v>13000</v>
      </c>
      <c r="P6" s="27">
        <v>13000</v>
      </c>
      <c r="Q6" s="27">
        <v>13000</v>
      </c>
      <c r="R6" s="27">
        <v>13000</v>
      </c>
      <c r="S6" s="27">
        <v>13000</v>
      </c>
      <c r="T6" s="27">
        <v>13000</v>
      </c>
      <c r="U6" s="27">
        <v>13000</v>
      </c>
      <c r="V6" s="27">
        <v>13000</v>
      </c>
      <c r="W6" s="27">
        <v>13000</v>
      </c>
      <c r="X6" s="27">
        <v>0</v>
      </c>
      <c r="Y6" s="27">
        <v>0</v>
      </c>
      <c r="Z6" s="11">
        <f t="shared" si="0"/>
        <v>13000</v>
      </c>
      <c r="AA6" s="11">
        <f t="shared" si="1"/>
        <v>13000</v>
      </c>
      <c r="AB6" s="11">
        <f t="shared" si="2"/>
        <v>13000</v>
      </c>
      <c r="AC6" s="11">
        <f t="shared" si="3"/>
        <v>13000</v>
      </c>
      <c r="AD6" s="11">
        <f t="shared" si="4"/>
        <v>13000</v>
      </c>
      <c r="AE6" s="11">
        <f t="shared" si="5"/>
        <v>13000</v>
      </c>
    </row>
    <row r="7" spans="1:31" x14ac:dyDescent="0.35">
      <c r="A7" s="3">
        <v>3</v>
      </c>
      <c r="B7" s="3" t="s">
        <v>242</v>
      </c>
      <c r="C7" s="3" t="s">
        <v>304</v>
      </c>
      <c r="D7" s="28"/>
      <c r="E7" s="28"/>
      <c r="F7" s="28"/>
      <c r="G7" s="28"/>
      <c r="H7" s="28"/>
      <c r="I7" s="28"/>
      <c r="J7" s="28"/>
      <c r="K7" s="28"/>
      <c r="L7" s="28"/>
      <c r="M7" s="28"/>
      <c r="N7" s="28"/>
      <c r="O7" s="28"/>
      <c r="P7" s="28"/>
      <c r="Q7" s="28"/>
      <c r="R7" s="28"/>
      <c r="S7" s="28"/>
      <c r="T7" s="28"/>
      <c r="U7" s="28"/>
      <c r="V7" s="28"/>
      <c r="W7" s="28"/>
      <c r="X7" s="28"/>
      <c r="Y7" s="28"/>
      <c r="Z7" s="11" t="str">
        <f t="shared" si="0"/>
        <v/>
      </c>
      <c r="AA7" s="11" t="str">
        <f t="shared" si="1"/>
        <v/>
      </c>
      <c r="AB7" s="11" t="str">
        <f t="shared" si="2"/>
        <v/>
      </c>
      <c r="AC7" s="11" t="str">
        <f t="shared" si="3"/>
        <v/>
      </c>
      <c r="AD7" s="11" t="str">
        <f t="shared" si="4"/>
        <v/>
      </c>
      <c r="AE7" s="11" t="str">
        <f t="shared" si="5"/>
        <v/>
      </c>
    </row>
    <row r="8" spans="1:31" x14ac:dyDescent="0.35">
      <c r="A8" s="3">
        <v>4</v>
      </c>
      <c r="B8" s="3" t="s">
        <v>305</v>
      </c>
      <c r="C8" s="3" t="s">
        <v>304</v>
      </c>
      <c r="D8" s="27">
        <v>0</v>
      </c>
      <c r="E8" s="27">
        <v>11000</v>
      </c>
      <c r="F8" s="27">
        <v>11000</v>
      </c>
      <c r="G8" s="27">
        <v>11000</v>
      </c>
      <c r="H8" s="27">
        <v>11000</v>
      </c>
      <c r="I8" s="27">
        <v>11000</v>
      </c>
      <c r="J8" s="27">
        <v>11000</v>
      </c>
      <c r="K8" s="27">
        <v>0</v>
      </c>
      <c r="L8" s="27">
        <v>0</v>
      </c>
      <c r="M8" s="27">
        <v>11000</v>
      </c>
      <c r="N8" s="27">
        <v>11000</v>
      </c>
      <c r="O8" s="27">
        <v>11000</v>
      </c>
      <c r="P8" s="27">
        <v>11000</v>
      </c>
      <c r="Q8" s="27">
        <v>11000</v>
      </c>
      <c r="R8" s="27">
        <v>11000</v>
      </c>
      <c r="S8" s="27">
        <v>11000</v>
      </c>
      <c r="T8" s="27">
        <v>11000</v>
      </c>
      <c r="U8" s="27">
        <v>11000</v>
      </c>
      <c r="V8" s="27">
        <v>11000</v>
      </c>
      <c r="W8" s="27">
        <v>11000</v>
      </c>
      <c r="X8" s="27">
        <v>0</v>
      </c>
      <c r="Y8" s="27">
        <v>0</v>
      </c>
      <c r="Z8" s="11">
        <f t="shared" si="0"/>
        <v>11000</v>
      </c>
      <c r="AA8" s="11">
        <f t="shared" si="1"/>
        <v>11000</v>
      </c>
      <c r="AB8" s="11">
        <f t="shared" si="2"/>
        <v>11000</v>
      </c>
      <c r="AC8" s="11">
        <f t="shared" si="3"/>
        <v>11000</v>
      </c>
      <c r="AD8" s="11">
        <f t="shared" si="4"/>
        <v>11000</v>
      </c>
      <c r="AE8" s="11">
        <f t="shared" si="5"/>
        <v>11000</v>
      </c>
    </row>
    <row r="9" spans="1:31" x14ac:dyDescent="0.35">
      <c r="A9" s="3">
        <v>5</v>
      </c>
      <c r="B9" s="3" t="s">
        <v>261</v>
      </c>
      <c r="C9" s="3" t="s">
        <v>304</v>
      </c>
      <c r="D9" s="27">
        <v>0</v>
      </c>
      <c r="E9" s="27">
        <v>25000</v>
      </c>
      <c r="F9" s="27">
        <v>27000</v>
      </c>
      <c r="G9" s="27">
        <v>27000</v>
      </c>
      <c r="H9" s="27">
        <v>27000</v>
      </c>
      <c r="I9" s="27">
        <v>28000</v>
      </c>
      <c r="J9" s="27">
        <v>28000</v>
      </c>
      <c r="K9" s="27">
        <v>0</v>
      </c>
      <c r="L9" s="27">
        <v>0</v>
      </c>
      <c r="M9" s="27">
        <v>24000</v>
      </c>
      <c r="N9" s="27">
        <v>24000</v>
      </c>
      <c r="O9" s="27">
        <v>24000</v>
      </c>
      <c r="P9" s="27">
        <v>26000</v>
      </c>
      <c r="Q9" s="27">
        <v>26000</v>
      </c>
      <c r="R9" s="27">
        <v>26000</v>
      </c>
      <c r="S9" s="27">
        <v>26000</v>
      </c>
      <c r="T9" s="27">
        <v>28000</v>
      </c>
      <c r="U9" s="27">
        <v>26000</v>
      </c>
      <c r="V9" s="27">
        <v>27000</v>
      </c>
      <c r="W9" s="27">
        <v>27000</v>
      </c>
      <c r="X9" s="27">
        <v>0</v>
      </c>
      <c r="Y9" s="27">
        <v>0</v>
      </c>
      <c r="Z9" s="11">
        <f t="shared" si="0"/>
        <v>25000</v>
      </c>
      <c r="AA9" s="11">
        <f t="shared" si="1"/>
        <v>27400</v>
      </c>
      <c r="AB9" s="11">
        <f t="shared" si="2"/>
        <v>24000</v>
      </c>
      <c r="AC9" s="11">
        <f t="shared" si="3"/>
        <v>26400</v>
      </c>
      <c r="AD9" s="11">
        <f t="shared" si="4"/>
        <v>26666.666666666668</v>
      </c>
      <c r="AE9" s="11">
        <f t="shared" si="5"/>
        <v>26235.294117647059</v>
      </c>
    </row>
    <row r="10" spans="1:31" x14ac:dyDescent="0.35">
      <c r="A10" s="3">
        <v>6</v>
      </c>
      <c r="B10" s="3" t="s">
        <v>262</v>
      </c>
      <c r="C10" s="3" t="s">
        <v>304</v>
      </c>
      <c r="D10" s="27">
        <v>0</v>
      </c>
      <c r="E10" s="27">
        <v>25000</v>
      </c>
      <c r="F10" s="27">
        <v>25000</v>
      </c>
      <c r="G10" s="27">
        <v>25000</v>
      </c>
      <c r="H10" s="27">
        <v>25000</v>
      </c>
      <c r="I10" s="27">
        <v>25000</v>
      </c>
      <c r="J10" s="27">
        <v>25000</v>
      </c>
      <c r="K10" s="27">
        <v>0</v>
      </c>
      <c r="L10" s="27">
        <v>0</v>
      </c>
      <c r="M10" s="27">
        <v>24000</v>
      </c>
      <c r="N10" s="27">
        <v>24000</v>
      </c>
      <c r="O10" s="27">
        <v>24000</v>
      </c>
      <c r="P10" s="27">
        <v>24000</v>
      </c>
      <c r="Q10" s="27">
        <v>24000</v>
      </c>
      <c r="R10" s="27">
        <v>24000</v>
      </c>
      <c r="S10" s="27">
        <v>24000</v>
      </c>
      <c r="T10" s="27">
        <v>26000</v>
      </c>
      <c r="U10" s="27">
        <v>26000</v>
      </c>
      <c r="V10" s="27">
        <v>27000</v>
      </c>
      <c r="W10" s="27">
        <v>27000</v>
      </c>
      <c r="X10" s="27">
        <v>0</v>
      </c>
      <c r="Y10" s="27">
        <v>0</v>
      </c>
      <c r="Z10" s="11">
        <f t="shared" si="0"/>
        <v>25000</v>
      </c>
      <c r="AA10" s="11">
        <f t="shared" si="1"/>
        <v>25000</v>
      </c>
      <c r="AB10" s="11">
        <f t="shared" si="2"/>
        <v>24000</v>
      </c>
      <c r="AC10" s="11">
        <f t="shared" si="3"/>
        <v>24400</v>
      </c>
      <c r="AD10" s="11">
        <f t="shared" si="4"/>
        <v>26666.666666666668</v>
      </c>
      <c r="AE10" s="11">
        <f t="shared" si="5"/>
        <v>24941.176470588234</v>
      </c>
    </row>
    <row r="11" spans="1:31" x14ac:dyDescent="0.35">
      <c r="A11" s="3">
        <v>7</v>
      </c>
      <c r="B11" s="3" t="s">
        <v>251</v>
      </c>
      <c r="C11" s="3" t="s">
        <v>304</v>
      </c>
      <c r="D11" s="27">
        <v>0</v>
      </c>
      <c r="E11" s="27">
        <v>28000</v>
      </c>
      <c r="F11" s="27">
        <v>28000</v>
      </c>
      <c r="G11" s="27">
        <v>28000</v>
      </c>
      <c r="H11" s="27">
        <v>28000</v>
      </c>
      <c r="I11" s="27">
        <v>25000</v>
      </c>
      <c r="J11" s="27">
        <v>25000</v>
      </c>
      <c r="K11" s="27">
        <v>0</v>
      </c>
      <c r="L11" s="27">
        <v>0</v>
      </c>
      <c r="M11" s="27">
        <v>20000</v>
      </c>
      <c r="N11" s="27">
        <v>20000</v>
      </c>
      <c r="O11" s="27">
        <v>20000</v>
      </c>
      <c r="P11" s="27">
        <v>20000</v>
      </c>
      <c r="Q11" s="27">
        <v>20000</v>
      </c>
      <c r="R11" s="27">
        <v>20000</v>
      </c>
      <c r="S11" s="27">
        <v>20000</v>
      </c>
      <c r="T11" s="27">
        <v>20000</v>
      </c>
      <c r="U11" s="27">
        <v>20000</v>
      </c>
      <c r="V11" s="27">
        <v>22000</v>
      </c>
      <c r="W11" s="27">
        <v>22000</v>
      </c>
      <c r="X11" s="27">
        <v>0</v>
      </c>
      <c r="Y11" s="27">
        <v>0</v>
      </c>
      <c r="Z11" s="11">
        <f t="shared" si="0"/>
        <v>28000</v>
      </c>
      <c r="AA11" s="11">
        <f t="shared" si="1"/>
        <v>26800</v>
      </c>
      <c r="AB11" s="11">
        <f t="shared" si="2"/>
        <v>20000</v>
      </c>
      <c r="AC11" s="11">
        <f t="shared" si="3"/>
        <v>20000</v>
      </c>
      <c r="AD11" s="11">
        <f t="shared" si="4"/>
        <v>21333.333333333332</v>
      </c>
      <c r="AE11" s="11">
        <f t="shared" si="5"/>
        <v>22705.882352941175</v>
      </c>
    </row>
    <row r="12" spans="1:31" x14ac:dyDescent="0.35">
      <c r="A12" s="3">
        <v>8</v>
      </c>
      <c r="B12" s="3" t="s">
        <v>256</v>
      </c>
      <c r="C12" s="3" t="s">
        <v>304</v>
      </c>
      <c r="D12" s="27">
        <v>0</v>
      </c>
      <c r="E12" s="27">
        <v>29000</v>
      </c>
      <c r="F12" s="27">
        <v>29000</v>
      </c>
      <c r="G12" s="27">
        <v>29000</v>
      </c>
      <c r="H12" s="27">
        <v>29000</v>
      </c>
      <c r="I12" s="27">
        <v>30000</v>
      </c>
      <c r="J12" s="27">
        <v>30000</v>
      </c>
      <c r="K12" s="27">
        <v>0</v>
      </c>
      <c r="L12" s="27">
        <v>0</v>
      </c>
      <c r="M12" s="27">
        <v>30000</v>
      </c>
      <c r="N12" s="27">
        <v>30000</v>
      </c>
      <c r="O12" s="27">
        <v>30000</v>
      </c>
      <c r="P12" s="27">
        <v>30000</v>
      </c>
      <c r="Q12" s="27">
        <v>30000</v>
      </c>
      <c r="R12" s="27">
        <v>30000</v>
      </c>
      <c r="S12" s="27">
        <v>30000</v>
      </c>
      <c r="T12" s="27">
        <v>30000</v>
      </c>
      <c r="U12" s="27">
        <v>30000</v>
      </c>
      <c r="V12" s="27">
        <v>28000</v>
      </c>
      <c r="W12" s="27">
        <v>28000</v>
      </c>
      <c r="X12" s="27">
        <v>0</v>
      </c>
      <c r="Y12" s="27">
        <v>0</v>
      </c>
      <c r="Z12" s="11">
        <f t="shared" si="0"/>
        <v>29000</v>
      </c>
      <c r="AA12" s="11">
        <f t="shared" si="1"/>
        <v>29400</v>
      </c>
      <c r="AB12" s="11">
        <f t="shared" si="2"/>
        <v>30000</v>
      </c>
      <c r="AC12" s="11">
        <f t="shared" si="3"/>
        <v>30000</v>
      </c>
      <c r="AD12" s="11">
        <f t="shared" si="4"/>
        <v>28666.666666666668</v>
      </c>
      <c r="AE12" s="11">
        <f t="shared" si="5"/>
        <v>29529.411764705881</v>
      </c>
    </row>
    <row r="13" spans="1:31" x14ac:dyDescent="0.35">
      <c r="A13" s="3">
        <v>9</v>
      </c>
      <c r="B13" s="3" t="s">
        <v>253</v>
      </c>
      <c r="C13" s="3" t="s">
        <v>304</v>
      </c>
      <c r="D13" s="27">
        <v>0</v>
      </c>
      <c r="E13" s="27">
        <v>16000</v>
      </c>
      <c r="F13" s="27">
        <v>16000</v>
      </c>
      <c r="G13" s="27">
        <v>16000</v>
      </c>
      <c r="H13" s="27">
        <v>16000</v>
      </c>
      <c r="I13" s="27">
        <v>16000</v>
      </c>
      <c r="J13" s="27">
        <v>16000</v>
      </c>
      <c r="K13" s="27">
        <v>0</v>
      </c>
      <c r="L13" s="27">
        <v>0</v>
      </c>
      <c r="M13" s="27">
        <v>16000</v>
      </c>
      <c r="N13" s="27">
        <v>16000</v>
      </c>
      <c r="O13" s="27">
        <v>16000</v>
      </c>
      <c r="P13" s="27">
        <v>16000</v>
      </c>
      <c r="Q13" s="27">
        <v>16000</v>
      </c>
      <c r="R13" s="27">
        <v>16000</v>
      </c>
      <c r="S13" s="27">
        <v>16000</v>
      </c>
      <c r="T13" s="27">
        <v>16000</v>
      </c>
      <c r="U13" s="27">
        <v>16500</v>
      </c>
      <c r="V13" s="27">
        <v>16500</v>
      </c>
      <c r="W13" s="27">
        <v>16500</v>
      </c>
      <c r="X13" s="27">
        <v>0</v>
      </c>
      <c r="Y13" s="27">
        <v>0</v>
      </c>
      <c r="Z13" s="11">
        <f t="shared" si="0"/>
        <v>16000</v>
      </c>
      <c r="AA13" s="11">
        <f t="shared" si="1"/>
        <v>16000</v>
      </c>
      <c r="AB13" s="11">
        <f t="shared" si="2"/>
        <v>16000</v>
      </c>
      <c r="AC13" s="11">
        <f t="shared" si="3"/>
        <v>16000</v>
      </c>
      <c r="AD13" s="11">
        <f t="shared" si="4"/>
        <v>16500</v>
      </c>
      <c r="AE13" s="11">
        <f t="shared" si="5"/>
        <v>16088.235294117647</v>
      </c>
    </row>
    <row r="14" spans="1:31" x14ac:dyDescent="0.35">
      <c r="A14" s="3">
        <v>10</v>
      </c>
      <c r="B14" s="3" t="s">
        <v>246</v>
      </c>
      <c r="C14" s="3" t="s">
        <v>304</v>
      </c>
      <c r="D14" s="27">
        <v>0</v>
      </c>
      <c r="E14" s="27">
        <v>15000</v>
      </c>
      <c r="F14" s="27">
        <v>15000</v>
      </c>
      <c r="G14" s="27">
        <v>15000</v>
      </c>
      <c r="H14" s="27">
        <v>15000</v>
      </c>
      <c r="I14" s="27">
        <v>15000</v>
      </c>
      <c r="J14" s="27">
        <v>15000</v>
      </c>
      <c r="K14" s="27">
        <v>0</v>
      </c>
      <c r="L14" s="27">
        <v>0</v>
      </c>
      <c r="M14" s="27">
        <v>15000</v>
      </c>
      <c r="N14" s="27">
        <v>15000</v>
      </c>
      <c r="O14" s="27">
        <v>15000</v>
      </c>
      <c r="P14" s="27">
        <v>15000</v>
      </c>
      <c r="Q14" s="27">
        <v>15000</v>
      </c>
      <c r="R14" s="27">
        <v>15000</v>
      </c>
      <c r="S14" s="27">
        <v>15000</v>
      </c>
      <c r="T14" s="27">
        <v>15000</v>
      </c>
      <c r="U14" s="27">
        <v>15000</v>
      </c>
      <c r="V14" s="27">
        <v>15000</v>
      </c>
      <c r="W14" s="27">
        <v>15000</v>
      </c>
      <c r="X14" s="27">
        <v>0</v>
      </c>
      <c r="Y14" s="27">
        <v>0</v>
      </c>
      <c r="Z14" s="11">
        <f t="shared" si="0"/>
        <v>15000</v>
      </c>
      <c r="AA14" s="11">
        <f t="shared" si="1"/>
        <v>15000</v>
      </c>
      <c r="AB14" s="11">
        <f t="shared" si="2"/>
        <v>15000</v>
      </c>
      <c r="AC14" s="11">
        <f t="shared" si="3"/>
        <v>15000</v>
      </c>
      <c r="AD14" s="11">
        <f t="shared" si="4"/>
        <v>15000</v>
      </c>
      <c r="AE14" s="11">
        <f t="shared" si="5"/>
        <v>15000</v>
      </c>
    </row>
    <row r="15" spans="1:31" x14ac:dyDescent="0.35">
      <c r="A15" s="3">
        <v>11</v>
      </c>
      <c r="B15" s="3" t="s">
        <v>247</v>
      </c>
      <c r="C15" s="3" t="s">
        <v>304</v>
      </c>
      <c r="D15" s="27">
        <v>0</v>
      </c>
      <c r="E15" s="27">
        <v>18000</v>
      </c>
      <c r="F15" s="27">
        <v>18000</v>
      </c>
      <c r="G15" s="27">
        <v>18000</v>
      </c>
      <c r="H15" s="27">
        <v>18000</v>
      </c>
      <c r="I15" s="27">
        <v>18000</v>
      </c>
      <c r="J15" s="27">
        <v>18000</v>
      </c>
      <c r="K15" s="27">
        <v>0</v>
      </c>
      <c r="L15" s="27">
        <v>0</v>
      </c>
      <c r="M15" s="27">
        <v>18000</v>
      </c>
      <c r="N15" s="27">
        <v>18000</v>
      </c>
      <c r="O15" s="27">
        <v>18000</v>
      </c>
      <c r="P15" s="27">
        <v>18000</v>
      </c>
      <c r="Q15" s="27">
        <v>18000</v>
      </c>
      <c r="R15" s="27">
        <v>18000</v>
      </c>
      <c r="S15" s="27">
        <v>18000</v>
      </c>
      <c r="T15" s="27">
        <v>18000</v>
      </c>
      <c r="U15" s="27">
        <v>18000</v>
      </c>
      <c r="V15" s="27">
        <v>18000</v>
      </c>
      <c r="W15" s="27">
        <v>18000</v>
      </c>
      <c r="X15" s="27">
        <v>0</v>
      </c>
      <c r="Y15" s="27">
        <v>0</v>
      </c>
      <c r="Z15" s="11">
        <f t="shared" si="0"/>
        <v>18000</v>
      </c>
      <c r="AA15" s="11">
        <f t="shared" si="1"/>
        <v>18000</v>
      </c>
      <c r="AB15" s="11">
        <f t="shared" si="2"/>
        <v>18000</v>
      </c>
      <c r="AC15" s="11">
        <f t="shared" si="3"/>
        <v>18000</v>
      </c>
      <c r="AD15" s="11">
        <f t="shared" si="4"/>
        <v>18000</v>
      </c>
      <c r="AE15" s="11">
        <f t="shared" si="5"/>
        <v>18000</v>
      </c>
    </row>
    <row r="16" spans="1:31" x14ac:dyDescent="0.35">
      <c r="A16" s="3">
        <v>12</v>
      </c>
      <c r="B16" s="3" t="s">
        <v>248</v>
      </c>
      <c r="C16" s="3" t="s">
        <v>304</v>
      </c>
      <c r="D16" s="27">
        <v>0</v>
      </c>
      <c r="E16" s="27">
        <v>15500</v>
      </c>
      <c r="F16" s="27">
        <v>15500</v>
      </c>
      <c r="G16" s="27">
        <v>15500</v>
      </c>
      <c r="H16" s="27">
        <v>15500</v>
      </c>
      <c r="I16" s="27">
        <v>15500</v>
      </c>
      <c r="J16" s="27">
        <v>15500</v>
      </c>
      <c r="K16" s="27">
        <v>0</v>
      </c>
      <c r="L16" s="27">
        <v>0</v>
      </c>
      <c r="M16" s="27">
        <v>15500</v>
      </c>
      <c r="N16" s="27">
        <v>15500</v>
      </c>
      <c r="O16" s="27">
        <v>15500</v>
      </c>
      <c r="P16" s="27">
        <v>15500</v>
      </c>
      <c r="Q16" s="27">
        <v>15500</v>
      </c>
      <c r="R16" s="27">
        <v>15500</v>
      </c>
      <c r="S16" s="27">
        <v>15500</v>
      </c>
      <c r="T16" s="27">
        <v>15500</v>
      </c>
      <c r="U16" s="27">
        <v>15500</v>
      </c>
      <c r="V16" s="27">
        <v>16000</v>
      </c>
      <c r="W16" s="27">
        <v>16000</v>
      </c>
      <c r="X16" s="27">
        <v>0</v>
      </c>
      <c r="Y16" s="27">
        <v>0</v>
      </c>
      <c r="Z16" s="11">
        <f t="shared" si="0"/>
        <v>15500</v>
      </c>
      <c r="AA16" s="11">
        <f t="shared" si="1"/>
        <v>15500</v>
      </c>
      <c r="AB16" s="11">
        <f t="shared" si="2"/>
        <v>15500</v>
      </c>
      <c r="AC16" s="11">
        <f t="shared" si="3"/>
        <v>15500</v>
      </c>
      <c r="AD16" s="11">
        <f t="shared" si="4"/>
        <v>15833.333333333334</v>
      </c>
      <c r="AE16" s="11">
        <f t="shared" si="5"/>
        <v>15558.823529411764</v>
      </c>
    </row>
    <row r="17" spans="1:31" x14ac:dyDescent="0.35">
      <c r="A17" s="3">
        <v>13</v>
      </c>
      <c r="B17" s="3" t="s">
        <v>243</v>
      </c>
      <c r="C17" s="3" t="s">
        <v>304</v>
      </c>
      <c r="D17" s="27">
        <v>0</v>
      </c>
      <c r="E17" s="27">
        <v>9000</v>
      </c>
      <c r="F17" s="27">
        <v>9000</v>
      </c>
      <c r="G17" s="27">
        <v>9000</v>
      </c>
      <c r="H17" s="27">
        <v>9000</v>
      </c>
      <c r="I17" s="27">
        <v>9000</v>
      </c>
      <c r="J17" s="27">
        <v>9000</v>
      </c>
      <c r="K17" s="27">
        <v>0</v>
      </c>
      <c r="L17" s="27">
        <v>0</v>
      </c>
      <c r="M17" s="27">
        <v>9000</v>
      </c>
      <c r="N17" s="27">
        <v>9000</v>
      </c>
      <c r="O17" s="27">
        <v>9000</v>
      </c>
      <c r="P17" s="27">
        <v>9000</v>
      </c>
      <c r="Q17" s="27">
        <v>9000</v>
      </c>
      <c r="R17" s="27">
        <v>9000</v>
      </c>
      <c r="S17" s="27">
        <v>9000</v>
      </c>
      <c r="T17" s="27">
        <v>9000</v>
      </c>
      <c r="U17" s="27">
        <v>9000</v>
      </c>
      <c r="V17" s="27">
        <v>9000</v>
      </c>
      <c r="W17" s="27">
        <v>9000</v>
      </c>
      <c r="X17" s="27">
        <v>0</v>
      </c>
      <c r="Y17" s="27">
        <v>0</v>
      </c>
      <c r="Z17" s="11">
        <f t="shared" si="0"/>
        <v>9000</v>
      </c>
      <c r="AA17" s="11">
        <f t="shared" si="1"/>
        <v>9000</v>
      </c>
      <c r="AB17" s="11">
        <f t="shared" si="2"/>
        <v>9000</v>
      </c>
      <c r="AC17" s="11">
        <f t="shared" si="3"/>
        <v>9000</v>
      </c>
      <c r="AD17" s="11">
        <f t="shared" si="4"/>
        <v>9000</v>
      </c>
      <c r="AE17" s="11">
        <f t="shared" si="5"/>
        <v>9000</v>
      </c>
    </row>
    <row r="18" spans="1:31" x14ac:dyDescent="0.35">
      <c r="A18" s="3">
        <v>14</v>
      </c>
      <c r="B18" s="3" t="s">
        <v>245</v>
      </c>
      <c r="C18" s="3" t="s">
        <v>304</v>
      </c>
      <c r="D18" s="27">
        <v>0</v>
      </c>
      <c r="E18" s="27">
        <v>25000</v>
      </c>
      <c r="F18" s="27">
        <v>25000</v>
      </c>
      <c r="G18" s="27">
        <v>25000</v>
      </c>
      <c r="H18" s="27">
        <v>25000</v>
      </c>
      <c r="I18" s="27">
        <v>27000</v>
      </c>
      <c r="J18" s="27">
        <v>27000</v>
      </c>
      <c r="K18" s="27">
        <v>0</v>
      </c>
      <c r="L18" s="27">
        <v>0</v>
      </c>
      <c r="M18" s="27">
        <v>27000</v>
      </c>
      <c r="N18" s="27">
        <v>27000</v>
      </c>
      <c r="O18" s="27">
        <v>27000</v>
      </c>
      <c r="P18" s="27">
        <v>27000</v>
      </c>
      <c r="Q18" s="27">
        <v>27000</v>
      </c>
      <c r="R18" s="27">
        <v>27000</v>
      </c>
      <c r="S18" s="27">
        <v>27000</v>
      </c>
      <c r="T18" s="27">
        <v>27000</v>
      </c>
      <c r="U18" s="27">
        <v>28000</v>
      </c>
      <c r="V18" s="27">
        <v>28000</v>
      </c>
      <c r="W18" s="27">
        <v>28000</v>
      </c>
      <c r="X18" s="27">
        <v>0</v>
      </c>
      <c r="Y18" s="27">
        <v>0</v>
      </c>
      <c r="Z18" s="11">
        <f t="shared" si="0"/>
        <v>25000</v>
      </c>
      <c r="AA18" s="11">
        <f t="shared" si="1"/>
        <v>25800</v>
      </c>
      <c r="AB18" s="11">
        <f t="shared" si="2"/>
        <v>27000</v>
      </c>
      <c r="AC18" s="11">
        <f t="shared" si="3"/>
        <v>27000</v>
      </c>
      <c r="AD18" s="11">
        <f t="shared" si="4"/>
        <v>28000</v>
      </c>
      <c r="AE18" s="11">
        <f t="shared" si="5"/>
        <v>26705.882352941175</v>
      </c>
    </row>
    <row r="19" spans="1:31" x14ac:dyDescent="0.35">
      <c r="A19" s="3">
        <v>15</v>
      </c>
      <c r="B19" s="3" t="s">
        <v>252</v>
      </c>
      <c r="C19" s="3" t="s">
        <v>304</v>
      </c>
      <c r="D19" s="27">
        <v>0</v>
      </c>
      <c r="E19" s="27">
        <v>23000</v>
      </c>
      <c r="F19" s="27">
        <v>23000</v>
      </c>
      <c r="G19" s="27">
        <v>23000</v>
      </c>
      <c r="H19" s="27">
        <v>23000</v>
      </c>
      <c r="I19" s="27">
        <v>23000</v>
      </c>
      <c r="J19" s="27">
        <v>23000</v>
      </c>
      <c r="K19" s="27">
        <v>0</v>
      </c>
      <c r="L19" s="27">
        <v>0</v>
      </c>
      <c r="M19" s="27">
        <v>23000</v>
      </c>
      <c r="N19" s="27">
        <v>23000</v>
      </c>
      <c r="O19" s="27">
        <v>23000</v>
      </c>
      <c r="P19" s="27">
        <v>23000</v>
      </c>
      <c r="Q19" s="27">
        <v>23000</v>
      </c>
      <c r="R19" s="27">
        <v>23000</v>
      </c>
      <c r="S19" s="27">
        <v>23000</v>
      </c>
      <c r="T19" s="27">
        <v>23000</v>
      </c>
      <c r="U19" s="27">
        <v>23500</v>
      </c>
      <c r="V19" s="27">
        <v>24000</v>
      </c>
      <c r="W19" s="27">
        <v>24000</v>
      </c>
      <c r="X19" s="27">
        <v>0</v>
      </c>
      <c r="Y19" s="27">
        <v>0</v>
      </c>
      <c r="Z19" s="11">
        <f t="shared" si="0"/>
        <v>23000</v>
      </c>
      <c r="AA19" s="11">
        <f t="shared" si="1"/>
        <v>23000</v>
      </c>
      <c r="AB19" s="11">
        <f t="shared" si="2"/>
        <v>23000</v>
      </c>
      <c r="AC19" s="11">
        <f t="shared" si="3"/>
        <v>23000</v>
      </c>
      <c r="AD19" s="11">
        <f t="shared" si="4"/>
        <v>23833.333333333332</v>
      </c>
      <c r="AE19" s="11">
        <f t="shared" si="5"/>
        <v>23147.058823529413</v>
      </c>
    </row>
    <row r="20" spans="1:31" x14ac:dyDescent="0.35">
      <c r="A20" s="3">
        <v>16</v>
      </c>
      <c r="B20" s="3" t="s">
        <v>263</v>
      </c>
      <c r="C20" s="3" t="s">
        <v>304</v>
      </c>
      <c r="D20" s="27">
        <v>0</v>
      </c>
      <c r="E20" s="27">
        <v>100000</v>
      </c>
      <c r="F20" s="27">
        <v>100000</v>
      </c>
      <c r="G20" s="27">
        <v>100000</v>
      </c>
      <c r="H20" s="27">
        <v>100000</v>
      </c>
      <c r="I20" s="27">
        <v>100000</v>
      </c>
      <c r="J20" s="27">
        <v>100000</v>
      </c>
      <c r="K20" s="27">
        <v>0</v>
      </c>
      <c r="L20" s="27">
        <v>0</v>
      </c>
      <c r="M20" s="27">
        <v>100000</v>
      </c>
      <c r="N20" s="27">
        <v>100000</v>
      </c>
      <c r="O20" s="27">
        <v>100000</v>
      </c>
      <c r="P20" s="27">
        <v>100000</v>
      </c>
      <c r="Q20" s="27">
        <v>100000</v>
      </c>
      <c r="R20" s="27">
        <v>100000</v>
      </c>
      <c r="S20" s="27">
        <v>100000</v>
      </c>
      <c r="T20" s="27">
        <v>100000</v>
      </c>
      <c r="U20" s="27">
        <v>100000</v>
      </c>
      <c r="V20" s="27">
        <v>100000</v>
      </c>
      <c r="W20" s="27">
        <v>100000</v>
      </c>
      <c r="X20" s="27">
        <v>0</v>
      </c>
      <c r="Y20" s="27">
        <v>0</v>
      </c>
      <c r="Z20" s="11">
        <f t="shared" si="0"/>
        <v>100000</v>
      </c>
      <c r="AA20" s="11">
        <f t="shared" si="1"/>
        <v>100000</v>
      </c>
      <c r="AB20" s="11">
        <f t="shared" si="2"/>
        <v>100000</v>
      </c>
      <c r="AC20" s="11">
        <f t="shared" si="3"/>
        <v>100000</v>
      </c>
      <c r="AD20" s="11">
        <f t="shared" si="4"/>
        <v>100000</v>
      </c>
      <c r="AE20" s="11">
        <f t="shared" si="5"/>
        <v>100000</v>
      </c>
    </row>
    <row r="21" spans="1:31" x14ac:dyDescent="0.35">
      <c r="A21" s="3">
        <v>17</v>
      </c>
      <c r="B21" s="3" t="s">
        <v>264</v>
      </c>
      <c r="C21" s="3" t="s">
        <v>304</v>
      </c>
      <c r="D21" s="27">
        <v>0</v>
      </c>
      <c r="E21" s="27">
        <v>55000</v>
      </c>
      <c r="F21" s="27">
        <v>55000</v>
      </c>
      <c r="G21" s="27">
        <v>55000</v>
      </c>
      <c r="H21" s="27">
        <v>55000</v>
      </c>
      <c r="I21" s="27">
        <v>55000</v>
      </c>
      <c r="J21" s="27">
        <v>55000</v>
      </c>
      <c r="K21" s="27">
        <v>0</v>
      </c>
      <c r="L21" s="27">
        <v>0</v>
      </c>
      <c r="M21" s="27">
        <v>55000</v>
      </c>
      <c r="N21" s="27">
        <v>55000</v>
      </c>
      <c r="O21" s="27">
        <v>55000</v>
      </c>
      <c r="P21" s="27">
        <v>55000</v>
      </c>
      <c r="Q21" s="27">
        <v>55000</v>
      </c>
      <c r="R21" s="27">
        <v>55000</v>
      </c>
      <c r="S21" s="27">
        <v>55000</v>
      </c>
      <c r="T21" s="27">
        <v>55000</v>
      </c>
      <c r="U21" s="27">
        <v>55000</v>
      </c>
      <c r="V21" s="27">
        <v>60000</v>
      </c>
      <c r="W21" s="27">
        <v>60000</v>
      </c>
      <c r="X21" s="27">
        <v>0</v>
      </c>
      <c r="Y21" s="27">
        <v>0</v>
      </c>
      <c r="Z21" s="11">
        <f t="shared" si="0"/>
        <v>55000</v>
      </c>
      <c r="AA21" s="11">
        <f t="shared" si="1"/>
        <v>55000</v>
      </c>
      <c r="AB21" s="11">
        <f t="shared" si="2"/>
        <v>55000</v>
      </c>
      <c r="AC21" s="11">
        <f t="shared" si="3"/>
        <v>55000</v>
      </c>
      <c r="AD21" s="11">
        <f t="shared" si="4"/>
        <v>58333.333333333336</v>
      </c>
      <c r="AE21" s="11">
        <f t="shared" si="5"/>
        <v>55588.23529411765</v>
      </c>
    </row>
    <row r="22" spans="1:31" x14ac:dyDescent="0.35">
      <c r="A22" s="3">
        <v>18</v>
      </c>
      <c r="B22" s="3" t="s">
        <v>265</v>
      </c>
      <c r="C22" s="3" t="s">
        <v>304</v>
      </c>
      <c r="D22" s="27">
        <v>0</v>
      </c>
      <c r="E22" s="27">
        <v>60000</v>
      </c>
      <c r="F22" s="27">
        <v>60000</v>
      </c>
      <c r="G22" s="27">
        <v>60000</v>
      </c>
      <c r="H22" s="27">
        <v>60000</v>
      </c>
      <c r="I22" s="27">
        <v>60000</v>
      </c>
      <c r="J22" s="27">
        <v>60000</v>
      </c>
      <c r="K22" s="27">
        <v>0</v>
      </c>
      <c r="L22" s="27">
        <v>0</v>
      </c>
      <c r="M22" s="27">
        <v>60000</v>
      </c>
      <c r="N22" s="27">
        <v>60000</v>
      </c>
      <c r="O22" s="27">
        <v>60000</v>
      </c>
      <c r="P22" s="27">
        <v>60000</v>
      </c>
      <c r="Q22" s="27">
        <v>60000</v>
      </c>
      <c r="R22" s="27">
        <v>60000</v>
      </c>
      <c r="S22" s="27">
        <v>60000</v>
      </c>
      <c r="T22" s="27">
        <v>60000</v>
      </c>
      <c r="U22" s="27">
        <v>60000</v>
      </c>
      <c r="V22" s="27">
        <v>60000</v>
      </c>
      <c r="W22" s="27">
        <v>60000</v>
      </c>
      <c r="X22" s="27">
        <v>0</v>
      </c>
      <c r="Y22" s="27">
        <v>0</v>
      </c>
      <c r="Z22" s="11">
        <f t="shared" si="0"/>
        <v>60000</v>
      </c>
      <c r="AA22" s="11">
        <f t="shared" si="1"/>
        <v>60000</v>
      </c>
      <c r="AB22" s="11">
        <f t="shared" si="2"/>
        <v>60000</v>
      </c>
      <c r="AC22" s="11">
        <f t="shared" si="3"/>
        <v>60000</v>
      </c>
      <c r="AD22" s="11">
        <f t="shared" si="4"/>
        <v>60000</v>
      </c>
      <c r="AE22" s="11">
        <f t="shared" si="5"/>
        <v>60000</v>
      </c>
    </row>
    <row r="23" spans="1:31" x14ac:dyDescent="0.35">
      <c r="A23" s="3">
        <v>19</v>
      </c>
      <c r="B23" s="3" t="s">
        <v>306</v>
      </c>
      <c r="C23" s="3" t="s">
        <v>304</v>
      </c>
      <c r="D23" s="27">
        <v>0</v>
      </c>
      <c r="E23" s="27">
        <v>30000</v>
      </c>
      <c r="F23" s="27">
        <v>30000</v>
      </c>
      <c r="G23" s="27">
        <v>30000</v>
      </c>
      <c r="H23" s="27">
        <v>30000</v>
      </c>
      <c r="I23" s="27">
        <v>30000</v>
      </c>
      <c r="J23" s="27">
        <v>30000</v>
      </c>
      <c r="K23" s="27">
        <v>0</v>
      </c>
      <c r="L23" s="27">
        <v>0</v>
      </c>
      <c r="M23" s="27">
        <v>30000</v>
      </c>
      <c r="N23" s="27">
        <v>30000</v>
      </c>
      <c r="O23" s="27">
        <v>30000</v>
      </c>
      <c r="P23" s="27">
        <v>30000</v>
      </c>
      <c r="Q23" s="27">
        <v>30000</v>
      </c>
      <c r="R23" s="27">
        <v>30000</v>
      </c>
      <c r="S23" s="27">
        <v>30000</v>
      </c>
      <c r="T23" s="27">
        <v>30000</v>
      </c>
      <c r="U23" s="27">
        <v>30000</v>
      </c>
      <c r="V23" s="27">
        <v>30000</v>
      </c>
      <c r="W23" s="27">
        <v>30000</v>
      </c>
      <c r="X23" s="27">
        <v>0</v>
      </c>
      <c r="Y23" s="27">
        <v>0</v>
      </c>
      <c r="Z23" s="11">
        <f t="shared" si="0"/>
        <v>30000</v>
      </c>
      <c r="AA23" s="11">
        <f t="shared" si="1"/>
        <v>30000</v>
      </c>
      <c r="AB23" s="11">
        <f t="shared" si="2"/>
        <v>30000</v>
      </c>
      <c r="AC23" s="11">
        <f t="shared" si="3"/>
        <v>30000</v>
      </c>
      <c r="AD23" s="11">
        <f t="shared" si="4"/>
        <v>30000</v>
      </c>
      <c r="AE23" s="11">
        <f t="shared" si="5"/>
        <v>30000</v>
      </c>
    </row>
    <row r="24" spans="1:31" x14ac:dyDescent="0.35">
      <c r="A24" s="3">
        <v>20</v>
      </c>
      <c r="B24" s="3" t="s">
        <v>254</v>
      </c>
      <c r="C24" s="3" t="s">
        <v>304</v>
      </c>
      <c r="D24" s="27">
        <v>0</v>
      </c>
      <c r="E24" s="27">
        <v>30000</v>
      </c>
      <c r="F24" s="27">
        <v>30000</v>
      </c>
      <c r="G24" s="27">
        <v>30000</v>
      </c>
      <c r="H24" s="27">
        <v>30000</v>
      </c>
      <c r="I24" s="27">
        <v>30000</v>
      </c>
      <c r="J24" s="27">
        <v>30000</v>
      </c>
      <c r="K24" s="27">
        <v>0</v>
      </c>
      <c r="L24" s="27">
        <v>0</v>
      </c>
      <c r="M24" s="27">
        <v>30000</v>
      </c>
      <c r="N24" s="27">
        <v>30000</v>
      </c>
      <c r="O24" s="27">
        <v>30000</v>
      </c>
      <c r="P24" s="27">
        <v>30000</v>
      </c>
      <c r="Q24" s="27">
        <v>30000</v>
      </c>
      <c r="R24" s="27">
        <v>30000</v>
      </c>
      <c r="S24" s="27">
        <v>30000</v>
      </c>
      <c r="T24" s="27">
        <v>30000</v>
      </c>
      <c r="U24" s="27">
        <v>30000</v>
      </c>
      <c r="V24" s="27">
        <v>30000</v>
      </c>
      <c r="W24" s="27">
        <v>30000</v>
      </c>
      <c r="X24" s="27">
        <v>0</v>
      </c>
      <c r="Y24" s="27">
        <v>0</v>
      </c>
      <c r="Z24" s="11">
        <f t="shared" si="0"/>
        <v>30000</v>
      </c>
      <c r="AA24" s="11">
        <f t="shared" si="1"/>
        <v>30000</v>
      </c>
      <c r="AB24" s="11">
        <f t="shared" si="2"/>
        <v>30000</v>
      </c>
      <c r="AC24" s="11">
        <f t="shared" si="3"/>
        <v>30000</v>
      </c>
      <c r="AD24" s="11">
        <f t="shared" si="4"/>
        <v>30000</v>
      </c>
      <c r="AE24" s="11">
        <f t="shared" si="5"/>
        <v>30000</v>
      </c>
    </row>
    <row r="25" spans="1:31" x14ac:dyDescent="0.35">
      <c r="A25" s="3">
        <v>21</v>
      </c>
      <c r="B25" s="3" t="s">
        <v>307</v>
      </c>
      <c r="C25" s="3" t="s">
        <v>304</v>
      </c>
      <c r="D25" s="27">
        <v>0</v>
      </c>
      <c r="E25" s="27">
        <v>60000</v>
      </c>
      <c r="F25" s="27">
        <v>60000</v>
      </c>
      <c r="G25" s="27">
        <v>60000</v>
      </c>
      <c r="H25" s="27">
        <v>60000</v>
      </c>
      <c r="I25" s="27">
        <v>60000</v>
      </c>
      <c r="J25" s="27">
        <v>60000</v>
      </c>
      <c r="K25" s="27">
        <v>0</v>
      </c>
      <c r="L25" s="27">
        <v>0</v>
      </c>
      <c r="M25" s="27">
        <v>60000</v>
      </c>
      <c r="N25" s="27">
        <v>60000</v>
      </c>
      <c r="O25" s="27">
        <v>60000</v>
      </c>
      <c r="P25" s="27">
        <v>60000</v>
      </c>
      <c r="Q25" s="27">
        <v>60000</v>
      </c>
      <c r="R25" s="27">
        <v>60000</v>
      </c>
      <c r="S25" s="27">
        <v>60000</v>
      </c>
      <c r="T25" s="27">
        <v>60000</v>
      </c>
      <c r="U25" s="27">
        <v>60000</v>
      </c>
      <c r="V25" s="27">
        <v>60000</v>
      </c>
      <c r="W25" s="27">
        <v>60000</v>
      </c>
      <c r="X25" s="27">
        <v>0</v>
      </c>
      <c r="Y25" s="27">
        <v>0</v>
      </c>
      <c r="Z25" s="11">
        <f t="shared" si="0"/>
        <v>60000</v>
      </c>
      <c r="AA25" s="11">
        <f t="shared" si="1"/>
        <v>60000</v>
      </c>
      <c r="AB25" s="11">
        <f t="shared" si="2"/>
        <v>60000</v>
      </c>
      <c r="AC25" s="11">
        <f t="shared" si="3"/>
        <v>60000</v>
      </c>
      <c r="AD25" s="11">
        <f t="shared" si="4"/>
        <v>60000</v>
      </c>
      <c r="AE25" s="11">
        <f t="shared" si="5"/>
        <v>60000</v>
      </c>
    </row>
    <row r="26" spans="1:31" x14ac:dyDescent="0.35">
      <c r="A26" s="3">
        <v>22</v>
      </c>
      <c r="B26" s="3" t="s">
        <v>259</v>
      </c>
      <c r="C26" s="3" t="s">
        <v>304</v>
      </c>
      <c r="D26" s="27">
        <v>0</v>
      </c>
      <c r="E26" s="27">
        <v>2800</v>
      </c>
      <c r="F26" s="27">
        <v>2800</v>
      </c>
      <c r="G26" s="27">
        <v>2800</v>
      </c>
      <c r="H26" s="27">
        <v>2800</v>
      </c>
      <c r="I26" s="27">
        <v>2800</v>
      </c>
      <c r="J26" s="27">
        <v>2800</v>
      </c>
      <c r="K26" s="27">
        <v>0</v>
      </c>
      <c r="L26" s="27">
        <v>0</v>
      </c>
      <c r="M26" s="27">
        <v>2800</v>
      </c>
      <c r="N26" s="27">
        <v>2800</v>
      </c>
      <c r="O26" s="27">
        <v>2800</v>
      </c>
      <c r="P26" s="27">
        <v>2800</v>
      </c>
      <c r="Q26" s="27">
        <v>2800</v>
      </c>
      <c r="R26" s="27">
        <v>2800</v>
      </c>
      <c r="S26" s="27">
        <v>2800</v>
      </c>
      <c r="T26" s="27">
        <v>2800</v>
      </c>
      <c r="U26" s="27">
        <v>2800</v>
      </c>
      <c r="V26" s="27">
        <v>2800</v>
      </c>
      <c r="W26" s="27">
        <v>2800</v>
      </c>
      <c r="X26" s="27">
        <v>0</v>
      </c>
      <c r="Y26" s="27">
        <v>0</v>
      </c>
      <c r="Z26" s="11">
        <f t="shared" si="0"/>
        <v>2800</v>
      </c>
      <c r="AA26" s="11">
        <f t="shared" si="1"/>
        <v>2800</v>
      </c>
      <c r="AB26" s="11">
        <f t="shared" si="2"/>
        <v>2800</v>
      </c>
      <c r="AC26" s="11">
        <f t="shared" si="3"/>
        <v>2800</v>
      </c>
      <c r="AD26" s="11">
        <f t="shared" si="4"/>
        <v>2800</v>
      </c>
      <c r="AE26" s="11">
        <f t="shared" si="5"/>
        <v>2800</v>
      </c>
    </row>
    <row r="27" spans="1:31" x14ac:dyDescent="0.35">
      <c r="A27" s="3">
        <v>23</v>
      </c>
      <c r="B27" s="3" t="s">
        <v>257</v>
      </c>
      <c r="C27" s="3" t="s">
        <v>304</v>
      </c>
      <c r="D27" s="27">
        <v>0</v>
      </c>
      <c r="E27" s="27">
        <v>32000</v>
      </c>
      <c r="F27" s="27">
        <v>32000</v>
      </c>
      <c r="G27" s="27">
        <v>32000</v>
      </c>
      <c r="H27" s="27">
        <v>32000</v>
      </c>
      <c r="I27" s="27">
        <v>32000</v>
      </c>
      <c r="J27" s="27">
        <v>32000</v>
      </c>
      <c r="K27" s="27">
        <v>0</v>
      </c>
      <c r="L27" s="27">
        <v>0</v>
      </c>
      <c r="M27" s="27">
        <v>32000</v>
      </c>
      <c r="N27" s="27">
        <v>32000</v>
      </c>
      <c r="O27" s="27">
        <v>32000</v>
      </c>
      <c r="P27" s="27">
        <v>32000</v>
      </c>
      <c r="Q27" s="27">
        <v>32000</v>
      </c>
      <c r="R27" s="27">
        <v>32000</v>
      </c>
      <c r="S27" s="27">
        <v>32000</v>
      </c>
      <c r="T27" s="27">
        <v>32000</v>
      </c>
      <c r="U27" s="27">
        <v>32000</v>
      </c>
      <c r="V27" s="27">
        <v>32000</v>
      </c>
      <c r="W27" s="27">
        <v>32000</v>
      </c>
      <c r="X27" s="27">
        <v>0</v>
      </c>
      <c r="Y27" s="27">
        <v>0</v>
      </c>
      <c r="Z27" s="11">
        <f t="shared" si="0"/>
        <v>32000</v>
      </c>
      <c r="AA27" s="11">
        <f t="shared" si="1"/>
        <v>32000</v>
      </c>
      <c r="AB27" s="11">
        <f t="shared" si="2"/>
        <v>32000</v>
      </c>
      <c r="AC27" s="11">
        <f t="shared" si="3"/>
        <v>32000</v>
      </c>
      <c r="AD27" s="11">
        <f t="shared" si="4"/>
        <v>32000</v>
      </c>
      <c r="AE27" s="11">
        <f t="shared" si="5"/>
        <v>32000</v>
      </c>
    </row>
    <row r="28" spans="1:31" x14ac:dyDescent="0.35">
      <c r="A28" s="3">
        <v>24</v>
      </c>
      <c r="B28" s="3" t="s">
        <v>258</v>
      </c>
      <c r="C28" s="3" t="s">
        <v>304</v>
      </c>
      <c r="D28" s="27">
        <v>0</v>
      </c>
      <c r="E28" s="27">
        <v>33000</v>
      </c>
      <c r="F28" s="27">
        <v>33000</v>
      </c>
      <c r="G28" s="27">
        <v>33000</v>
      </c>
      <c r="H28" s="27">
        <v>33000</v>
      </c>
      <c r="I28" s="27">
        <v>33000</v>
      </c>
      <c r="J28" s="27">
        <v>33000</v>
      </c>
      <c r="K28" s="27">
        <v>0</v>
      </c>
      <c r="L28" s="27">
        <v>0</v>
      </c>
      <c r="M28" s="27">
        <v>33000</v>
      </c>
      <c r="N28" s="27">
        <v>33000</v>
      </c>
      <c r="O28" s="27">
        <v>33000</v>
      </c>
      <c r="P28" s="27">
        <v>33000</v>
      </c>
      <c r="Q28" s="27">
        <v>33000</v>
      </c>
      <c r="R28" s="27">
        <v>33000</v>
      </c>
      <c r="S28" s="27">
        <v>33000</v>
      </c>
      <c r="T28" s="27">
        <v>33000</v>
      </c>
      <c r="U28" s="27">
        <v>33000</v>
      </c>
      <c r="V28" s="27">
        <v>33000</v>
      </c>
      <c r="W28" s="27">
        <v>33000</v>
      </c>
      <c r="X28" s="27">
        <v>0</v>
      </c>
      <c r="Y28" s="27">
        <v>0</v>
      </c>
      <c r="Z28" s="11">
        <f t="shared" si="0"/>
        <v>33000</v>
      </c>
      <c r="AA28" s="11">
        <f t="shared" si="1"/>
        <v>33000</v>
      </c>
      <c r="AB28" s="11">
        <f t="shared" si="2"/>
        <v>33000</v>
      </c>
      <c r="AC28" s="11">
        <f t="shared" si="3"/>
        <v>33000</v>
      </c>
      <c r="AD28" s="11">
        <f t="shared" si="4"/>
        <v>33000</v>
      </c>
      <c r="AE28" s="11">
        <f t="shared" si="5"/>
        <v>33000</v>
      </c>
    </row>
    <row r="29" spans="1:31" x14ac:dyDescent="0.35">
      <c r="A29" s="3">
        <v>25</v>
      </c>
      <c r="B29" s="3" t="s">
        <v>308</v>
      </c>
      <c r="C29" s="3" t="s">
        <v>304</v>
      </c>
      <c r="D29" s="27">
        <v>0</v>
      </c>
      <c r="E29" s="27">
        <v>25000</v>
      </c>
      <c r="F29" s="27">
        <v>25000</v>
      </c>
      <c r="G29" s="27">
        <v>25000</v>
      </c>
      <c r="H29" s="27">
        <v>25000</v>
      </c>
      <c r="I29" s="27">
        <v>25000</v>
      </c>
      <c r="J29" s="27">
        <v>25000</v>
      </c>
      <c r="K29" s="27">
        <v>0</v>
      </c>
      <c r="L29" s="27">
        <v>0</v>
      </c>
      <c r="M29" s="27">
        <v>25000</v>
      </c>
      <c r="N29" s="27">
        <v>25000</v>
      </c>
      <c r="O29" s="27">
        <v>25000</v>
      </c>
      <c r="P29" s="27">
        <v>25000</v>
      </c>
      <c r="Q29" s="27">
        <v>25000</v>
      </c>
      <c r="R29" s="27">
        <v>25000</v>
      </c>
      <c r="S29" s="27">
        <v>25000</v>
      </c>
      <c r="T29" s="27">
        <v>25000</v>
      </c>
      <c r="U29" s="27">
        <v>25000</v>
      </c>
      <c r="V29" s="27">
        <v>25000</v>
      </c>
      <c r="W29" s="27">
        <v>25000</v>
      </c>
      <c r="X29" s="27">
        <v>0</v>
      </c>
      <c r="Y29" s="27">
        <v>0</v>
      </c>
      <c r="Z29" s="11">
        <f t="shared" si="0"/>
        <v>25000</v>
      </c>
      <c r="AA29" s="11">
        <f t="shared" si="1"/>
        <v>25000</v>
      </c>
      <c r="AB29" s="11">
        <f t="shared" si="2"/>
        <v>25000</v>
      </c>
      <c r="AC29" s="11">
        <f t="shared" si="3"/>
        <v>25000</v>
      </c>
      <c r="AD29" s="11">
        <f t="shared" si="4"/>
        <v>25000</v>
      </c>
      <c r="AE29" s="11">
        <f t="shared" si="5"/>
        <v>25000</v>
      </c>
    </row>
    <row r="30" spans="1:31" x14ac:dyDescent="0.35">
      <c r="A30" s="3">
        <v>26</v>
      </c>
      <c r="B30" s="3" t="s">
        <v>309</v>
      </c>
      <c r="C30" s="3" t="s">
        <v>304</v>
      </c>
      <c r="D30" s="27">
        <v>0</v>
      </c>
      <c r="E30" s="27">
        <v>8000</v>
      </c>
      <c r="F30" s="27">
        <v>8000</v>
      </c>
      <c r="G30" s="27">
        <v>8000</v>
      </c>
      <c r="H30" s="27">
        <v>8000</v>
      </c>
      <c r="I30" s="27">
        <v>8000</v>
      </c>
      <c r="J30" s="27">
        <v>8000</v>
      </c>
      <c r="K30" s="27">
        <v>0</v>
      </c>
      <c r="L30" s="27">
        <v>0</v>
      </c>
      <c r="M30" s="27">
        <v>8000</v>
      </c>
      <c r="N30" s="27">
        <v>8000</v>
      </c>
      <c r="O30" s="27">
        <v>8000</v>
      </c>
      <c r="P30" s="27">
        <v>8000</v>
      </c>
      <c r="Q30" s="27">
        <v>8000</v>
      </c>
      <c r="R30" s="27">
        <v>8000</v>
      </c>
      <c r="S30" s="27">
        <v>8000</v>
      </c>
      <c r="T30" s="27">
        <v>8000</v>
      </c>
      <c r="U30" s="27">
        <v>8000</v>
      </c>
      <c r="V30" s="27">
        <v>8000</v>
      </c>
      <c r="W30" s="27">
        <v>8000</v>
      </c>
      <c r="X30" s="27">
        <v>0</v>
      </c>
      <c r="Y30" s="27">
        <v>0</v>
      </c>
      <c r="Z30" s="11">
        <f t="shared" si="0"/>
        <v>8000</v>
      </c>
      <c r="AA30" s="11">
        <f t="shared" si="1"/>
        <v>8000</v>
      </c>
      <c r="AB30" s="11">
        <f t="shared" si="2"/>
        <v>8000</v>
      </c>
      <c r="AC30" s="11">
        <f t="shared" si="3"/>
        <v>8000</v>
      </c>
      <c r="AD30" s="11">
        <f t="shared" si="4"/>
        <v>8000</v>
      </c>
      <c r="AE30" s="11">
        <f t="shared" si="5"/>
        <v>8000</v>
      </c>
    </row>
    <row r="31" spans="1:31" x14ac:dyDescent="0.35">
      <c r="A31" s="3">
        <v>27</v>
      </c>
      <c r="B31" s="3" t="s">
        <v>260</v>
      </c>
      <c r="C31" s="3" t="s">
        <v>304</v>
      </c>
      <c r="D31" s="27">
        <v>0</v>
      </c>
      <c r="E31" s="27">
        <v>10500</v>
      </c>
      <c r="F31" s="27">
        <v>10500</v>
      </c>
      <c r="G31" s="27">
        <v>10500</v>
      </c>
      <c r="H31" s="27">
        <v>10500</v>
      </c>
      <c r="I31" s="27">
        <v>10500</v>
      </c>
      <c r="J31" s="27">
        <v>10500</v>
      </c>
      <c r="K31" s="27">
        <v>0</v>
      </c>
      <c r="L31" s="27">
        <v>0</v>
      </c>
      <c r="M31" s="27">
        <v>10500</v>
      </c>
      <c r="N31" s="27">
        <v>10500</v>
      </c>
      <c r="O31" s="27">
        <v>10500</v>
      </c>
      <c r="P31" s="27">
        <v>10500</v>
      </c>
      <c r="Q31" s="27">
        <v>10500</v>
      </c>
      <c r="R31" s="27">
        <v>10500</v>
      </c>
      <c r="S31" s="27">
        <v>10500</v>
      </c>
      <c r="T31" s="27">
        <v>10500</v>
      </c>
      <c r="U31" s="27">
        <v>10500</v>
      </c>
      <c r="V31" s="27">
        <v>10500</v>
      </c>
      <c r="W31" s="27">
        <v>10500</v>
      </c>
      <c r="X31" s="27">
        <v>0</v>
      </c>
      <c r="Y31" s="27">
        <v>0</v>
      </c>
      <c r="Z31" s="11">
        <f t="shared" si="0"/>
        <v>10500</v>
      </c>
      <c r="AA31" s="11">
        <f t="shared" si="1"/>
        <v>10500</v>
      </c>
      <c r="AB31" s="11">
        <f t="shared" si="2"/>
        <v>10500</v>
      </c>
      <c r="AC31" s="11">
        <f t="shared" si="3"/>
        <v>10500</v>
      </c>
      <c r="AD31" s="11">
        <f t="shared" si="4"/>
        <v>10500</v>
      </c>
      <c r="AE31" s="11">
        <f t="shared" si="5"/>
        <v>10500</v>
      </c>
    </row>
    <row r="32" spans="1:31" x14ac:dyDescent="0.35">
      <c r="A32" s="3">
        <v>28</v>
      </c>
      <c r="B32" s="3" t="s">
        <v>255</v>
      </c>
      <c r="C32" s="3" t="s">
        <v>304</v>
      </c>
      <c r="D32" s="27">
        <v>0</v>
      </c>
      <c r="E32" s="27">
        <v>42000</v>
      </c>
      <c r="F32" s="27">
        <v>42000</v>
      </c>
      <c r="G32" s="27">
        <v>42000</v>
      </c>
      <c r="H32" s="27">
        <v>42000</v>
      </c>
      <c r="I32" s="27">
        <v>42000</v>
      </c>
      <c r="J32" s="27">
        <v>42000</v>
      </c>
      <c r="K32" s="27">
        <v>0</v>
      </c>
      <c r="L32" s="27">
        <v>0</v>
      </c>
      <c r="M32" s="27">
        <v>42000</v>
      </c>
      <c r="N32" s="27">
        <v>42000</v>
      </c>
      <c r="O32" s="27">
        <v>42000</v>
      </c>
      <c r="P32" s="27">
        <v>42000</v>
      </c>
      <c r="Q32" s="27">
        <v>42000</v>
      </c>
      <c r="R32" s="27">
        <v>42000</v>
      </c>
      <c r="S32" s="27">
        <v>42000</v>
      </c>
      <c r="T32" s="27">
        <v>42000</v>
      </c>
      <c r="U32" s="27">
        <v>42000</v>
      </c>
      <c r="V32" s="27">
        <v>42000</v>
      </c>
      <c r="W32" s="27">
        <v>42000</v>
      </c>
      <c r="X32" s="27">
        <v>0</v>
      </c>
      <c r="Y32" s="27">
        <v>0</v>
      </c>
      <c r="Z32" s="11">
        <f t="shared" si="0"/>
        <v>42000</v>
      </c>
      <c r="AA32" s="11">
        <f t="shared" si="1"/>
        <v>42000</v>
      </c>
      <c r="AB32" s="11">
        <f t="shared" si="2"/>
        <v>42000</v>
      </c>
      <c r="AC32" s="11">
        <f t="shared" si="3"/>
        <v>42000</v>
      </c>
      <c r="AD32" s="11">
        <f t="shared" si="4"/>
        <v>42000</v>
      </c>
      <c r="AE32" s="11">
        <f t="shared" si="5"/>
        <v>42000</v>
      </c>
    </row>
    <row r="33" spans="1:31" x14ac:dyDescent="0.35">
      <c r="A33" s="3">
        <v>29</v>
      </c>
      <c r="B33" s="3" t="s">
        <v>266</v>
      </c>
      <c r="C33" s="3" t="s">
        <v>304</v>
      </c>
      <c r="D33" s="27">
        <v>0</v>
      </c>
      <c r="E33" s="27">
        <v>9000</v>
      </c>
      <c r="F33" s="27">
        <v>9000</v>
      </c>
      <c r="G33" s="27">
        <v>9000</v>
      </c>
      <c r="H33" s="27">
        <v>9000</v>
      </c>
      <c r="I33" s="27">
        <v>9000</v>
      </c>
      <c r="J33" s="27">
        <v>9000</v>
      </c>
      <c r="K33" s="27">
        <v>0</v>
      </c>
      <c r="L33" s="27">
        <v>0</v>
      </c>
      <c r="M33" s="27">
        <v>9000</v>
      </c>
      <c r="N33" s="27">
        <v>9000</v>
      </c>
      <c r="O33" s="27">
        <v>9000</v>
      </c>
      <c r="P33" s="27">
        <v>9000</v>
      </c>
      <c r="Q33" s="27">
        <v>9000</v>
      </c>
      <c r="R33" s="27">
        <v>9000</v>
      </c>
      <c r="S33" s="27">
        <v>9000</v>
      </c>
      <c r="T33" s="27">
        <v>9000</v>
      </c>
      <c r="U33" s="27">
        <v>9000</v>
      </c>
      <c r="V33" s="27">
        <v>9000</v>
      </c>
      <c r="W33" s="27">
        <v>9000</v>
      </c>
      <c r="X33" s="27">
        <v>0</v>
      </c>
      <c r="Y33" s="27">
        <v>0</v>
      </c>
      <c r="Z33" s="11">
        <f t="shared" si="0"/>
        <v>9000</v>
      </c>
      <c r="AA33" s="11">
        <f t="shared" si="1"/>
        <v>9000</v>
      </c>
      <c r="AB33" s="11">
        <f t="shared" si="2"/>
        <v>9000</v>
      </c>
      <c r="AC33" s="11">
        <f t="shared" si="3"/>
        <v>9000</v>
      </c>
      <c r="AD33" s="11">
        <f t="shared" si="4"/>
        <v>9000</v>
      </c>
      <c r="AE33" s="11">
        <f t="shared" si="5"/>
        <v>9000</v>
      </c>
    </row>
    <row r="34" spans="1:31" x14ac:dyDescent="0.35">
      <c r="A34" s="3">
        <v>30</v>
      </c>
      <c r="B34" s="3" t="s">
        <v>244</v>
      </c>
      <c r="C34" s="3" t="s">
        <v>304</v>
      </c>
      <c r="D34" s="27">
        <v>0</v>
      </c>
      <c r="E34" s="27">
        <v>4750</v>
      </c>
      <c r="F34" s="27">
        <v>4750</v>
      </c>
      <c r="G34" s="27">
        <v>4750</v>
      </c>
      <c r="H34" s="27">
        <v>4750</v>
      </c>
      <c r="I34" s="27">
        <v>4750</v>
      </c>
      <c r="J34" s="27">
        <v>4750</v>
      </c>
      <c r="K34" s="27">
        <v>0</v>
      </c>
      <c r="L34" s="27">
        <v>0</v>
      </c>
      <c r="M34" s="27">
        <v>4750</v>
      </c>
      <c r="N34" s="27">
        <v>4750</v>
      </c>
      <c r="O34" s="27">
        <v>4750</v>
      </c>
      <c r="P34" s="27">
        <v>4750</v>
      </c>
      <c r="Q34" s="27">
        <v>4750</v>
      </c>
      <c r="R34" s="27">
        <v>4750</v>
      </c>
      <c r="S34" s="27">
        <v>4750</v>
      </c>
      <c r="T34" s="27">
        <v>4750</v>
      </c>
      <c r="U34" s="27">
        <v>4750</v>
      </c>
      <c r="V34" s="27">
        <v>4750</v>
      </c>
      <c r="W34" s="27">
        <v>4750</v>
      </c>
      <c r="X34" s="27">
        <v>0</v>
      </c>
      <c r="Y34" s="27">
        <v>0</v>
      </c>
      <c r="Z34" s="11">
        <f t="shared" si="0"/>
        <v>4750</v>
      </c>
      <c r="AA34" s="11">
        <f t="shared" si="1"/>
        <v>4750</v>
      </c>
      <c r="AB34" s="11">
        <f t="shared" si="2"/>
        <v>4750</v>
      </c>
      <c r="AC34" s="11">
        <f t="shared" si="3"/>
        <v>4750</v>
      </c>
      <c r="AD34" s="11">
        <f t="shared" si="4"/>
        <v>4750</v>
      </c>
      <c r="AE34" s="11">
        <f t="shared" si="5"/>
        <v>4750</v>
      </c>
    </row>
    <row r="35" spans="1:31" x14ac:dyDescent="0.35">
      <c r="A35" s="3">
        <v>31</v>
      </c>
      <c r="B35" s="3" t="s">
        <v>249</v>
      </c>
      <c r="C35" s="3" t="s">
        <v>304</v>
      </c>
      <c r="D35" s="27">
        <v>0</v>
      </c>
      <c r="E35" s="27">
        <v>60000</v>
      </c>
      <c r="F35" s="27">
        <v>60000</v>
      </c>
      <c r="G35" s="27">
        <v>60000</v>
      </c>
      <c r="H35" s="27">
        <v>60000</v>
      </c>
      <c r="I35" s="27">
        <v>60000</v>
      </c>
      <c r="J35" s="27">
        <v>60000</v>
      </c>
      <c r="K35" s="27">
        <v>0</v>
      </c>
      <c r="L35" s="27">
        <v>0</v>
      </c>
      <c r="M35" s="27">
        <v>60000</v>
      </c>
      <c r="N35" s="27">
        <v>60000</v>
      </c>
      <c r="O35" s="27">
        <v>60000</v>
      </c>
      <c r="P35" s="27">
        <v>60000</v>
      </c>
      <c r="Q35" s="27">
        <v>60000</v>
      </c>
      <c r="R35" s="27">
        <v>60000</v>
      </c>
      <c r="S35" s="27">
        <v>60000</v>
      </c>
      <c r="T35" s="27">
        <v>60000</v>
      </c>
      <c r="U35" s="27">
        <v>60000</v>
      </c>
      <c r="V35" s="27">
        <v>60000</v>
      </c>
      <c r="W35" s="27">
        <v>60000</v>
      </c>
      <c r="X35" s="27">
        <v>0</v>
      </c>
      <c r="Y35" s="27">
        <v>0</v>
      </c>
      <c r="Z35" s="11">
        <f t="shared" si="0"/>
        <v>60000</v>
      </c>
      <c r="AA35" s="11">
        <f t="shared" si="1"/>
        <v>60000</v>
      </c>
      <c r="AB35" s="11">
        <f t="shared" si="2"/>
        <v>60000</v>
      </c>
      <c r="AC35" s="11">
        <f t="shared" si="3"/>
        <v>60000</v>
      </c>
      <c r="AD35" s="11">
        <f t="shared" si="4"/>
        <v>60000</v>
      </c>
      <c r="AE35" s="11">
        <f t="shared" si="5"/>
        <v>60000</v>
      </c>
    </row>
    <row r="36" spans="1:31" x14ac:dyDescent="0.35">
      <c r="A36" s="3">
        <v>32</v>
      </c>
      <c r="B36" s="3" t="s">
        <v>250</v>
      </c>
      <c r="C36" s="3" t="s">
        <v>304</v>
      </c>
      <c r="D36" s="27">
        <v>0</v>
      </c>
      <c r="E36" s="27">
        <v>12000</v>
      </c>
      <c r="F36" s="27">
        <v>12000</v>
      </c>
      <c r="G36" s="27">
        <v>12000</v>
      </c>
      <c r="H36" s="27">
        <v>12000</v>
      </c>
      <c r="I36" s="27">
        <v>12000</v>
      </c>
      <c r="J36" s="27">
        <v>12000</v>
      </c>
      <c r="K36" s="27">
        <v>0</v>
      </c>
      <c r="L36" s="27">
        <v>0</v>
      </c>
      <c r="M36" s="27">
        <v>12000</v>
      </c>
      <c r="N36" s="27">
        <v>12000</v>
      </c>
      <c r="O36" s="27">
        <v>12000</v>
      </c>
      <c r="P36" s="27">
        <v>12000</v>
      </c>
      <c r="Q36" s="27">
        <v>12000</v>
      </c>
      <c r="R36" s="27">
        <v>12000</v>
      </c>
      <c r="S36" s="27">
        <v>12000</v>
      </c>
      <c r="T36" s="27">
        <v>12000</v>
      </c>
      <c r="U36" s="27">
        <v>12000</v>
      </c>
      <c r="V36" s="27">
        <v>12000</v>
      </c>
      <c r="W36" s="27">
        <v>12000</v>
      </c>
      <c r="X36" s="27">
        <v>0</v>
      </c>
      <c r="Y36" s="27">
        <v>0</v>
      </c>
      <c r="Z36" s="11">
        <f t="shared" si="0"/>
        <v>12000</v>
      </c>
      <c r="AA36" s="11">
        <f t="shared" si="1"/>
        <v>12000</v>
      </c>
      <c r="AB36" s="11">
        <f t="shared" si="2"/>
        <v>12000</v>
      </c>
      <c r="AC36" s="11">
        <f t="shared" si="3"/>
        <v>12000</v>
      </c>
      <c r="AD36" s="11">
        <f t="shared" si="4"/>
        <v>12000</v>
      </c>
      <c r="AE36" s="11">
        <f t="shared" si="5"/>
        <v>12000</v>
      </c>
    </row>
    <row r="37" spans="1:31" x14ac:dyDescent="0.35">
      <c r="A37" s="3">
        <v>33</v>
      </c>
      <c r="B37" s="3" t="s">
        <v>267</v>
      </c>
      <c r="C37" s="3" t="s">
        <v>304</v>
      </c>
      <c r="D37" s="27">
        <v>0</v>
      </c>
      <c r="E37" s="27">
        <v>9000</v>
      </c>
      <c r="F37" s="27">
        <v>9000</v>
      </c>
      <c r="G37" s="27">
        <v>9000</v>
      </c>
      <c r="H37" s="27">
        <v>9000</v>
      </c>
      <c r="I37" s="27">
        <v>9000</v>
      </c>
      <c r="J37" s="27">
        <v>9000</v>
      </c>
      <c r="K37" s="27">
        <v>0</v>
      </c>
      <c r="L37" s="27">
        <v>0</v>
      </c>
      <c r="M37" s="27">
        <v>9000</v>
      </c>
      <c r="N37" s="27">
        <v>9000</v>
      </c>
      <c r="O37" s="27">
        <v>9000</v>
      </c>
      <c r="P37" s="27">
        <v>9000</v>
      </c>
      <c r="Q37" s="27">
        <v>9000</v>
      </c>
      <c r="R37" s="27">
        <v>9000</v>
      </c>
      <c r="S37" s="27">
        <v>9000</v>
      </c>
      <c r="T37" s="27">
        <v>9000</v>
      </c>
      <c r="U37" s="27">
        <v>9000</v>
      </c>
      <c r="V37" s="27">
        <v>9000</v>
      </c>
      <c r="W37" s="27">
        <v>9000</v>
      </c>
      <c r="X37" s="27">
        <v>0</v>
      </c>
      <c r="Y37" s="27">
        <v>0</v>
      </c>
      <c r="Z37" s="11">
        <f t="shared" si="0"/>
        <v>9000</v>
      </c>
      <c r="AA37" s="11">
        <f t="shared" si="1"/>
        <v>9000</v>
      </c>
      <c r="AB37" s="11">
        <f t="shared" si="2"/>
        <v>9000</v>
      </c>
      <c r="AC37" s="11">
        <f t="shared" si="3"/>
        <v>9000</v>
      </c>
      <c r="AD37" s="11">
        <f t="shared" si="4"/>
        <v>9000</v>
      </c>
      <c r="AE37" s="11">
        <f t="shared" si="5"/>
        <v>9000</v>
      </c>
    </row>
    <row r="38" spans="1:31" x14ac:dyDescent="0.35">
      <c r="A38" s="3">
        <v>34</v>
      </c>
      <c r="B38" s="3" t="s">
        <v>310</v>
      </c>
      <c r="C38" s="3" t="s">
        <v>304</v>
      </c>
      <c r="D38" s="27">
        <v>0</v>
      </c>
      <c r="E38" s="27">
        <v>6000</v>
      </c>
      <c r="F38" s="27">
        <v>6000</v>
      </c>
      <c r="G38" s="27">
        <v>6000</v>
      </c>
      <c r="H38" s="27">
        <v>6000</v>
      </c>
      <c r="I38" s="27">
        <v>6000</v>
      </c>
      <c r="J38" s="27">
        <v>6000</v>
      </c>
      <c r="K38" s="27">
        <v>0</v>
      </c>
      <c r="L38" s="27">
        <v>0</v>
      </c>
      <c r="M38" s="27">
        <v>6000</v>
      </c>
      <c r="N38" s="27">
        <v>6000</v>
      </c>
      <c r="O38" s="27">
        <v>6000</v>
      </c>
      <c r="P38" s="27">
        <v>6000</v>
      </c>
      <c r="Q38" s="27">
        <v>6000</v>
      </c>
      <c r="R38" s="27">
        <v>6000</v>
      </c>
      <c r="S38" s="27">
        <v>6000</v>
      </c>
      <c r="T38" s="27">
        <v>6000</v>
      </c>
      <c r="U38" s="27">
        <v>6000</v>
      </c>
      <c r="V38" s="27">
        <v>6000</v>
      </c>
      <c r="W38" s="27">
        <v>6000</v>
      </c>
      <c r="X38" s="27">
        <v>0</v>
      </c>
      <c r="Y38" s="27">
        <v>0</v>
      </c>
      <c r="Z38" s="11">
        <f t="shared" si="0"/>
        <v>6000</v>
      </c>
      <c r="AA38" s="11">
        <f t="shared" si="1"/>
        <v>6000</v>
      </c>
      <c r="AB38" s="11">
        <f t="shared" si="2"/>
        <v>6000</v>
      </c>
      <c r="AC38" s="11">
        <f t="shared" si="3"/>
        <v>6000</v>
      </c>
      <c r="AD38" s="11">
        <f t="shared" si="4"/>
        <v>6000</v>
      </c>
      <c r="AE38" s="11">
        <f t="shared" si="5"/>
        <v>6000</v>
      </c>
    </row>
    <row r="39" spans="1:31" x14ac:dyDescent="0.35">
      <c r="A39" s="3">
        <v>35</v>
      </c>
      <c r="B39" s="3" t="s">
        <v>311</v>
      </c>
      <c r="C39" s="3" t="s">
        <v>304</v>
      </c>
      <c r="D39" s="27">
        <v>0</v>
      </c>
      <c r="E39" s="27">
        <v>13000</v>
      </c>
      <c r="F39" s="27">
        <v>13000</v>
      </c>
      <c r="G39" s="27">
        <v>13000</v>
      </c>
      <c r="H39" s="27">
        <v>13000</v>
      </c>
      <c r="I39" s="27">
        <v>13000</v>
      </c>
      <c r="J39" s="27">
        <v>13000</v>
      </c>
      <c r="K39" s="27">
        <v>0</v>
      </c>
      <c r="L39" s="27">
        <v>0</v>
      </c>
      <c r="M39" s="27">
        <v>13000</v>
      </c>
      <c r="N39" s="27">
        <v>13000</v>
      </c>
      <c r="O39" s="27">
        <v>13000</v>
      </c>
      <c r="P39" s="27">
        <v>13000</v>
      </c>
      <c r="Q39" s="27">
        <v>13000</v>
      </c>
      <c r="R39" s="27">
        <v>13000</v>
      </c>
      <c r="S39" s="27">
        <v>13000</v>
      </c>
      <c r="T39" s="27">
        <v>13000</v>
      </c>
      <c r="U39" s="27">
        <v>13000</v>
      </c>
      <c r="V39" s="27">
        <v>13000</v>
      </c>
      <c r="W39" s="27">
        <v>13000</v>
      </c>
      <c r="X39" s="27">
        <v>0</v>
      </c>
      <c r="Y39" s="27">
        <v>0</v>
      </c>
      <c r="Z39" s="11">
        <f t="shared" si="0"/>
        <v>13000</v>
      </c>
      <c r="AA39" s="11">
        <f t="shared" si="1"/>
        <v>13000</v>
      </c>
      <c r="AB39" s="11">
        <f t="shared" si="2"/>
        <v>13000</v>
      </c>
      <c r="AC39" s="11">
        <f t="shared" si="3"/>
        <v>13000</v>
      </c>
      <c r="AD39" s="11">
        <f t="shared" si="4"/>
        <v>13000</v>
      </c>
      <c r="AE39" s="11">
        <f t="shared" si="5"/>
        <v>13000</v>
      </c>
    </row>
    <row r="40" spans="1:31" x14ac:dyDescent="0.35">
      <c r="A40" s="3">
        <v>36</v>
      </c>
      <c r="B40" s="3" t="s">
        <v>312</v>
      </c>
      <c r="C40" s="3" t="s">
        <v>304</v>
      </c>
      <c r="D40" s="27">
        <v>0</v>
      </c>
      <c r="E40" s="27">
        <v>4000</v>
      </c>
      <c r="F40" s="27">
        <v>4000</v>
      </c>
      <c r="G40" s="27">
        <v>4000</v>
      </c>
      <c r="H40" s="27">
        <v>4000</v>
      </c>
      <c r="I40" s="27">
        <v>4000</v>
      </c>
      <c r="J40" s="27">
        <v>4000</v>
      </c>
      <c r="K40" s="27">
        <v>0</v>
      </c>
      <c r="L40" s="27">
        <v>0</v>
      </c>
      <c r="M40" s="27">
        <v>4000</v>
      </c>
      <c r="N40" s="27">
        <v>4000</v>
      </c>
      <c r="O40" s="27">
        <v>4000</v>
      </c>
      <c r="P40" s="27">
        <v>4000</v>
      </c>
      <c r="Q40" s="27">
        <v>4000</v>
      </c>
      <c r="R40" s="27">
        <v>4000</v>
      </c>
      <c r="S40" s="27">
        <v>4000</v>
      </c>
      <c r="T40" s="27">
        <v>4000</v>
      </c>
      <c r="U40" s="27">
        <v>4000</v>
      </c>
      <c r="V40" s="27">
        <v>4000</v>
      </c>
      <c r="W40" s="27">
        <v>4000</v>
      </c>
      <c r="X40" s="27">
        <v>0</v>
      </c>
      <c r="Y40" s="27">
        <v>0</v>
      </c>
      <c r="Z40" s="11">
        <f t="shared" si="0"/>
        <v>4000</v>
      </c>
      <c r="AA40" s="11">
        <f t="shared" si="1"/>
        <v>4000</v>
      </c>
      <c r="AB40" s="11">
        <f t="shared" si="2"/>
        <v>4000</v>
      </c>
      <c r="AC40" s="11">
        <f t="shared" si="3"/>
        <v>4000</v>
      </c>
      <c r="AD40" s="11">
        <f t="shared" si="4"/>
        <v>4000</v>
      </c>
      <c r="AE40" s="11">
        <f t="shared" si="5"/>
        <v>4000</v>
      </c>
    </row>
    <row r="41" spans="1:31" x14ac:dyDescent="0.35">
      <c r="A41" s="3">
        <v>37</v>
      </c>
      <c r="B41" s="3" t="s">
        <v>313</v>
      </c>
      <c r="C41" s="3" t="s">
        <v>304</v>
      </c>
      <c r="D41" s="27">
        <v>0</v>
      </c>
      <c r="E41" s="27">
        <v>2000</v>
      </c>
      <c r="F41" s="27">
        <v>2000</v>
      </c>
      <c r="G41" s="27">
        <v>2000</v>
      </c>
      <c r="H41" s="27">
        <v>2000</v>
      </c>
      <c r="I41" s="27">
        <v>2000</v>
      </c>
      <c r="J41" s="27">
        <v>2000</v>
      </c>
      <c r="K41" s="27">
        <v>0</v>
      </c>
      <c r="L41" s="27">
        <v>0</v>
      </c>
      <c r="M41" s="27">
        <v>2000</v>
      </c>
      <c r="N41" s="27">
        <v>2000</v>
      </c>
      <c r="O41" s="27">
        <v>2000</v>
      </c>
      <c r="P41" s="27">
        <v>2000</v>
      </c>
      <c r="Q41" s="27">
        <v>2000</v>
      </c>
      <c r="R41" s="27">
        <v>2000</v>
      </c>
      <c r="S41" s="27">
        <v>2000</v>
      </c>
      <c r="T41" s="27">
        <v>2000</v>
      </c>
      <c r="U41" s="27">
        <v>2000</v>
      </c>
      <c r="V41" s="27">
        <v>2000</v>
      </c>
      <c r="W41" s="27">
        <v>2000</v>
      </c>
      <c r="X41" s="27">
        <v>0</v>
      </c>
      <c r="Y41" s="27">
        <v>0</v>
      </c>
      <c r="Z41" s="11">
        <f t="shared" si="0"/>
        <v>2000</v>
      </c>
      <c r="AA41" s="11">
        <f t="shared" si="1"/>
        <v>2000</v>
      </c>
      <c r="AB41" s="11">
        <f t="shared" si="2"/>
        <v>2000</v>
      </c>
      <c r="AC41" s="11">
        <f t="shared" si="3"/>
        <v>2000</v>
      </c>
      <c r="AD41" s="11">
        <f t="shared" si="4"/>
        <v>2000</v>
      </c>
      <c r="AE41" s="11">
        <f t="shared" si="5"/>
        <v>2000</v>
      </c>
    </row>
    <row r="42" spans="1:31" x14ac:dyDescent="0.35">
      <c r="A42" s="3">
        <v>38</v>
      </c>
      <c r="B42" s="3" t="s">
        <v>314</v>
      </c>
      <c r="C42" s="3" t="s">
        <v>304</v>
      </c>
      <c r="D42" s="27">
        <v>0</v>
      </c>
      <c r="E42" s="27">
        <v>5000</v>
      </c>
      <c r="F42" s="27">
        <v>5000</v>
      </c>
      <c r="G42" s="27">
        <v>5000</v>
      </c>
      <c r="H42" s="27">
        <v>5000</v>
      </c>
      <c r="I42" s="27">
        <v>5000</v>
      </c>
      <c r="J42" s="27">
        <v>5000</v>
      </c>
      <c r="K42" s="27">
        <v>0</v>
      </c>
      <c r="L42" s="27">
        <v>0</v>
      </c>
      <c r="M42" s="27">
        <v>5000</v>
      </c>
      <c r="N42" s="27">
        <v>5000</v>
      </c>
      <c r="O42" s="27">
        <v>5000</v>
      </c>
      <c r="P42" s="27">
        <v>5000</v>
      </c>
      <c r="Q42" s="27">
        <v>5000</v>
      </c>
      <c r="R42" s="27">
        <v>5000</v>
      </c>
      <c r="S42" s="27">
        <v>5000</v>
      </c>
      <c r="T42" s="27">
        <v>5000</v>
      </c>
      <c r="U42" s="27">
        <v>5000</v>
      </c>
      <c r="V42" s="27">
        <v>5000</v>
      </c>
      <c r="W42" s="27">
        <v>5000</v>
      </c>
      <c r="X42" s="27">
        <v>0</v>
      </c>
      <c r="Y42" s="27">
        <v>0</v>
      </c>
      <c r="Z42" s="11">
        <f t="shared" si="0"/>
        <v>5000</v>
      </c>
      <c r="AA42" s="11">
        <f t="shared" si="1"/>
        <v>5000</v>
      </c>
      <c r="AB42" s="11">
        <f t="shared" si="2"/>
        <v>5000</v>
      </c>
      <c r="AC42" s="11">
        <f t="shared" si="3"/>
        <v>5000</v>
      </c>
      <c r="AD42" s="11">
        <f t="shared" si="4"/>
        <v>5000</v>
      </c>
      <c r="AE42" s="11">
        <f t="shared" si="5"/>
        <v>5000</v>
      </c>
    </row>
    <row r="43" spans="1:31" x14ac:dyDescent="0.35">
      <c r="A43" s="3">
        <v>39</v>
      </c>
      <c r="B43" s="3" t="s">
        <v>315</v>
      </c>
      <c r="C43" s="3" t="s">
        <v>304</v>
      </c>
      <c r="D43" s="27">
        <v>0</v>
      </c>
      <c r="E43" s="27">
        <v>5000</v>
      </c>
      <c r="F43" s="27">
        <v>5000</v>
      </c>
      <c r="G43" s="27">
        <v>5000</v>
      </c>
      <c r="H43" s="27">
        <v>5000</v>
      </c>
      <c r="I43" s="27">
        <v>5000</v>
      </c>
      <c r="J43" s="27">
        <v>5000</v>
      </c>
      <c r="K43" s="27">
        <v>0</v>
      </c>
      <c r="L43" s="27">
        <v>0</v>
      </c>
      <c r="M43" s="27">
        <v>5000</v>
      </c>
      <c r="N43" s="27">
        <v>5000</v>
      </c>
      <c r="O43" s="27">
        <v>5000</v>
      </c>
      <c r="P43" s="27">
        <v>5000</v>
      </c>
      <c r="Q43" s="27">
        <v>5000</v>
      </c>
      <c r="R43" s="27">
        <v>5000</v>
      </c>
      <c r="S43" s="27">
        <v>5000</v>
      </c>
      <c r="T43" s="27">
        <v>5000</v>
      </c>
      <c r="U43" s="27">
        <v>5000</v>
      </c>
      <c r="V43" s="27">
        <v>5000</v>
      </c>
      <c r="W43" s="27">
        <v>5000</v>
      </c>
      <c r="X43" s="27">
        <v>0</v>
      </c>
      <c r="Y43" s="27">
        <v>0</v>
      </c>
      <c r="Z43" s="11">
        <f t="shared" si="0"/>
        <v>5000</v>
      </c>
      <c r="AA43" s="11">
        <f t="shared" si="1"/>
        <v>5000</v>
      </c>
      <c r="AB43" s="11">
        <f t="shared" si="2"/>
        <v>5000</v>
      </c>
      <c r="AC43" s="11">
        <f t="shared" si="3"/>
        <v>5000</v>
      </c>
      <c r="AD43" s="11">
        <f t="shared" si="4"/>
        <v>5000</v>
      </c>
      <c r="AE43" s="11">
        <f t="shared" si="5"/>
        <v>5000</v>
      </c>
    </row>
    <row r="44" spans="1:31" x14ac:dyDescent="0.35">
      <c r="A44" s="3">
        <v>40</v>
      </c>
      <c r="B44" s="3" t="s">
        <v>316</v>
      </c>
      <c r="C44" s="3" t="s">
        <v>304</v>
      </c>
      <c r="D44" s="27">
        <v>0</v>
      </c>
      <c r="E44" s="27">
        <v>4000</v>
      </c>
      <c r="F44" s="27">
        <v>4000</v>
      </c>
      <c r="G44" s="27">
        <v>4000</v>
      </c>
      <c r="H44" s="27">
        <v>4000</v>
      </c>
      <c r="I44" s="27">
        <v>4000</v>
      </c>
      <c r="J44" s="27">
        <v>4000</v>
      </c>
      <c r="K44" s="27">
        <v>0</v>
      </c>
      <c r="L44" s="27">
        <v>0</v>
      </c>
      <c r="M44" s="27">
        <v>4000</v>
      </c>
      <c r="N44" s="27">
        <v>4000</v>
      </c>
      <c r="O44" s="27">
        <v>4000</v>
      </c>
      <c r="P44" s="27">
        <v>4000</v>
      </c>
      <c r="Q44" s="27">
        <v>4000</v>
      </c>
      <c r="R44" s="27">
        <v>4000</v>
      </c>
      <c r="S44" s="27">
        <v>4000</v>
      </c>
      <c r="T44" s="27">
        <v>4000</v>
      </c>
      <c r="U44" s="27">
        <v>4000</v>
      </c>
      <c r="V44" s="27">
        <v>4000</v>
      </c>
      <c r="W44" s="27">
        <v>4000</v>
      </c>
      <c r="X44" s="27">
        <v>0</v>
      </c>
      <c r="Y44" s="27">
        <v>0</v>
      </c>
      <c r="Z44" s="11">
        <f t="shared" si="0"/>
        <v>4000</v>
      </c>
      <c r="AA44" s="11">
        <f t="shared" si="1"/>
        <v>4000</v>
      </c>
      <c r="AB44" s="11">
        <f t="shared" si="2"/>
        <v>4000</v>
      </c>
      <c r="AC44" s="11">
        <f t="shared" si="3"/>
        <v>4000</v>
      </c>
      <c r="AD44" s="11">
        <f t="shared" si="4"/>
        <v>4000</v>
      </c>
      <c r="AE44" s="11">
        <f t="shared" si="5"/>
        <v>4000</v>
      </c>
    </row>
    <row r="45" spans="1:31" x14ac:dyDescent="0.35">
      <c r="A45" s="3">
        <v>41</v>
      </c>
      <c r="B45" s="3" t="s">
        <v>317</v>
      </c>
      <c r="C45" s="3" t="s">
        <v>304</v>
      </c>
      <c r="D45" s="27">
        <v>0</v>
      </c>
      <c r="E45" s="27">
        <v>70000</v>
      </c>
      <c r="F45" s="27">
        <v>70000</v>
      </c>
      <c r="G45" s="27">
        <v>70000</v>
      </c>
      <c r="H45" s="27">
        <v>70000</v>
      </c>
      <c r="I45" s="27">
        <v>70000</v>
      </c>
      <c r="J45" s="27">
        <v>70000</v>
      </c>
      <c r="K45" s="27">
        <v>0</v>
      </c>
      <c r="L45" s="27">
        <v>0</v>
      </c>
      <c r="M45" s="27">
        <v>70000</v>
      </c>
      <c r="N45" s="27">
        <v>70000</v>
      </c>
      <c r="O45" s="27">
        <v>70000</v>
      </c>
      <c r="P45" s="27">
        <v>70000</v>
      </c>
      <c r="Q45" s="27">
        <v>70000</v>
      </c>
      <c r="R45" s="27">
        <v>70000</v>
      </c>
      <c r="S45" s="27">
        <v>70000</v>
      </c>
      <c r="T45" s="27">
        <v>70000</v>
      </c>
      <c r="U45" s="27">
        <v>70000</v>
      </c>
      <c r="V45" s="27">
        <v>70000</v>
      </c>
      <c r="W45" s="27">
        <v>70000</v>
      </c>
      <c r="X45" s="27">
        <v>0</v>
      </c>
      <c r="Y45" s="27">
        <v>0</v>
      </c>
      <c r="Z45" s="11">
        <f t="shared" si="0"/>
        <v>70000</v>
      </c>
      <c r="AA45" s="11">
        <f t="shared" si="1"/>
        <v>70000</v>
      </c>
      <c r="AB45" s="11">
        <f t="shared" si="2"/>
        <v>70000</v>
      </c>
      <c r="AC45" s="11">
        <f t="shared" si="3"/>
        <v>70000</v>
      </c>
      <c r="AD45" s="11">
        <f t="shared" si="4"/>
        <v>70000</v>
      </c>
      <c r="AE45" s="11">
        <f t="shared" si="5"/>
        <v>70000</v>
      </c>
    </row>
    <row r="46" spans="1:31" x14ac:dyDescent="0.35">
      <c r="A46" s="3">
        <v>42</v>
      </c>
      <c r="B46" s="3" t="s">
        <v>318</v>
      </c>
      <c r="C46" s="3" t="s">
        <v>304</v>
      </c>
      <c r="D46" s="27">
        <v>0</v>
      </c>
      <c r="E46" s="27">
        <v>40000</v>
      </c>
      <c r="F46" s="27">
        <v>40000</v>
      </c>
      <c r="G46" s="27">
        <v>40000</v>
      </c>
      <c r="H46" s="27">
        <v>40000</v>
      </c>
      <c r="I46" s="27">
        <v>40000</v>
      </c>
      <c r="J46" s="27">
        <v>40000</v>
      </c>
      <c r="K46" s="27">
        <v>0</v>
      </c>
      <c r="L46" s="27">
        <v>0</v>
      </c>
      <c r="M46" s="27">
        <v>40000</v>
      </c>
      <c r="N46" s="27">
        <v>40000</v>
      </c>
      <c r="O46" s="27">
        <v>40000</v>
      </c>
      <c r="P46" s="27">
        <v>40000</v>
      </c>
      <c r="Q46" s="27">
        <v>40000</v>
      </c>
      <c r="R46" s="27">
        <v>40000</v>
      </c>
      <c r="S46" s="27">
        <v>40000</v>
      </c>
      <c r="T46" s="27">
        <v>40000</v>
      </c>
      <c r="U46" s="27">
        <v>40000</v>
      </c>
      <c r="V46" s="27">
        <v>40000</v>
      </c>
      <c r="W46" s="27">
        <v>40000</v>
      </c>
      <c r="X46" s="27">
        <v>0</v>
      </c>
      <c r="Y46" s="27">
        <v>0</v>
      </c>
      <c r="Z46" s="11">
        <f t="shared" si="0"/>
        <v>40000</v>
      </c>
      <c r="AA46" s="11">
        <f t="shared" si="1"/>
        <v>40000</v>
      </c>
      <c r="AB46" s="11">
        <f t="shared" si="2"/>
        <v>40000</v>
      </c>
      <c r="AC46" s="11">
        <f t="shared" si="3"/>
        <v>40000</v>
      </c>
      <c r="AD46" s="11">
        <f t="shared" si="4"/>
        <v>40000</v>
      </c>
      <c r="AE46" s="11">
        <f t="shared" si="5"/>
        <v>40000</v>
      </c>
    </row>
    <row r="47" spans="1:31" x14ac:dyDescent="0.35">
      <c r="A47" s="3">
        <v>43</v>
      </c>
      <c r="B47" s="3" t="s">
        <v>319</v>
      </c>
      <c r="C47" s="3" t="s">
        <v>304</v>
      </c>
      <c r="D47" s="27">
        <v>0</v>
      </c>
      <c r="E47" s="27">
        <v>27000</v>
      </c>
      <c r="F47" s="27">
        <v>27000</v>
      </c>
      <c r="G47" s="27">
        <v>27000</v>
      </c>
      <c r="H47" s="27">
        <v>27000</v>
      </c>
      <c r="I47" s="27">
        <v>27000</v>
      </c>
      <c r="J47" s="27">
        <v>27000</v>
      </c>
      <c r="K47" s="27">
        <v>0</v>
      </c>
      <c r="L47" s="27">
        <v>0</v>
      </c>
      <c r="M47" s="27">
        <v>27000</v>
      </c>
      <c r="N47" s="27">
        <v>27000</v>
      </c>
      <c r="O47" s="27">
        <v>27000</v>
      </c>
      <c r="P47" s="27">
        <v>27000</v>
      </c>
      <c r="Q47" s="27">
        <v>27000</v>
      </c>
      <c r="R47" s="27">
        <v>27000</v>
      </c>
      <c r="S47" s="27">
        <v>27000</v>
      </c>
      <c r="T47" s="27">
        <v>27000</v>
      </c>
      <c r="U47" s="27">
        <v>27000</v>
      </c>
      <c r="V47" s="27">
        <v>27000</v>
      </c>
      <c r="W47" s="27">
        <v>27000</v>
      </c>
      <c r="X47" s="27">
        <v>0</v>
      </c>
      <c r="Y47" s="27">
        <v>0</v>
      </c>
      <c r="Z47" s="11">
        <f t="shared" si="0"/>
        <v>27000</v>
      </c>
      <c r="AA47" s="11">
        <f t="shared" si="1"/>
        <v>27000</v>
      </c>
      <c r="AB47" s="11">
        <f t="shared" si="2"/>
        <v>27000</v>
      </c>
      <c r="AC47" s="11">
        <f t="shared" si="3"/>
        <v>27000</v>
      </c>
      <c r="AD47" s="11">
        <f t="shared" si="4"/>
        <v>27000</v>
      </c>
      <c r="AE47" s="11">
        <f t="shared" si="5"/>
        <v>27000</v>
      </c>
    </row>
    <row r="48" spans="1:31" x14ac:dyDescent="0.35">
      <c r="A48" s="3">
        <v>44</v>
      </c>
      <c r="B48" s="3" t="s">
        <v>320</v>
      </c>
      <c r="C48" s="3" t="s">
        <v>304</v>
      </c>
      <c r="D48" s="27">
        <v>0</v>
      </c>
      <c r="E48" s="27">
        <v>14000</v>
      </c>
      <c r="F48" s="27">
        <v>14000</v>
      </c>
      <c r="G48" s="27">
        <v>14000</v>
      </c>
      <c r="H48" s="27">
        <v>14000</v>
      </c>
      <c r="I48" s="27">
        <v>14000</v>
      </c>
      <c r="J48" s="27">
        <v>14000</v>
      </c>
      <c r="K48" s="27">
        <v>0</v>
      </c>
      <c r="L48" s="27">
        <v>0</v>
      </c>
      <c r="M48" s="27">
        <v>14000</v>
      </c>
      <c r="N48" s="27">
        <v>14000</v>
      </c>
      <c r="O48" s="27">
        <v>14000</v>
      </c>
      <c r="P48" s="27">
        <v>14000</v>
      </c>
      <c r="Q48" s="27">
        <v>14000</v>
      </c>
      <c r="R48" s="27">
        <v>14000</v>
      </c>
      <c r="S48" s="27">
        <v>14000</v>
      </c>
      <c r="T48" s="27">
        <v>14000</v>
      </c>
      <c r="U48" s="27">
        <v>14000</v>
      </c>
      <c r="V48" s="27">
        <v>14000</v>
      </c>
      <c r="W48" s="27">
        <v>14000</v>
      </c>
      <c r="X48" s="27">
        <v>0</v>
      </c>
      <c r="Y48" s="27">
        <v>0</v>
      </c>
      <c r="Z48" s="11">
        <f t="shared" si="0"/>
        <v>14000</v>
      </c>
      <c r="AA48" s="11">
        <f t="shared" si="1"/>
        <v>14000</v>
      </c>
      <c r="AB48" s="11">
        <f t="shared" si="2"/>
        <v>14000</v>
      </c>
      <c r="AC48" s="11">
        <f t="shared" si="3"/>
        <v>14000</v>
      </c>
      <c r="AD48" s="11">
        <f t="shared" si="4"/>
        <v>14000</v>
      </c>
      <c r="AE48" s="11">
        <f t="shared" si="5"/>
        <v>14000</v>
      </c>
    </row>
  </sheetData>
  <mergeCells count="1">
    <mergeCell ref="A1:AE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8"/>
  <sheetViews>
    <sheetView showGridLines="0" zoomScaleNormal="100" workbookViewId="0">
      <pane xSplit="3" ySplit="4" topLeftCell="D5" activePane="bottomRight" state="frozen"/>
      <selection pane="topRight" activeCell="D1" sqref="D1"/>
      <selection pane="bottomLeft" activeCell="A5" sqref="A5"/>
      <selection pane="bottomRight" sqref="A1:AB1"/>
    </sheetView>
  </sheetViews>
  <sheetFormatPr defaultColWidth="8.6328125" defaultRowHeight="14.5" x14ac:dyDescent="0.35"/>
  <cols>
    <col min="1" max="1" width="4" customWidth="1"/>
    <col min="2" max="2" width="30" customWidth="1"/>
    <col min="3" max="3" width="4" customWidth="1"/>
    <col min="4" max="23" width="9" customWidth="1"/>
    <col min="24" max="28" width="14" customWidth="1"/>
  </cols>
  <sheetData>
    <row r="1" spans="1:28" ht="16.5" x14ac:dyDescent="0.35">
      <c r="A1" s="30" t="s">
        <v>377</v>
      </c>
      <c r="B1" s="30"/>
      <c r="C1" s="30"/>
      <c r="D1" s="30"/>
      <c r="E1" s="30"/>
      <c r="F1" s="30"/>
      <c r="G1" s="30"/>
      <c r="H1" s="30"/>
      <c r="I1" s="30"/>
      <c r="J1" s="30"/>
      <c r="K1" s="30"/>
      <c r="L1" s="30"/>
      <c r="M1" s="30"/>
      <c r="N1" s="30"/>
      <c r="O1" s="30"/>
      <c r="P1" s="30"/>
      <c r="Q1" s="30"/>
      <c r="R1" s="30"/>
      <c r="S1" s="30"/>
      <c r="T1" s="30"/>
      <c r="U1" s="30"/>
      <c r="V1" s="30"/>
      <c r="W1" s="30"/>
      <c r="X1" s="30"/>
      <c r="Y1" s="30"/>
      <c r="Z1" s="30"/>
      <c r="AA1" s="30"/>
      <c r="AB1" s="30"/>
    </row>
    <row r="2" spans="1:28" x14ac:dyDescent="0.35">
      <c r="A2" s="6" t="s">
        <v>276</v>
      </c>
    </row>
    <row r="4" spans="1:28" ht="21" x14ac:dyDescent="0.35">
      <c r="A4" s="8" t="s">
        <v>0</v>
      </c>
      <c r="B4" s="8" t="s">
        <v>277</v>
      </c>
      <c r="C4" s="8" t="s">
        <v>278</v>
      </c>
      <c r="D4" s="29">
        <v>46175</v>
      </c>
      <c r="E4" s="29">
        <v>46176</v>
      </c>
      <c r="F4" s="29">
        <v>46177</v>
      </c>
      <c r="G4" s="29">
        <v>46178</v>
      </c>
      <c r="H4" s="29">
        <v>46179</v>
      </c>
      <c r="I4" s="29">
        <v>46182</v>
      </c>
      <c r="J4" s="29">
        <v>46183</v>
      </c>
      <c r="K4" s="29">
        <v>46184</v>
      </c>
      <c r="L4" s="29">
        <v>46185</v>
      </c>
      <c r="M4" s="29">
        <v>46186</v>
      </c>
      <c r="N4" s="29">
        <v>46189</v>
      </c>
      <c r="O4" s="29">
        <v>46190</v>
      </c>
      <c r="P4" s="29">
        <v>46191</v>
      </c>
      <c r="Q4" s="29">
        <v>46192</v>
      </c>
      <c r="R4" s="29">
        <v>46193</v>
      </c>
      <c r="S4" s="29">
        <v>46196</v>
      </c>
      <c r="T4" s="29">
        <v>46197</v>
      </c>
      <c r="U4" s="29">
        <v>46198</v>
      </c>
      <c r="V4" s="29">
        <v>46199</v>
      </c>
      <c r="W4" s="29">
        <v>46200</v>
      </c>
      <c r="X4" s="8" t="s">
        <v>299</v>
      </c>
      <c r="Y4" s="8" t="s">
        <v>300</v>
      </c>
      <c r="Z4" s="8" t="s">
        <v>301</v>
      </c>
      <c r="AA4" s="8" t="s">
        <v>302</v>
      </c>
      <c r="AB4" s="8" t="s">
        <v>378</v>
      </c>
    </row>
    <row r="5" spans="1:28" x14ac:dyDescent="0.35">
      <c r="A5" s="3">
        <v>1</v>
      </c>
      <c r="B5" s="3" t="s">
        <v>240</v>
      </c>
      <c r="C5" s="3" t="s">
        <v>304</v>
      </c>
      <c r="D5" s="27">
        <v>12000</v>
      </c>
      <c r="E5" s="27">
        <v>12000</v>
      </c>
      <c r="F5" s="27">
        <v>12000</v>
      </c>
      <c r="G5" s="27">
        <v>12000</v>
      </c>
      <c r="H5" s="27">
        <v>0</v>
      </c>
      <c r="I5" s="27">
        <v>0</v>
      </c>
      <c r="J5" s="27">
        <v>12000</v>
      </c>
      <c r="K5" s="27">
        <v>12000</v>
      </c>
      <c r="L5" s="27">
        <v>12000</v>
      </c>
      <c r="M5" s="27">
        <v>12000</v>
      </c>
      <c r="N5" s="27">
        <v>12000</v>
      </c>
      <c r="O5" s="27">
        <v>12000</v>
      </c>
      <c r="P5" s="27">
        <v>12000</v>
      </c>
      <c r="Q5" s="27">
        <v>12000</v>
      </c>
      <c r="R5" s="27">
        <v>12000</v>
      </c>
      <c r="S5" s="27">
        <v>12000</v>
      </c>
      <c r="T5" s="27">
        <v>12000</v>
      </c>
      <c r="U5" s="27">
        <v>12000</v>
      </c>
      <c r="V5" s="27">
        <v>12000</v>
      </c>
      <c r="W5" s="27">
        <v>0</v>
      </c>
      <c r="X5" s="11">
        <f t="shared" ref="X5:X48" si="0">IFERROR(AVERAGEIF(D5:H5,"&lt;&gt;0"),"")</f>
        <v>12000</v>
      </c>
      <c r="Y5" s="11">
        <f t="shared" ref="Y5:Y48" si="1">IFERROR(AVERAGEIF(I5:M5,"&lt;&gt;0"),"")</f>
        <v>12000</v>
      </c>
      <c r="Z5" s="11">
        <f t="shared" ref="Z5:Z48" si="2">IFERROR(AVERAGEIF(N5:R5,"&lt;&gt;0"),"")</f>
        <v>12000</v>
      </c>
      <c r="AA5" s="11">
        <f t="shared" ref="AA5:AA48" si="3">IFERROR(AVERAGEIF(S5:W5,"&lt;&gt;0"),"")</f>
        <v>12000</v>
      </c>
      <c r="AB5" s="11">
        <f t="shared" ref="AB5:AB48" si="4">IFERROR(AVERAGEIF(D5:W5,"&lt;&gt;0"),"")</f>
        <v>12000</v>
      </c>
    </row>
    <row r="6" spans="1:28" x14ac:dyDescent="0.35">
      <c r="A6" s="3">
        <v>2</v>
      </c>
      <c r="B6" s="3" t="s">
        <v>241</v>
      </c>
      <c r="C6" s="3" t="s">
        <v>304</v>
      </c>
      <c r="D6" s="27">
        <v>13000</v>
      </c>
      <c r="E6" s="27">
        <v>13000</v>
      </c>
      <c r="F6" s="27">
        <v>13000</v>
      </c>
      <c r="G6" s="27">
        <v>13000</v>
      </c>
      <c r="H6" s="27">
        <v>0</v>
      </c>
      <c r="I6" s="27">
        <v>0</v>
      </c>
      <c r="J6" s="27">
        <v>13000</v>
      </c>
      <c r="K6" s="27">
        <v>13000</v>
      </c>
      <c r="L6" s="27">
        <v>13000</v>
      </c>
      <c r="M6" s="27">
        <v>13000</v>
      </c>
      <c r="N6" s="27">
        <v>13000</v>
      </c>
      <c r="O6" s="27">
        <v>13000</v>
      </c>
      <c r="P6" s="27">
        <v>13000</v>
      </c>
      <c r="Q6" s="27">
        <v>13000</v>
      </c>
      <c r="R6" s="27">
        <v>13000</v>
      </c>
      <c r="S6" s="27">
        <v>13000</v>
      </c>
      <c r="T6" s="27">
        <v>13000</v>
      </c>
      <c r="U6" s="27">
        <v>13000</v>
      </c>
      <c r="V6" s="27">
        <v>13000</v>
      </c>
      <c r="W6" s="27">
        <v>0</v>
      </c>
      <c r="X6" s="11">
        <f t="shared" si="0"/>
        <v>13000</v>
      </c>
      <c r="Y6" s="11">
        <f t="shared" si="1"/>
        <v>13000</v>
      </c>
      <c r="Z6" s="11">
        <f t="shared" si="2"/>
        <v>13000</v>
      </c>
      <c r="AA6" s="11">
        <f t="shared" si="3"/>
        <v>13000</v>
      </c>
      <c r="AB6" s="11">
        <f t="shared" si="4"/>
        <v>13000</v>
      </c>
    </row>
    <row r="7" spans="1:28" x14ac:dyDescent="0.35">
      <c r="A7" s="3">
        <v>3</v>
      </c>
      <c r="B7" s="3" t="s">
        <v>242</v>
      </c>
      <c r="C7" s="3" t="s">
        <v>304</v>
      </c>
      <c r="D7" s="28"/>
      <c r="E7" s="28"/>
      <c r="F7" s="28"/>
      <c r="G7" s="28"/>
      <c r="H7" s="28"/>
      <c r="I7" s="28"/>
      <c r="J7" s="28"/>
      <c r="K7" s="28"/>
      <c r="L7" s="28"/>
      <c r="M7" s="28"/>
      <c r="N7" s="28"/>
      <c r="O7" s="28"/>
      <c r="P7" s="28"/>
      <c r="Q7" s="28"/>
      <c r="R7" s="28"/>
      <c r="S7" s="28"/>
      <c r="T7" s="28"/>
      <c r="U7" s="28"/>
      <c r="V7" s="28"/>
      <c r="W7" s="28"/>
      <c r="X7" s="11" t="str">
        <f t="shared" si="0"/>
        <v/>
      </c>
      <c r="Y7" s="11" t="str">
        <f t="shared" si="1"/>
        <v/>
      </c>
      <c r="Z7" s="11" t="str">
        <f t="shared" si="2"/>
        <v/>
      </c>
      <c r="AA7" s="11" t="str">
        <f t="shared" si="3"/>
        <v/>
      </c>
      <c r="AB7" s="11" t="str">
        <f t="shared" si="4"/>
        <v/>
      </c>
    </row>
    <row r="8" spans="1:28" x14ac:dyDescent="0.35">
      <c r="A8" s="3">
        <v>4</v>
      </c>
      <c r="B8" s="3" t="s">
        <v>305</v>
      </c>
      <c r="C8" s="3" t="s">
        <v>304</v>
      </c>
      <c r="D8" s="27">
        <v>11000</v>
      </c>
      <c r="E8" s="27">
        <v>11000</v>
      </c>
      <c r="F8" s="27">
        <v>11000</v>
      </c>
      <c r="G8" s="27">
        <v>11000</v>
      </c>
      <c r="H8" s="27">
        <v>0</v>
      </c>
      <c r="I8" s="27">
        <v>0</v>
      </c>
      <c r="J8" s="27">
        <v>11000</v>
      </c>
      <c r="K8" s="27">
        <v>11000</v>
      </c>
      <c r="L8" s="27">
        <v>11000</v>
      </c>
      <c r="M8" s="27">
        <v>11000</v>
      </c>
      <c r="N8" s="27">
        <v>11000</v>
      </c>
      <c r="O8" s="27">
        <v>11000</v>
      </c>
      <c r="P8" s="27">
        <v>11000</v>
      </c>
      <c r="Q8" s="27">
        <v>11000</v>
      </c>
      <c r="R8" s="27">
        <v>11000</v>
      </c>
      <c r="S8" s="27">
        <v>11000</v>
      </c>
      <c r="T8" s="27">
        <v>11000</v>
      </c>
      <c r="U8" s="27">
        <v>11000</v>
      </c>
      <c r="V8" s="27">
        <v>11000</v>
      </c>
      <c r="W8" s="27">
        <v>0</v>
      </c>
      <c r="X8" s="11">
        <f t="shared" si="0"/>
        <v>11000</v>
      </c>
      <c r="Y8" s="11">
        <f t="shared" si="1"/>
        <v>11000</v>
      </c>
      <c r="Z8" s="11">
        <f t="shared" si="2"/>
        <v>11000</v>
      </c>
      <c r="AA8" s="11">
        <f t="shared" si="3"/>
        <v>11000</v>
      </c>
      <c r="AB8" s="11">
        <f t="shared" si="4"/>
        <v>11000</v>
      </c>
    </row>
    <row r="9" spans="1:28" x14ac:dyDescent="0.35">
      <c r="A9" s="3">
        <v>5</v>
      </c>
      <c r="B9" s="3" t="s">
        <v>261</v>
      </c>
      <c r="C9" s="3" t="s">
        <v>304</v>
      </c>
      <c r="D9" s="27">
        <v>28000</v>
      </c>
      <c r="E9" s="27">
        <v>28000</v>
      </c>
      <c r="F9" s="27">
        <v>40000</v>
      </c>
      <c r="G9" s="27">
        <v>38000</v>
      </c>
      <c r="H9" s="27">
        <v>0</v>
      </c>
      <c r="I9" s="27">
        <v>0</v>
      </c>
      <c r="J9" s="27">
        <v>33000</v>
      </c>
      <c r="K9" s="27">
        <v>30000</v>
      </c>
      <c r="L9" s="27">
        <v>27000</v>
      </c>
      <c r="M9" s="27">
        <v>20000</v>
      </c>
      <c r="N9" s="27">
        <v>20000</v>
      </c>
      <c r="O9" s="27">
        <v>20000</v>
      </c>
      <c r="P9" s="27">
        <v>20000</v>
      </c>
      <c r="Q9" s="27">
        <v>20000</v>
      </c>
      <c r="R9" s="27">
        <v>20000</v>
      </c>
      <c r="S9" s="27">
        <v>20000</v>
      </c>
      <c r="T9" s="27">
        <v>20000</v>
      </c>
      <c r="U9" s="27">
        <v>20000</v>
      </c>
      <c r="V9" s="27">
        <v>20000</v>
      </c>
      <c r="W9" s="27">
        <v>0</v>
      </c>
      <c r="X9" s="11">
        <f t="shared" si="0"/>
        <v>33500</v>
      </c>
      <c r="Y9" s="11">
        <f t="shared" si="1"/>
        <v>27500</v>
      </c>
      <c r="Z9" s="11">
        <f t="shared" si="2"/>
        <v>20000</v>
      </c>
      <c r="AA9" s="11">
        <f t="shared" si="3"/>
        <v>20000</v>
      </c>
      <c r="AB9" s="11">
        <f t="shared" si="4"/>
        <v>24941.176470588234</v>
      </c>
    </row>
    <row r="10" spans="1:28" x14ac:dyDescent="0.35">
      <c r="A10" s="3">
        <v>6</v>
      </c>
      <c r="B10" s="3" t="s">
        <v>262</v>
      </c>
      <c r="C10" s="3" t="s">
        <v>304</v>
      </c>
      <c r="D10" s="27">
        <v>30000</v>
      </c>
      <c r="E10" s="27">
        <v>30000</v>
      </c>
      <c r="F10" s="27">
        <v>40000</v>
      </c>
      <c r="G10" s="27">
        <v>38000</v>
      </c>
      <c r="H10" s="27">
        <v>0</v>
      </c>
      <c r="I10" s="27">
        <v>0</v>
      </c>
      <c r="J10" s="27">
        <v>35000</v>
      </c>
      <c r="K10" s="27">
        <v>30000</v>
      </c>
      <c r="L10" s="27">
        <v>27000</v>
      </c>
      <c r="M10" s="27">
        <v>22000</v>
      </c>
      <c r="N10" s="27">
        <v>20000</v>
      </c>
      <c r="O10" s="27">
        <v>20000</v>
      </c>
      <c r="P10" s="27">
        <v>20000</v>
      </c>
      <c r="Q10" s="27">
        <v>20000</v>
      </c>
      <c r="R10" s="27">
        <v>22000</v>
      </c>
      <c r="S10" s="27">
        <v>22000</v>
      </c>
      <c r="T10" s="27">
        <v>22000</v>
      </c>
      <c r="U10" s="27">
        <v>22000</v>
      </c>
      <c r="V10" s="27">
        <v>22000</v>
      </c>
      <c r="W10" s="27">
        <v>0</v>
      </c>
      <c r="X10" s="11">
        <f t="shared" si="0"/>
        <v>34500</v>
      </c>
      <c r="Y10" s="11">
        <f t="shared" si="1"/>
        <v>28500</v>
      </c>
      <c r="Z10" s="11">
        <f t="shared" si="2"/>
        <v>20400</v>
      </c>
      <c r="AA10" s="11">
        <f t="shared" si="3"/>
        <v>22000</v>
      </c>
      <c r="AB10" s="11">
        <f t="shared" si="4"/>
        <v>26000</v>
      </c>
    </row>
    <row r="11" spans="1:28" x14ac:dyDescent="0.35">
      <c r="A11" s="3">
        <v>7</v>
      </c>
      <c r="B11" s="3" t="s">
        <v>251</v>
      </c>
      <c r="C11" s="3" t="s">
        <v>304</v>
      </c>
      <c r="D11" s="27">
        <v>30000</v>
      </c>
      <c r="E11" s="27">
        <v>30000</v>
      </c>
      <c r="F11" s="27">
        <v>35000</v>
      </c>
      <c r="G11" s="27">
        <v>35000</v>
      </c>
      <c r="H11" s="27">
        <v>0</v>
      </c>
      <c r="I11" s="27">
        <v>0</v>
      </c>
      <c r="J11" s="27">
        <v>30000</v>
      </c>
      <c r="K11" s="27">
        <v>30000</v>
      </c>
      <c r="L11" s="27">
        <v>26000</v>
      </c>
      <c r="M11" s="27">
        <v>22000</v>
      </c>
      <c r="N11" s="27">
        <v>20000</v>
      </c>
      <c r="O11" s="27">
        <v>20000</v>
      </c>
      <c r="P11" s="27">
        <v>20000</v>
      </c>
      <c r="Q11" s="27">
        <v>20000</v>
      </c>
      <c r="R11" s="27">
        <v>22000</v>
      </c>
      <c r="S11" s="27">
        <v>22000</v>
      </c>
      <c r="T11" s="27">
        <v>22000</v>
      </c>
      <c r="U11" s="27">
        <v>22000</v>
      </c>
      <c r="V11" s="27">
        <v>22000</v>
      </c>
      <c r="W11" s="27">
        <v>0</v>
      </c>
      <c r="X11" s="11">
        <f t="shared" si="0"/>
        <v>32500</v>
      </c>
      <c r="Y11" s="11">
        <f t="shared" si="1"/>
        <v>27000</v>
      </c>
      <c r="Z11" s="11">
        <f t="shared" si="2"/>
        <v>20400</v>
      </c>
      <c r="AA11" s="11">
        <f t="shared" si="3"/>
        <v>22000</v>
      </c>
      <c r="AB11" s="11">
        <f t="shared" si="4"/>
        <v>25176.470588235294</v>
      </c>
    </row>
    <row r="12" spans="1:28" x14ac:dyDescent="0.35">
      <c r="A12" s="3">
        <v>8</v>
      </c>
      <c r="B12" s="3" t="s">
        <v>256</v>
      </c>
      <c r="C12" s="3" t="s">
        <v>304</v>
      </c>
      <c r="D12" s="27">
        <v>33000</v>
      </c>
      <c r="E12" s="27">
        <v>33000</v>
      </c>
      <c r="F12" s="27">
        <v>33000</v>
      </c>
      <c r="G12" s="27">
        <v>32000</v>
      </c>
      <c r="H12" s="27">
        <v>0</v>
      </c>
      <c r="I12" s="27">
        <v>0</v>
      </c>
      <c r="J12" s="27">
        <v>32000</v>
      </c>
      <c r="K12" s="27">
        <v>27000</v>
      </c>
      <c r="L12" s="27">
        <v>27000</v>
      </c>
      <c r="M12" s="27">
        <v>24000</v>
      </c>
      <c r="N12" s="27">
        <v>24000</v>
      </c>
      <c r="O12" s="27">
        <v>22000</v>
      </c>
      <c r="P12" s="27">
        <v>20000</v>
      </c>
      <c r="Q12" s="27">
        <v>20000</v>
      </c>
      <c r="R12" s="27">
        <v>20000</v>
      </c>
      <c r="S12" s="27">
        <v>22000</v>
      </c>
      <c r="T12" s="27">
        <v>22000</v>
      </c>
      <c r="U12" s="27">
        <v>22000</v>
      </c>
      <c r="V12" s="27">
        <v>22000</v>
      </c>
      <c r="W12" s="27">
        <v>0</v>
      </c>
      <c r="X12" s="11">
        <f t="shared" si="0"/>
        <v>32750</v>
      </c>
      <c r="Y12" s="11">
        <f t="shared" si="1"/>
        <v>27500</v>
      </c>
      <c r="Z12" s="11">
        <f t="shared" si="2"/>
        <v>21200</v>
      </c>
      <c r="AA12" s="11">
        <f t="shared" si="3"/>
        <v>22000</v>
      </c>
      <c r="AB12" s="11">
        <f t="shared" si="4"/>
        <v>25588.235294117647</v>
      </c>
    </row>
    <row r="13" spans="1:28" x14ac:dyDescent="0.35">
      <c r="A13" s="3">
        <v>9</v>
      </c>
      <c r="B13" s="3" t="s">
        <v>253</v>
      </c>
      <c r="C13" s="3" t="s">
        <v>304</v>
      </c>
      <c r="D13" s="27">
        <v>16500</v>
      </c>
      <c r="E13" s="27">
        <v>16500</v>
      </c>
      <c r="F13" s="27">
        <v>16500</v>
      </c>
      <c r="G13" s="27">
        <v>16500</v>
      </c>
      <c r="H13" s="27">
        <v>0</v>
      </c>
      <c r="I13" s="27">
        <v>0</v>
      </c>
      <c r="J13" s="27">
        <v>16000</v>
      </c>
      <c r="K13" s="27">
        <v>16000</v>
      </c>
      <c r="L13" s="27">
        <v>16000</v>
      </c>
      <c r="M13" s="27">
        <v>16000</v>
      </c>
      <c r="N13" s="27">
        <v>16000</v>
      </c>
      <c r="O13" s="27">
        <v>16000</v>
      </c>
      <c r="P13" s="27">
        <v>16000</v>
      </c>
      <c r="Q13" s="27">
        <v>16000</v>
      </c>
      <c r="R13" s="27">
        <v>16000</v>
      </c>
      <c r="S13" s="27">
        <v>16000</v>
      </c>
      <c r="T13" s="27">
        <v>16000</v>
      </c>
      <c r="U13" s="27">
        <v>16000</v>
      </c>
      <c r="V13" s="27">
        <v>16000</v>
      </c>
      <c r="W13" s="27">
        <v>0</v>
      </c>
      <c r="X13" s="11">
        <f t="shared" si="0"/>
        <v>16500</v>
      </c>
      <c r="Y13" s="11">
        <f t="shared" si="1"/>
        <v>16000</v>
      </c>
      <c r="Z13" s="11">
        <f t="shared" si="2"/>
        <v>16000</v>
      </c>
      <c r="AA13" s="11">
        <f t="shared" si="3"/>
        <v>16000</v>
      </c>
      <c r="AB13" s="11">
        <f t="shared" si="4"/>
        <v>16117.64705882353</v>
      </c>
    </row>
    <row r="14" spans="1:28" x14ac:dyDescent="0.35">
      <c r="A14" s="3">
        <v>10</v>
      </c>
      <c r="B14" s="3" t="s">
        <v>246</v>
      </c>
      <c r="C14" s="3" t="s">
        <v>304</v>
      </c>
      <c r="D14" s="27">
        <v>15000</v>
      </c>
      <c r="E14" s="27">
        <v>15000</v>
      </c>
      <c r="F14" s="27">
        <v>15000</v>
      </c>
      <c r="G14" s="27">
        <v>15000</v>
      </c>
      <c r="H14" s="27">
        <v>0</v>
      </c>
      <c r="I14" s="27">
        <v>0</v>
      </c>
      <c r="J14" s="27">
        <v>15000</v>
      </c>
      <c r="K14" s="27">
        <v>15000</v>
      </c>
      <c r="L14" s="27">
        <v>15000</v>
      </c>
      <c r="M14" s="27">
        <v>15000</v>
      </c>
      <c r="N14" s="27">
        <v>15000</v>
      </c>
      <c r="O14" s="27">
        <v>15000</v>
      </c>
      <c r="P14" s="27">
        <v>15000</v>
      </c>
      <c r="Q14" s="27">
        <v>15000</v>
      </c>
      <c r="R14" s="27">
        <v>15000</v>
      </c>
      <c r="S14" s="27">
        <v>15000</v>
      </c>
      <c r="T14" s="27">
        <v>15000</v>
      </c>
      <c r="U14" s="27">
        <v>15000</v>
      </c>
      <c r="V14" s="27">
        <v>15000</v>
      </c>
      <c r="W14" s="27">
        <v>0</v>
      </c>
      <c r="X14" s="11">
        <f t="shared" si="0"/>
        <v>15000</v>
      </c>
      <c r="Y14" s="11">
        <f t="shared" si="1"/>
        <v>15000</v>
      </c>
      <c r="Z14" s="11">
        <f t="shared" si="2"/>
        <v>15000</v>
      </c>
      <c r="AA14" s="11">
        <f t="shared" si="3"/>
        <v>15000</v>
      </c>
      <c r="AB14" s="11">
        <f t="shared" si="4"/>
        <v>15000</v>
      </c>
    </row>
    <row r="15" spans="1:28" x14ac:dyDescent="0.35">
      <c r="A15" s="3">
        <v>11</v>
      </c>
      <c r="B15" s="3" t="s">
        <v>247</v>
      </c>
      <c r="C15" s="3" t="s">
        <v>304</v>
      </c>
      <c r="D15" s="27">
        <v>18000</v>
      </c>
      <c r="E15" s="27">
        <v>18000</v>
      </c>
      <c r="F15" s="27">
        <v>18000</v>
      </c>
      <c r="G15" s="27">
        <v>18000</v>
      </c>
      <c r="H15" s="27">
        <v>0</v>
      </c>
      <c r="I15" s="27">
        <v>0</v>
      </c>
      <c r="J15" s="27">
        <v>18000</v>
      </c>
      <c r="K15" s="27">
        <v>18000</v>
      </c>
      <c r="L15" s="27">
        <v>18000</v>
      </c>
      <c r="M15" s="27">
        <v>18000</v>
      </c>
      <c r="N15" s="27">
        <v>18000</v>
      </c>
      <c r="O15" s="27">
        <v>18000</v>
      </c>
      <c r="P15" s="27">
        <v>18000</v>
      </c>
      <c r="Q15" s="27">
        <v>18000</v>
      </c>
      <c r="R15" s="27">
        <v>18000</v>
      </c>
      <c r="S15" s="27">
        <v>18000</v>
      </c>
      <c r="T15" s="27">
        <v>18000</v>
      </c>
      <c r="U15" s="27">
        <v>18000</v>
      </c>
      <c r="V15" s="27">
        <v>18000</v>
      </c>
      <c r="W15" s="27">
        <v>0</v>
      </c>
      <c r="X15" s="11">
        <f t="shared" si="0"/>
        <v>18000</v>
      </c>
      <c r="Y15" s="11">
        <f t="shared" si="1"/>
        <v>18000</v>
      </c>
      <c r="Z15" s="11">
        <f t="shared" si="2"/>
        <v>18000</v>
      </c>
      <c r="AA15" s="11">
        <f t="shared" si="3"/>
        <v>18000</v>
      </c>
      <c r="AB15" s="11">
        <f t="shared" si="4"/>
        <v>18000</v>
      </c>
    </row>
    <row r="16" spans="1:28" x14ac:dyDescent="0.35">
      <c r="A16" s="3">
        <v>12</v>
      </c>
      <c r="B16" s="3" t="s">
        <v>248</v>
      </c>
      <c r="C16" s="3" t="s">
        <v>304</v>
      </c>
      <c r="D16" s="27">
        <v>16000</v>
      </c>
      <c r="E16" s="27">
        <v>16000</v>
      </c>
      <c r="F16" s="27">
        <v>16000</v>
      </c>
      <c r="G16" s="27">
        <v>16000</v>
      </c>
      <c r="H16" s="27">
        <v>0</v>
      </c>
      <c r="I16" s="27">
        <v>0</v>
      </c>
      <c r="J16" s="27">
        <v>16000</v>
      </c>
      <c r="K16" s="27">
        <v>16000</v>
      </c>
      <c r="L16" s="27">
        <v>16000</v>
      </c>
      <c r="M16" s="27">
        <v>16000</v>
      </c>
      <c r="N16" s="27">
        <v>16000</v>
      </c>
      <c r="O16" s="27">
        <v>16000</v>
      </c>
      <c r="P16" s="27">
        <v>16000</v>
      </c>
      <c r="Q16" s="27">
        <v>16000</v>
      </c>
      <c r="R16" s="27">
        <v>15700</v>
      </c>
      <c r="S16" s="27">
        <v>15700</v>
      </c>
      <c r="T16" s="27">
        <v>15700</v>
      </c>
      <c r="U16" s="27">
        <v>15700</v>
      </c>
      <c r="V16" s="27">
        <v>15700</v>
      </c>
      <c r="W16" s="27">
        <v>0</v>
      </c>
      <c r="X16" s="11">
        <f t="shared" si="0"/>
        <v>16000</v>
      </c>
      <c r="Y16" s="11">
        <f t="shared" si="1"/>
        <v>16000</v>
      </c>
      <c r="Z16" s="11">
        <f t="shared" si="2"/>
        <v>15940</v>
      </c>
      <c r="AA16" s="11">
        <f t="shared" si="3"/>
        <v>15700</v>
      </c>
      <c r="AB16" s="11">
        <f t="shared" si="4"/>
        <v>15911.764705882353</v>
      </c>
    </row>
    <row r="17" spans="1:28" x14ac:dyDescent="0.35">
      <c r="A17" s="3">
        <v>13</v>
      </c>
      <c r="B17" s="3" t="s">
        <v>243</v>
      </c>
      <c r="C17" s="3" t="s">
        <v>304</v>
      </c>
      <c r="D17" s="27">
        <v>9000</v>
      </c>
      <c r="E17" s="27">
        <v>9000</v>
      </c>
      <c r="F17" s="27">
        <v>9000</v>
      </c>
      <c r="G17" s="27">
        <v>9000</v>
      </c>
      <c r="H17" s="27">
        <v>0</v>
      </c>
      <c r="I17" s="27">
        <v>0</v>
      </c>
      <c r="J17" s="27">
        <v>9000</v>
      </c>
      <c r="K17" s="27">
        <v>9000</v>
      </c>
      <c r="L17" s="27">
        <v>9000</v>
      </c>
      <c r="M17" s="27">
        <v>9000</v>
      </c>
      <c r="N17" s="27">
        <v>9000</v>
      </c>
      <c r="O17" s="27">
        <v>9000</v>
      </c>
      <c r="P17" s="27">
        <v>9000</v>
      </c>
      <c r="Q17" s="27">
        <v>9000</v>
      </c>
      <c r="R17" s="27">
        <v>9000</v>
      </c>
      <c r="S17" s="27">
        <v>11000</v>
      </c>
      <c r="T17" s="27">
        <v>11500</v>
      </c>
      <c r="U17" s="27">
        <v>11500</v>
      </c>
      <c r="V17" s="27">
        <v>11500</v>
      </c>
      <c r="W17" s="27">
        <v>0</v>
      </c>
      <c r="X17" s="11">
        <f t="shared" si="0"/>
        <v>9000</v>
      </c>
      <c r="Y17" s="11">
        <f t="shared" si="1"/>
        <v>9000</v>
      </c>
      <c r="Z17" s="11">
        <f t="shared" si="2"/>
        <v>9000</v>
      </c>
      <c r="AA17" s="11">
        <f t="shared" si="3"/>
        <v>11375</v>
      </c>
      <c r="AB17" s="11">
        <f t="shared" si="4"/>
        <v>9558.823529411764</v>
      </c>
    </row>
    <row r="18" spans="1:28" x14ac:dyDescent="0.35">
      <c r="A18" s="3">
        <v>14</v>
      </c>
      <c r="B18" s="3" t="s">
        <v>245</v>
      </c>
      <c r="C18" s="3" t="s">
        <v>304</v>
      </c>
      <c r="D18" s="27">
        <v>29000</v>
      </c>
      <c r="E18" s="27">
        <v>29000</v>
      </c>
      <c r="F18" s="27">
        <v>29000</v>
      </c>
      <c r="G18" s="27">
        <v>29000</v>
      </c>
      <c r="H18" s="27">
        <v>0</v>
      </c>
      <c r="I18" s="27">
        <v>0</v>
      </c>
      <c r="J18" s="27">
        <v>29000</v>
      </c>
      <c r="K18" s="27">
        <v>27500</v>
      </c>
      <c r="L18" s="27">
        <v>26000</v>
      </c>
      <c r="M18" s="27">
        <v>25000</v>
      </c>
      <c r="N18" s="27">
        <v>25000</v>
      </c>
      <c r="O18" s="27">
        <v>23000</v>
      </c>
      <c r="P18" s="27">
        <v>23000</v>
      </c>
      <c r="Q18" s="27">
        <v>23000</v>
      </c>
      <c r="R18" s="27">
        <v>23000</v>
      </c>
      <c r="S18" s="27">
        <v>23000</v>
      </c>
      <c r="T18" s="27">
        <v>23000</v>
      </c>
      <c r="U18" s="27">
        <v>23000</v>
      </c>
      <c r="V18" s="27">
        <v>23000</v>
      </c>
      <c r="W18" s="27">
        <v>0</v>
      </c>
      <c r="X18" s="11">
        <f t="shared" si="0"/>
        <v>29000</v>
      </c>
      <c r="Y18" s="11">
        <f t="shared" si="1"/>
        <v>26875</v>
      </c>
      <c r="Z18" s="11">
        <f t="shared" si="2"/>
        <v>23400</v>
      </c>
      <c r="AA18" s="11">
        <f t="shared" si="3"/>
        <v>23000</v>
      </c>
      <c r="AB18" s="11">
        <f t="shared" si="4"/>
        <v>25441.176470588234</v>
      </c>
    </row>
    <row r="19" spans="1:28" x14ac:dyDescent="0.35">
      <c r="A19" s="3">
        <v>15</v>
      </c>
      <c r="B19" s="3" t="s">
        <v>252</v>
      </c>
      <c r="C19" s="3" t="s">
        <v>304</v>
      </c>
      <c r="D19" s="27">
        <v>25000</v>
      </c>
      <c r="E19" s="27">
        <v>25000</v>
      </c>
      <c r="F19" s="27">
        <v>25000</v>
      </c>
      <c r="G19" s="27">
        <v>25000</v>
      </c>
      <c r="H19" s="27">
        <v>0</v>
      </c>
      <c r="I19" s="27">
        <v>0</v>
      </c>
      <c r="J19" s="27">
        <v>25000</v>
      </c>
      <c r="K19" s="27">
        <v>24000</v>
      </c>
      <c r="L19" s="27">
        <v>24000</v>
      </c>
      <c r="M19" s="27">
        <v>23000</v>
      </c>
      <c r="N19" s="27">
        <v>23000</v>
      </c>
      <c r="O19" s="27">
        <v>22000</v>
      </c>
      <c r="P19" s="27">
        <v>22000</v>
      </c>
      <c r="Q19" s="27">
        <v>22000</v>
      </c>
      <c r="R19" s="27">
        <v>22000</v>
      </c>
      <c r="S19" s="27">
        <v>23000</v>
      </c>
      <c r="T19" s="27">
        <v>23000</v>
      </c>
      <c r="U19" s="27">
        <v>23000</v>
      </c>
      <c r="V19" s="27">
        <v>23000</v>
      </c>
      <c r="W19" s="27">
        <v>0</v>
      </c>
      <c r="X19" s="11">
        <f t="shared" si="0"/>
        <v>25000</v>
      </c>
      <c r="Y19" s="11">
        <f t="shared" si="1"/>
        <v>24000</v>
      </c>
      <c r="Z19" s="11">
        <f t="shared" si="2"/>
        <v>22200</v>
      </c>
      <c r="AA19" s="11">
        <f t="shared" si="3"/>
        <v>23000</v>
      </c>
      <c r="AB19" s="11">
        <f t="shared" si="4"/>
        <v>23470.588235294119</v>
      </c>
    </row>
    <row r="20" spans="1:28" x14ac:dyDescent="0.35">
      <c r="A20" s="3">
        <v>16</v>
      </c>
      <c r="B20" s="3" t="s">
        <v>263</v>
      </c>
      <c r="C20" s="3" t="s">
        <v>304</v>
      </c>
      <c r="D20" s="27">
        <v>100000</v>
      </c>
      <c r="E20" s="27">
        <v>100000</v>
      </c>
      <c r="F20" s="27">
        <v>100000</v>
      </c>
      <c r="G20" s="27">
        <v>100000</v>
      </c>
      <c r="H20" s="27">
        <v>0</v>
      </c>
      <c r="I20" s="27">
        <v>0</v>
      </c>
      <c r="J20" s="27">
        <v>100000</v>
      </c>
      <c r="K20" s="27">
        <v>98000</v>
      </c>
      <c r="L20" s="27">
        <v>98000</v>
      </c>
      <c r="M20" s="27">
        <v>90000</v>
      </c>
      <c r="N20" s="27">
        <v>90000</v>
      </c>
      <c r="O20" s="27">
        <v>90000</v>
      </c>
      <c r="P20" s="27">
        <v>90000</v>
      </c>
      <c r="Q20" s="27">
        <v>90000</v>
      </c>
      <c r="R20" s="27">
        <v>90000</v>
      </c>
      <c r="S20" s="27">
        <v>90000</v>
      </c>
      <c r="T20" s="27">
        <v>90000</v>
      </c>
      <c r="U20" s="27">
        <v>90000</v>
      </c>
      <c r="V20" s="27">
        <v>90000</v>
      </c>
      <c r="W20" s="27">
        <v>0</v>
      </c>
      <c r="X20" s="11">
        <f t="shared" si="0"/>
        <v>100000</v>
      </c>
      <c r="Y20" s="11">
        <f t="shared" si="1"/>
        <v>96500</v>
      </c>
      <c r="Z20" s="11">
        <f t="shared" si="2"/>
        <v>90000</v>
      </c>
      <c r="AA20" s="11">
        <f t="shared" si="3"/>
        <v>90000</v>
      </c>
      <c r="AB20" s="11">
        <f t="shared" si="4"/>
        <v>93882.352941176476</v>
      </c>
    </row>
    <row r="21" spans="1:28" x14ac:dyDescent="0.35">
      <c r="A21" s="3">
        <v>17</v>
      </c>
      <c r="B21" s="3" t="s">
        <v>264</v>
      </c>
      <c r="C21" s="3" t="s">
        <v>304</v>
      </c>
      <c r="D21" s="27">
        <v>60000</v>
      </c>
      <c r="E21" s="27">
        <v>60000</v>
      </c>
      <c r="F21" s="27">
        <v>60000</v>
      </c>
      <c r="G21" s="27">
        <v>60000</v>
      </c>
      <c r="H21" s="27">
        <v>0</v>
      </c>
      <c r="I21" s="27">
        <v>0</v>
      </c>
      <c r="J21" s="27">
        <v>60000</v>
      </c>
      <c r="K21" s="27">
        <v>60000</v>
      </c>
      <c r="L21" s="27">
        <v>60000</v>
      </c>
      <c r="M21" s="27">
        <v>60000</v>
      </c>
      <c r="N21" s="27">
        <v>60000</v>
      </c>
      <c r="O21" s="27">
        <v>60000</v>
      </c>
      <c r="P21" s="27">
        <v>60000</v>
      </c>
      <c r="Q21" s="27">
        <v>60000</v>
      </c>
      <c r="R21" s="27">
        <v>60000</v>
      </c>
      <c r="S21" s="27">
        <v>60000</v>
      </c>
      <c r="T21" s="27">
        <v>60000</v>
      </c>
      <c r="U21" s="27">
        <v>60000</v>
      </c>
      <c r="V21" s="27">
        <v>60000</v>
      </c>
      <c r="W21" s="27">
        <v>0</v>
      </c>
      <c r="X21" s="11">
        <f t="shared" si="0"/>
        <v>60000</v>
      </c>
      <c r="Y21" s="11">
        <f t="shared" si="1"/>
        <v>60000</v>
      </c>
      <c r="Z21" s="11">
        <f t="shared" si="2"/>
        <v>60000</v>
      </c>
      <c r="AA21" s="11">
        <f t="shared" si="3"/>
        <v>60000</v>
      </c>
      <c r="AB21" s="11">
        <f t="shared" si="4"/>
        <v>60000</v>
      </c>
    </row>
    <row r="22" spans="1:28" x14ac:dyDescent="0.35">
      <c r="A22" s="3">
        <v>18</v>
      </c>
      <c r="B22" s="3" t="s">
        <v>265</v>
      </c>
      <c r="C22" s="3" t="s">
        <v>304</v>
      </c>
      <c r="D22" s="27">
        <v>60000</v>
      </c>
      <c r="E22" s="27">
        <v>60000</v>
      </c>
      <c r="F22" s="27">
        <v>60000</v>
      </c>
      <c r="G22" s="27">
        <v>60000</v>
      </c>
      <c r="H22" s="27">
        <v>0</v>
      </c>
      <c r="I22" s="27">
        <v>0</v>
      </c>
      <c r="J22" s="27">
        <v>60000</v>
      </c>
      <c r="K22" s="27">
        <v>55000</v>
      </c>
      <c r="L22" s="27">
        <v>55000</v>
      </c>
      <c r="M22" s="27">
        <v>55000</v>
      </c>
      <c r="N22" s="27">
        <v>55000</v>
      </c>
      <c r="O22" s="27">
        <v>55000</v>
      </c>
      <c r="P22" s="27">
        <v>55000</v>
      </c>
      <c r="Q22" s="27">
        <v>55000</v>
      </c>
      <c r="R22" s="27">
        <v>55000</v>
      </c>
      <c r="S22" s="27">
        <v>55000</v>
      </c>
      <c r="T22" s="27">
        <v>55000</v>
      </c>
      <c r="U22" s="27">
        <v>55000</v>
      </c>
      <c r="V22" s="27">
        <v>55000</v>
      </c>
      <c r="W22" s="27">
        <v>0</v>
      </c>
      <c r="X22" s="11">
        <f t="shared" si="0"/>
        <v>60000</v>
      </c>
      <c r="Y22" s="11">
        <f t="shared" si="1"/>
        <v>56250</v>
      </c>
      <c r="Z22" s="11">
        <f t="shared" si="2"/>
        <v>55000</v>
      </c>
      <c r="AA22" s="11">
        <f t="shared" si="3"/>
        <v>55000</v>
      </c>
      <c r="AB22" s="11">
        <f t="shared" si="4"/>
        <v>56470.588235294119</v>
      </c>
    </row>
    <row r="23" spans="1:28" x14ac:dyDescent="0.35">
      <c r="A23" s="3">
        <v>19</v>
      </c>
      <c r="B23" s="3" t="s">
        <v>306</v>
      </c>
      <c r="C23" s="3" t="s">
        <v>304</v>
      </c>
      <c r="D23" s="27">
        <v>30000</v>
      </c>
      <c r="E23" s="27">
        <v>30000</v>
      </c>
      <c r="F23" s="27">
        <v>30000</v>
      </c>
      <c r="G23" s="27">
        <v>30000</v>
      </c>
      <c r="H23" s="27">
        <v>0</v>
      </c>
      <c r="I23" s="27">
        <v>0</v>
      </c>
      <c r="J23" s="27">
        <v>30000</v>
      </c>
      <c r="K23" s="27">
        <v>30000</v>
      </c>
      <c r="L23" s="27">
        <v>30000</v>
      </c>
      <c r="M23" s="27">
        <v>30000</v>
      </c>
      <c r="N23" s="27">
        <v>30000</v>
      </c>
      <c r="O23" s="27">
        <v>30000</v>
      </c>
      <c r="P23" s="27">
        <v>30000</v>
      </c>
      <c r="Q23" s="27">
        <v>30000</v>
      </c>
      <c r="R23" s="27">
        <v>30000</v>
      </c>
      <c r="S23" s="27">
        <v>30000</v>
      </c>
      <c r="T23" s="27">
        <v>30000</v>
      </c>
      <c r="U23" s="27">
        <v>30000</v>
      </c>
      <c r="V23" s="27">
        <v>30000</v>
      </c>
      <c r="W23" s="27">
        <v>0</v>
      </c>
      <c r="X23" s="11">
        <f t="shared" si="0"/>
        <v>30000</v>
      </c>
      <c r="Y23" s="11">
        <f t="shared" si="1"/>
        <v>30000</v>
      </c>
      <c r="Z23" s="11">
        <f t="shared" si="2"/>
        <v>30000</v>
      </c>
      <c r="AA23" s="11">
        <f t="shared" si="3"/>
        <v>30000</v>
      </c>
      <c r="AB23" s="11">
        <f t="shared" si="4"/>
        <v>30000</v>
      </c>
    </row>
    <row r="24" spans="1:28" x14ac:dyDescent="0.35">
      <c r="A24" s="3">
        <v>20</v>
      </c>
      <c r="B24" s="3" t="s">
        <v>254</v>
      </c>
      <c r="C24" s="3" t="s">
        <v>304</v>
      </c>
      <c r="D24" s="27">
        <v>30000</v>
      </c>
      <c r="E24" s="27">
        <v>30000</v>
      </c>
      <c r="F24" s="27">
        <v>30000</v>
      </c>
      <c r="G24" s="27">
        <v>30000</v>
      </c>
      <c r="H24" s="27">
        <v>0</v>
      </c>
      <c r="I24" s="27">
        <v>0</v>
      </c>
      <c r="J24" s="27">
        <v>30000</v>
      </c>
      <c r="K24" s="27">
        <v>28000</v>
      </c>
      <c r="L24" s="27">
        <v>28000</v>
      </c>
      <c r="M24" s="27">
        <v>28000</v>
      </c>
      <c r="N24" s="27">
        <v>28000</v>
      </c>
      <c r="O24" s="27">
        <v>28000</v>
      </c>
      <c r="P24" s="27">
        <v>28000</v>
      </c>
      <c r="Q24" s="27">
        <v>28000</v>
      </c>
      <c r="R24" s="27">
        <v>28000</v>
      </c>
      <c r="S24" s="27">
        <v>28000</v>
      </c>
      <c r="T24" s="27">
        <v>28000</v>
      </c>
      <c r="U24" s="27">
        <v>28000</v>
      </c>
      <c r="V24" s="27">
        <v>28000</v>
      </c>
      <c r="W24" s="27">
        <v>0</v>
      </c>
      <c r="X24" s="11">
        <f t="shared" si="0"/>
        <v>30000</v>
      </c>
      <c r="Y24" s="11">
        <f t="shared" si="1"/>
        <v>28500</v>
      </c>
      <c r="Z24" s="11">
        <f t="shared" si="2"/>
        <v>28000</v>
      </c>
      <c r="AA24" s="11">
        <f t="shared" si="3"/>
        <v>28000</v>
      </c>
      <c r="AB24" s="11">
        <f t="shared" si="4"/>
        <v>28588.235294117647</v>
      </c>
    </row>
    <row r="25" spans="1:28" x14ac:dyDescent="0.35">
      <c r="A25" s="3">
        <v>21</v>
      </c>
      <c r="B25" s="3" t="s">
        <v>307</v>
      </c>
      <c r="C25" s="3" t="s">
        <v>304</v>
      </c>
      <c r="D25" s="27">
        <v>60000</v>
      </c>
      <c r="E25" s="27">
        <v>60000</v>
      </c>
      <c r="F25" s="27">
        <v>60000</v>
      </c>
      <c r="G25" s="27">
        <v>60000</v>
      </c>
      <c r="H25" s="27">
        <v>0</v>
      </c>
      <c r="I25" s="27">
        <v>0</v>
      </c>
      <c r="J25" s="27">
        <v>60000</v>
      </c>
      <c r="K25" s="27">
        <v>60000</v>
      </c>
      <c r="L25" s="27">
        <v>60000</v>
      </c>
      <c r="M25" s="27">
        <v>60000</v>
      </c>
      <c r="N25" s="27">
        <v>60000</v>
      </c>
      <c r="O25" s="27">
        <v>60000</v>
      </c>
      <c r="P25" s="27">
        <v>60000</v>
      </c>
      <c r="Q25" s="27">
        <v>60000</v>
      </c>
      <c r="R25" s="27">
        <v>60000</v>
      </c>
      <c r="S25" s="27">
        <v>60000</v>
      </c>
      <c r="T25" s="27">
        <v>60000</v>
      </c>
      <c r="U25" s="27">
        <v>60000</v>
      </c>
      <c r="V25" s="27">
        <v>60000</v>
      </c>
      <c r="W25" s="27">
        <v>0</v>
      </c>
      <c r="X25" s="11">
        <f t="shared" si="0"/>
        <v>60000</v>
      </c>
      <c r="Y25" s="11">
        <f t="shared" si="1"/>
        <v>60000</v>
      </c>
      <c r="Z25" s="11">
        <f t="shared" si="2"/>
        <v>60000</v>
      </c>
      <c r="AA25" s="11">
        <f t="shared" si="3"/>
        <v>60000</v>
      </c>
      <c r="AB25" s="11">
        <f t="shared" si="4"/>
        <v>60000</v>
      </c>
    </row>
    <row r="26" spans="1:28" x14ac:dyDescent="0.35">
      <c r="A26" s="3">
        <v>22</v>
      </c>
      <c r="B26" s="3" t="s">
        <v>259</v>
      </c>
      <c r="C26" s="3" t="s">
        <v>304</v>
      </c>
      <c r="D26" s="27">
        <v>2800</v>
      </c>
      <c r="E26" s="27">
        <v>2800</v>
      </c>
      <c r="F26" s="27">
        <v>2800</v>
      </c>
      <c r="G26" s="27">
        <v>2800</v>
      </c>
      <c r="H26" s="27">
        <v>0</v>
      </c>
      <c r="I26" s="27">
        <v>0</v>
      </c>
      <c r="J26" s="27">
        <v>2800</v>
      </c>
      <c r="K26" s="27">
        <v>2800</v>
      </c>
      <c r="L26" s="27">
        <v>2800</v>
      </c>
      <c r="M26" s="27">
        <v>2800</v>
      </c>
      <c r="N26" s="27">
        <v>2800</v>
      </c>
      <c r="O26" s="27">
        <v>2800</v>
      </c>
      <c r="P26" s="27">
        <v>2800</v>
      </c>
      <c r="Q26" s="27">
        <v>2800</v>
      </c>
      <c r="R26" s="27">
        <v>2800</v>
      </c>
      <c r="S26" s="27">
        <v>2800</v>
      </c>
      <c r="T26" s="27">
        <v>2800</v>
      </c>
      <c r="U26" s="27">
        <v>2800</v>
      </c>
      <c r="V26" s="27">
        <v>2800</v>
      </c>
      <c r="W26" s="27">
        <v>0</v>
      </c>
      <c r="X26" s="11">
        <f t="shared" si="0"/>
        <v>2800</v>
      </c>
      <c r="Y26" s="11">
        <f t="shared" si="1"/>
        <v>2800</v>
      </c>
      <c r="Z26" s="11">
        <f t="shared" si="2"/>
        <v>2800</v>
      </c>
      <c r="AA26" s="11">
        <f t="shared" si="3"/>
        <v>2800</v>
      </c>
      <c r="AB26" s="11">
        <f t="shared" si="4"/>
        <v>2800</v>
      </c>
    </row>
    <row r="27" spans="1:28" x14ac:dyDescent="0.35">
      <c r="A27" s="3">
        <v>23</v>
      </c>
      <c r="B27" s="3" t="s">
        <v>257</v>
      </c>
      <c r="C27" s="3" t="s">
        <v>304</v>
      </c>
      <c r="D27" s="27">
        <v>27000</v>
      </c>
      <c r="E27" s="27">
        <v>27000</v>
      </c>
      <c r="F27" s="27">
        <v>27000</v>
      </c>
      <c r="G27" s="27">
        <v>27000</v>
      </c>
      <c r="H27" s="27">
        <v>0</v>
      </c>
      <c r="I27" s="27">
        <v>0</v>
      </c>
      <c r="J27" s="27">
        <v>27000</v>
      </c>
      <c r="K27" s="27">
        <v>27000</v>
      </c>
      <c r="L27" s="27">
        <v>27000</v>
      </c>
      <c r="M27" s="27">
        <v>27000</v>
      </c>
      <c r="N27" s="27">
        <v>27000</v>
      </c>
      <c r="O27" s="27">
        <v>25000</v>
      </c>
      <c r="P27" s="27">
        <v>25000</v>
      </c>
      <c r="Q27" s="27">
        <v>25000</v>
      </c>
      <c r="R27" s="27">
        <v>25000</v>
      </c>
      <c r="S27" s="27">
        <v>25000</v>
      </c>
      <c r="T27" s="27">
        <v>25000</v>
      </c>
      <c r="U27" s="27">
        <v>25000</v>
      </c>
      <c r="V27" s="27">
        <v>25000</v>
      </c>
      <c r="W27" s="27">
        <v>0</v>
      </c>
      <c r="X27" s="11">
        <f t="shared" si="0"/>
        <v>27000</v>
      </c>
      <c r="Y27" s="11">
        <f t="shared" si="1"/>
        <v>27000</v>
      </c>
      <c r="Z27" s="11">
        <f t="shared" si="2"/>
        <v>25400</v>
      </c>
      <c r="AA27" s="11">
        <f t="shared" si="3"/>
        <v>25000</v>
      </c>
      <c r="AB27" s="11">
        <f t="shared" si="4"/>
        <v>26058.823529411766</v>
      </c>
    </row>
    <row r="28" spans="1:28" x14ac:dyDescent="0.35">
      <c r="A28" s="3">
        <v>24</v>
      </c>
      <c r="B28" s="3" t="s">
        <v>258</v>
      </c>
      <c r="C28" s="3" t="s">
        <v>304</v>
      </c>
      <c r="D28" s="27">
        <v>33000</v>
      </c>
      <c r="E28" s="27">
        <v>33000</v>
      </c>
      <c r="F28" s="27">
        <v>33000</v>
      </c>
      <c r="G28" s="27">
        <v>33000</v>
      </c>
      <c r="H28" s="27">
        <v>0</v>
      </c>
      <c r="I28" s="27">
        <v>0</v>
      </c>
      <c r="J28" s="27">
        <v>33000</v>
      </c>
      <c r="K28" s="27">
        <v>33000</v>
      </c>
      <c r="L28" s="27">
        <v>33000</v>
      </c>
      <c r="M28" s="27">
        <v>33000</v>
      </c>
      <c r="N28" s="27">
        <v>33000</v>
      </c>
      <c r="O28" s="27">
        <v>30000</v>
      </c>
      <c r="P28" s="27">
        <v>30000</v>
      </c>
      <c r="Q28" s="27">
        <v>30000</v>
      </c>
      <c r="R28" s="27">
        <v>30000</v>
      </c>
      <c r="S28" s="27">
        <v>30000</v>
      </c>
      <c r="T28" s="27">
        <v>30000</v>
      </c>
      <c r="U28" s="27">
        <v>30000</v>
      </c>
      <c r="V28" s="27">
        <v>30000</v>
      </c>
      <c r="W28" s="27">
        <v>0</v>
      </c>
      <c r="X28" s="11">
        <f t="shared" si="0"/>
        <v>33000</v>
      </c>
      <c r="Y28" s="11">
        <f t="shared" si="1"/>
        <v>33000</v>
      </c>
      <c r="Z28" s="11">
        <f t="shared" si="2"/>
        <v>30600</v>
      </c>
      <c r="AA28" s="11">
        <f t="shared" si="3"/>
        <v>30000</v>
      </c>
      <c r="AB28" s="11">
        <f t="shared" si="4"/>
        <v>31588.235294117647</v>
      </c>
    </row>
    <row r="29" spans="1:28" x14ac:dyDescent="0.35">
      <c r="A29" s="3">
        <v>25</v>
      </c>
      <c r="B29" s="3" t="s">
        <v>308</v>
      </c>
      <c r="C29" s="3" t="s">
        <v>304</v>
      </c>
      <c r="D29" s="27">
        <v>27000</v>
      </c>
      <c r="E29" s="27">
        <v>27000</v>
      </c>
      <c r="F29" s="27">
        <v>27000</v>
      </c>
      <c r="G29" s="27">
        <v>27000</v>
      </c>
      <c r="H29" s="27">
        <v>0</v>
      </c>
      <c r="I29" s="27">
        <v>0</v>
      </c>
      <c r="J29" s="27">
        <v>27000</v>
      </c>
      <c r="K29" s="27">
        <v>26000</v>
      </c>
      <c r="L29" s="27">
        <v>26000</v>
      </c>
      <c r="M29" s="27">
        <v>25000</v>
      </c>
      <c r="N29" s="27">
        <v>25000</v>
      </c>
      <c r="O29" s="27">
        <v>25000</v>
      </c>
      <c r="P29" s="27">
        <v>25000</v>
      </c>
      <c r="Q29" s="27">
        <v>25000</v>
      </c>
      <c r="R29" s="27">
        <v>25000</v>
      </c>
      <c r="S29" s="27">
        <v>25000</v>
      </c>
      <c r="T29" s="27">
        <v>25000</v>
      </c>
      <c r="U29" s="27">
        <v>25000</v>
      </c>
      <c r="V29" s="27">
        <v>25000</v>
      </c>
      <c r="W29" s="27">
        <v>0</v>
      </c>
      <c r="X29" s="11">
        <f t="shared" si="0"/>
        <v>27000</v>
      </c>
      <c r="Y29" s="11">
        <f t="shared" si="1"/>
        <v>26000</v>
      </c>
      <c r="Z29" s="11">
        <f t="shared" si="2"/>
        <v>25000</v>
      </c>
      <c r="AA29" s="11">
        <f t="shared" si="3"/>
        <v>25000</v>
      </c>
      <c r="AB29" s="11">
        <f t="shared" si="4"/>
        <v>25705.882352941175</v>
      </c>
    </row>
    <row r="30" spans="1:28" x14ac:dyDescent="0.35">
      <c r="A30" s="3">
        <v>26</v>
      </c>
      <c r="B30" s="3" t="s">
        <v>309</v>
      </c>
      <c r="C30" s="3" t="s">
        <v>304</v>
      </c>
      <c r="D30" s="27">
        <v>8000</v>
      </c>
      <c r="E30" s="27">
        <v>8000</v>
      </c>
      <c r="F30" s="27">
        <v>8000</v>
      </c>
      <c r="G30" s="27">
        <v>8000</v>
      </c>
      <c r="H30" s="27">
        <v>0</v>
      </c>
      <c r="I30" s="27">
        <v>0</v>
      </c>
      <c r="J30" s="27">
        <v>8000</v>
      </c>
      <c r="K30" s="27">
        <v>8000</v>
      </c>
      <c r="L30" s="27">
        <v>8000</v>
      </c>
      <c r="M30" s="27">
        <v>8000</v>
      </c>
      <c r="N30" s="27">
        <v>8000</v>
      </c>
      <c r="O30" s="27">
        <v>8000</v>
      </c>
      <c r="P30" s="27">
        <v>8000</v>
      </c>
      <c r="Q30" s="27">
        <v>8000</v>
      </c>
      <c r="R30" s="27">
        <v>8000</v>
      </c>
      <c r="S30" s="27">
        <v>8000</v>
      </c>
      <c r="T30" s="27">
        <v>8000</v>
      </c>
      <c r="U30" s="27">
        <v>8000</v>
      </c>
      <c r="V30" s="27">
        <v>8000</v>
      </c>
      <c r="W30" s="27">
        <v>0</v>
      </c>
      <c r="X30" s="11">
        <f t="shared" si="0"/>
        <v>8000</v>
      </c>
      <c r="Y30" s="11">
        <f t="shared" si="1"/>
        <v>8000</v>
      </c>
      <c r="Z30" s="11">
        <f t="shared" si="2"/>
        <v>8000</v>
      </c>
      <c r="AA30" s="11">
        <f t="shared" si="3"/>
        <v>8000</v>
      </c>
      <c r="AB30" s="11">
        <f t="shared" si="4"/>
        <v>8000</v>
      </c>
    </row>
    <row r="31" spans="1:28" x14ac:dyDescent="0.35">
      <c r="A31" s="3">
        <v>27</v>
      </c>
      <c r="B31" s="3" t="s">
        <v>260</v>
      </c>
      <c r="C31" s="3" t="s">
        <v>304</v>
      </c>
      <c r="D31" s="27">
        <v>10500</v>
      </c>
      <c r="E31" s="27">
        <v>10500</v>
      </c>
      <c r="F31" s="27">
        <v>10500</v>
      </c>
      <c r="G31" s="27">
        <v>10500</v>
      </c>
      <c r="H31" s="27">
        <v>0</v>
      </c>
      <c r="I31" s="27">
        <v>0</v>
      </c>
      <c r="J31" s="27">
        <v>10500</v>
      </c>
      <c r="K31" s="27">
        <v>10500</v>
      </c>
      <c r="L31" s="27">
        <v>10500</v>
      </c>
      <c r="M31" s="27">
        <v>10500</v>
      </c>
      <c r="N31" s="27">
        <v>10500</v>
      </c>
      <c r="O31" s="27">
        <v>10500</v>
      </c>
      <c r="P31" s="27">
        <v>10500</v>
      </c>
      <c r="Q31" s="27">
        <v>10500</v>
      </c>
      <c r="R31" s="27">
        <v>10500</v>
      </c>
      <c r="S31" s="27">
        <v>10500</v>
      </c>
      <c r="T31" s="27">
        <v>10500</v>
      </c>
      <c r="U31" s="27">
        <v>10500</v>
      </c>
      <c r="V31" s="27">
        <v>10500</v>
      </c>
      <c r="W31" s="27">
        <v>0</v>
      </c>
      <c r="X31" s="11">
        <f t="shared" si="0"/>
        <v>10500</v>
      </c>
      <c r="Y31" s="11">
        <f t="shared" si="1"/>
        <v>10500</v>
      </c>
      <c r="Z31" s="11">
        <f t="shared" si="2"/>
        <v>10500</v>
      </c>
      <c r="AA31" s="11">
        <f t="shared" si="3"/>
        <v>10500</v>
      </c>
      <c r="AB31" s="11">
        <f t="shared" si="4"/>
        <v>10500</v>
      </c>
    </row>
    <row r="32" spans="1:28" x14ac:dyDescent="0.35">
      <c r="A32" s="3">
        <v>28</v>
      </c>
      <c r="B32" s="3" t="s">
        <v>255</v>
      </c>
      <c r="C32" s="3" t="s">
        <v>304</v>
      </c>
      <c r="D32" s="27">
        <v>42000</v>
      </c>
      <c r="E32" s="27">
        <v>42000</v>
      </c>
      <c r="F32" s="27">
        <v>42000</v>
      </c>
      <c r="G32" s="27">
        <v>42000</v>
      </c>
      <c r="H32" s="27">
        <v>0</v>
      </c>
      <c r="I32" s="27">
        <v>0</v>
      </c>
      <c r="J32" s="27">
        <v>42000</v>
      </c>
      <c r="K32" s="27">
        <v>42000</v>
      </c>
      <c r="L32" s="27">
        <v>42000</v>
      </c>
      <c r="M32" s="27">
        <v>42000</v>
      </c>
      <c r="N32" s="27">
        <v>42000</v>
      </c>
      <c r="O32" s="27">
        <v>42000</v>
      </c>
      <c r="P32" s="27">
        <v>42000</v>
      </c>
      <c r="Q32" s="27">
        <v>42000</v>
      </c>
      <c r="R32" s="27">
        <v>42000</v>
      </c>
      <c r="S32" s="27">
        <v>42000</v>
      </c>
      <c r="T32" s="27">
        <v>42000</v>
      </c>
      <c r="U32" s="27">
        <v>42000</v>
      </c>
      <c r="V32" s="27">
        <v>42000</v>
      </c>
      <c r="W32" s="27">
        <v>0</v>
      </c>
      <c r="X32" s="11">
        <f t="shared" si="0"/>
        <v>42000</v>
      </c>
      <c r="Y32" s="11">
        <f t="shared" si="1"/>
        <v>42000</v>
      </c>
      <c r="Z32" s="11">
        <f t="shared" si="2"/>
        <v>42000</v>
      </c>
      <c r="AA32" s="11">
        <f t="shared" si="3"/>
        <v>42000</v>
      </c>
      <c r="AB32" s="11">
        <f t="shared" si="4"/>
        <v>42000</v>
      </c>
    </row>
    <row r="33" spans="1:28" x14ac:dyDescent="0.35">
      <c r="A33" s="3">
        <v>29</v>
      </c>
      <c r="B33" s="3" t="s">
        <v>266</v>
      </c>
      <c r="C33" s="3" t="s">
        <v>304</v>
      </c>
      <c r="D33" s="27">
        <v>9000</v>
      </c>
      <c r="E33" s="27">
        <v>9000</v>
      </c>
      <c r="F33" s="27">
        <v>9000</v>
      </c>
      <c r="G33" s="27">
        <v>9000</v>
      </c>
      <c r="H33" s="27">
        <v>0</v>
      </c>
      <c r="I33" s="27">
        <v>0</v>
      </c>
      <c r="J33" s="27">
        <v>9000</v>
      </c>
      <c r="K33" s="27">
        <v>8000</v>
      </c>
      <c r="L33" s="27">
        <v>8000</v>
      </c>
      <c r="M33" s="27">
        <v>8000</v>
      </c>
      <c r="N33" s="27">
        <v>8000</v>
      </c>
      <c r="O33" s="27">
        <v>8000</v>
      </c>
      <c r="P33" s="27">
        <v>8000</v>
      </c>
      <c r="Q33" s="27">
        <v>8000</v>
      </c>
      <c r="R33" s="27">
        <v>8000</v>
      </c>
      <c r="S33" s="27">
        <v>8000</v>
      </c>
      <c r="T33" s="27">
        <v>8000</v>
      </c>
      <c r="U33" s="27">
        <v>8000</v>
      </c>
      <c r="V33" s="27">
        <v>8000</v>
      </c>
      <c r="W33" s="27">
        <v>0</v>
      </c>
      <c r="X33" s="11">
        <f t="shared" si="0"/>
        <v>9000</v>
      </c>
      <c r="Y33" s="11">
        <f t="shared" si="1"/>
        <v>8250</v>
      </c>
      <c r="Z33" s="11">
        <f t="shared" si="2"/>
        <v>8000</v>
      </c>
      <c r="AA33" s="11">
        <f t="shared" si="3"/>
        <v>8000</v>
      </c>
      <c r="AB33" s="11">
        <f t="shared" si="4"/>
        <v>8294.1176470588234</v>
      </c>
    </row>
    <row r="34" spans="1:28" x14ac:dyDescent="0.35">
      <c r="A34" s="3">
        <v>30</v>
      </c>
      <c r="B34" s="3" t="s">
        <v>244</v>
      </c>
      <c r="C34" s="3" t="s">
        <v>304</v>
      </c>
      <c r="D34" s="27">
        <v>4750</v>
      </c>
      <c r="E34" s="27">
        <v>4750</v>
      </c>
      <c r="F34" s="27">
        <v>4750</v>
      </c>
      <c r="G34" s="27">
        <v>4750</v>
      </c>
      <c r="H34" s="27">
        <v>0</v>
      </c>
      <c r="I34" s="27">
        <v>0</v>
      </c>
      <c r="J34" s="27">
        <v>4750</v>
      </c>
      <c r="K34" s="27">
        <v>4750</v>
      </c>
      <c r="L34" s="27">
        <v>4750</v>
      </c>
      <c r="M34" s="27">
        <v>4750</v>
      </c>
      <c r="N34" s="27">
        <v>4750</v>
      </c>
      <c r="O34" s="27">
        <v>4750</v>
      </c>
      <c r="P34" s="27">
        <v>4750</v>
      </c>
      <c r="Q34" s="27">
        <v>4750</v>
      </c>
      <c r="R34" s="27">
        <v>4750</v>
      </c>
      <c r="S34" s="27">
        <v>4750</v>
      </c>
      <c r="T34" s="27">
        <v>4750</v>
      </c>
      <c r="U34" s="27">
        <v>4750</v>
      </c>
      <c r="V34" s="27">
        <v>4750</v>
      </c>
      <c r="W34" s="27">
        <v>0</v>
      </c>
      <c r="X34" s="11">
        <f t="shared" si="0"/>
        <v>4750</v>
      </c>
      <c r="Y34" s="11">
        <f t="shared" si="1"/>
        <v>4750</v>
      </c>
      <c r="Z34" s="11">
        <f t="shared" si="2"/>
        <v>4750</v>
      </c>
      <c r="AA34" s="11">
        <f t="shared" si="3"/>
        <v>4750</v>
      </c>
      <c r="AB34" s="11">
        <f t="shared" si="4"/>
        <v>4750</v>
      </c>
    </row>
    <row r="35" spans="1:28" x14ac:dyDescent="0.35">
      <c r="A35" s="3">
        <v>31</v>
      </c>
      <c r="B35" s="3" t="s">
        <v>249</v>
      </c>
      <c r="C35" s="3" t="s">
        <v>304</v>
      </c>
      <c r="D35" s="27">
        <v>60000</v>
      </c>
      <c r="E35" s="27">
        <v>60000</v>
      </c>
      <c r="F35" s="27">
        <v>60000</v>
      </c>
      <c r="G35" s="27">
        <v>60000</v>
      </c>
      <c r="H35" s="27">
        <v>0</v>
      </c>
      <c r="I35" s="27">
        <v>0</v>
      </c>
      <c r="J35" s="27">
        <v>60000</v>
      </c>
      <c r="K35" s="27">
        <v>58000</v>
      </c>
      <c r="L35" s="27">
        <v>58000</v>
      </c>
      <c r="M35" s="27">
        <v>58000</v>
      </c>
      <c r="N35" s="27">
        <v>58000</v>
      </c>
      <c r="O35" s="27">
        <v>58000</v>
      </c>
      <c r="P35" s="27">
        <v>58000</v>
      </c>
      <c r="Q35" s="27">
        <v>58000</v>
      </c>
      <c r="R35" s="27">
        <v>58000</v>
      </c>
      <c r="S35" s="27">
        <v>58000</v>
      </c>
      <c r="T35" s="27">
        <v>58000</v>
      </c>
      <c r="U35" s="27">
        <v>58000</v>
      </c>
      <c r="V35" s="27">
        <v>58000</v>
      </c>
      <c r="W35" s="27">
        <v>0</v>
      </c>
      <c r="X35" s="11">
        <f t="shared" si="0"/>
        <v>60000</v>
      </c>
      <c r="Y35" s="11">
        <f t="shared" si="1"/>
        <v>58500</v>
      </c>
      <c r="Z35" s="11">
        <f t="shared" si="2"/>
        <v>58000</v>
      </c>
      <c r="AA35" s="11">
        <f t="shared" si="3"/>
        <v>58000</v>
      </c>
      <c r="AB35" s="11">
        <f t="shared" si="4"/>
        <v>58588.23529411765</v>
      </c>
    </row>
    <row r="36" spans="1:28" x14ac:dyDescent="0.35">
      <c r="A36" s="3">
        <v>32</v>
      </c>
      <c r="B36" s="3" t="s">
        <v>250</v>
      </c>
      <c r="C36" s="3" t="s">
        <v>304</v>
      </c>
      <c r="D36" s="27">
        <v>12000</v>
      </c>
      <c r="E36" s="27">
        <v>12000</v>
      </c>
      <c r="F36" s="27">
        <v>12000</v>
      </c>
      <c r="G36" s="27">
        <v>12000</v>
      </c>
      <c r="H36" s="27">
        <v>0</v>
      </c>
      <c r="I36" s="27">
        <v>0</v>
      </c>
      <c r="J36" s="27">
        <v>12000</v>
      </c>
      <c r="K36" s="27">
        <v>12000</v>
      </c>
      <c r="L36" s="27">
        <v>12000</v>
      </c>
      <c r="M36" s="27">
        <v>12000</v>
      </c>
      <c r="N36" s="27">
        <v>12000</v>
      </c>
      <c r="O36" s="27">
        <v>12000</v>
      </c>
      <c r="P36" s="27">
        <v>12000</v>
      </c>
      <c r="Q36" s="27">
        <v>12000</v>
      </c>
      <c r="R36" s="27">
        <v>12000</v>
      </c>
      <c r="S36" s="27">
        <v>12000</v>
      </c>
      <c r="T36" s="27">
        <v>12000</v>
      </c>
      <c r="U36" s="27">
        <v>12000</v>
      </c>
      <c r="V36" s="27">
        <v>12000</v>
      </c>
      <c r="W36" s="27">
        <v>0</v>
      </c>
      <c r="X36" s="11">
        <f t="shared" si="0"/>
        <v>12000</v>
      </c>
      <c r="Y36" s="11">
        <f t="shared" si="1"/>
        <v>12000</v>
      </c>
      <c r="Z36" s="11">
        <f t="shared" si="2"/>
        <v>12000</v>
      </c>
      <c r="AA36" s="11">
        <f t="shared" si="3"/>
        <v>12000</v>
      </c>
      <c r="AB36" s="11">
        <f t="shared" si="4"/>
        <v>12000</v>
      </c>
    </row>
    <row r="37" spans="1:28" x14ac:dyDescent="0.35">
      <c r="A37" s="3">
        <v>33</v>
      </c>
      <c r="B37" s="3" t="s">
        <v>267</v>
      </c>
      <c r="C37" s="3" t="s">
        <v>304</v>
      </c>
      <c r="D37" s="27">
        <v>9000</v>
      </c>
      <c r="E37" s="27">
        <v>9000</v>
      </c>
      <c r="F37" s="27">
        <v>9000</v>
      </c>
      <c r="G37" s="27">
        <v>9000</v>
      </c>
      <c r="H37" s="27">
        <v>0</v>
      </c>
      <c r="I37" s="27">
        <v>0</v>
      </c>
      <c r="J37" s="27">
        <v>9000</v>
      </c>
      <c r="K37" s="27">
        <v>9000</v>
      </c>
      <c r="L37" s="27">
        <v>9000</v>
      </c>
      <c r="M37" s="27">
        <v>9000</v>
      </c>
      <c r="N37" s="27">
        <v>9000</v>
      </c>
      <c r="O37" s="27">
        <v>9000</v>
      </c>
      <c r="P37" s="27">
        <v>9000</v>
      </c>
      <c r="Q37" s="27">
        <v>9000</v>
      </c>
      <c r="R37" s="27">
        <v>9000</v>
      </c>
      <c r="S37" s="27">
        <v>9000</v>
      </c>
      <c r="T37" s="27">
        <v>9000</v>
      </c>
      <c r="U37" s="27">
        <v>9000</v>
      </c>
      <c r="V37" s="27">
        <v>9000</v>
      </c>
      <c r="W37" s="27">
        <v>0</v>
      </c>
      <c r="X37" s="11">
        <f t="shared" si="0"/>
        <v>9000</v>
      </c>
      <c r="Y37" s="11">
        <f t="shared" si="1"/>
        <v>9000</v>
      </c>
      <c r="Z37" s="11">
        <f t="shared" si="2"/>
        <v>9000</v>
      </c>
      <c r="AA37" s="11">
        <f t="shared" si="3"/>
        <v>9000</v>
      </c>
      <c r="AB37" s="11">
        <f t="shared" si="4"/>
        <v>9000</v>
      </c>
    </row>
    <row r="38" spans="1:28" x14ac:dyDescent="0.35">
      <c r="A38" s="3">
        <v>34</v>
      </c>
      <c r="B38" s="3" t="s">
        <v>310</v>
      </c>
      <c r="C38" s="3" t="s">
        <v>304</v>
      </c>
      <c r="D38" s="27">
        <v>6000</v>
      </c>
      <c r="E38" s="27">
        <v>6000</v>
      </c>
      <c r="F38" s="27">
        <v>6000</v>
      </c>
      <c r="G38" s="27">
        <v>6000</v>
      </c>
      <c r="H38" s="27">
        <v>0</v>
      </c>
      <c r="I38" s="27">
        <v>0</v>
      </c>
      <c r="J38" s="27">
        <v>6000</v>
      </c>
      <c r="K38" s="27">
        <v>5500</v>
      </c>
      <c r="L38" s="27">
        <v>5500</v>
      </c>
      <c r="M38" s="27">
        <v>5500</v>
      </c>
      <c r="N38" s="27">
        <v>5500</v>
      </c>
      <c r="O38" s="27">
        <v>5500</v>
      </c>
      <c r="P38" s="27">
        <v>5500</v>
      </c>
      <c r="Q38" s="27">
        <v>5500</v>
      </c>
      <c r="R38" s="27">
        <v>5500</v>
      </c>
      <c r="S38" s="27">
        <v>5500</v>
      </c>
      <c r="T38" s="27">
        <v>5500</v>
      </c>
      <c r="U38" s="27">
        <v>5500</v>
      </c>
      <c r="V38" s="27">
        <v>5500</v>
      </c>
      <c r="W38" s="27">
        <v>0</v>
      </c>
      <c r="X38" s="11">
        <f t="shared" si="0"/>
        <v>6000</v>
      </c>
      <c r="Y38" s="11">
        <f t="shared" si="1"/>
        <v>5625</v>
      </c>
      <c r="Z38" s="11">
        <f t="shared" si="2"/>
        <v>5500</v>
      </c>
      <c r="AA38" s="11">
        <f t="shared" si="3"/>
        <v>5500</v>
      </c>
      <c r="AB38" s="11">
        <f t="shared" si="4"/>
        <v>5647.0588235294117</v>
      </c>
    </row>
    <row r="39" spans="1:28" x14ac:dyDescent="0.35">
      <c r="A39" s="3">
        <v>35</v>
      </c>
      <c r="B39" s="3" t="s">
        <v>311</v>
      </c>
      <c r="C39" s="3" t="s">
        <v>304</v>
      </c>
      <c r="D39" s="27">
        <v>13000</v>
      </c>
      <c r="E39" s="27">
        <v>13000</v>
      </c>
      <c r="F39" s="27">
        <v>13000</v>
      </c>
      <c r="G39" s="27">
        <v>13000</v>
      </c>
      <c r="H39" s="27">
        <v>0</v>
      </c>
      <c r="I39" s="27">
        <v>0</v>
      </c>
      <c r="J39" s="27">
        <v>13000</v>
      </c>
      <c r="K39" s="27">
        <v>12000</v>
      </c>
      <c r="L39" s="27">
        <v>12000</v>
      </c>
      <c r="M39" s="27">
        <v>12000</v>
      </c>
      <c r="N39" s="27">
        <v>12000</v>
      </c>
      <c r="O39" s="27">
        <v>12000</v>
      </c>
      <c r="P39" s="27">
        <v>12000</v>
      </c>
      <c r="Q39" s="27">
        <v>12000</v>
      </c>
      <c r="R39" s="27">
        <v>12000</v>
      </c>
      <c r="S39" s="27">
        <v>12000</v>
      </c>
      <c r="T39" s="27">
        <v>12000</v>
      </c>
      <c r="U39" s="27">
        <v>12000</v>
      </c>
      <c r="V39" s="27">
        <v>12000</v>
      </c>
      <c r="W39" s="27">
        <v>0</v>
      </c>
      <c r="X39" s="11">
        <f t="shared" si="0"/>
        <v>13000</v>
      </c>
      <c r="Y39" s="11">
        <f t="shared" si="1"/>
        <v>12250</v>
      </c>
      <c r="Z39" s="11">
        <f t="shared" si="2"/>
        <v>12000</v>
      </c>
      <c r="AA39" s="11">
        <f t="shared" si="3"/>
        <v>12000</v>
      </c>
      <c r="AB39" s="11">
        <f t="shared" si="4"/>
        <v>12294.117647058823</v>
      </c>
    </row>
    <row r="40" spans="1:28" x14ac:dyDescent="0.35">
      <c r="A40" s="3">
        <v>36</v>
      </c>
      <c r="B40" s="3" t="s">
        <v>312</v>
      </c>
      <c r="C40" s="3" t="s">
        <v>304</v>
      </c>
      <c r="D40" s="27">
        <v>4000</v>
      </c>
      <c r="E40" s="27">
        <v>4000</v>
      </c>
      <c r="F40" s="27">
        <v>4000</v>
      </c>
      <c r="G40" s="27">
        <v>4000</v>
      </c>
      <c r="H40" s="27">
        <v>0</v>
      </c>
      <c r="I40" s="27">
        <v>0</v>
      </c>
      <c r="J40" s="27">
        <v>4000</v>
      </c>
      <c r="K40" s="27">
        <v>4000</v>
      </c>
      <c r="L40" s="27">
        <v>4000</v>
      </c>
      <c r="M40" s="27">
        <v>4000</v>
      </c>
      <c r="N40" s="27">
        <v>4000</v>
      </c>
      <c r="O40" s="27">
        <v>4000</v>
      </c>
      <c r="P40" s="27">
        <v>4000</v>
      </c>
      <c r="Q40" s="27">
        <v>4000</v>
      </c>
      <c r="R40" s="27">
        <v>4000</v>
      </c>
      <c r="S40" s="27">
        <v>4000</v>
      </c>
      <c r="T40" s="27">
        <v>4000</v>
      </c>
      <c r="U40" s="27">
        <v>4000</v>
      </c>
      <c r="V40" s="27">
        <v>4000</v>
      </c>
      <c r="W40" s="27">
        <v>0</v>
      </c>
      <c r="X40" s="11">
        <f t="shared" si="0"/>
        <v>4000</v>
      </c>
      <c r="Y40" s="11">
        <f t="shared" si="1"/>
        <v>4000</v>
      </c>
      <c r="Z40" s="11">
        <f t="shared" si="2"/>
        <v>4000</v>
      </c>
      <c r="AA40" s="11">
        <f t="shared" si="3"/>
        <v>4000</v>
      </c>
      <c r="AB40" s="11">
        <f t="shared" si="4"/>
        <v>4000</v>
      </c>
    </row>
    <row r="41" spans="1:28" x14ac:dyDescent="0.35">
      <c r="A41" s="3">
        <v>37</v>
      </c>
      <c r="B41" s="3" t="s">
        <v>313</v>
      </c>
      <c r="C41" s="3" t="s">
        <v>304</v>
      </c>
      <c r="D41" s="27">
        <v>2000</v>
      </c>
      <c r="E41" s="27">
        <v>2000</v>
      </c>
      <c r="F41" s="27">
        <v>2000</v>
      </c>
      <c r="G41" s="27">
        <v>2000</v>
      </c>
      <c r="H41" s="27">
        <v>0</v>
      </c>
      <c r="I41" s="27">
        <v>0</v>
      </c>
      <c r="J41" s="27">
        <v>2000</v>
      </c>
      <c r="K41" s="27">
        <v>2000</v>
      </c>
      <c r="L41" s="27">
        <v>2000</v>
      </c>
      <c r="M41" s="27">
        <v>2000</v>
      </c>
      <c r="N41" s="27">
        <v>2000</v>
      </c>
      <c r="O41" s="27">
        <v>2000</v>
      </c>
      <c r="P41" s="27">
        <v>2000</v>
      </c>
      <c r="Q41" s="27">
        <v>2000</v>
      </c>
      <c r="R41" s="27">
        <v>2000</v>
      </c>
      <c r="S41" s="27">
        <v>2000</v>
      </c>
      <c r="T41" s="27">
        <v>2000</v>
      </c>
      <c r="U41" s="27">
        <v>2000</v>
      </c>
      <c r="V41" s="27">
        <v>2000</v>
      </c>
      <c r="W41" s="27">
        <v>0</v>
      </c>
      <c r="X41" s="11">
        <f t="shared" si="0"/>
        <v>2000</v>
      </c>
      <c r="Y41" s="11">
        <f t="shared" si="1"/>
        <v>2000</v>
      </c>
      <c r="Z41" s="11">
        <f t="shared" si="2"/>
        <v>2000</v>
      </c>
      <c r="AA41" s="11">
        <f t="shared" si="3"/>
        <v>2000</v>
      </c>
      <c r="AB41" s="11">
        <f t="shared" si="4"/>
        <v>2000</v>
      </c>
    </row>
    <row r="42" spans="1:28" x14ac:dyDescent="0.35">
      <c r="A42" s="3">
        <v>38</v>
      </c>
      <c r="B42" s="3" t="s">
        <v>314</v>
      </c>
      <c r="C42" s="3" t="s">
        <v>304</v>
      </c>
      <c r="D42" s="27">
        <v>5000</v>
      </c>
      <c r="E42" s="27">
        <v>5000</v>
      </c>
      <c r="F42" s="27">
        <v>5000</v>
      </c>
      <c r="G42" s="27">
        <v>5000</v>
      </c>
      <c r="H42" s="27">
        <v>0</v>
      </c>
      <c r="I42" s="27">
        <v>0</v>
      </c>
      <c r="J42" s="27">
        <v>5000</v>
      </c>
      <c r="K42" s="27">
        <v>5000</v>
      </c>
      <c r="L42" s="27">
        <v>5000</v>
      </c>
      <c r="M42" s="27">
        <v>5000</v>
      </c>
      <c r="N42" s="27">
        <v>5000</v>
      </c>
      <c r="O42" s="27">
        <v>5000</v>
      </c>
      <c r="P42" s="27">
        <v>5000</v>
      </c>
      <c r="Q42" s="27">
        <v>5000</v>
      </c>
      <c r="R42" s="27">
        <v>5000</v>
      </c>
      <c r="S42" s="27">
        <v>5000</v>
      </c>
      <c r="T42" s="27">
        <v>5000</v>
      </c>
      <c r="U42" s="27">
        <v>5000</v>
      </c>
      <c r="V42" s="27">
        <v>5000</v>
      </c>
      <c r="W42" s="27">
        <v>0</v>
      </c>
      <c r="X42" s="11">
        <f t="shared" si="0"/>
        <v>5000</v>
      </c>
      <c r="Y42" s="11">
        <f t="shared" si="1"/>
        <v>5000</v>
      </c>
      <c r="Z42" s="11">
        <f t="shared" si="2"/>
        <v>5000</v>
      </c>
      <c r="AA42" s="11">
        <f t="shared" si="3"/>
        <v>5000</v>
      </c>
      <c r="AB42" s="11">
        <f t="shared" si="4"/>
        <v>5000</v>
      </c>
    </row>
    <row r="43" spans="1:28" x14ac:dyDescent="0.35">
      <c r="A43" s="3">
        <v>39</v>
      </c>
      <c r="B43" s="3" t="s">
        <v>315</v>
      </c>
      <c r="C43" s="3" t="s">
        <v>304</v>
      </c>
      <c r="D43" s="27">
        <v>5000</v>
      </c>
      <c r="E43" s="27">
        <v>5000</v>
      </c>
      <c r="F43" s="27">
        <v>5000</v>
      </c>
      <c r="G43" s="27">
        <v>5000</v>
      </c>
      <c r="H43" s="27">
        <v>0</v>
      </c>
      <c r="I43" s="27">
        <v>0</v>
      </c>
      <c r="J43" s="27">
        <v>5000</v>
      </c>
      <c r="K43" s="27">
        <v>5000</v>
      </c>
      <c r="L43" s="27">
        <v>5000</v>
      </c>
      <c r="M43" s="27">
        <v>5000</v>
      </c>
      <c r="N43" s="27">
        <v>5000</v>
      </c>
      <c r="O43" s="27">
        <v>5000</v>
      </c>
      <c r="P43" s="27">
        <v>5000</v>
      </c>
      <c r="Q43" s="27">
        <v>5000</v>
      </c>
      <c r="R43" s="27">
        <v>5000</v>
      </c>
      <c r="S43" s="27">
        <v>5000</v>
      </c>
      <c r="T43" s="27">
        <v>5000</v>
      </c>
      <c r="U43" s="27">
        <v>5000</v>
      </c>
      <c r="V43" s="27">
        <v>5000</v>
      </c>
      <c r="W43" s="27">
        <v>0</v>
      </c>
      <c r="X43" s="11">
        <f t="shared" si="0"/>
        <v>5000</v>
      </c>
      <c r="Y43" s="11">
        <f t="shared" si="1"/>
        <v>5000</v>
      </c>
      <c r="Z43" s="11">
        <f t="shared" si="2"/>
        <v>5000</v>
      </c>
      <c r="AA43" s="11">
        <f t="shared" si="3"/>
        <v>5000</v>
      </c>
      <c r="AB43" s="11">
        <f t="shared" si="4"/>
        <v>5000</v>
      </c>
    </row>
    <row r="44" spans="1:28" x14ac:dyDescent="0.35">
      <c r="A44" s="3">
        <v>40</v>
      </c>
      <c r="B44" s="3" t="s">
        <v>316</v>
      </c>
      <c r="C44" s="3" t="s">
        <v>304</v>
      </c>
      <c r="D44" s="27">
        <v>4000</v>
      </c>
      <c r="E44" s="27">
        <v>4000</v>
      </c>
      <c r="F44" s="27">
        <v>4000</v>
      </c>
      <c r="G44" s="27">
        <v>4000</v>
      </c>
      <c r="H44" s="27">
        <v>0</v>
      </c>
      <c r="I44" s="27">
        <v>0</v>
      </c>
      <c r="J44" s="27">
        <v>4000</v>
      </c>
      <c r="K44" s="27">
        <v>4000</v>
      </c>
      <c r="L44" s="27">
        <v>4000</v>
      </c>
      <c r="M44" s="27">
        <v>4000</v>
      </c>
      <c r="N44" s="27">
        <v>4000</v>
      </c>
      <c r="O44" s="27">
        <v>4000</v>
      </c>
      <c r="P44" s="27">
        <v>4000</v>
      </c>
      <c r="Q44" s="27">
        <v>4000</v>
      </c>
      <c r="R44" s="27">
        <v>4000</v>
      </c>
      <c r="S44" s="27">
        <v>4000</v>
      </c>
      <c r="T44" s="27">
        <v>4000</v>
      </c>
      <c r="U44" s="27">
        <v>4000</v>
      </c>
      <c r="V44" s="27">
        <v>4000</v>
      </c>
      <c r="W44" s="27">
        <v>0</v>
      </c>
      <c r="X44" s="11">
        <f t="shared" si="0"/>
        <v>4000</v>
      </c>
      <c r="Y44" s="11">
        <f t="shared" si="1"/>
        <v>4000</v>
      </c>
      <c r="Z44" s="11">
        <f t="shared" si="2"/>
        <v>4000</v>
      </c>
      <c r="AA44" s="11">
        <f t="shared" si="3"/>
        <v>4000</v>
      </c>
      <c r="AB44" s="11">
        <f t="shared" si="4"/>
        <v>4000</v>
      </c>
    </row>
    <row r="45" spans="1:28" x14ac:dyDescent="0.35">
      <c r="A45" s="3">
        <v>41</v>
      </c>
      <c r="B45" s="3" t="s">
        <v>317</v>
      </c>
      <c r="C45" s="3" t="s">
        <v>304</v>
      </c>
      <c r="D45" s="27">
        <v>70000</v>
      </c>
      <c r="E45" s="27">
        <v>70000</v>
      </c>
      <c r="F45" s="27">
        <v>70000</v>
      </c>
      <c r="G45" s="27">
        <v>70000</v>
      </c>
      <c r="H45" s="27">
        <v>0</v>
      </c>
      <c r="I45" s="27">
        <v>0</v>
      </c>
      <c r="J45" s="27">
        <v>70000</v>
      </c>
      <c r="K45" s="27">
        <v>70000</v>
      </c>
      <c r="L45" s="27">
        <v>70000</v>
      </c>
      <c r="M45" s="27">
        <v>70000</v>
      </c>
      <c r="N45" s="27">
        <v>70000</v>
      </c>
      <c r="O45" s="27">
        <v>70000</v>
      </c>
      <c r="P45" s="27">
        <v>70000</v>
      </c>
      <c r="Q45" s="27">
        <v>70000</v>
      </c>
      <c r="R45" s="27">
        <v>70000</v>
      </c>
      <c r="S45" s="27">
        <v>70000</v>
      </c>
      <c r="T45" s="27">
        <v>70000</v>
      </c>
      <c r="U45" s="27">
        <v>70000</v>
      </c>
      <c r="V45" s="27">
        <v>70000</v>
      </c>
      <c r="W45" s="27">
        <v>0</v>
      </c>
      <c r="X45" s="11">
        <f t="shared" si="0"/>
        <v>70000</v>
      </c>
      <c r="Y45" s="11">
        <f t="shared" si="1"/>
        <v>70000</v>
      </c>
      <c r="Z45" s="11">
        <f t="shared" si="2"/>
        <v>70000</v>
      </c>
      <c r="AA45" s="11">
        <f t="shared" si="3"/>
        <v>70000</v>
      </c>
      <c r="AB45" s="11">
        <f t="shared" si="4"/>
        <v>70000</v>
      </c>
    </row>
    <row r="46" spans="1:28" x14ac:dyDescent="0.35">
      <c r="A46" s="3">
        <v>42</v>
      </c>
      <c r="B46" s="3" t="s">
        <v>318</v>
      </c>
      <c r="C46" s="3" t="s">
        <v>304</v>
      </c>
      <c r="D46" s="27">
        <v>40000</v>
      </c>
      <c r="E46" s="27">
        <v>40000</v>
      </c>
      <c r="F46" s="27">
        <v>40000</v>
      </c>
      <c r="G46" s="27">
        <v>40000</v>
      </c>
      <c r="H46" s="27">
        <v>0</v>
      </c>
      <c r="I46" s="27">
        <v>0</v>
      </c>
      <c r="J46" s="27">
        <v>40000</v>
      </c>
      <c r="K46" s="27">
        <v>40000</v>
      </c>
      <c r="L46" s="27">
        <v>40000</v>
      </c>
      <c r="M46" s="27">
        <v>40000</v>
      </c>
      <c r="N46" s="27">
        <v>40000</v>
      </c>
      <c r="O46" s="27">
        <v>40000</v>
      </c>
      <c r="P46" s="27">
        <v>40000</v>
      </c>
      <c r="Q46" s="27">
        <v>40000</v>
      </c>
      <c r="R46" s="27">
        <v>40000</v>
      </c>
      <c r="S46" s="27">
        <v>40000</v>
      </c>
      <c r="T46" s="27">
        <v>40000</v>
      </c>
      <c r="U46" s="27">
        <v>40000</v>
      </c>
      <c r="V46" s="27">
        <v>40000</v>
      </c>
      <c r="W46" s="27">
        <v>0</v>
      </c>
      <c r="X46" s="11">
        <f t="shared" si="0"/>
        <v>40000</v>
      </c>
      <c r="Y46" s="11">
        <f t="shared" si="1"/>
        <v>40000</v>
      </c>
      <c r="Z46" s="11">
        <f t="shared" si="2"/>
        <v>40000</v>
      </c>
      <c r="AA46" s="11">
        <f t="shared" si="3"/>
        <v>40000</v>
      </c>
      <c r="AB46" s="11">
        <f t="shared" si="4"/>
        <v>40000</v>
      </c>
    </row>
    <row r="47" spans="1:28" x14ac:dyDescent="0.35">
      <c r="A47" s="3">
        <v>43</v>
      </c>
      <c r="B47" s="3" t="s">
        <v>319</v>
      </c>
      <c r="C47" s="3" t="s">
        <v>304</v>
      </c>
      <c r="D47" s="27">
        <v>27000</v>
      </c>
      <c r="E47" s="27">
        <v>27000</v>
      </c>
      <c r="F47" s="27">
        <v>27000</v>
      </c>
      <c r="G47" s="27">
        <v>27000</v>
      </c>
      <c r="H47" s="27">
        <v>0</v>
      </c>
      <c r="I47" s="27">
        <v>0</v>
      </c>
      <c r="J47" s="27">
        <v>27000</v>
      </c>
      <c r="K47" s="27">
        <v>27000</v>
      </c>
      <c r="L47" s="27">
        <v>27000</v>
      </c>
      <c r="M47" s="27">
        <v>27000</v>
      </c>
      <c r="N47" s="27">
        <v>27000</v>
      </c>
      <c r="O47" s="27">
        <v>27000</v>
      </c>
      <c r="P47" s="27">
        <v>27000</v>
      </c>
      <c r="Q47" s="27">
        <v>27000</v>
      </c>
      <c r="R47" s="27">
        <v>27000</v>
      </c>
      <c r="S47" s="27">
        <v>27000</v>
      </c>
      <c r="T47" s="27">
        <v>27000</v>
      </c>
      <c r="U47" s="27">
        <v>27000</v>
      </c>
      <c r="V47" s="27">
        <v>27000</v>
      </c>
      <c r="W47" s="27">
        <v>0</v>
      </c>
      <c r="X47" s="11">
        <f t="shared" si="0"/>
        <v>27000</v>
      </c>
      <c r="Y47" s="11">
        <f t="shared" si="1"/>
        <v>27000</v>
      </c>
      <c r="Z47" s="11">
        <f t="shared" si="2"/>
        <v>27000</v>
      </c>
      <c r="AA47" s="11">
        <f t="shared" si="3"/>
        <v>27000</v>
      </c>
      <c r="AB47" s="11">
        <f t="shared" si="4"/>
        <v>27000</v>
      </c>
    </row>
    <row r="48" spans="1:28" x14ac:dyDescent="0.35">
      <c r="A48" s="3">
        <v>44</v>
      </c>
      <c r="B48" s="3" t="s">
        <v>320</v>
      </c>
      <c r="C48" s="3" t="s">
        <v>304</v>
      </c>
      <c r="D48" s="27">
        <v>14000</v>
      </c>
      <c r="E48" s="27">
        <v>14000</v>
      </c>
      <c r="F48" s="27">
        <v>14000</v>
      </c>
      <c r="G48" s="27">
        <v>14000</v>
      </c>
      <c r="H48" s="27">
        <v>0</v>
      </c>
      <c r="I48" s="27">
        <v>0</v>
      </c>
      <c r="J48" s="27">
        <v>14000</v>
      </c>
      <c r="K48" s="27">
        <v>14000</v>
      </c>
      <c r="L48" s="27">
        <v>14000</v>
      </c>
      <c r="M48" s="27">
        <v>14000</v>
      </c>
      <c r="N48" s="27">
        <v>14000</v>
      </c>
      <c r="O48" s="27">
        <v>14000</v>
      </c>
      <c r="P48" s="27">
        <v>14000</v>
      </c>
      <c r="Q48" s="27">
        <v>14000</v>
      </c>
      <c r="R48" s="27">
        <v>14000</v>
      </c>
      <c r="S48" s="27">
        <v>14000</v>
      </c>
      <c r="T48" s="27">
        <v>14000</v>
      </c>
      <c r="U48" s="27">
        <v>14000</v>
      </c>
      <c r="V48" s="27">
        <v>14000</v>
      </c>
      <c r="W48" s="27">
        <v>0</v>
      </c>
      <c r="X48" s="11">
        <f t="shared" si="0"/>
        <v>14000</v>
      </c>
      <c r="Y48" s="11">
        <f t="shared" si="1"/>
        <v>14000</v>
      </c>
      <c r="Z48" s="11">
        <f t="shared" si="2"/>
        <v>14000</v>
      </c>
      <c r="AA48" s="11">
        <f t="shared" si="3"/>
        <v>14000</v>
      </c>
      <c r="AB48" s="11">
        <f t="shared" si="4"/>
        <v>14000</v>
      </c>
    </row>
  </sheetData>
  <mergeCells count="1">
    <mergeCell ref="A1:AB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8"/>
  <sheetViews>
    <sheetView showGridLines="0" zoomScaleNormal="100" workbookViewId="0">
      <pane xSplit="3" ySplit="4" topLeftCell="D5" activePane="bottomRight" state="frozen"/>
      <selection pane="topRight" activeCell="D1" sqref="D1"/>
      <selection pane="bottomLeft" activeCell="A5" sqref="A5"/>
      <selection pane="bottomRight" activeCell="H15" sqref="H15"/>
    </sheetView>
  </sheetViews>
  <sheetFormatPr defaultColWidth="8.6328125" defaultRowHeight="14.5" x14ac:dyDescent="0.35"/>
  <cols>
    <col min="1" max="1" width="4" customWidth="1"/>
    <col min="2" max="2" width="30" customWidth="1"/>
    <col min="3" max="3" width="4" customWidth="1"/>
    <col min="4" max="26" width="9" customWidth="1"/>
    <col min="27" max="32" width="14" customWidth="1"/>
  </cols>
  <sheetData>
    <row r="1" spans="1:32" ht="16.5" x14ac:dyDescent="0.35">
      <c r="A1" s="30" t="s">
        <v>385</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row>
    <row r="2" spans="1:32" x14ac:dyDescent="0.35">
      <c r="A2" s="6" t="s">
        <v>276</v>
      </c>
    </row>
    <row r="4" spans="1:32" ht="21" x14ac:dyDescent="0.35">
      <c r="A4" s="8" t="s">
        <v>0</v>
      </c>
      <c r="B4" s="8" t="s">
        <v>277</v>
      </c>
      <c r="C4" s="8" t="s">
        <v>278</v>
      </c>
      <c r="D4" s="29">
        <v>46204</v>
      </c>
      <c r="E4" s="29">
        <v>46205</v>
      </c>
      <c r="F4" s="29">
        <v>46206</v>
      </c>
      <c r="G4" s="29">
        <v>46207</v>
      </c>
      <c r="H4" s="29">
        <v>46210</v>
      </c>
      <c r="I4" s="29">
        <v>46211</v>
      </c>
      <c r="J4" s="29">
        <v>46212</v>
      </c>
      <c r="K4" s="29">
        <v>46213</v>
      </c>
      <c r="L4" s="29">
        <v>46214</v>
      </c>
      <c r="M4" s="29">
        <v>46217</v>
      </c>
      <c r="N4" s="29">
        <v>46218</v>
      </c>
      <c r="O4" s="29">
        <v>46219</v>
      </c>
      <c r="P4" s="29">
        <v>46220</v>
      </c>
      <c r="Q4" s="29">
        <v>46221</v>
      </c>
      <c r="R4" s="29">
        <v>46224</v>
      </c>
      <c r="S4" s="29">
        <v>46225</v>
      </c>
      <c r="T4" s="29">
        <v>46226</v>
      </c>
      <c r="U4" s="29">
        <v>46227</v>
      </c>
      <c r="V4" s="29">
        <v>46228</v>
      </c>
      <c r="W4" s="29">
        <v>46231</v>
      </c>
      <c r="X4" s="29">
        <v>46232</v>
      </c>
      <c r="Y4" s="29">
        <v>46233</v>
      </c>
      <c r="Z4" s="29">
        <v>46234</v>
      </c>
      <c r="AA4" s="8" t="s">
        <v>331</v>
      </c>
      <c r="AB4" s="8" t="s">
        <v>332</v>
      </c>
      <c r="AC4" s="8" t="s">
        <v>333</v>
      </c>
      <c r="AD4" s="8" t="s">
        <v>334</v>
      </c>
      <c r="AE4" s="8" t="s">
        <v>341</v>
      </c>
      <c r="AF4" s="8" t="s">
        <v>386</v>
      </c>
    </row>
    <row r="5" spans="1:32" x14ac:dyDescent="0.35">
      <c r="A5" s="3">
        <v>1</v>
      </c>
      <c r="B5" s="3" t="s">
        <v>240</v>
      </c>
      <c r="C5" s="3" t="s">
        <v>304</v>
      </c>
      <c r="D5" s="27">
        <v>12000</v>
      </c>
      <c r="E5" s="27">
        <v>12000</v>
      </c>
      <c r="F5" s="27">
        <v>12000</v>
      </c>
      <c r="G5" s="27">
        <v>12000</v>
      </c>
      <c r="H5" s="27">
        <v>12000</v>
      </c>
      <c r="I5" s="27">
        <v>12000</v>
      </c>
      <c r="J5" s="27">
        <v>12000</v>
      </c>
      <c r="K5" s="27">
        <v>12000</v>
      </c>
      <c r="L5" s="27">
        <v>12000</v>
      </c>
      <c r="M5" s="27">
        <v>12000</v>
      </c>
      <c r="N5" s="27">
        <v>12000</v>
      </c>
      <c r="O5" s="27">
        <v>12000</v>
      </c>
      <c r="P5" s="27">
        <v>12000</v>
      </c>
      <c r="Q5" s="27">
        <v>12000</v>
      </c>
      <c r="R5" s="27">
        <v>13000</v>
      </c>
      <c r="S5" s="27">
        <v>13000</v>
      </c>
      <c r="T5" s="27">
        <v>13000</v>
      </c>
      <c r="U5" s="27">
        <v>13000</v>
      </c>
      <c r="V5" s="27">
        <v>13000</v>
      </c>
      <c r="W5" s="27">
        <v>13000</v>
      </c>
      <c r="X5" s="27">
        <v>13000</v>
      </c>
      <c r="Y5" s="27">
        <v>13000</v>
      </c>
      <c r="Z5" s="27">
        <v>13000</v>
      </c>
      <c r="AA5" s="11">
        <f t="shared" ref="AA5:AA48" si="0">IFERROR(AVERAGEIF(D5:G5,"&lt;&gt;0"),"")</f>
        <v>12000</v>
      </c>
      <c r="AB5" s="11">
        <f t="shared" ref="AB5:AB48" si="1">IFERROR(AVERAGEIF(H5:L5,"&lt;&gt;0"),"")</f>
        <v>12000</v>
      </c>
      <c r="AC5" s="11">
        <f t="shared" ref="AC5:AC48" si="2">IFERROR(AVERAGEIF(M5:Q5,"&lt;&gt;0"),"")</f>
        <v>12000</v>
      </c>
      <c r="AD5" s="11">
        <f t="shared" ref="AD5:AD48" si="3">IFERROR(AVERAGEIF(R5:V5,"&lt;&gt;0"),"")</f>
        <v>13000</v>
      </c>
      <c r="AE5" s="11">
        <f t="shared" ref="AE5:AE48" si="4">IFERROR(AVERAGEIF(W5:Z5,"&lt;&gt;0"),"")</f>
        <v>13000</v>
      </c>
      <c r="AF5" s="11">
        <f t="shared" ref="AF5:AF48" si="5">IFERROR(AVERAGEIF(D5:Z5,"&lt;&gt;0"),"")</f>
        <v>12391.304347826086</v>
      </c>
    </row>
    <row r="6" spans="1:32" x14ac:dyDescent="0.35">
      <c r="A6" s="3">
        <v>2</v>
      </c>
      <c r="B6" s="3" t="s">
        <v>241</v>
      </c>
      <c r="C6" s="3" t="s">
        <v>304</v>
      </c>
      <c r="D6" s="27">
        <v>13000</v>
      </c>
      <c r="E6" s="27">
        <v>13000</v>
      </c>
      <c r="F6" s="27">
        <v>13000</v>
      </c>
      <c r="G6" s="27">
        <v>13000</v>
      </c>
      <c r="H6" s="27">
        <v>13000</v>
      </c>
      <c r="I6" s="27">
        <v>13000</v>
      </c>
      <c r="J6" s="27">
        <v>13000</v>
      </c>
      <c r="K6" s="27">
        <v>13000</v>
      </c>
      <c r="L6" s="27">
        <v>13000</v>
      </c>
      <c r="M6" s="27">
        <v>13000</v>
      </c>
      <c r="N6" s="27">
        <v>13000</v>
      </c>
      <c r="O6" s="27">
        <v>13000</v>
      </c>
      <c r="P6" s="27">
        <v>13000</v>
      </c>
      <c r="Q6" s="27">
        <v>13000</v>
      </c>
      <c r="R6" s="27">
        <v>14000</v>
      </c>
      <c r="S6" s="27">
        <v>14000</v>
      </c>
      <c r="T6" s="27">
        <v>14000</v>
      </c>
      <c r="U6" s="27">
        <v>14000</v>
      </c>
      <c r="V6" s="27">
        <v>14000</v>
      </c>
      <c r="W6" s="27">
        <v>14000</v>
      </c>
      <c r="X6" s="27">
        <v>14000</v>
      </c>
      <c r="Y6" s="27">
        <v>14000</v>
      </c>
      <c r="Z6" s="27">
        <v>14000</v>
      </c>
      <c r="AA6" s="11">
        <f t="shared" si="0"/>
        <v>13000</v>
      </c>
      <c r="AB6" s="11">
        <f t="shared" si="1"/>
        <v>13000</v>
      </c>
      <c r="AC6" s="11">
        <f t="shared" si="2"/>
        <v>13000</v>
      </c>
      <c r="AD6" s="11">
        <f t="shared" si="3"/>
        <v>14000</v>
      </c>
      <c r="AE6" s="11">
        <f t="shared" si="4"/>
        <v>14000</v>
      </c>
      <c r="AF6" s="11">
        <f t="shared" si="5"/>
        <v>13391.304347826086</v>
      </c>
    </row>
    <row r="7" spans="1:32" x14ac:dyDescent="0.35">
      <c r="A7" s="3">
        <v>3</v>
      </c>
      <c r="B7" s="3" t="s">
        <v>242</v>
      </c>
      <c r="C7" s="3" t="s">
        <v>304</v>
      </c>
      <c r="D7" s="27">
        <v>0</v>
      </c>
      <c r="E7" s="27">
        <v>0</v>
      </c>
      <c r="F7" s="27">
        <v>0</v>
      </c>
      <c r="G7" s="27">
        <v>0</v>
      </c>
      <c r="H7" s="27">
        <v>0</v>
      </c>
      <c r="I7" s="27">
        <v>0</v>
      </c>
      <c r="J7" s="27">
        <v>0</v>
      </c>
      <c r="K7" s="27">
        <v>0</v>
      </c>
      <c r="L7" s="27">
        <v>0</v>
      </c>
      <c r="M7" s="27">
        <v>0</v>
      </c>
      <c r="N7" s="27">
        <v>12500</v>
      </c>
      <c r="O7" s="27">
        <v>12500</v>
      </c>
      <c r="P7" s="27">
        <v>12500</v>
      </c>
      <c r="Q7" s="27">
        <v>12500</v>
      </c>
      <c r="R7" s="27">
        <v>12500</v>
      </c>
      <c r="S7" s="27">
        <v>12500</v>
      </c>
      <c r="T7" s="27">
        <v>12500</v>
      </c>
      <c r="U7" s="27">
        <v>12500</v>
      </c>
      <c r="V7" s="27">
        <v>12500</v>
      </c>
      <c r="W7" s="27">
        <v>12500</v>
      </c>
      <c r="X7" s="27">
        <v>12500</v>
      </c>
      <c r="Y7" s="27">
        <v>12500</v>
      </c>
      <c r="Z7" s="27">
        <v>12500</v>
      </c>
      <c r="AA7" s="11" t="str">
        <f t="shared" si="0"/>
        <v/>
      </c>
      <c r="AB7" s="11" t="str">
        <f t="shared" si="1"/>
        <v/>
      </c>
      <c r="AC7" s="11">
        <f t="shared" si="2"/>
        <v>12500</v>
      </c>
      <c r="AD7" s="11">
        <f t="shared" si="3"/>
        <v>12500</v>
      </c>
      <c r="AE7" s="11">
        <f t="shared" si="4"/>
        <v>12500</v>
      </c>
      <c r="AF7" s="11">
        <f t="shared" si="5"/>
        <v>12500</v>
      </c>
    </row>
    <row r="8" spans="1:32" x14ac:dyDescent="0.35">
      <c r="A8" s="3">
        <v>4</v>
      </c>
      <c r="B8" s="3" t="s">
        <v>305</v>
      </c>
      <c r="C8" s="3" t="s">
        <v>304</v>
      </c>
      <c r="D8" s="27">
        <v>11000</v>
      </c>
      <c r="E8" s="27">
        <v>11000</v>
      </c>
      <c r="F8" s="27">
        <v>11000</v>
      </c>
      <c r="G8" s="27">
        <v>11000</v>
      </c>
      <c r="H8" s="27">
        <v>11000</v>
      </c>
      <c r="I8" s="27">
        <v>11000</v>
      </c>
      <c r="J8" s="27">
        <v>11000</v>
      </c>
      <c r="K8" s="27">
        <v>11000</v>
      </c>
      <c r="L8" s="27">
        <v>11000</v>
      </c>
      <c r="M8" s="27">
        <v>11000</v>
      </c>
      <c r="N8" s="27">
        <v>11000</v>
      </c>
      <c r="O8" s="27">
        <v>11000</v>
      </c>
      <c r="P8" s="27">
        <v>11000</v>
      </c>
      <c r="Q8" s="27">
        <v>11000</v>
      </c>
      <c r="R8" s="27">
        <v>11000</v>
      </c>
      <c r="S8" s="27">
        <v>11000</v>
      </c>
      <c r="T8" s="27">
        <v>11000</v>
      </c>
      <c r="U8" s="27">
        <v>11000</v>
      </c>
      <c r="V8" s="27">
        <v>11000</v>
      </c>
      <c r="W8" s="27">
        <v>11000</v>
      </c>
      <c r="X8" s="27">
        <v>11000</v>
      </c>
      <c r="Y8" s="27">
        <v>11000</v>
      </c>
      <c r="Z8" s="27">
        <v>11000</v>
      </c>
      <c r="AA8" s="11">
        <f t="shared" si="0"/>
        <v>11000</v>
      </c>
      <c r="AB8" s="11">
        <f t="shared" si="1"/>
        <v>11000</v>
      </c>
      <c r="AC8" s="11">
        <f t="shared" si="2"/>
        <v>11000</v>
      </c>
      <c r="AD8" s="11">
        <f t="shared" si="3"/>
        <v>11000</v>
      </c>
      <c r="AE8" s="11">
        <f t="shared" si="4"/>
        <v>11000</v>
      </c>
      <c r="AF8" s="11">
        <f t="shared" si="5"/>
        <v>11000</v>
      </c>
    </row>
    <row r="9" spans="1:32" x14ac:dyDescent="0.35">
      <c r="A9" s="3">
        <v>5</v>
      </c>
      <c r="B9" s="3" t="s">
        <v>261</v>
      </c>
      <c r="C9" s="3" t="s">
        <v>304</v>
      </c>
      <c r="D9" s="27">
        <v>22000</v>
      </c>
      <c r="E9" s="27">
        <v>22000</v>
      </c>
      <c r="F9" s="27">
        <v>22000</v>
      </c>
      <c r="G9" s="27">
        <v>24000</v>
      </c>
      <c r="H9" s="27">
        <v>26000</v>
      </c>
      <c r="I9" s="27">
        <v>26000</v>
      </c>
      <c r="J9" s="27">
        <v>27000</v>
      </c>
      <c r="K9" s="27">
        <v>27000</v>
      </c>
      <c r="L9" s="27">
        <v>27000</v>
      </c>
      <c r="M9" s="27">
        <v>27000</v>
      </c>
      <c r="N9" s="27">
        <v>26000</v>
      </c>
      <c r="O9" s="27">
        <v>26000</v>
      </c>
      <c r="P9" s="27">
        <v>26000</v>
      </c>
      <c r="Q9" s="27">
        <v>26000</v>
      </c>
      <c r="R9" s="27">
        <v>27000</v>
      </c>
      <c r="S9" s="27">
        <v>27000</v>
      </c>
      <c r="T9" s="27">
        <v>27000</v>
      </c>
      <c r="U9" s="27">
        <v>27000</v>
      </c>
      <c r="V9" s="27">
        <v>27000</v>
      </c>
      <c r="W9" s="27">
        <v>27000</v>
      </c>
      <c r="X9" s="27">
        <v>27000</v>
      </c>
      <c r="Y9" s="27">
        <v>27000</v>
      </c>
      <c r="Z9" s="27">
        <v>27000</v>
      </c>
      <c r="AA9" s="11">
        <f t="shared" si="0"/>
        <v>22500</v>
      </c>
      <c r="AB9" s="11">
        <f t="shared" si="1"/>
        <v>26600</v>
      </c>
      <c r="AC9" s="11">
        <f t="shared" si="2"/>
        <v>26200</v>
      </c>
      <c r="AD9" s="11">
        <f t="shared" si="3"/>
        <v>27000</v>
      </c>
      <c r="AE9" s="11">
        <f t="shared" si="4"/>
        <v>27000</v>
      </c>
      <c r="AF9" s="11">
        <f t="shared" si="5"/>
        <v>25956.521739130436</v>
      </c>
    </row>
    <row r="10" spans="1:32" x14ac:dyDescent="0.35">
      <c r="A10" s="3">
        <v>6</v>
      </c>
      <c r="B10" s="3" t="s">
        <v>262</v>
      </c>
      <c r="C10" s="3" t="s">
        <v>304</v>
      </c>
      <c r="D10" s="27">
        <v>23000</v>
      </c>
      <c r="E10" s="27">
        <v>23000</v>
      </c>
      <c r="F10" s="27">
        <v>23000</v>
      </c>
      <c r="G10" s="27">
        <v>23000</v>
      </c>
      <c r="H10" s="27">
        <v>23000</v>
      </c>
      <c r="I10" s="27">
        <v>23000</v>
      </c>
      <c r="J10" s="27">
        <v>20000</v>
      </c>
      <c r="K10" s="27">
        <v>20000</v>
      </c>
      <c r="L10" s="27">
        <v>20000</v>
      </c>
      <c r="M10" s="27">
        <v>20000</v>
      </c>
      <c r="N10" s="27">
        <v>20000</v>
      </c>
      <c r="O10" s="27">
        <v>20000</v>
      </c>
      <c r="P10" s="27">
        <v>20000</v>
      </c>
      <c r="Q10" s="27">
        <v>20000</v>
      </c>
      <c r="R10" s="27">
        <v>22000</v>
      </c>
      <c r="S10" s="27">
        <v>22000</v>
      </c>
      <c r="T10" s="27">
        <v>22000</v>
      </c>
      <c r="U10" s="27">
        <v>22000</v>
      </c>
      <c r="V10" s="27">
        <v>22000</v>
      </c>
      <c r="W10" s="27">
        <v>22000</v>
      </c>
      <c r="X10" s="27">
        <v>22000</v>
      </c>
      <c r="Y10" s="27">
        <v>22000</v>
      </c>
      <c r="Z10" s="27">
        <v>22000</v>
      </c>
      <c r="AA10" s="11">
        <f t="shared" si="0"/>
        <v>23000</v>
      </c>
      <c r="AB10" s="11">
        <f t="shared" si="1"/>
        <v>21200</v>
      </c>
      <c r="AC10" s="11">
        <f t="shared" si="2"/>
        <v>20000</v>
      </c>
      <c r="AD10" s="11">
        <f t="shared" si="3"/>
        <v>22000</v>
      </c>
      <c r="AE10" s="11">
        <f t="shared" si="4"/>
        <v>22000</v>
      </c>
      <c r="AF10" s="11">
        <f t="shared" si="5"/>
        <v>21565.217391304348</v>
      </c>
    </row>
    <row r="11" spans="1:32" x14ac:dyDescent="0.35">
      <c r="A11" s="3">
        <v>7</v>
      </c>
      <c r="B11" s="3" t="s">
        <v>251</v>
      </c>
      <c r="C11" s="3" t="s">
        <v>304</v>
      </c>
      <c r="D11" s="27">
        <v>24000</v>
      </c>
      <c r="E11" s="27">
        <v>24000</v>
      </c>
      <c r="F11" s="27">
        <v>26000</v>
      </c>
      <c r="G11" s="27">
        <v>28000</v>
      </c>
      <c r="H11" s="27">
        <v>30000</v>
      </c>
      <c r="I11" s="27">
        <v>30000</v>
      </c>
      <c r="J11" s="27">
        <v>31000</v>
      </c>
      <c r="K11" s="27">
        <v>31000</v>
      </c>
      <c r="L11" s="27">
        <v>31000</v>
      </c>
      <c r="M11" s="27">
        <v>31000</v>
      </c>
      <c r="N11" s="27">
        <v>30000</v>
      </c>
      <c r="O11" s="27">
        <v>30000</v>
      </c>
      <c r="P11" s="27">
        <v>30000</v>
      </c>
      <c r="Q11" s="27">
        <v>30000</v>
      </c>
      <c r="R11" s="27">
        <v>30000</v>
      </c>
      <c r="S11" s="27">
        <v>30000</v>
      </c>
      <c r="T11" s="27">
        <v>30000</v>
      </c>
      <c r="U11" s="27">
        <v>30000</v>
      </c>
      <c r="V11" s="27">
        <v>30000</v>
      </c>
      <c r="W11" s="27">
        <v>30000</v>
      </c>
      <c r="X11" s="27">
        <v>28000</v>
      </c>
      <c r="Y11" s="27">
        <v>28000</v>
      </c>
      <c r="Z11" s="27">
        <v>28000</v>
      </c>
      <c r="AA11" s="11">
        <f t="shared" si="0"/>
        <v>25500</v>
      </c>
      <c r="AB11" s="11">
        <f t="shared" si="1"/>
        <v>30600</v>
      </c>
      <c r="AC11" s="11">
        <f t="shared" si="2"/>
        <v>30200</v>
      </c>
      <c r="AD11" s="11">
        <f t="shared" si="3"/>
        <v>30000</v>
      </c>
      <c r="AE11" s="11">
        <f t="shared" si="4"/>
        <v>28500</v>
      </c>
      <c r="AF11" s="11">
        <f t="shared" si="5"/>
        <v>29130.434782608696</v>
      </c>
    </row>
    <row r="12" spans="1:32" x14ac:dyDescent="0.35">
      <c r="A12" s="3">
        <v>8</v>
      </c>
      <c r="B12" s="3" t="s">
        <v>256</v>
      </c>
      <c r="C12" s="3" t="s">
        <v>304</v>
      </c>
      <c r="D12" s="27">
        <v>22000</v>
      </c>
      <c r="E12" s="27">
        <v>22000</v>
      </c>
      <c r="F12" s="27">
        <v>22000</v>
      </c>
      <c r="G12" s="27">
        <v>24000</v>
      </c>
      <c r="H12" s="27">
        <v>26000</v>
      </c>
      <c r="I12" s="27">
        <v>26000</v>
      </c>
      <c r="J12" s="27">
        <v>27000</v>
      </c>
      <c r="K12" s="27">
        <v>27000</v>
      </c>
      <c r="L12" s="27">
        <v>27000</v>
      </c>
      <c r="M12" s="27">
        <v>27000</v>
      </c>
      <c r="N12" s="27">
        <v>26000</v>
      </c>
      <c r="O12" s="27">
        <v>26000</v>
      </c>
      <c r="P12" s="27">
        <v>26000</v>
      </c>
      <c r="Q12" s="27">
        <v>26000</v>
      </c>
      <c r="R12" s="27">
        <v>28000</v>
      </c>
      <c r="S12" s="27">
        <v>28000</v>
      </c>
      <c r="T12" s="27">
        <v>28000</v>
      </c>
      <c r="U12" s="27">
        <v>28000</v>
      </c>
      <c r="V12" s="27">
        <v>28000</v>
      </c>
      <c r="W12" s="27">
        <v>28000</v>
      </c>
      <c r="X12" s="27">
        <v>28000</v>
      </c>
      <c r="Y12" s="27">
        <v>28000</v>
      </c>
      <c r="Z12" s="27">
        <v>28000</v>
      </c>
      <c r="AA12" s="11">
        <f t="shared" si="0"/>
        <v>22500</v>
      </c>
      <c r="AB12" s="11">
        <f t="shared" si="1"/>
        <v>26600</v>
      </c>
      <c r="AC12" s="11">
        <f t="shared" si="2"/>
        <v>26200</v>
      </c>
      <c r="AD12" s="11">
        <f t="shared" si="3"/>
        <v>28000</v>
      </c>
      <c r="AE12" s="11">
        <f t="shared" si="4"/>
        <v>28000</v>
      </c>
      <c r="AF12" s="11">
        <f t="shared" si="5"/>
        <v>26347.82608695652</v>
      </c>
    </row>
    <row r="13" spans="1:32" x14ac:dyDescent="0.35">
      <c r="A13" s="3">
        <v>9</v>
      </c>
      <c r="B13" s="3" t="s">
        <v>253</v>
      </c>
      <c r="C13" s="3" t="s">
        <v>304</v>
      </c>
      <c r="D13" s="27">
        <v>16000</v>
      </c>
      <c r="E13" s="27">
        <v>16000</v>
      </c>
      <c r="F13" s="27">
        <v>16000</v>
      </c>
      <c r="G13" s="27">
        <v>16000</v>
      </c>
      <c r="H13" s="27">
        <v>16000</v>
      </c>
      <c r="I13" s="27">
        <v>16000</v>
      </c>
      <c r="J13" s="27">
        <v>16000</v>
      </c>
      <c r="K13" s="27">
        <v>16000</v>
      </c>
      <c r="L13" s="27">
        <v>16000</v>
      </c>
      <c r="M13" s="27">
        <v>16000</v>
      </c>
      <c r="N13" s="27">
        <v>16000</v>
      </c>
      <c r="O13" s="27">
        <v>16000</v>
      </c>
      <c r="P13" s="27">
        <v>16000</v>
      </c>
      <c r="Q13" s="27">
        <v>16000</v>
      </c>
      <c r="R13" s="27">
        <v>16000</v>
      </c>
      <c r="S13" s="27">
        <v>16000</v>
      </c>
      <c r="T13" s="27">
        <v>16000</v>
      </c>
      <c r="U13" s="27">
        <v>16000</v>
      </c>
      <c r="V13" s="27">
        <v>16000</v>
      </c>
      <c r="W13" s="27">
        <v>16000</v>
      </c>
      <c r="X13" s="27">
        <v>16000</v>
      </c>
      <c r="Y13" s="27">
        <v>16000</v>
      </c>
      <c r="Z13" s="27">
        <v>16000</v>
      </c>
      <c r="AA13" s="11">
        <f t="shared" si="0"/>
        <v>16000</v>
      </c>
      <c r="AB13" s="11">
        <f t="shared" si="1"/>
        <v>16000</v>
      </c>
      <c r="AC13" s="11">
        <f t="shared" si="2"/>
        <v>16000</v>
      </c>
      <c r="AD13" s="11">
        <f t="shared" si="3"/>
        <v>16000</v>
      </c>
      <c r="AE13" s="11">
        <f t="shared" si="4"/>
        <v>16000</v>
      </c>
      <c r="AF13" s="11">
        <f t="shared" si="5"/>
        <v>16000</v>
      </c>
    </row>
    <row r="14" spans="1:32" x14ac:dyDescent="0.35">
      <c r="A14" s="3">
        <v>10</v>
      </c>
      <c r="B14" s="3" t="s">
        <v>246</v>
      </c>
      <c r="C14" s="3" t="s">
        <v>304</v>
      </c>
      <c r="D14" s="27">
        <v>15000</v>
      </c>
      <c r="E14" s="27">
        <v>15000</v>
      </c>
      <c r="F14" s="27">
        <v>15000</v>
      </c>
      <c r="G14" s="27">
        <v>15000</v>
      </c>
      <c r="H14" s="27">
        <v>15000</v>
      </c>
      <c r="I14" s="27">
        <v>15000</v>
      </c>
      <c r="J14" s="27">
        <v>15000</v>
      </c>
      <c r="K14" s="27">
        <v>15000</v>
      </c>
      <c r="L14" s="27">
        <v>15000</v>
      </c>
      <c r="M14" s="27">
        <v>15000</v>
      </c>
      <c r="N14" s="27">
        <v>15000</v>
      </c>
      <c r="O14" s="27">
        <v>15000</v>
      </c>
      <c r="P14" s="27">
        <v>15000</v>
      </c>
      <c r="Q14" s="27">
        <v>15000</v>
      </c>
      <c r="R14" s="27">
        <v>15000</v>
      </c>
      <c r="S14" s="27">
        <v>15000</v>
      </c>
      <c r="T14" s="27">
        <v>15000</v>
      </c>
      <c r="U14" s="27">
        <v>15000</v>
      </c>
      <c r="V14" s="27">
        <v>15000</v>
      </c>
      <c r="W14" s="27">
        <v>15000</v>
      </c>
      <c r="X14" s="27">
        <v>15000</v>
      </c>
      <c r="Y14" s="27">
        <v>15000</v>
      </c>
      <c r="Z14" s="27">
        <v>15000</v>
      </c>
      <c r="AA14" s="11">
        <f t="shared" si="0"/>
        <v>15000</v>
      </c>
      <c r="AB14" s="11">
        <f t="shared" si="1"/>
        <v>15000</v>
      </c>
      <c r="AC14" s="11">
        <f t="shared" si="2"/>
        <v>15000</v>
      </c>
      <c r="AD14" s="11">
        <f t="shared" si="3"/>
        <v>15000</v>
      </c>
      <c r="AE14" s="11">
        <f t="shared" si="4"/>
        <v>15000</v>
      </c>
      <c r="AF14" s="11">
        <f t="shared" si="5"/>
        <v>15000</v>
      </c>
    </row>
    <row r="15" spans="1:32" x14ac:dyDescent="0.35">
      <c r="A15" s="3">
        <v>11</v>
      </c>
      <c r="B15" s="3" t="s">
        <v>247</v>
      </c>
      <c r="C15" s="3" t="s">
        <v>304</v>
      </c>
      <c r="D15" s="27">
        <v>18000</v>
      </c>
      <c r="E15" s="27">
        <v>18000</v>
      </c>
      <c r="F15" s="27">
        <v>18000</v>
      </c>
      <c r="G15" s="27">
        <v>18000</v>
      </c>
      <c r="H15" s="27">
        <v>18000</v>
      </c>
      <c r="I15" s="27">
        <v>18000</v>
      </c>
      <c r="J15" s="27">
        <v>18000</v>
      </c>
      <c r="K15" s="27">
        <v>18000</v>
      </c>
      <c r="L15" s="27">
        <v>18000</v>
      </c>
      <c r="M15" s="27">
        <v>18000</v>
      </c>
      <c r="N15" s="27">
        <v>18000</v>
      </c>
      <c r="O15" s="27">
        <v>18000</v>
      </c>
      <c r="P15" s="27">
        <v>18000</v>
      </c>
      <c r="Q15" s="27">
        <v>18000</v>
      </c>
      <c r="R15" s="27">
        <v>18000</v>
      </c>
      <c r="S15" s="27">
        <v>18000</v>
      </c>
      <c r="T15" s="27">
        <v>18000</v>
      </c>
      <c r="U15" s="27">
        <v>18000</v>
      </c>
      <c r="V15" s="27">
        <v>18000</v>
      </c>
      <c r="W15" s="27">
        <v>18000</v>
      </c>
      <c r="X15" s="27">
        <v>18000</v>
      </c>
      <c r="Y15" s="27">
        <v>18000</v>
      </c>
      <c r="Z15" s="27">
        <v>18000</v>
      </c>
      <c r="AA15" s="11">
        <f t="shared" si="0"/>
        <v>18000</v>
      </c>
      <c r="AB15" s="11">
        <f t="shared" si="1"/>
        <v>18000</v>
      </c>
      <c r="AC15" s="11">
        <f t="shared" si="2"/>
        <v>18000</v>
      </c>
      <c r="AD15" s="11">
        <f t="shared" si="3"/>
        <v>18000</v>
      </c>
      <c r="AE15" s="11">
        <f t="shared" si="4"/>
        <v>18000</v>
      </c>
      <c r="AF15" s="11">
        <f t="shared" si="5"/>
        <v>18000</v>
      </c>
    </row>
    <row r="16" spans="1:32" x14ac:dyDescent="0.35">
      <c r="A16" s="3">
        <v>12</v>
      </c>
      <c r="B16" s="3" t="s">
        <v>248</v>
      </c>
      <c r="C16" s="3" t="s">
        <v>304</v>
      </c>
      <c r="D16" s="27">
        <v>15700</v>
      </c>
      <c r="E16" s="27">
        <v>15700</v>
      </c>
      <c r="F16" s="27">
        <v>15700</v>
      </c>
      <c r="G16" s="27">
        <v>15700</v>
      </c>
      <c r="H16" s="27">
        <v>15700</v>
      </c>
      <c r="I16" s="27">
        <v>15700</v>
      </c>
      <c r="J16" s="27">
        <v>15700</v>
      </c>
      <c r="K16" s="27">
        <v>15700</v>
      </c>
      <c r="L16" s="27">
        <v>15700</v>
      </c>
      <c r="M16" s="27">
        <v>15700</v>
      </c>
      <c r="N16" s="27">
        <v>15700</v>
      </c>
      <c r="O16" s="27">
        <v>15700</v>
      </c>
      <c r="P16" s="27">
        <v>15700</v>
      </c>
      <c r="Q16" s="27">
        <v>15700</v>
      </c>
      <c r="R16" s="27">
        <v>15700</v>
      </c>
      <c r="S16" s="27">
        <v>15700</v>
      </c>
      <c r="T16" s="27">
        <v>15700</v>
      </c>
      <c r="U16" s="27">
        <v>15700</v>
      </c>
      <c r="V16" s="27">
        <v>15700</v>
      </c>
      <c r="W16" s="27">
        <v>15700</v>
      </c>
      <c r="X16" s="27">
        <v>15700</v>
      </c>
      <c r="Y16" s="27">
        <v>15700</v>
      </c>
      <c r="Z16" s="27">
        <v>15700</v>
      </c>
      <c r="AA16" s="11">
        <f t="shared" si="0"/>
        <v>15700</v>
      </c>
      <c r="AB16" s="11">
        <f t="shared" si="1"/>
        <v>15700</v>
      </c>
      <c r="AC16" s="11">
        <f t="shared" si="2"/>
        <v>15700</v>
      </c>
      <c r="AD16" s="11">
        <f t="shared" si="3"/>
        <v>15700</v>
      </c>
      <c r="AE16" s="11">
        <f t="shared" si="4"/>
        <v>15700</v>
      </c>
      <c r="AF16" s="11">
        <f t="shared" si="5"/>
        <v>15700</v>
      </c>
    </row>
    <row r="17" spans="1:32" x14ac:dyDescent="0.35">
      <c r="A17" s="3">
        <v>13</v>
      </c>
      <c r="B17" s="3" t="s">
        <v>243</v>
      </c>
      <c r="C17" s="3" t="s">
        <v>304</v>
      </c>
      <c r="D17" s="27">
        <v>11500</v>
      </c>
      <c r="E17" s="27">
        <v>11500</v>
      </c>
      <c r="F17" s="27">
        <v>11500</v>
      </c>
      <c r="G17" s="27">
        <v>11500</v>
      </c>
      <c r="H17" s="27">
        <v>11500</v>
      </c>
      <c r="I17" s="27">
        <v>11500</v>
      </c>
      <c r="J17" s="27">
        <v>11500</v>
      </c>
      <c r="K17" s="27">
        <v>11500</v>
      </c>
      <c r="L17" s="27">
        <v>11500</v>
      </c>
      <c r="M17" s="27">
        <v>11500</v>
      </c>
      <c r="N17" s="27">
        <v>11500</v>
      </c>
      <c r="O17" s="27">
        <v>11500</v>
      </c>
      <c r="P17" s="27">
        <v>11500</v>
      </c>
      <c r="Q17" s="27">
        <v>11500</v>
      </c>
      <c r="R17" s="27">
        <v>11500</v>
      </c>
      <c r="S17" s="27">
        <v>11500</v>
      </c>
      <c r="T17" s="27">
        <v>11500</v>
      </c>
      <c r="U17" s="27">
        <v>11500</v>
      </c>
      <c r="V17" s="27">
        <v>11500</v>
      </c>
      <c r="W17" s="27">
        <v>11500</v>
      </c>
      <c r="X17" s="27">
        <v>11500</v>
      </c>
      <c r="Y17" s="27">
        <v>11500</v>
      </c>
      <c r="Z17" s="27">
        <v>11500</v>
      </c>
      <c r="AA17" s="11">
        <f t="shared" si="0"/>
        <v>11500</v>
      </c>
      <c r="AB17" s="11">
        <f t="shared" si="1"/>
        <v>11500</v>
      </c>
      <c r="AC17" s="11">
        <f t="shared" si="2"/>
        <v>11500</v>
      </c>
      <c r="AD17" s="11">
        <f t="shared" si="3"/>
        <v>11500</v>
      </c>
      <c r="AE17" s="11">
        <f t="shared" si="4"/>
        <v>11500</v>
      </c>
      <c r="AF17" s="11">
        <f t="shared" si="5"/>
        <v>11500</v>
      </c>
    </row>
    <row r="18" spans="1:32" x14ac:dyDescent="0.35">
      <c r="A18" s="3">
        <v>14</v>
      </c>
      <c r="B18" s="3" t="s">
        <v>245</v>
      </c>
      <c r="C18" s="3" t="s">
        <v>304</v>
      </c>
      <c r="D18" s="27">
        <v>23000</v>
      </c>
      <c r="E18" s="27">
        <v>23000</v>
      </c>
      <c r="F18" s="27">
        <v>28000</v>
      </c>
      <c r="G18" s="27">
        <v>30000</v>
      </c>
      <c r="H18" s="27">
        <v>30000</v>
      </c>
      <c r="I18" s="27">
        <v>30000</v>
      </c>
      <c r="J18" s="27">
        <v>30000</v>
      </c>
      <c r="K18" s="27">
        <v>30000</v>
      </c>
      <c r="L18" s="27">
        <v>30000</v>
      </c>
      <c r="M18" s="27">
        <v>30000</v>
      </c>
      <c r="N18" s="27">
        <v>29000</v>
      </c>
      <c r="O18" s="27">
        <v>29000</v>
      </c>
      <c r="P18" s="27">
        <v>29000</v>
      </c>
      <c r="Q18" s="27">
        <v>29000</v>
      </c>
      <c r="R18" s="27">
        <v>30000</v>
      </c>
      <c r="S18" s="27">
        <v>30000</v>
      </c>
      <c r="T18" s="27">
        <v>30000</v>
      </c>
      <c r="U18" s="27">
        <v>30000</v>
      </c>
      <c r="V18" s="27">
        <v>30000</v>
      </c>
      <c r="W18" s="27">
        <v>30000</v>
      </c>
      <c r="X18" s="27">
        <v>29000</v>
      </c>
      <c r="Y18" s="27">
        <v>29000</v>
      </c>
      <c r="Z18" s="27">
        <v>29000</v>
      </c>
      <c r="AA18" s="11">
        <f t="shared" si="0"/>
        <v>26000</v>
      </c>
      <c r="AB18" s="11">
        <f t="shared" si="1"/>
        <v>30000</v>
      </c>
      <c r="AC18" s="11">
        <f t="shared" si="2"/>
        <v>29200</v>
      </c>
      <c r="AD18" s="11">
        <f t="shared" si="3"/>
        <v>30000</v>
      </c>
      <c r="AE18" s="11">
        <f t="shared" si="4"/>
        <v>29250</v>
      </c>
      <c r="AF18" s="11">
        <f t="shared" si="5"/>
        <v>29000</v>
      </c>
    </row>
    <row r="19" spans="1:32" x14ac:dyDescent="0.35">
      <c r="A19" s="3">
        <v>15</v>
      </c>
      <c r="B19" s="3" t="s">
        <v>252</v>
      </c>
      <c r="C19" s="3" t="s">
        <v>304</v>
      </c>
      <c r="D19" s="27">
        <v>23000</v>
      </c>
      <c r="E19" s="27">
        <v>23000</v>
      </c>
      <c r="F19" s="27">
        <v>23000</v>
      </c>
      <c r="G19" s="27">
        <v>24000</v>
      </c>
      <c r="H19" s="27">
        <v>24000</v>
      </c>
      <c r="I19" s="27">
        <v>24000</v>
      </c>
      <c r="J19" s="27">
        <v>24000</v>
      </c>
      <c r="K19" s="27">
        <v>25000</v>
      </c>
      <c r="L19" s="27">
        <v>25000</v>
      </c>
      <c r="M19" s="27">
        <v>25000</v>
      </c>
      <c r="N19" s="27">
        <v>24000</v>
      </c>
      <c r="O19" s="27">
        <v>24000</v>
      </c>
      <c r="P19" s="27">
        <v>24000</v>
      </c>
      <c r="Q19" s="27">
        <v>24000</v>
      </c>
      <c r="R19" s="27">
        <v>25000</v>
      </c>
      <c r="S19" s="27">
        <v>25000</v>
      </c>
      <c r="T19" s="27">
        <v>25000</v>
      </c>
      <c r="U19" s="27">
        <v>25000</v>
      </c>
      <c r="V19" s="27">
        <v>25000</v>
      </c>
      <c r="W19" s="27">
        <v>25000</v>
      </c>
      <c r="X19" s="27">
        <v>23500</v>
      </c>
      <c r="Y19" s="27">
        <v>23500</v>
      </c>
      <c r="Z19" s="27">
        <v>23500</v>
      </c>
      <c r="AA19" s="11">
        <f t="shared" si="0"/>
        <v>23250</v>
      </c>
      <c r="AB19" s="11">
        <f t="shared" si="1"/>
        <v>24400</v>
      </c>
      <c r="AC19" s="11">
        <f t="shared" si="2"/>
        <v>24200</v>
      </c>
      <c r="AD19" s="11">
        <f t="shared" si="3"/>
        <v>25000</v>
      </c>
      <c r="AE19" s="11">
        <f t="shared" si="4"/>
        <v>23875</v>
      </c>
      <c r="AF19" s="11">
        <f t="shared" si="5"/>
        <v>24195.652173913044</v>
      </c>
    </row>
    <row r="20" spans="1:32" x14ac:dyDescent="0.35">
      <c r="A20" s="3">
        <v>16</v>
      </c>
      <c r="B20" s="3" t="s">
        <v>263</v>
      </c>
      <c r="C20" s="3" t="s">
        <v>304</v>
      </c>
      <c r="D20" s="27">
        <v>90000</v>
      </c>
      <c r="E20" s="27">
        <v>90000</v>
      </c>
      <c r="F20" s="27">
        <v>95000</v>
      </c>
      <c r="G20" s="27">
        <v>95000</v>
      </c>
      <c r="H20" s="27">
        <v>100000</v>
      </c>
      <c r="I20" s="27">
        <v>100000</v>
      </c>
      <c r="J20" s="27">
        <v>100000</v>
      </c>
      <c r="K20" s="27">
        <v>100000</v>
      </c>
      <c r="L20" s="27">
        <v>100000</v>
      </c>
      <c r="M20" s="27">
        <v>100000</v>
      </c>
      <c r="N20" s="27">
        <v>95000</v>
      </c>
      <c r="O20" s="27">
        <v>95000</v>
      </c>
      <c r="P20" s="27">
        <v>95000</v>
      </c>
      <c r="Q20" s="27">
        <v>95000</v>
      </c>
      <c r="R20" s="27">
        <v>95000</v>
      </c>
      <c r="S20" s="27">
        <v>95000</v>
      </c>
      <c r="T20" s="27">
        <v>95000</v>
      </c>
      <c r="U20" s="27">
        <v>95000</v>
      </c>
      <c r="V20" s="27">
        <v>95000</v>
      </c>
      <c r="W20" s="27">
        <v>95000</v>
      </c>
      <c r="X20" s="27">
        <v>95000</v>
      </c>
      <c r="Y20" s="27">
        <v>93000</v>
      </c>
      <c r="Z20" s="27">
        <v>93000</v>
      </c>
      <c r="AA20" s="11">
        <f t="shared" si="0"/>
        <v>92500</v>
      </c>
      <c r="AB20" s="11">
        <f t="shared" si="1"/>
        <v>100000</v>
      </c>
      <c r="AC20" s="11">
        <f t="shared" si="2"/>
        <v>96000</v>
      </c>
      <c r="AD20" s="11">
        <f t="shared" si="3"/>
        <v>95000</v>
      </c>
      <c r="AE20" s="11">
        <f t="shared" si="4"/>
        <v>94000</v>
      </c>
      <c r="AF20" s="11">
        <f t="shared" si="5"/>
        <v>95695.65217391304</v>
      </c>
    </row>
    <row r="21" spans="1:32" x14ac:dyDescent="0.35">
      <c r="A21" s="3">
        <v>17</v>
      </c>
      <c r="B21" s="3" t="s">
        <v>264</v>
      </c>
      <c r="C21" s="3" t="s">
        <v>304</v>
      </c>
      <c r="D21" s="27">
        <v>60000</v>
      </c>
      <c r="E21" s="27">
        <v>60000</v>
      </c>
      <c r="F21" s="27">
        <v>60000</v>
      </c>
      <c r="G21" s="27">
        <v>60000</v>
      </c>
      <c r="H21" s="27">
        <v>60000</v>
      </c>
      <c r="I21" s="27">
        <v>60000</v>
      </c>
      <c r="J21" s="27">
        <v>60000</v>
      </c>
      <c r="K21" s="27">
        <v>60000</v>
      </c>
      <c r="L21" s="27">
        <v>60000</v>
      </c>
      <c r="M21" s="27">
        <v>60000</v>
      </c>
      <c r="N21" s="27">
        <v>60000</v>
      </c>
      <c r="O21" s="27">
        <v>60000</v>
      </c>
      <c r="P21" s="27">
        <v>60000</v>
      </c>
      <c r="Q21" s="27">
        <v>60000</v>
      </c>
      <c r="R21" s="27">
        <v>60000</v>
      </c>
      <c r="S21" s="27">
        <v>60000</v>
      </c>
      <c r="T21" s="27">
        <v>60000</v>
      </c>
      <c r="U21" s="27">
        <v>60000</v>
      </c>
      <c r="V21" s="27">
        <v>60000</v>
      </c>
      <c r="W21" s="27">
        <v>60000</v>
      </c>
      <c r="X21" s="27">
        <v>60000</v>
      </c>
      <c r="Y21" s="27">
        <v>60000</v>
      </c>
      <c r="Z21" s="27">
        <v>60000</v>
      </c>
      <c r="AA21" s="11">
        <f t="shared" si="0"/>
        <v>60000</v>
      </c>
      <c r="AB21" s="11">
        <f t="shared" si="1"/>
        <v>60000</v>
      </c>
      <c r="AC21" s="11">
        <f t="shared" si="2"/>
        <v>60000</v>
      </c>
      <c r="AD21" s="11">
        <f t="shared" si="3"/>
        <v>60000</v>
      </c>
      <c r="AE21" s="11">
        <f t="shared" si="4"/>
        <v>60000</v>
      </c>
      <c r="AF21" s="11">
        <f t="shared" si="5"/>
        <v>60000</v>
      </c>
    </row>
    <row r="22" spans="1:32" x14ac:dyDescent="0.35">
      <c r="A22" s="3">
        <v>18</v>
      </c>
      <c r="B22" s="3" t="s">
        <v>265</v>
      </c>
      <c r="C22" s="3" t="s">
        <v>304</v>
      </c>
      <c r="D22" s="27">
        <v>55000</v>
      </c>
      <c r="E22" s="27">
        <v>55000</v>
      </c>
      <c r="F22" s="27">
        <v>55000</v>
      </c>
      <c r="G22" s="27">
        <v>55000</v>
      </c>
      <c r="H22" s="27">
        <v>55000</v>
      </c>
      <c r="I22" s="27">
        <v>55000</v>
      </c>
      <c r="J22" s="27">
        <v>55000</v>
      </c>
      <c r="K22" s="27">
        <v>55000</v>
      </c>
      <c r="L22" s="27">
        <v>55000</v>
      </c>
      <c r="M22" s="27">
        <v>55000</v>
      </c>
      <c r="N22" s="27">
        <v>55000</v>
      </c>
      <c r="O22" s="27">
        <v>55000</v>
      </c>
      <c r="P22" s="27">
        <v>55000</v>
      </c>
      <c r="Q22" s="27">
        <v>55000</v>
      </c>
      <c r="R22" s="27">
        <v>55000</v>
      </c>
      <c r="S22" s="27">
        <v>55000</v>
      </c>
      <c r="T22" s="27">
        <v>55000</v>
      </c>
      <c r="U22" s="27">
        <v>55000</v>
      </c>
      <c r="V22" s="27">
        <v>55000</v>
      </c>
      <c r="W22" s="27">
        <v>55000</v>
      </c>
      <c r="X22" s="27">
        <v>55000</v>
      </c>
      <c r="Y22" s="27">
        <v>55000</v>
      </c>
      <c r="Z22" s="27">
        <v>55000</v>
      </c>
      <c r="AA22" s="11">
        <f t="shared" si="0"/>
        <v>55000</v>
      </c>
      <c r="AB22" s="11">
        <f t="shared" si="1"/>
        <v>55000</v>
      </c>
      <c r="AC22" s="11">
        <f t="shared" si="2"/>
        <v>55000</v>
      </c>
      <c r="AD22" s="11">
        <f t="shared" si="3"/>
        <v>55000</v>
      </c>
      <c r="AE22" s="11">
        <f t="shared" si="4"/>
        <v>55000</v>
      </c>
      <c r="AF22" s="11">
        <f t="shared" si="5"/>
        <v>55000</v>
      </c>
    </row>
    <row r="23" spans="1:32" x14ac:dyDescent="0.35">
      <c r="A23" s="3">
        <v>19</v>
      </c>
      <c r="B23" s="3" t="s">
        <v>306</v>
      </c>
      <c r="C23" s="3" t="s">
        <v>304</v>
      </c>
      <c r="D23" s="27">
        <v>30000</v>
      </c>
      <c r="E23" s="27">
        <v>30000</v>
      </c>
      <c r="F23" s="27">
        <v>30000</v>
      </c>
      <c r="G23" s="27">
        <v>30000</v>
      </c>
      <c r="H23" s="27">
        <v>30000</v>
      </c>
      <c r="I23" s="27">
        <v>30000</v>
      </c>
      <c r="J23" s="27">
        <v>30000</v>
      </c>
      <c r="K23" s="27">
        <v>30000</v>
      </c>
      <c r="L23" s="27">
        <v>30000</v>
      </c>
      <c r="M23" s="27">
        <v>30000</v>
      </c>
      <c r="N23" s="27">
        <v>30000</v>
      </c>
      <c r="O23" s="27">
        <v>30000</v>
      </c>
      <c r="P23" s="27">
        <v>30000</v>
      </c>
      <c r="Q23" s="27">
        <v>30000</v>
      </c>
      <c r="R23" s="27">
        <v>30000</v>
      </c>
      <c r="S23" s="27">
        <v>30000</v>
      </c>
      <c r="T23" s="27">
        <v>30000</v>
      </c>
      <c r="U23" s="27">
        <v>30000</v>
      </c>
      <c r="V23" s="27">
        <v>30000</v>
      </c>
      <c r="W23" s="27">
        <v>30000</v>
      </c>
      <c r="X23" s="27">
        <v>30000</v>
      </c>
      <c r="Y23" s="27">
        <v>28000</v>
      </c>
      <c r="Z23" s="27">
        <v>28000</v>
      </c>
      <c r="AA23" s="11">
        <f t="shared" si="0"/>
        <v>30000</v>
      </c>
      <c r="AB23" s="11">
        <f t="shared" si="1"/>
        <v>30000</v>
      </c>
      <c r="AC23" s="11">
        <f t="shared" si="2"/>
        <v>30000</v>
      </c>
      <c r="AD23" s="11">
        <f t="shared" si="3"/>
        <v>30000</v>
      </c>
      <c r="AE23" s="11">
        <f t="shared" si="4"/>
        <v>29000</v>
      </c>
      <c r="AF23" s="11">
        <f t="shared" si="5"/>
        <v>29826.08695652174</v>
      </c>
    </row>
    <row r="24" spans="1:32" x14ac:dyDescent="0.35">
      <c r="A24" s="3">
        <v>20</v>
      </c>
      <c r="B24" s="3" t="s">
        <v>254</v>
      </c>
      <c r="C24" s="3" t="s">
        <v>304</v>
      </c>
      <c r="D24" s="27">
        <v>28000</v>
      </c>
      <c r="E24" s="27">
        <v>28000</v>
      </c>
      <c r="F24" s="27">
        <v>28000</v>
      </c>
      <c r="G24" s="27">
        <v>28000</v>
      </c>
      <c r="H24" s="27">
        <v>28000</v>
      </c>
      <c r="I24" s="27">
        <v>28000</v>
      </c>
      <c r="J24" s="27">
        <v>28000</v>
      </c>
      <c r="K24" s="27">
        <v>28000</v>
      </c>
      <c r="L24" s="27">
        <v>28000</v>
      </c>
      <c r="M24" s="27">
        <v>28000</v>
      </c>
      <c r="N24" s="27">
        <v>28000</v>
      </c>
      <c r="O24" s="27">
        <v>28000</v>
      </c>
      <c r="P24" s="27">
        <v>28000</v>
      </c>
      <c r="Q24" s="27">
        <v>28000</v>
      </c>
      <c r="R24" s="27">
        <v>28000</v>
      </c>
      <c r="S24" s="27">
        <v>28000</v>
      </c>
      <c r="T24" s="27">
        <v>28000</v>
      </c>
      <c r="U24" s="27">
        <v>28000</v>
      </c>
      <c r="V24" s="27">
        <v>28000</v>
      </c>
      <c r="W24" s="27">
        <v>28000</v>
      </c>
      <c r="X24" s="27">
        <v>28000</v>
      </c>
      <c r="Y24" s="27">
        <v>28000</v>
      </c>
      <c r="Z24" s="27">
        <v>28000</v>
      </c>
      <c r="AA24" s="11">
        <f t="shared" si="0"/>
        <v>28000</v>
      </c>
      <c r="AB24" s="11">
        <f t="shared" si="1"/>
        <v>28000</v>
      </c>
      <c r="AC24" s="11">
        <f t="shared" si="2"/>
        <v>28000</v>
      </c>
      <c r="AD24" s="11">
        <f t="shared" si="3"/>
        <v>28000</v>
      </c>
      <c r="AE24" s="11">
        <f t="shared" si="4"/>
        <v>28000</v>
      </c>
      <c r="AF24" s="11">
        <f t="shared" si="5"/>
        <v>28000</v>
      </c>
    </row>
    <row r="25" spans="1:32" x14ac:dyDescent="0.35">
      <c r="A25" s="3">
        <v>21</v>
      </c>
      <c r="B25" s="3" t="s">
        <v>307</v>
      </c>
      <c r="C25" s="3" t="s">
        <v>304</v>
      </c>
      <c r="D25" s="27">
        <v>60000</v>
      </c>
      <c r="E25" s="27">
        <v>60000</v>
      </c>
      <c r="F25" s="27">
        <v>60000</v>
      </c>
      <c r="G25" s="27">
        <v>60000</v>
      </c>
      <c r="H25" s="27">
        <v>60000</v>
      </c>
      <c r="I25" s="27">
        <v>60000</v>
      </c>
      <c r="J25" s="27">
        <v>60000</v>
      </c>
      <c r="K25" s="27">
        <v>60000</v>
      </c>
      <c r="L25" s="27">
        <v>60000</v>
      </c>
      <c r="M25" s="27">
        <v>60000</v>
      </c>
      <c r="N25" s="27">
        <v>60000</v>
      </c>
      <c r="O25" s="27">
        <v>60000</v>
      </c>
      <c r="P25" s="27">
        <v>60000</v>
      </c>
      <c r="Q25" s="27">
        <v>60000</v>
      </c>
      <c r="R25" s="27">
        <v>60000</v>
      </c>
      <c r="S25" s="27">
        <v>60000</v>
      </c>
      <c r="T25" s="27">
        <v>60000</v>
      </c>
      <c r="U25" s="27">
        <v>60000</v>
      </c>
      <c r="V25" s="27">
        <v>60000</v>
      </c>
      <c r="W25" s="27">
        <v>60000</v>
      </c>
      <c r="X25" s="27">
        <v>60000</v>
      </c>
      <c r="Y25" s="27">
        <v>60000</v>
      </c>
      <c r="Z25" s="27">
        <v>60000</v>
      </c>
      <c r="AA25" s="11">
        <f t="shared" si="0"/>
        <v>60000</v>
      </c>
      <c r="AB25" s="11">
        <f t="shared" si="1"/>
        <v>60000</v>
      </c>
      <c r="AC25" s="11">
        <f t="shared" si="2"/>
        <v>60000</v>
      </c>
      <c r="AD25" s="11">
        <f t="shared" si="3"/>
        <v>60000</v>
      </c>
      <c r="AE25" s="11">
        <f t="shared" si="4"/>
        <v>60000</v>
      </c>
      <c r="AF25" s="11">
        <f t="shared" si="5"/>
        <v>60000</v>
      </c>
    </row>
    <row r="26" spans="1:32" x14ac:dyDescent="0.35">
      <c r="A26" s="3">
        <v>22</v>
      </c>
      <c r="B26" s="3" t="s">
        <v>259</v>
      </c>
      <c r="C26" s="3" t="s">
        <v>304</v>
      </c>
      <c r="D26" s="27">
        <v>2800</v>
      </c>
      <c r="E26" s="27">
        <v>2800</v>
      </c>
      <c r="F26" s="27">
        <v>2800</v>
      </c>
      <c r="G26" s="27">
        <v>2800</v>
      </c>
      <c r="H26" s="27">
        <v>2800</v>
      </c>
      <c r="I26" s="27">
        <v>2800</v>
      </c>
      <c r="J26" s="27">
        <v>2800</v>
      </c>
      <c r="K26" s="27">
        <v>2800</v>
      </c>
      <c r="L26" s="27">
        <v>2800</v>
      </c>
      <c r="M26" s="27">
        <v>2800</v>
      </c>
      <c r="N26" s="27">
        <v>2800</v>
      </c>
      <c r="O26" s="27">
        <v>2800</v>
      </c>
      <c r="P26" s="27">
        <v>2800</v>
      </c>
      <c r="Q26" s="27">
        <v>2800</v>
      </c>
      <c r="R26" s="27">
        <v>2800</v>
      </c>
      <c r="S26" s="27">
        <v>2800</v>
      </c>
      <c r="T26" s="27">
        <v>2800</v>
      </c>
      <c r="U26" s="27">
        <v>2800</v>
      </c>
      <c r="V26" s="27">
        <v>2800</v>
      </c>
      <c r="W26" s="27">
        <v>2800</v>
      </c>
      <c r="X26" s="27">
        <v>2800</v>
      </c>
      <c r="Y26" s="27">
        <v>2800</v>
      </c>
      <c r="Z26" s="27">
        <v>2800</v>
      </c>
      <c r="AA26" s="11">
        <f t="shared" si="0"/>
        <v>2800</v>
      </c>
      <c r="AB26" s="11">
        <f t="shared" si="1"/>
        <v>2800</v>
      </c>
      <c r="AC26" s="11">
        <f t="shared" si="2"/>
        <v>2800</v>
      </c>
      <c r="AD26" s="11">
        <f t="shared" si="3"/>
        <v>2800</v>
      </c>
      <c r="AE26" s="11">
        <f t="shared" si="4"/>
        <v>2800</v>
      </c>
      <c r="AF26" s="11">
        <f t="shared" si="5"/>
        <v>2800</v>
      </c>
    </row>
    <row r="27" spans="1:32" x14ac:dyDescent="0.35">
      <c r="A27" s="3">
        <v>23</v>
      </c>
      <c r="B27" s="3" t="s">
        <v>257</v>
      </c>
      <c r="C27" s="3" t="s">
        <v>304</v>
      </c>
      <c r="D27" s="27">
        <v>25000</v>
      </c>
      <c r="E27" s="27">
        <v>25000</v>
      </c>
      <c r="F27" s="27">
        <v>25000</v>
      </c>
      <c r="G27" s="27">
        <v>25000</v>
      </c>
      <c r="H27" s="27">
        <v>27000</v>
      </c>
      <c r="I27" s="27">
        <v>27000</v>
      </c>
      <c r="J27" s="27">
        <v>27000</v>
      </c>
      <c r="K27" s="27">
        <v>27000</v>
      </c>
      <c r="L27" s="27">
        <v>27000</v>
      </c>
      <c r="M27" s="27">
        <v>27000</v>
      </c>
      <c r="N27" s="27">
        <v>25000</v>
      </c>
      <c r="O27" s="27">
        <v>25000</v>
      </c>
      <c r="P27" s="27">
        <v>25000</v>
      </c>
      <c r="Q27" s="27">
        <v>25000</v>
      </c>
      <c r="R27" s="27">
        <v>25000</v>
      </c>
      <c r="S27" s="27">
        <v>25000</v>
      </c>
      <c r="T27" s="27">
        <v>25000</v>
      </c>
      <c r="U27" s="27">
        <v>25000</v>
      </c>
      <c r="V27" s="27">
        <v>25000</v>
      </c>
      <c r="W27" s="27">
        <v>25000</v>
      </c>
      <c r="X27" s="27">
        <v>24000</v>
      </c>
      <c r="Y27" s="27">
        <v>24000</v>
      </c>
      <c r="Z27" s="27">
        <v>24000</v>
      </c>
      <c r="AA27" s="11">
        <f t="shared" si="0"/>
        <v>25000</v>
      </c>
      <c r="AB27" s="11">
        <f t="shared" si="1"/>
        <v>27000</v>
      </c>
      <c r="AC27" s="11">
        <f t="shared" si="2"/>
        <v>25400</v>
      </c>
      <c r="AD27" s="11">
        <f t="shared" si="3"/>
        <v>25000</v>
      </c>
      <c r="AE27" s="11">
        <f t="shared" si="4"/>
        <v>24250</v>
      </c>
      <c r="AF27" s="11">
        <f t="shared" si="5"/>
        <v>25391.304347826088</v>
      </c>
    </row>
    <row r="28" spans="1:32" x14ac:dyDescent="0.35">
      <c r="A28" s="3">
        <v>24</v>
      </c>
      <c r="B28" s="3" t="s">
        <v>258</v>
      </c>
      <c r="C28" s="3" t="s">
        <v>304</v>
      </c>
      <c r="D28" s="27">
        <v>30000</v>
      </c>
      <c r="E28" s="27">
        <v>30000</v>
      </c>
      <c r="F28" s="27">
        <v>30000</v>
      </c>
      <c r="G28" s="27">
        <v>30000</v>
      </c>
      <c r="H28" s="27">
        <v>30000</v>
      </c>
      <c r="I28" s="27">
        <v>30000</v>
      </c>
      <c r="J28" s="27">
        <v>30000</v>
      </c>
      <c r="K28" s="27">
        <v>30000</v>
      </c>
      <c r="L28" s="27">
        <v>30000</v>
      </c>
      <c r="M28" s="27">
        <v>30000</v>
      </c>
      <c r="N28" s="27">
        <v>30000</v>
      </c>
      <c r="O28" s="27">
        <v>30000</v>
      </c>
      <c r="P28" s="27">
        <v>30000</v>
      </c>
      <c r="Q28" s="27">
        <v>30000</v>
      </c>
      <c r="R28" s="27">
        <v>30000</v>
      </c>
      <c r="S28" s="27">
        <v>30000</v>
      </c>
      <c r="T28" s="27">
        <v>30000</v>
      </c>
      <c r="U28" s="27">
        <v>30000</v>
      </c>
      <c r="V28" s="27">
        <v>30000</v>
      </c>
      <c r="W28" s="27">
        <v>30000</v>
      </c>
      <c r="X28" s="27">
        <v>30000</v>
      </c>
      <c r="Y28" s="27">
        <v>30000</v>
      </c>
      <c r="Z28" s="27">
        <v>30000</v>
      </c>
      <c r="AA28" s="11">
        <f t="shared" si="0"/>
        <v>30000</v>
      </c>
      <c r="AB28" s="11">
        <f t="shared" si="1"/>
        <v>30000</v>
      </c>
      <c r="AC28" s="11">
        <f t="shared" si="2"/>
        <v>30000</v>
      </c>
      <c r="AD28" s="11">
        <f t="shared" si="3"/>
        <v>30000</v>
      </c>
      <c r="AE28" s="11">
        <f t="shared" si="4"/>
        <v>30000</v>
      </c>
      <c r="AF28" s="11">
        <f t="shared" si="5"/>
        <v>30000</v>
      </c>
    </row>
    <row r="29" spans="1:32" x14ac:dyDescent="0.35">
      <c r="A29" s="3">
        <v>25</v>
      </c>
      <c r="B29" s="3" t="s">
        <v>308</v>
      </c>
      <c r="C29" s="3" t="s">
        <v>304</v>
      </c>
      <c r="D29" s="27">
        <v>25000</v>
      </c>
      <c r="E29" s="27">
        <v>25000</v>
      </c>
      <c r="F29" s="27">
        <v>25000</v>
      </c>
      <c r="G29" s="27">
        <v>25000</v>
      </c>
      <c r="H29" s="27">
        <v>25000</v>
      </c>
      <c r="I29" s="27">
        <v>25000</v>
      </c>
      <c r="J29" s="27">
        <v>25000</v>
      </c>
      <c r="K29" s="27">
        <v>25000</v>
      </c>
      <c r="L29" s="27">
        <v>25000</v>
      </c>
      <c r="M29" s="27">
        <v>25000</v>
      </c>
      <c r="N29" s="27">
        <v>25000</v>
      </c>
      <c r="O29" s="27">
        <v>25000</v>
      </c>
      <c r="P29" s="27">
        <v>25000</v>
      </c>
      <c r="Q29" s="27">
        <v>25000</v>
      </c>
      <c r="R29" s="27">
        <v>25000</v>
      </c>
      <c r="S29" s="27">
        <v>25000</v>
      </c>
      <c r="T29" s="27">
        <v>25000</v>
      </c>
      <c r="U29" s="27">
        <v>25000</v>
      </c>
      <c r="V29" s="27">
        <v>25000</v>
      </c>
      <c r="W29" s="27">
        <v>25000</v>
      </c>
      <c r="X29" s="27">
        <v>25000</v>
      </c>
      <c r="Y29" s="27">
        <v>25000</v>
      </c>
      <c r="Z29" s="27">
        <v>25000</v>
      </c>
      <c r="AA29" s="11">
        <f t="shared" si="0"/>
        <v>25000</v>
      </c>
      <c r="AB29" s="11">
        <f t="shared" si="1"/>
        <v>25000</v>
      </c>
      <c r="AC29" s="11">
        <f t="shared" si="2"/>
        <v>25000</v>
      </c>
      <c r="AD29" s="11">
        <f t="shared" si="3"/>
        <v>25000</v>
      </c>
      <c r="AE29" s="11">
        <f t="shared" si="4"/>
        <v>25000</v>
      </c>
      <c r="AF29" s="11">
        <f t="shared" si="5"/>
        <v>25000</v>
      </c>
    </row>
    <row r="30" spans="1:32" x14ac:dyDescent="0.35">
      <c r="A30" s="3">
        <v>26</v>
      </c>
      <c r="B30" s="3" t="s">
        <v>309</v>
      </c>
      <c r="C30" s="3" t="s">
        <v>304</v>
      </c>
      <c r="D30" s="27">
        <v>8000</v>
      </c>
      <c r="E30" s="27">
        <v>8000</v>
      </c>
      <c r="F30" s="27">
        <v>8000</v>
      </c>
      <c r="G30" s="27">
        <v>8000</v>
      </c>
      <c r="H30" s="27">
        <v>8000</v>
      </c>
      <c r="I30" s="27">
        <v>8000</v>
      </c>
      <c r="J30" s="27">
        <v>8000</v>
      </c>
      <c r="K30" s="27">
        <v>8000</v>
      </c>
      <c r="L30" s="27">
        <v>8000</v>
      </c>
      <c r="M30" s="27">
        <v>8000</v>
      </c>
      <c r="N30" s="27">
        <v>8000</v>
      </c>
      <c r="O30" s="27">
        <v>8000</v>
      </c>
      <c r="P30" s="27">
        <v>8000</v>
      </c>
      <c r="Q30" s="27">
        <v>8000</v>
      </c>
      <c r="R30" s="27">
        <v>8000</v>
      </c>
      <c r="S30" s="27">
        <v>8000</v>
      </c>
      <c r="T30" s="27">
        <v>8000</v>
      </c>
      <c r="U30" s="27">
        <v>8000</v>
      </c>
      <c r="V30" s="27">
        <v>8000</v>
      </c>
      <c r="W30" s="27">
        <v>8000</v>
      </c>
      <c r="X30" s="27">
        <v>8000</v>
      </c>
      <c r="Y30" s="27">
        <v>8000</v>
      </c>
      <c r="Z30" s="27">
        <v>8000</v>
      </c>
      <c r="AA30" s="11">
        <f t="shared" si="0"/>
        <v>8000</v>
      </c>
      <c r="AB30" s="11">
        <f t="shared" si="1"/>
        <v>8000</v>
      </c>
      <c r="AC30" s="11">
        <f t="shared" si="2"/>
        <v>8000</v>
      </c>
      <c r="AD30" s="11">
        <f t="shared" si="3"/>
        <v>8000</v>
      </c>
      <c r="AE30" s="11">
        <f t="shared" si="4"/>
        <v>8000</v>
      </c>
      <c r="AF30" s="11">
        <f t="shared" si="5"/>
        <v>8000</v>
      </c>
    </row>
    <row r="31" spans="1:32" x14ac:dyDescent="0.35">
      <c r="A31" s="3">
        <v>27</v>
      </c>
      <c r="B31" s="3" t="s">
        <v>260</v>
      </c>
      <c r="C31" s="3" t="s">
        <v>304</v>
      </c>
      <c r="D31" s="27">
        <v>10500</v>
      </c>
      <c r="E31" s="27">
        <v>10500</v>
      </c>
      <c r="F31" s="27">
        <v>10500</v>
      </c>
      <c r="G31" s="27">
        <v>10500</v>
      </c>
      <c r="H31" s="27">
        <v>10500</v>
      </c>
      <c r="I31" s="27">
        <v>10500</v>
      </c>
      <c r="J31" s="27">
        <v>10500</v>
      </c>
      <c r="K31" s="27">
        <v>10500</v>
      </c>
      <c r="L31" s="27">
        <v>10500</v>
      </c>
      <c r="M31" s="27">
        <v>10500</v>
      </c>
      <c r="N31" s="27">
        <v>10500</v>
      </c>
      <c r="O31" s="27">
        <v>10500</v>
      </c>
      <c r="P31" s="27">
        <v>10500</v>
      </c>
      <c r="Q31" s="27">
        <v>10500</v>
      </c>
      <c r="R31" s="27">
        <v>10500</v>
      </c>
      <c r="S31" s="27">
        <v>10500</v>
      </c>
      <c r="T31" s="27">
        <v>10500</v>
      </c>
      <c r="U31" s="27">
        <v>10500</v>
      </c>
      <c r="V31" s="27">
        <v>10500</v>
      </c>
      <c r="W31" s="27">
        <v>10500</v>
      </c>
      <c r="X31" s="27">
        <v>10500</v>
      </c>
      <c r="Y31" s="27">
        <v>10500</v>
      </c>
      <c r="Z31" s="27">
        <v>10500</v>
      </c>
      <c r="AA31" s="11">
        <f t="shared" si="0"/>
        <v>10500</v>
      </c>
      <c r="AB31" s="11">
        <f t="shared" si="1"/>
        <v>10500</v>
      </c>
      <c r="AC31" s="11">
        <f t="shared" si="2"/>
        <v>10500</v>
      </c>
      <c r="AD31" s="11">
        <f t="shared" si="3"/>
        <v>10500</v>
      </c>
      <c r="AE31" s="11">
        <f t="shared" si="4"/>
        <v>10500</v>
      </c>
      <c r="AF31" s="11">
        <f t="shared" si="5"/>
        <v>10500</v>
      </c>
    </row>
    <row r="32" spans="1:32" x14ac:dyDescent="0.35">
      <c r="A32" s="3">
        <v>28</v>
      </c>
      <c r="B32" s="3" t="s">
        <v>255</v>
      </c>
      <c r="C32" s="3" t="s">
        <v>304</v>
      </c>
      <c r="D32" s="27">
        <v>42000</v>
      </c>
      <c r="E32" s="27">
        <v>42000</v>
      </c>
      <c r="F32" s="27">
        <v>42000</v>
      </c>
      <c r="G32" s="27">
        <v>42000</v>
      </c>
      <c r="H32" s="27">
        <v>42000</v>
      </c>
      <c r="I32" s="27">
        <v>42000</v>
      </c>
      <c r="J32" s="27">
        <v>42000</v>
      </c>
      <c r="K32" s="27">
        <v>42000</v>
      </c>
      <c r="L32" s="27">
        <v>42000</v>
      </c>
      <c r="M32" s="27">
        <v>42000</v>
      </c>
      <c r="N32" s="27">
        <v>42000</v>
      </c>
      <c r="O32" s="27">
        <v>42000</v>
      </c>
      <c r="P32" s="27">
        <v>42000</v>
      </c>
      <c r="Q32" s="27">
        <v>42000</v>
      </c>
      <c r="R32" s="27">
        <v>42000</v>
      </c>
      <c r="S32" s="27">
        <v>42000</v>
      </c>
      <c r="T32" s="27">
        <v>42000</v>
      </c>
      <c r="U32" s="27">
        <v>42000</v>
      </c>
      <c r="V32" s="27">
        <v>42000</v>
      </c>
      <c r="W32" s="27">
        <v>42000</v>
      </c>
      <c r="X32" s="27">
        <v>42000</v>
      </c>
      <c r="Y32" s="27">
        <v>42000</v>
      </c>
      <c r="Z32" s="27">
        <v>42000</v>
      </c>
      <c r="AA32" s="11">
        <f t="shared" si="0"/>
        <v>42000</v>
      </c>
      <c r="AB32" s="11">
        <f t="shared" si="1"/>
        <v>42000</v>
      </c>
      <c r="AC32" s="11">
        <f t="shared" si="2"/>
        <v>42000</v>
      </c>
      <c r="AD32" s="11">
        <f t="shared" si="3"/>
        <v>42000</v>
      </c>
      <c r="AE32" s="11">
        <f t="shared" si="4"/>
        <v>42000</v>
      </c>
      <c r="AF32" s="11">
        <f t="shared" si="5"/>
        <v>42000</v>
      </c>
    </row>
    <row r="33" spans="1:32" x14ac:dyDescent="0.35">
      <c r="A33" s="3">
        <v>29</v>
      </c>
      <c r="B33" s="3" t="s">
        <v>266</v>
      </c>
      <c r="C33" s="3" t="s">
        <v>304</v>
      </c>
      <c r="D33" s="27">
        <v>8000</v>
      </c>
      <c r="E33" s="27">
        <v>8000</v>
      </c>
      <c r="F33" s="27">
        <v>8000</v>
      </c>
      <c r="G33" s="27">
        <v>8000</v>
      </c>
      <c r="H33" s="27">
        <v>8000</v>
      </c>
      <c r="I33" s="27">
        <v>8000</v>
      </c>
      <c r="J33" s="27">
        <v>8000</v>
      </c>
      <c r="K33" s="27">
        <v>8000</v>
      </c>
      <c r="L33" s="27">
        <v>8000</v>
      </c>
      <c r="M33" s="27">
        <v>8000</v>
      </c>
      <c r="N33" s="27">
        <v>8000</v>
      </c>
      <c r="O33" s="27">
        <v>8000</v>
      </c>
      <c r="P33" s="27">
        <v>8000</v>
      </c>
      <c r="Q33" s="27">
        <v>8000</v>
      </c>
      <c r="R33" s="27">
        <v>8000</v>
      </c>
      <c r="S33" s="27">
        <v>8000</v>
      </c>
      <c r="T33" s="27">
        <v>8000</v>
      </c>
      <c r="U33" s="27">
        <v>8000</v>
      </c>
      <c r="V33" s="27">
        <v>8000</v>
      </c>
      <c r="W33" s="27">
        <v>8000</v>
      </c>
      <c r="X33" s="27">
        <v>8000</v>
      </c>
      <c r="Y33" s="27">
        <v>8000</v>
      </c>
      <c r="Z33" s="27">
        <v>8000</v>
      </c>
      <c r="AA33" s="11">
        <f t="shared" si="0"/>
        <v>8000</v>
      </c>
      <c r="AB33" s="11">
        <f t="shared" si="1"/>
        <v>8000</v>
      </c>
      <c r="AC33" s="11">
        <f t="shared" si="2"/>
        <v>8000</v>
      </c>
      <c r="AD33" s="11">
        <f t="shared" si="3"/>
        <v>8000</v>
      </c>
      <c r="AE33" s="11">
        <f t="shared" si="4"/>
        <v>8000</v>
      </c>
      <c r="AF33" s="11">
        <f t="shared" si="5"/>
        <v>8000</v>
      </c>
    </row>
    <row r="34" spans="1:32" x14ac:dyDescent="0.35">
      <c r="A34" s="3">
        <v>30</v>
      </c>
      <c r="B34" s="3" t="s">
        <v>244</v>
      </c>
      <c r="C34" s="3" t="s">
        <v>304</v>
      </c>
      <c r="D34" s="27">
        <v>4750</v>
      </c>
      <c r="E34" s="27">
        <v>4750</v>
      </c>
      <c r="F34" s="27">
        <v>4750</v>
      </c>
      <c r="G34" s="27">
        <v>4750</v>
      </c>
      <c r="H34" s="27">
        <v>4750</v>
      </c>
      <c r="I34" s="27">
        <v>4750</v>
      </c>
      <c r="J34" s="27">
        <v>4750</v>
      </c>
      <c r="K34" s="27">
        <v>4750</v>
      </c>
      <c r="L34" s="27">
        <v>4750</v>
      </c>
      <c r="M34" s="27">
        <v>4750</v>
      </c>
      <c r="N34" s="27">
        <v>4750</v>
      </c>
      <c r="O34" s="27">
        <v>4750</v>
      </c>
      <c r="P34" s="27">
        <v>4750</v>
      </c>
      <c r="Q34" s="27">
        <v>4750</v>
      </c>
      <c r="R34" s="27">
        <v>4750</v>
      </c>
      <c r="S34" s="27">
        <v>4750</v>
      </c>
      <c r="T34" s="27">
        <v>4750</v>
      </c>
      <c r="U34" s="27">
        <v>4750</v>
      </c>
      <c r="V34" s="27">
        <v>4750</v>
      </c>
      <c r="W34" s="27">
        <v>4750</v>
      </c>
      <c r="X34" s="27">
        <v>4750</v>
      </c>
      <c r="Y34" s="27">
        <v>4750</v>
      </c>
      <c r="Z34" s="27">
        <v>4750</v>
      </c>
      <c r="AA34" s="11">
        <f t="shared" si="0"/>
        <v>4750</v>
      </c>
      <c r="AB34" s="11">
        <f t="shared" si="1"/>
        <v>4750</v>
      </c>
      <c r="AC34" s="11">
        <f t="shared" si="2"/>
        <v>4750</v>
      </c>
      <c r="AD34" s="11">
        <f t="shared" si="3"/>
        <v>4750</v>
      </c>
      <c r="AE34" s="11">
        <f t="shared" si="4"/>
        <v>4750</v>
      </c>
      <c r="AF34" s="11">
        <f t="shared" si="5"/>
        <v>4750</v>
      </c>
    </row>
    <row r="35" spans="1:32" x14ac:dyDescent="0.35">
      <c r="A35" s="3">
        <v>31</v>
      </c>
      <c r="B35" s="3" t="s">
        <v>249</v>
      </c>
      <c r="C35" s="3" t="s">
        <v>304</v>
      </c>
      <c r="D35" s="27">
        <v>58000</v>
      </c>
      <c r="E35" s="27">
        <v>58000</v>
      </c>
      <c r="F35" s="27">
        <v>58000</v>
      </c>
      <c r="G35" s="27">
        <v>58000</v>
      </c>
      <c r="H35" s="27">
        <v>58000</v>
      </c>
      <c r="I35" s="27">
        <v>58000</v>
      </c>
      <c r="J35" s="27">
        <v>58000</v>
      </c>
      <c r="K35" s="27">
        <v>58000</v>
      </c>
      <c r="L35" s="27">
        <v>58000</v>
      </c>
      <c r="M35" s="27">
        <v>58000</v>
      </c>
      <c r="N35" s="27">
        <v>58000</v>
      </c>
      <c r="O35" s="27">
        <v>58000</v>
      </c>
      <c r="P35" s="27">
        <v>58000</v>
      </c>
      <c r="Q35" s="27">
        <v>58000</v>
      </c>
      <c r="R35" s="27">
        <v>58000</v>
      </c>
      <c r="S35" s="27">
        <v>58000</v>
      </c>
      <c r="T35" s="27">
        <v>58000</v>
      </c>
      <c r="U35" s="27">
        <v>58000</v>
      </c>
      <c r="V35" s="27">
        <v>58000</v>
      </c>
      <c r="W35" s="27">
        <v>58000</v>
      </c>
      <c r="X35" s="27">
        <v>58000</v>
      </c>
      <c r="Y35" s="27">
        <v>58000</v>
      </c>
      <c r="Z35" s="27">
        <v>58000</v>
      </c>
      <c r="AA35" s="11">
        <f t="shared" si="0"/>
        <v>58000</v>
      </c>
      <c r="AB35" s="11">
        <f t="shared" si="1"/>
        <v>58000</v>
      </c>
      <c r="AC35" s="11">
        <f t="shared" si="2"/>
        <v>58000</v>
      </c>
      <c r="AD35" s="11">
        <f t="shared" si="3"/>
        <v>58000</v>
      </c>
      <c r="AE35" s="11">
        <f t="shared" si="4"/>
        <v>58000</v>
      </c>
      <c r="AF35" s="11">
        <f t="shared" si="5"/>
        <v>58000</v>
      </c>
    </row>
    <row r="36" spans="1:32" x14ac:dyDescent="0.35">
      <c r="A36" s="3">
        <v>32</v>
      </c>
      <c r="B36" s="3" t="s">
        <v>250</v>
      </c>
      <c r="C36" s="3" t="s">
        <v>304</v>
      </c>
      <c r="D36" s="27">
        <v>12000</v>
      </c>
      <c r="E36" s="27">
        <v>12000</v>
      </c>
      <c r="F36" s="27">
        <v>12000</v>
      </c>
      <c r="G36" s="27">
        <v>12000</v>
      </c>
      <c r="H36" s="27">
        <v>12000</v>
      </c>
      <c r="I36" s="27">
        <v>12000</v>
      </c>
      <c r="J36" s="27">
        <v>12000</v>
      </c>
      <c r="K36" s="27">
        <v>12000</v>
      </c>
      <c r="L36" s="27">
        <v>12000</v>
      </c>
      <c r="M36" s="27">
        <v>12000</v>
      </c>
      <c r="N36" s="27">
        <v>12000</v>
      </c>
      <c r="O36" s="27">
        <v>12000</v>
      </c>
      <c r="P36" s="27">
        <v>12000</v>
      </c>
      <c r="Q36" s="27">
        <v>12000</v>
      </c>
      <c r="R36" s="27">
        <v>12000</v>
      </c>
      <c r="S36" s="27">
        <v>12000</v>
      </c>
      <c r="T36" s="27">
        <v>12000</v>
      </c>
      <c r="U36" s="27">
        <v>12000</v>
      </c>
      <c r="V36" s="27">
        <v>12000</v>
      </c>
      <c r="W36" s="27">
        <v>12000</v>
      </c>
      <c r="X36" s="27">
        <v>12000</v>
      </c>
      <c r="Y36" s="27">
        <v>12000</v>
      </c>
      <c r="Z36" s="27">
        <v>12000</v>
      </c>
      <c r="AA36" s="11">
        <f t="shared" si="0"/>
        <v>12000</v>
      </c>
      <c r="AB36" s="11">
        <f t="shared" si="1"/>
        <v>12000</v>
      </c>
      <c r="AC36" s="11">
        <f t="shared" si="2"/>
        <v>12000</v>
      </c>
      <c r="AD36" s="11">
        <f t="shared" si="3"/>
        <v>12000</v>
      </c>
      <c r="AE36" s="11">
        <f t="shared" si="4"/>
        <v>12000</v>
      </c>
      <c r="AF36" s="11">
        <f t="shared" si="5"/>
        <v>12000</v>
      </c>
    </row>
    <row r="37" spans="1:32" x14ac:dyDescent="0.35">
      <c r="A37" s="3">
        <v>33</v>
      </c>
      <c r="B37" s="3" t="s">
        <v>267</v>
      </c>
      <c r="C37" s="3" t="s">
        <v>304</v>
      </c>
      <c r="D37" s="27">
        <v>9000</v>
      </c>
      <c r="E37" s="27">
        <v>9000</v>
      </c>
      <c r="F37" s="27">
        <v>9000</v>
      </c>
      <c r="G37" s="27">
        <v>9000</v>
      </c>
      <c r="H37" s="27">
        <v>9000</v>
      </c>
      <c r="I37" s="27">
        <v>9000</v>
      </c>
      <c r="J37" s="27">
        <v>9000</v>
      </c>
      <c r="K37" s="27">
        <v>9000</v>
      </c>
      <c r="L37" s="27">
        <v>9000</v>
      </c>
      <c r="M37" s="27">
        <v>9000</v>
      </c>
      <c r="N37" s="27">
        <v>9000</v>
      </c>
      <c r="O37" s="27">
        <v>9000</v>
      </c>
      <c r="P37" s="27">
        <v>9000</v>
      </c>
      <c r="Q37" s="27">
        <v>9000</v>
      </c>
      <c r="R37" s="27">
        <v>9000</v>
      </c>
      <c r="S37" s="27">
        <v>9000</v>
      </c>
      <c r="T37" s="27">
        <v>9000</v>
      </c>
      <c r="U37" s="27">
        <v>9000</v>
      </c>
      <c r="V37" s="27">
        <v>9000</v>
      </c>
      <c r="W37" s="27">
        <v>9000</v>
      </c>
      <c r="X37" s="27">
        <v>9000</v>
      </c>
      <c r="Y37" s="27">
        <v>9000</v>
      </c>
      <c r="Z37" s="27">
        <v>9000</v>
      </c>
      <c r="AA37" s="11">
        <f t="shared" si="0"/>
        <v>9000</v>
      </c>
      <c r="AB37" s="11">
        <f t="shared" si="1"/>
        <v>9000</v>
      </c>
      <c r="AC37" s="11">
        <f t="shared" si="2"/>
        <v>9000</v>
      </c>
      <c r="AD37" s="11">
        <f t="shared" si="3"/>
        <v>9000</v>
      </c>
      <c r="AE37" s="11">
        <f t="shared" si="4"/>
        <v>9000</v>
      </c>
      <c r="AF37" s="11">
        <f t="shared" si="5"/>
        <v>9000</v>
      </c>
    </row>
    <row r="38" spans="1:32" x14ac:dyDescent="0.35">
      <c r="A38" s="3">
        <v>34</v>
      </c>
      <c r="B38" s="3" t="s">
        <v>310</v>
      </c>
      <c r="C38" s="3" t="s">
        <v>304</v>
      </c>
      <c r="D38" s="27">
        <v>5500</v>
      </c>
      <c r="E38" s="27">
        <v>5500</v>
      </c>
      <c r="F38" s="27">
        <v>5500</v>
      </c>
      <c r="G38" s="27">
        <v>5500</v>
      </c>
      <c r="H38" s="27">
        <v>7500</v>
      </c>
      <c r="I38" s="27">
        <v>7500</v>
      </c>
      <c r="J38" s="27">
        <v>7500</v>
      </c>
      <c r="K38" s="27">
        <v>9000</v>
      </c>
      <c r="L38" s="27">
        <v>9000</v>
      </c>
      <c r="M38" s="27">
        <v>9000</v>
      </c>
      <c r="N38" s="27">
        <v>9000</v>
      </c>
      <c r="O38" s="27">
        <v>9000</v>
      </c>
      <c r="P38" s="27">
        <v>9000</v>
      </c>
      <c r="Q38" s="27">
        <v>9000</v>
      </c>
      <c r="R38" s="27">
        <v>9000</v>
      </c>
      <c r="S38" s="27">
        <v>9000</v>
      </c>
      <c r="T38" s="27">
        <v>9000</v>
      </c>
      <c r="U38" s="27">
        <v>9000</v>
      </c>
      <c r="V38" s="27">
        <v>9000</v>
      </c>
      <c r="W38" s="27">
        <v>9000</v>
      </c>
      <c r="X38" s="27">
        <v>9000</v>
      </c>
      <c r="Y38" s="27">
        <v>9000</v>
      </c>
      <c r="Z38" s="27">
        <v>9000</v>
      </c>
      <c r="AA38" s="11">
        <f t="shared" si="0"/>
        <v>5500</v>
      </c>
      <c r="AB38" s="11">
        <f t="shared" si="1"/>
        <v>8100</v>
      </c>
      <c r="AC38" s="11">
        <f t="shared" si="2"/>
        <v>9000</v>
      </c>
      <c r="AD38" s="11">
        <f t="shared" si="3"/>
        <v>9000</v>
      </c>
      <c r="AE38" s="11">
        <f t="shared" si="4"/>
        <v>9000</v>
      </c>
      <c r="AF38" s="11">
        <f t="shared" si="5"/>
        <v>8195.652173913044</v>
      </c>
    </row>
    <row r="39" spans="1:32" x14ac:dyDescent="0.35">
      <c r="A39" s="3">
        <v>35</v>
      </c>
      <c r="B39" s="3" t="s">
        <v>311</v>
      </c>
      <c r="C39" s="3" t="s">
        <v>304</v>
      </c>
      <c r="D39" s="27">
        <v>12000</v>
      </c>
      <c r="E39" s="27">
        <v>12000</v>
      </c>
      <c r="F39" s="27">
        <v>12000</v>
      </c>
      <c r="G39" s="27">
        <v>12000</v>
      </c>
      <c r="H39" s="27">
        <v>12000</v>
      </c>
      <c r="I39" s="27">
        <v>12000</v>
      </c>
      <c r="J39" s="27">
        <v>12000</v>
      </c>
      <c r="K39" s="27">
        <v>12000</v>
      </c>
      <c r="L39" s="27">
        <v>12000</v>
      </c>
      <c r="M39" s="27">
        <v>12000</v>
      </c>
      <c r="N39" s="27">
        <v>12000</v>
      </c>
      <c r="O39" s="27">
        <v>12000</v>
      </c>
      <c r="P39" s="27">
        <v>12000</v>
      </c>
      <c r="Q39" s="27">
        <v>12000</v>
      </c>
      <c r="R39" s="27">
        <v>12000</v>
      </c>
      <c r="S39" s="27">
        <v>12000</v>
      </c>
      <c r="T39" s="27">
        <v>12000</v>
      </c>
      <c r="U39" s="27">
        <v>12000</v>
      </c>
      <c r="V39" s="27">
        <v>12000</v>
      </c>
      <c r="W39" s="27">
        <v>12000</v>
      </c>
      <c r="X39" s="27">
        <v>12000</v>
      </c>
      <c r="Y39" s="27">
        <v>12000</v>
      </c>
      <c r="Z39" s="27">
        <v>12000</v>
      </c>
      <c r="AA39" s="11">
        <f t="shared" si="0"/>
        <v>12000</v>
      </c>
      <c r="AB39" s="11">
        <f t="shared" si="1"/>
        <v>12000</v>
      </c>
      <c r="AC39" s="11">
        <f t="shared" si="2"/>
        <v>12000</v>
      </c>
      <c r="AD39" s="11">
        <f t="shared" si="3"/>
        <v>12000</v>
      </c>
      <c r="AE39" s="11">
        <f t="shared" si="4"/>
        <v>12000</v>
      </c>
      <c r="AF39" s="11">
        <f t="shared" si="5"/>
        <v>12000</v>
      </c>
    </row>
    <row r="40" spans="1:32" x14ac:dyDescent="0.35">
      <c r="A40" s="3">
        <v>36</v>
      </c>
      <c r="B40" s="3" t="s">
        <v>312</v>
      </c>
      <c r="C40" s="3" t="s">
        <v>304</v>
      </c>
      <c r="D40" s="27">
        <v>4000</v>
      </c>
      <c r="E40" s="27">
        <v>4000</v>
      </c>
      <c r="F40" s="27">
        <v>4000</v>
      </c>
      <c r="G40" s="27">
        <v>4000</v>
      </c>
      <c r="H40" s="27">
        <v>4000</v>
      </c>
      <c r="I40" s="27">
        <v>4000</v>
      </c>
      <c r="J40" s="27">
        <v>4000</v>
      </c>
      <c r="K40" s="27">
        <v>4000</v>
      </c>
      <c r="L40" s="27">
        <v>4000</v>
      </c>
      <c r="M40" s="27">
        <v>4000</v>
      </c>
      <c r="N40" s="27">
        <v>4000</v>
      </c>
      <c r="O40" s="27">
        <v>4000</v>
      </c>
      <c r="P40" s="27">
        <v>4000</v>
      </c>
      <c r="Q40" s="27">
        <v>4000</v>
      </c>
      <c r="R40" s="27">
        <v>4000</v>
      </c>
      <c r="S40" s="27">
        <v>4000</v>
      </c>
      <c r="T40" s="27">
        <v>4000</v>
      </c>
      <c r="U40" s="27">
        <v>4000</v>
      </c>
      <c r="V40" s="27">
        <v>4000</v>
      </c>
      <c r="W40" s="27">
        <v>4000</v>
      </c>
      <c r="X40" s="27">
        <v>4000</v>
      </c>
      <c r="Y40" s="27">
        <v>4000</v>
      </c>
      <c r="Z40" s="27">
        <v>4000</v>
      </c>
      <c r="AA40" s="11">
        <f t="shared" si="0"/>
        <v>4000</v>
      </c>
      <c r="AB40" s="11">
        <f t="shared" si="1"/>
        <v>4000</v>
      </c>
      <c r="AC40" s="11">
        <f t="shared" si="2"/>
        <v>4000</v>
      </c>
      <c r="AD40" s="11">
        <f t="shared" si="3"/>
        <v>4000</v>
      </c>
      <c r="AE40" s="11">
        <f t="shared" si="4"/>
        <v>4000</v>
      </c>
      <c r="AF40" s="11">
        <f t="shared" si="5"/>
        <v>4000</v>
      </c>
    </row>
    <row r="41" spans="1:32" x14ac:dyDescent="0.35">
      <c r="A41" s="3">
        <v>37</v>
      </c>
      <c r="B41" s="3" t="s">
        <v>313</v>
      </c>
      <c r="C41" s="3" t="s">
        <v>304</v>
      </c>
      <c r="D41" s="27">
        <v>2000</v>
      </c>
      <c r="E41" s="27">
        <v>2000</v>
      </c>
      <c r="F41" s="27">
        <v>2000</v>
      </c>
      <c r="G41" s="27">
        <v>2000</v>
      </c>
      <c r="H41" s="27">
        <v>2000</v>
      </c>
      <c r="I41" s="27">
        <v>2000</v>
      </c>
      <c r="J41" s="27">
        <v>2000</v>
      </c>
      <c r="K41" s="27">
        <v>2000</v>
      </c>
      <c r="L41" s="27">
        <v>2000</v>
      </c>
      <c r="M41" s="27">
        <v>2000</v>
      </c>
      <c r="N41" s="27">
        <v>2000</v>
      </c>
      <c r="O41" s="27">
        <v>2000</v>
      </c>
      <c r="P41" s="27">
        <v>2000</v>
      </c>
      <c r="Q41" s="27">
        <v>2000</v>
      </c>
      <c r="R41" s="27">
        <v>2000</v>
      </c>
      <c r="S41" s="27">
        <v>2000</v>
      </c>
      <c r="T41" s="27">
        <v>2000</v>
      </c>
      <c r="U41" s="27">
        <v>2000</v>
      </c>
      <c r="V41" s="27">
        <v>2000</v>
      </c>
      <c r="W41" s="27">
        <v>2000</v>
      </c>
      <c r="X41" s="27">
        <v>2000</v>
      </c>
      <c r="Y41" s="27">
        <v>2000</v>
      </c>
      <c r="Z41" s="27">
        <v>2000</v>
      </c>
      <c r="AA41" s="11">
        <f t="shared" si="0"/>
        <v>2000</v>
      </c>
      <c r="AB41" s="11">
        <f t="shared" si="1"/>
        <v>2000</v>
      </c>
      <c r="AC41" s="11">
        <f t="shared" si="2"/>
        <v>2000</v>
      </c>
      <c r="AD41" s="11">
        <f t="shared" si="3"/>
        <v>2000</v>
      </c>
      <c r="AE41" s="11">
        <f t="shared" si="4"/>
        <v>2000</v>
      </c>
      <c r="AF41" s="11">
        <f t="shared" si="5"/>
        <v>2000</v>
      </c>
    </row>
    <row r="42" spans="1:32" x14ac:dyDescent="0.35">
      <c r="A42" s="3">
        <v>38</v>
      </c>
      <c r="B42" s="3" t="s">
        <v>314</v>
      </c>
      <c r="C42" s="3" t="s">
        <v>304</v>
      </c>
      <c r="D42" s="27">
        <v>5000</v>
      </c>
      <c r="E42" s="27">
        <v>5000</v>
      </c>
      <c r="F42" s="27">
        <v>5000</v>
      </c>
      <c r="G42" s="27">
        <v>5000</v>
      </c>
      <c r="H42" s="27">
        <v>5000</v>
      </c>
      <c r="I42" s="27">
        <v>5000</v>
      </c>
      <c r="J42" s="27">
        <v>5000</v>
      </c>
      <c r="K42" s="27">
        <v>6000</v>
      </c>
      <c r="L42" s="27">
        <v>6000</v>
      </c>
      <c r="M42" s="27">
        <v>6000</v>
      </c>
      <c r="N42" s="27">
        <v>6000</v>
      </c>
      <c r="O42" s="27">
        <v>6000</v>
      </c>
      <c r="P42" s="27">
        <v>6000</v>
      </c>
      <c r="Q42" s="27">
        <v>6000</v>
      </c>
      <c r="R42" s="27">
        <v>6000</v>
      </c>
      <c r="S42" s="27">
        <v>6000</v>
      </c>
      <c r="T42" s="27">
        <v>6000</v>
      </c>
      <c r="U42" s="27">
        <v>6000</v>
      </c>
      <c r="V42" s="27">
        <v>6000</v>
      </c>
      <c r="W42" s="27">
        <v>6000</v>
      </c>
      <c r="X42" s="27">
        <v>6000</v>
      </c>
      <c r="Y42" s="27">
        <v>6000</v>
      </c>
      <c r="Z42" s="27">
        <v>6000</v>
      </c>
      <c r="AA42" s="11">
        <f t="shared" si="0"/>
        <v>5000</v>
      </c>
      <c r="AB42" s="11">
        <f t="shared" si="1"/>
        <v>5400</v>
      </c>
      <c r="AC42" s="11">
        <f t="shared" si="2"/>
        <v>6000</v>
      </c>
      <c r="AD42" s="11">
        <f t="shared" si="3"/>
        <v>6000</v>
      </c>
      <c r="AE42" s="11">
        <f t="shared" si="4"/>
        <v>6000</v>
      </c>
      <c r="AF42" s="11">
        <f t="shared" si="5"/>
        <v>5695.652173913043</v>
      </c>
    </row>
    <row r="43" spans="1:32" x14ac:dyDescent="0.35">
      <c r="A43" s="3">
        <v>39</v>
      </c>
      <c r="B43" s="3" t="s">
        <v>315</v>
      </c>
      <c r="C43" s="3" t="s">
        <v>304</v>
      </c>
      <c r="D43" s="27">
        <v>5000</v>
      </c>
      <c r="E43" s="27">
        <v>5000</v>
      </c>
      <c r="F43" s="27">
        <v>5000</v>
      </c>
      <c r="G43" s="27">
        <v>5000</v>
      </c>
      <c r="H43" s="27">
        <v>5000</v>
      </c>
      <c r="I43" s="27">
        <v>5000</v>
      </c>
      <c r="J43" s="27">
        <v>5000</v>
      </c>
      <c r="K43" s="27">
        <v>5000</v>
      </c>
      <c r="L43" s="27">
        <v>5000</v>
      </c>
      <c r="M43" s="27">
        <v>5000</v>
      </c>
      <c r="N43" s="27">
        <v>5000</v>
      </c>
      <c r="O43" s="27">
        <v>5000</v>
      </c>
      <c r="P43" s="27">
        <v>5000</v>
      </c>
      <c r="Q43" s="27">
        <v>5000</v>
      </c>
      <c r="R43" s="27">
        <v>5000</v>
      </c>
      <c r="S43" s="27">
        <v>5000</v>
      </c>
      <c r="T43" s="27">
        <v>5000</v>
      </c>
      <c r="U43" s="27">
        <v>5000</v>
      </c>
      <c r="V43" s="27">
        <v>5000</v>
      </c>
      <c r="W43" s="27">
        <v>5000</v>
      </c>
      <c r="X43" s="27">
        <v>5000</v>
      </c>
      <c r="Y43" s="27">
        <v>5000</v>
      </c>
      <c r="Z43" s="27">
        <v>5000</v>
      </c>
      <c r="AA43" s="11">
        <f t="shared" si="0"/>
        <v>5000</v>
      </c>
      <c r="AB43" s="11">
        <f t="shared" si="1"/>
        <v>5000</v>
      </c>
      <c r="AC43" s="11">
        <f t="shared" si="2"/>
        <v>5000</v>
      </c>
      <c r="AD43" s="11">
        <f t="shared" si="3"/>
        <v>5000</v>
      </c>
      <c r="AE43" s="11">
        <f t="shared" si="4"/>
        <v>5000</v>
      </c>
      <c r="AF43" s="11">
        <f t="shared" si="5"/>
        <v>5000</v>
      </c>
    </row>
    <row r="44" spans="1:32" x14ac:dyDescent="0.35">
      <c r="A44" s="3">
        <v>40</v>
      </c>
      <c r="B44" s="3" t="s">
        <v>316</v>
      </c>
      <c r="C44" s="3" t="s">
        <v>304</v>
      </c>
      <c r="D44" s="27">
        <v>4000</v>
      </c>
      <c r="E44" s="27">
        <v>4000</v>
      </c>
      <c r="F44" s="27">
        <v>4000</v>
      </c>
      <c r="G44" s="27">
        <v>4000</v>
      </c>
      <c r="H44" s="27">
        <v>4000</v>
      </c>
      <c r="I44" s="27">
        <v>4000</v>
      </c>
      <c r="J44" s="27">
        <v>4000</v>
      </c>
      <c r="K44" s="27">
        <v>4000</v>
      </c>
      <c r="L44" s="27">
        <v>4000</v>
      </c>
      <c r="M44" s="27">
        <v>4000</v>
      </c>
      <c r="N44" s="27">
        <v>4000</v>
      </c>
      <c r="O44" s="27">
        <v>4000</v>
      </c>
      <c r="P44" s="27">
        <v>4000</v>
      </c>
      <c r="Q44" s="27">
        <v>4000</v>
      </c>
      <c r="R44" s="27">
        <v>4000</v>
      </c>
      <c r="S44" s="27">
        <v>4000</v>
      </c>
      <c r="T44" s="27">
        <v>4000</v>
      </c>
      <c r="U44" s="27">
        <v>4000</v>
      </c>
      <c r="V44" s="27">
        <v>4000</v>
      </c>
      <c r="W44" s="27">
        <v>4000</v>
      </c>
      <c r="X44" s="27">
        <v>4000</v>
      </c>
      <c r="Y44" s="27">
        <v>4000</v>
      </c>
      <c r="Z44" s="27">
        <v>4000</v>
      </c>
      <c r="AA44" s="11">
        <f t="shared" si="0"/>
        <v>4000</v>
      </c>
      <c r="AB44" s="11">
        <f t="shared" si="1"/>
        <v>4000</v>
      </c>
      <c r="AC44" s="11">
        <f t="shared" si="2"/>
        <v>4000</v>
      </c>
      <c r="AD44" s="11">
        <f t="shared" si="3"/>
        <v>4000</v>
      </c>
      <c r="AE44" s="11">
        <f t="shared" si="4"/>
        <v>4000</v>
      </c>
      <c r="AF44" s="11">
        <f t="shared" si="5"/>
        <v>4000</v>
      </c>
    </row>
    <row r="45" spans="1:32" x14ac:dyDescent="0.35">
      <c r="A45" s="3">
        <v>41</v>
      </c>
      <c r="B45" s="3" t="s">
        <v>317</v>
      </c>
      <c r="C45" s="3" t="s">
        <v>304</v>
      </c>
      <c r="D45" s="27">
        <v>70000</v>
      </c>
      <c r="E45" s="27">
        <v>70000</v>
      </c>
      <c r="F45" s="27">
        <v>70000</v>
      </c>
      <c r="G45" s="27">
        <v>70000</v>
      </c>
      <c r="H45" s="27">
        <v>70000</v>
      </c>
      <c r="I45" s="27">
        <v>70000</v>
      </c>
      <c r="J45" s="27">
        <v>70000</v>
      </c>
      <c r="K45" s="27">
        <v>70000</v>
      </c>
      <c r="L45" s="27">
        <v>70000</v>
      </c>
      <c r="M45" s="27">
        <v>70000</v>
      </c>
      <c r="N45" s="27">
        <v>60000</v>
      </c>
      <c r="O45" s="27">
        <v>60000</v>
      </c>
      <c r="P45" s="27">
        <v>60000</v>
      </c>
      <c r="Q45" s="27">
        <v>60000</v>
      </c>
      <c r="R45" s="27">
        <v>60000</v>
      </c>
      <c r="S45" s="27">
        <v>60000</v>
      </c>
      <c r="T45" s="27">
        <v>60000</v>
      </c>
      <c r="U45" s="27">
        <v>60000</v>
      </c>
      <c r="V45" s="27">
        <v>60000</v>
      </c>
      <c r="W45" s="27">
        <v>60000</v>
      </c>
      <c r="X45" s="27">
        <v>60000</v>
      </c>
      <c r="Y45" s="27">
        <v>60000</v>
      </c>
      <c r="Z45" s="27">
        <v>60000</v>
      </c>
      <c r="AA45" s="11">
        <f t="shared" si="0"/>
        <v>70000</v>
      </c>
      <c r="AB45" s="11">
        <f t="shared" si="1"/>
        <v>70000</v>
      </c>
      <c r="AC45" s="11">
        <f t="shared" si="2"/>
        <v>62000</v>
      </c>
      <c r="AD45" s="11">
        <f t="shared" si="3"/>
        <v>60000</v>
      </c>
      <c r="AE45" s="11">
        <f t="shared" si="4"/>
        <v>60000</v>
      </c>
      <c r="AF45" s="11">
        <f t="shared" si="5"/>
        <v>64347.82608695652</v>
      </c>
    </row>
    <row r="46" spans="1:32" x14ac:dyDescent="0.35">
      <c r="A46" s="3">
        <v>42</v>
      </c>
      <c r="B46" s="3" t="s">
        <v>318</v>
      </c>
      <c r="C46" s="3" t="s">
        <v>304</v>
      </c>
      <c r="D46" s="27">
        <v>40000</v>
      </c>
      <c r="E46" s="27">
        <v>40000</v>
      </c>
      <c r="F46" s="27">
        <v>40000</v>
      </c>
      <c r="G46" s="27">
        <v>40000</v>
      </c>
      <c r="H46" s="27">
        <v>40000</v>
      </c>
      <c r="I46" s="27">
        <v>40000</v>
      </c>
      <c r="J46" s="27">
        <v>40000</v>
      </c>
      <c r="K46" s="27">
        <v>40000</v>
      </c>
      <c r="L46" s="27">
        <v>40000</v>
      </c>
      <c r="M46" s="27">
        <v>40000</v>
      </c>
      <c r="N46" s="27">
        <v>35000</v>
      </c>
      <c r="O46" s="27">
        <v>35000</v>
      </c>
      <c r="P46" s="27">
        <v>35000</v>
      </c>
      <c r="Q46" s="27">
        <v>35000</v>
      </c>
      <c r="R46" s="27">
        <v>35000</v>
      </c>
      <c r="S46" s="27">
        <v>35000</v>
      </c>
      <c r="T46" s="27">
        <v>35000</v>
      </c>
      <c r="U46" s="27">
        <v>35000</v>
      </c>
      <c r="V46" s="27">
        <v>35000</v>
      </c>
      <c r="W46" s="27">
        <v>35000</v>
      </c>
      <c r="X46" s="27">
        <v>35000</v>
      </c>
      <c r="Y46" s="27">
        <v>35000</v>
      </c>
      <c r="Z46" s="27">
        <v>35000</v>
      </c>
      <c r="AA46" s="11">
        <f t="shared" si="0"/>
        <v>40000</v>
      </c>
      <c r="AB46" s="11">
        <f t="shared" si="1"/>
        <v>40000</v>
      </c>
      <c r="AC46" s="11">
        <f t="shared" si="2"/>
        <v>36000</v>
      </c>
      <c r="AD46" s="11">
        <f t="shared" si="3"/>
        <v>35000</v>
      </c>
      <c r="AE46" s="11">
        <f t="shared" si="4"/>
        <v>35000</v>
      </c>
      <c r="AF46" s="11">
        <f t="shared" si="5"/>
        <v>37173.913043478264</v>
      </c>
    </row>
    <row r="47" spans="1:32" x14ac:dyDescent="0.35">
      <c r="A47" s="3">
        <v>43</v>
      </c>
      <c r="B47" s="3" t="s">
        <v>319</v>
      </c>
      <c r="C47" s="3" t="s">
        <v>304</v>
      </c>
      <c r="D47" s="27">
        <v>27000</v>
      </c>
      <c r="E47" s="27">
        <v>27000</v>
      </c>
      <c r="F47" s="27">
        <v>27000</v>
      </c>
      <c r="G47" s="27">
        <v>27000</v>
      </c>
      <c r="H47" s="27">
        <v>27000</v>
      </c>
      <c r="I47" s="27">
        <v>27000</v>
      </c>
      <c r="J47" s="27">
        <v>27000</v>
      </c>
      <c r="K47" s="27">
        <v>27000</v>
      </c>
      <c r="L47" s="27">
        <v>27000</v>
      </c>
      <c r="M47" s="27">
        <v>27000</v>
      </c>
      <c r="N47" s="27">
        <v>27000</v>
      </c>
      <c r="O47" s="27">
        <v>27000</v>
      </c>
      <c r="P47" s="27">
        <v>27000</v>
      </c>
      <c r="Q47" s="27">
        <v>27000</v>
      </c>
      <c r="R47" s="27">
        <v>27000</v>
      </c>
      <c r="S47" s="27">
        <v>27000</v>
      </c>
      <c r="T47" s="27">
        <v>27000</v>
      </c>
      <c r="U47" s="27">
        <v>27000</v>
      </c>
      <c r="V47" s="27">
        <v>27000</v>
      </c>
      <c r="W47" s="27">
        <v>27000</v>
      </c>
      <c r="X47" s="27">
        <v>27000</v>
      </c>
      <c r="Y47" s="27">
        <v>27000</v>
      </c>
      <c r="Z47" s="27">
        <v>27000</v>
      </c>
      <c r="AA47" s="11">
        <f t="shared" si="0"/>
        <v>27000</v>
      </c>
      <c r="AB47" s="11">
        <f t="shared" si="1"/>
        <v>27000</v>
      </c>
      <c r="AC47" s="11">
        <f t="shared" si="2"/>
        <v>27000</v>
      </c>
      <c r="AD47" s="11">
        <f t="shared" si="3"/>
        <v>27000</v>
      </c>
      <c r="AE47" s="11">
        <f t="shared" si="4"/>
        <v>27000</v>
      </c>
      <c r="AF47" s="11">
        <f t="shared" si="5"/>
        <v>27000</v>
      </c>
    </row>
    <row r="48" spans="1:32" x14ac:dyDescent="0.35">
      <c r="A48" s="3">
        <v>44</v>
      </c>
      <c r="B48" s="3" t="s">
        <v>320</v>
      </c>
      <c r="C48" s="3" t="s">
        <v>304</v>
      </c>
      <c r="D48" s="27">
        <v>14000</v>
      </c>
      <c r="E48" s="27">
        <v>14000</v>
      </c>
      <c r="F48" s="27">
        <v>14000</v>
      </c>
      <c r="G48" s="27">
        <v>14000</v>
      </c>
      <c r="H48" s="27">
        <v>14000</v>
      </c>
      <c r="I48" s="27">
        <v>14000</v>
      </c>
      <c r="J48" s="27">
        <v>14000</v>
      </c>
      <c r="K48" s="27">
        <v>14000</v>
      </c>
      <c r="L48" s="27">
        <v>14000</v>
      </c>
      <c r="M48" s="27">
        <v>14000</v>
      </c>
      <c r="N48" s="27">
        <v>14000</v>
      </c>
      <c r="O48" s="27">
        <v>14000</v>
      </c>
      <c r="P48" s="27">
        <v>14000</v>
      </c>
      <c r="Q48" s="27">
        <v>14000</v>
      </c>
      <c r="R48" s="27">
        <v>14000</v>
      </c>
      <c r="S48" s="27">
        <v>14000</v>
      </c>
      <c r="T48" s="27">
        <v>14000</v>
      </c>
      <c r="U48" s="27">
        <v>14000</v>
      </c>
      <c r="V48" s="27">
        <v>14000</v>
      </c>
      <c r="W48" s="27">
        <v>14000</v>
      </c>
      <c r="X48" s="27">
        <v>14000</v>
      </c>
      <c r="Y48" s="27">
        <v>14000</v>
      </c>
      <c r="Z48" s="27">
        <v>14000</v>
      </c>
      <c r="AA48" s="11">
        <f t="shared" si="0"/>
        <v>14000</v>
      </c>
      <c r="AB48" s="11">
        <f t="shared" si="1"/>
        <v>14000</v>
      </c>
      <c r="AC48" s="11">
        <f t="shared" si="2"/>
        <v>14000</v>
      </c>
      <c r="AD48" s="11">
        <f t="shared" si="3"/>
        <v>14000</v>
      </c>
      <c r="AE48" s="11">
        <f t="shared" si="4"/>
        <v>14000</v>
      </c>
      <c r="AF48" s="11">
        <f t="shared" si="5"/>
        <v>14000</v>
      </c>
    </row>
  </sheetData>
  <mergeCells count="1">
    <mergeCell ref="A1:A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48"/>
  <sheetViews>
    <sheetView showGridLines="0" zoomScaleNormal="100" workbookViewId="0">
      <pane xSplit="3" ySplit="4" topLeftCell="R37" activePane="bottomRight" state="frozen"/>
      <selection pane="topRight" activeCell="D1" sqref="D1"/>
      <selection pane="bottomLeft" activeCell="A5" sqref="A5"/>
      <selection pane="bottomRight" activeCell="V42" sqref="V42"/>
    </sheetView>
  </sheetViews>
  <sheetFormatPr defaultColWidth="8.6328125" defaultRowHeight="14.5" x14ac:dyDescent="0.35"/>
  <cols>
    <col min="1" max="1" width="4" customWidth="1"/>
    <col min="2" max="2" width="30" customWidth="1"/>
    <col min="3" max="3" width="4" customWidth="1"/>
    <col min="4" max="23" width="9" customWidth="1"/>
    <col min="24" max="28" width="14" customWidth="1"/>
  </cols>
  <sheetData>
    <row r="1" spans="1:28" ht="16.5" x14ac:dyDescent="0.35">
      <c r="A1" s="30" t="s">
        <v>342</v>
      </c>
      <c r="B1" s="30"/>
      <c r="C1" s="30"/>
      <c r="D1" s="30"/>
      <c r="E1" s="30"/>
      <c r="F1" s="30"/>
      <c r="G1" s="30"/>
      <c r="H1" s="30"/>
      <c r="I1" s="30"/>
      <c r="J1" s="30"/>
      <c r="K1" s="30"/>
      <c r="L1" s="30"/>
      <c r="M1" s="30"/>
      <c r="N1" s="30"/>
      <c r="O1" s="30"/>
      <c r="P1" s="30"/>
      <c r="Q1" s="30"/>
      <c r="R1" s="30"/>
      <c r="S1" s="30"/>
      <c r="T1" s="30"/>
      <c r="U1" s="30"/>
      <c r="V1" s="30"/>
      <c r="W1" s="30"/>
      <c r="X1" s="30"/>
      <c r="Y1" s="30"/>
      <c r="Z1" s="30"/>
      <c r="AA1" s="30"/>
      <c r="AB1" s="30"/>
    </row>
    <row r="2" spans="1:28" x14ac:dyDescent="0.35">
      <c r="A2" s="6" t="s">
        <v>276</v>
      </c>
    </row>
    <row r="4" spans="1:28" ht="21" x14ac:dyDescent="0.35">
      <c r="A4" s="8" t="s">
        <v>0</v>
      </c>
      <c r="B4" s="8" t="s">
        <v>277</v>
      </c>
      <c r="C4" s="8" t="s">
        <v>278</v>
      </c>
      <c r="D4" s="8" t="s">
        <v>343</v>
      </c>
      <c r="E4" s="8" t="s">
        <v>344</v>
      </c>
      <c r="F4" s="8" t="s">
        <v>345</v>
      </c>
      <c r="G4" s="8" t="s">
        <v>346</v>
      </c>
      <c r="H4" s="8" t="s">
        <v>347</v>
      </c>
      <c r="I4" s="8" t="s">
        <v>348</v>
      </c>
      <c r="J4" s="8" t="s">
        <v>349</v>
      </c>
      <c r="K4" s="8" t="s">
        <v>350</v>
      </c>
      <c r="L4" s="8" t="s">
        <v>351</v>
      </c>
      <c r="M4" s="8" t="s">
        <v>352</v>
      </c>
      <c r="N4" s="8" t="s">
        <v>353</v>
      </c>
      <c r="O4" s="8" t="s">
        <v>354</v>
      </c>
      <c r="P4" s="8" t="s">
        <v>355</v>
      </c>
      <c r="Q4" s="8" t="s">
        <v>356</v>
      </c>
      <c r="R4" s="8" t="s">
        <v>357</v>
      </c>
      <c r="S4" s="8" t="s">
        <v>358</v>
      </c>
      <c r="T4" s="8" t="s">
        <v>359</v>
      </c>
      <c r="U4" s="8" t="s">
        <v>360</v>
      </c>
      <c r="V4" s="8" t="s">
        <v>361</v>
      </c>
      <c r="W4" s="8" t="s">
        <v>362</v>
      </c>
      <c r="X4" s="8" t="s">
        <v>363</v>
      </c>
      <c r="Y4" s="8" t="s">
        <v>364</v>
      </c>
      <c r="Z4" s="8" t="s">
        <v>365</v>
      </c>
      <c r="AA4" s="8" t="s">
        <v>366</v>
      </c>
      <c r="AB4" s="8" t="s">
        <v>367</v>
      </c>
    </row>
    <row r="5" spans="1:28" x14ac:dyDescent="0.35">
      <c r="A5" s="3">
        <v>1</v>
      </c>
      <c r="B5" s="3" t="s">
        <v>240</v>
      </c>
      <c r="C5" s="3" t="s">
        <v>304</v>
      </c>
      <c r="D5" s="27">
        <v>12500</v>
      </c>
      <c r="E5" s="27">
        <v>12500</v>
      </c>
      <c r="F5" s="27">
        <v>12500</v>
      </c>
      <c r="G5" s="27">
        <v>12500</v>
      </c>
      <c r="H5" s="27">
        <v>12500</v>
      </c>
      <c r="I5" s="27">
        <v>12500</v>
      </c>
      <c r="J5" s="27">
        <v>12500</v>
      </c>
      <c r="K5" s="27">
        <v>12500</v>
      </c>
      <c r="L5" s="27">
        <v>12500</v>
      </c>
      <c r="M5" s="27">
        <v>12500</v>
      </c>
      <c r="N5" s="27"/>
      <c r="O5" s="27"/>
      <c r="P5" s="27"/>
      <c r="Q5" s="27"/>
      <c r="R5" s="27"/>
      <c r="S5" s="27"/>
      <c r="T5" s="27"/>
      <c r="U5" s="27"/>
      <c r="V5" s="27"/>
      <c r="W5" s="27"/>
      <c r="X5" s="11"/>
      <c r="Y5" s="11"/>
      <c r="Z5" s="11"/>
      <c r="AA5" s="11"/>
      <c r="AB5" s="11"/>
    </row>
    <row r="6" spans="1:28" x14ac:dyDescent="0.35">
      <c r="A6" s="3">
        <v>2</v>
      </c>
      <c r="B6" s="3" t="s">
        <v>241</v>
      </c>
      <c r="C6" s="3" t="s">
        <v>304</v>
      </c>
      <c r="D6" s="27">
        <v>14000</v>
      </c>
      <c r="E6" s="27">
        <v>14000</v>
      </c>
      <c r="F6" s="27">
        <v>14000</v>
      </c>
      <c r="G6" s="27">
        <v>14000</v>
      </c>
      <c r="H6" s="27">
        <v>14000</v>
      </c>
      <c r="I6" s="27">
        <v>14000</v>
      </c>
      <c r="J6" s="27">
        <v>14000</v>
      </c>
      <c r="K6" s="27">
        <v>14000</v>
      </c>
      <c r="L6" s="27">
        <v>14000</v>
      </c>
      <c r="M6" s="27">
        <v>14000</v>
      </c>
      <c r="N6" s="27"/>
      <c r="O6" s="27"/>
      <c r="P6" s="27"/>
      <c r="Q6" s="27"/>
      <c r="R6" s="27"/>
      <c r="S6" s="27"/>
      <c r="T6" s="27"/>
      <c r="U6" s="27"/>
      <c r="V6" s="27"/>
      <c r="W6" s="27"/>
      <c r="X6" s="11"/>
      <c r="Y6" s="11"/>
      <c r="Z6" s="11"/>
      <c r="AA6" s="11"/>
      <c r="AB6" s="11"/>
    </row>
    <row r="7" spans="1:28" x14ac:dyDescent="0.35">
      <c r="A7" s="3">
        <v>3</v>
      </c>
      <c r="B7" s="3" t="s">
        <v>242</v>
      </c>
      <c r="C7" s="3" t="s">
        <v>304</v>
      </c>
      <c r="D7" s="27">
        <v>12500</v>
      </c>
      <c r="E7" s="27">
        <v>12500</v>
      </c>
      <c r="F7" s="27">
        <v>12500</v>
      </c>
      <c r="G7" s="27">
        <v>12500</v>
      </c>
      <c r="H7" s="27">
        <v>12500</v>
      </c>
      <c r="I7" s="27">
        <v>12500</v>
      </c>
      <c r="J7" s="27">
        <v>12500</v>
      </c>
      <c r="K7" s="27">
        <v>12500</v>
      </c>
      <c r="L7" s="27">
        <v>12500</v>
      </c>
      <c r="M7" s="27">
        <v>12500</v>
      </c>
      <c r="N7" s="27"/>
      <c r="O7" s="27"/>
      <c r="P7" s="27"/>
      <c r="Q7" s="27"/>
      <c r="R7" s="27"/>
      <c r="S7" s="27"/>
      <c r="T7" s="27"/>
      <c r="U7" s="27"/>
      <c r="V7" s="27"/>
      <c r="W7" s="27"/>
      <c r="X7" s="11"/>
      <c r="Y7" s="11"/>
      <c r="Z7" s="11"/>
      <c r="AA7" s="11"/>
      <c r="AB7" s="11"/>
    </row>
    <row r="8" spans="1:28" x14ac:dyDescent="0.35">
      <c r="A8" s="3">
        <v>4</v>
      </c>
      <c r="B8" s="3" t="s">
        <v>305</v>
      </c>
      <c r="C8" s="3" t="s">
        <v>304</v>
      </c>
      <c r="D8" s="27">
        <v>11000</v>
      </c>
      <c r="E8" s="27">
        <v>11000</v>
      </c>
      <c r="F8" s="27">
        <v>11000</v>
      </c>
      <c r="G8" s="27">
        <v>11000</v>
      </c>
      <c r="H8" s="27">
        <v>11000</v>
      </c>
      <c r="I8" s="27">
        <v>11000</v>
      </c>
      <c r="J8" s="27">
        <v>11000</v>
      </c>
      <c r="K8" s="27">
        <v>11000</v>
      </c>
      <c r="L8" s="27">
        <v>11000</v>
      </c>
      <c r="M8" s="27">
        <v>11000</v>
      </c>
      <c r="N8" s="27"/>
      <c r="O8" s="27"/>
      <c r="P8" s="27"/>
      <c r="Q8" s="27"/>
      <c r="R8" s="27"/>
      <c r="S8" s="27"/>
      <c r="T8" s="27"/>
      <c r="U8" s="27"/>
      <c r="V8" s="27"/>
      <c r="W8" s="27"/>
      <c r="X8" s="11"/>
      <c r="Y8" s="11"/>
      <c r="Z8" s="11"/>
      <c r="AA8" s="11"/>
      <c r="AB8" s="11"/>
    </row>
    <row r="9" spans="1:28" x14ac:dyDescent="0.35">
      <c r="A9" s="3">
        <v>5</v>
      </c>
      <c r="B9" s="3" t="s">
        <v>261</v>
      </c>
      <c r="C9" s="3" t="s">
        <v>304</v>
      </c>
      <c r="D9" s="27">
        <v>26000</v>
      </c>
      <c r="E9" s="27">
        <v>26000</v>
      </c>
      <c r="F9" s="27">
        <v>26000</v>
      </c>
      <c r="G9" s="27">
        <v>26000</v>
      </c>
      <c r="H9" s="27">
        <v>26000</v>
      </c>
      <c r="I9" s="27">
        <v>26000</v>
      </c>
      <c r="J9" s="27">
        <v>26000</v>
      </c>
      <c r="K9" s="27">
        <v>26000</v>
      </c>
      <c r="L9" s="27">
        <v>26000</v>
      </c>
      <c r="M9" s="27">
        <v>26000</v>
      </c>
      <c r="N9" s="27"/>
      <c r="O9" s="27"/>
      <c r="P9" s="27"/>
      <c r="Q9" s="27"/>
      <c r="R9" s="27"/>
      <c r="S9" s="27"/>
      <c r="T9" s="27"/>
      <c r="U9" s="27"/>
      <c r="V9" s="27"/>
      <c r="W9" s="27"/>
      <c r="X9" s="11"/>
      <c r="Y9" s="11"/>
      <c r="Z9" s="11"/>
      <c r="AA9" s="11"/>
      <c r="AB9" s="11"/>
    </row>
    <row r="10" spans="1:28" x14ac:dyDescent="0.35">
      <c r="A10" s="3">
        <v>6</v>
      </c>
      <c r="B10" s="3" t="s">
        <v>262</v>
      </c>
      <c r="C10" s="3" t="s">
        <v>304</v>
      </c>
      <c r="D10" s="27">
        <v>22000</v>
      </c>
      <c r="E10" s="27">
        <v>22000</v>
      </c>
      <c r="F10" s="27">
        <v>22000</v>
      </c>
      <c r="G10" s="27">
        <v>22000</v>
      </c>
      <c r="H10" s="27">
        <v>22000</v>
      </c>
      <c r="I10" s="27">
        <v>22000</v>
      </c>
      <c r="J10" s="27">
        <v>22000</v>
      </c>
      <c r="K10" s="27">
        <v>22000</v>
      </c>
      <c r="L10" s="27">
        <v>22000</v>
      </c>
      <c r="M10" s="27">
        <v>23000</v>
      </c>
      <c r="N10" s="27"/>
      <c r="O10" s="27"/>
      <c r="P10" s="27"/>
      <c r="Q10" s="27"/>
      <c r="R10" s="27"/>
      <c r="S10" s="27"/>
      <c r="T10" s="27"/>
      <c r="U10" s="27"/>
      <c r="V10" s="27"/>
      <c r="W10" s="27"/>
      <c r="X10" s="11"/>
      <c r="Y10" s="11"/>
      <c r="Z10" s="11"/>
      <c r="AA10" s="11"/>
      <c r="AB10" s="11"/>
    </row>
    <row r="11" spans="1:28" x14ac:dyDescent="0.35">
      <c r="A11" s="3">
        <v>7</v>
      </c>
      <c r="B11" s="3" t="s">
        <v>251</v>
      </c>
      <c r="C11" s="3" t="s">
        <v>304</v>
      </c>
      <c r="D11" s="27">
        <v>27000</v>
      </c>
      <c r="E11" s="27">
        <v>27000</v>
      </c>
      <c r="F11" s="27">
        <v>27000</v>
      </c>
      <c r="G11" s="27">
        <v>27000</v>
      </c>
      <c r="H11" s="27">
        <v>27000</v>
      </c>
      <c r="I11" s="27">
        <v>27000</v>
      </c>
      <c r="J11" s="27">
        <v>27000</v>
      </c>
      <c r="K11" s="27">
        <v>27000</v>
      </c>
      <c r="L11" s="27">
        <v>27000</v>
      </c>
      <c r="M11" s="27">
        <v>24000</v>
      </c>
      <c r="N11" s="27"/>
      <c r="O11" s="27"/>
      <c r="P11" s="27"/>
      <c r="Q11" s="27"/>
      <c r="R11" s="27"/>
      <c r="S11" s="27"/>
      <c r="T11" s="27"/>
      <c r="U11" s="27"/>
      <c r="V11" s="27"/>
      <c r="W11" s="27"/>
      <c r="X11" s="11"/>
      <c r="Y11" s="11"/>
      <c r="Z11" s="11"/>
      <c r="AA11" s="11"/>
      <c r="AB11" s="11"/>
    </row>
    <row r="12" spans="1:28" x14ac:dyDescent="0.35">
      <c r="A12" s="3">
        <v>8</v>
      </c>
      <c r="B12" s="3" t="s">
        <v>256</v>
      </c>
      <c r="C12" s="3" t="s">
        <v>304</v>
      </c>
      <c r="D12" s="27">
        <v>28000</v>
      </c>
      <c r="E12" s="27">
        <v>28000</v>
      </c>
      <c r="F12" s="27">
        <v>28000</v>
      </c>
      <c r="G12" s="27">
        <v>28000</v>
      </c>
      <c r="H12" s="27">
        <v>28000</v>
      </c>
      <c r="I12" s="27">
        <v>28000</v>
      </c>
      <c r="J12" s="27">
        <v>28000</v>
      </c>
      <c r="K12" s="27">
        <v>28000</v>
      </c>
      <c r="L12" s="27">
        <v>28000</v>
      </c>
      <c r="M12" s="27">
        <v>30000</v>
      </c>
      <c r="N12" s="27"/>
      <c r="O12" s="27"/>
      <c r="P12" s="27"/>
      <c r="Q12" s="27"/>
      <c r="R12" s="27"/>
      <c r="S12" s="27"/>
      <c r="T12" s="27"/>
      <c r="U12" s="27"/>
      <c r="V12" s="27"/>
      <c r="W12" s="27"/>
      <c r="X12" s="11"/>
      <c r="Y12" s="11"/>
      <c r="Z12" s="11"/>
      <c r="AA12" s="11"/>
      <c r="AB12" s="11"/>
    </row>
    <row r="13" spans="1:28" x14ac:dyDescent="0.35">
      <c r="A13" s="3">
        <v>9</v>
      </c>
      <c r="B13" s="3" t="s">
        <v>253</v>
      </c>
      <c r="C13" s="3" t="s">
        <v>304</v>
      </c>
      <c r="D13" s="27">
        <v>16000</v>
      </c>
      <c r="E13" s="27">
        <v>15500</v>
      </c>
      <c r="F13" s="27">
        <v>15500</v>
      </c>
      <c r="G13" s="27">
        <v>15500</v>
      </c>
      <c r="H13" s="27">
        <v>15500</v>
      </c>
      <c r="I13" s="27">
        <v>15500</v>
      </c>
      <c r="J13" s="27">
        <v>15500</v>
      </c>
      <c r="K13" s="27">
        <v>15500</v>
      </c>
      <c r="L13" s="27">
        <v>15500</v>
      </c>
      <c r="M13" s="27">
        <v>15500</v>
      </c>
      <c r="N13" s="27"/>
      <c r="O13" s="27"/>
      <c r="P13" s="27"/>
      <c r="Q13" s="27"/>
      <c r="R13" s="27"/>
      <c r="S13" s="27"/>
      <c r="T13" s="27"/>
      <c r="U13" s="27"/>
      <c r="V13" s="27"/>
      <c r="W13" s="27"/>
      <c r="X13" s="11"/>
      <c r="Y13" s="11"/>
      <c r="Z13" s="11"/>
      <c r="AA13" s="11"/>
      <c r="AB13" s="11"/>
    </row>
    <row r="14" spans="1:28" x14ac:dyDescent="0.35">
      <c r="A14" s="3">
        <v>10</v>
      </c>
      <c r="B14" s="3" t="s">
        <v>246</v>
      </c>
      <c r="C14" s="3" t="s">
        <v>304</v>
      </c>
      <c r="D14" s="27">
        <v>15000</v>
      </c>
      <c r="E14" s="27">
        <v>15000</v>
      </c>
      <c r="F14" s="27">
        <v>15000</v>
      </c>
      <c r="G14" s="27">
        <v>15000</v>
      </c>
      <c r="H14" s="27">
        <v>15000</v>
      </c>
      <c r="I14" s="27">
        <v>15000</v>
      </c>
      <c r="J14" s="27">
        <v>15000</v>
      </c>
      <c r="K14" s="27">
        <v>15000</v>
      </c>
      <c r="L14" s="27">
        <v>15000</v>
      </c>
      <c r="M14" s="27">
        <v>15000</v>
      </c>
      <c r="N14" s="27"/>
      <c r="O14" s="27"/>
      <c r="P14" s="27"/>
      <c r="Q14" s="27"/>
      <c r="R14" s="27"/>
      <c r="S14" s="27"/>
      <c r="T14" s="27"/>
      <c r="U14" s="27"/>
      <c r="V14" s="27"/>
      <c r="W14" s="27"/>
      <c r="X14" s="11"/>
      <c r="Y14" s="11"/>
      <c r="Z14" s="11"/>
      <c r="AA14" s="11"/>
      <c r="AB14" s="11"/>
    </row>
    <row r="15" spans="1:28" x14ac:dyDescent="0.35">
      <c r="A15" s="3">
        <v>11</v>
      </c>
      <c r="B15" s="3" t="s">
        <v>247</v>
      </c>
      <c r="C15" s="3" t="s">
        <v>304</v>
      </c>
      <c r="D15" s="27">
        <v>18000</v>
      </c>
      <c r="E15" s="27">
        <v>18000</v>
      </c>
      <c r="F15" s="27">
        <v>18000</v>
      </c>
      <c r="G15" s="27">
        <v>18000</v>
      </c>
      <c r="H15" s="27">
        <v>18000</v>
      </c>
      <c r="I15" s="27">
        <v>18000</v>
      </c>
      <c r="J15" s="27">
        <v>18000</v>
      </c>
      <c r="K15" s="27">
        <v>18000</v>
      </c>
      <c r="L15" s="27">
        <v>18000</v>
      </c>
      <c r="M15" s="27">
        <v>18000</v>
      </c>
      <c r="N15" s="27"/>
      <c r="O15" s="27"/>
      <c r="P15" s="27"/>
      <c r="Q15" s="27"/>
      <c r="R15" s="27"/>
      <c r="S15" s="27"/>
      <c r="T15" s="27"/>
      <c r="U15" s="27"/>
      <c r="V15" s="27"/>
      <c r="W15" s="27"/>
      <c r="X15" s="11"/>
      <c r="Y15" s="11"/>
      <c r="Z15" s="11"/>
      <c r="AA15" s="11"/>
      <c r="AB15" s="11"/>
    </row>
    <row r="16" spans="1:28" x14ac:dyDescent="0.35">
      <c r="A16" s="3">
        <v>12</v>
      </c>
      <c r="B16" s="3" t="s">
        <v>248</v>
      </c>
      <c r="C16" s="3" t="s">
        <v>304</v>
      </c>
      <c r="D16" s="27">
        <v>15700</v>
      </c>
      <c r="E16" s="27">
        <v>15700</v>
      </c>
      <c r="F16" s="27">
        <v>15700</v>
      </c>
      <c r="G16" s="27">
        <v>15700</v>
      </c>
      <c r="H16" s="27">
        <v>15700</v>
      </c>
      <c r="I16" s="27">
        <v>15700</v>
      </c>
      <c r="J16" s="27">
        <v>15700</v>
      </c>
      <c r="K16" s="27">
        <v>15700</v>
      </c>
      <c r="L16" s="27">
        <v>15700</v>
      </c>
      <c r="M16" s="27">
        <v>15700</v>
      </c>
      <c r="N16" s="27"/>
      <c r="O16" s="27"/>
      <c r="P16" s="27"/>
      <c r="Q16" s="27"/>
      <c r="R16" s="27"/>
      <c r="S16" s="27"/>
      <c r="T16" s="27"/>
      <c r="U16" s="27"/>
      <c r="V16" s="27"/>
      <c r="W16" s="27"/>
      <c r="X16" s="11"/>
      <c r="Y16" s="11"/>
      <c r="Z16" s="11"/>
      <c r="AA16" s="11"/>
      <c r="AB16" s="11"/>
    </row>
    <row r="17" spans="1:28" x14ac:dyDescent="0.35">
      <c r="A17" s="3">
        <v>13</v>
      </c>
      <c r="B17" s="3" t="s">
        <v>243</v>
      </c>
      <c r="C17" s="3" t="s">
        <v>304</v>
      </c>
      <c r="D17" s="27">
        <v>11000</v>
      </c>
      <c r="E17" s="27">
        <v>11000</v>
      </c>
      <c r="F17" s="27">
        <v>11000</v>
      </c>
      <c r="G17" s="27">
        <v>11000</v>
      </c>
      <c r="H17" s="27">
        <v>11000</v>
      </c>
      <c r="I17" s="27">
        <v>11000</v>
      </c>
      <c r="J17" s="27">
        <v>11000</v>
      </c>
      <c r="K17" s="27">
        <v>11000</v>
      </c>
      <c r="L17" s="27">
        <v>11000</v>
      </c>
      <c r="M17" s="27">
        <v>11000</v>
      </c>
      <c r="N17" s="27"/>
      <c r="O17" s="27"/>
      <c r="P17" s="27"/>
      <c r="Q17" s="27"/>
      <c r="R17" s="27"/>
      <c r="S17" s="27"/>
      <c r="T17" s="27"/>
      <c r="U17" s="27"/>
      <c r="V17" s="27"/>
      <c r="W17" s="27"/>
      <c r="X17" s="11"/>
      <c r="Y17" s="11"/>
      <c r="Z17" s="11"/>
      <c r="AA17" s="11"/>
      <c r="AB17" s="11"/>
    </row>
    <row r="18" spans="1:28" x14ac:dyDescent="0.35">
      <c r="A18" s="3">
        <v>14</v>
      </c>
      <c r="B18" s="3" t="s">
        <v>245</v>
      </c>
      <c r="C18" s="3" t="s">
        <v>304</v>
      </c>
      <c r="D18" s="27">
        <v>27000</v>
      </c>
      <c r="E18" s="27">
        <v>27000</v>
      </c>
      <c r="F18" s="27">
        <v>27000</v>
      </c>
      <c r="G18" s="27">
        <v>27000</v>
      </c>
      <c r="H18" s="27">
        <v>27000</v>
      </c>
      <c r="I18" s="27">
        <v>27000</v>
      </c>
      <c r="J18" s="27">
        <v>27000</v>
      </c>
      <c r="K18" s="27">
        <v>27000</v>
      </c>
      <c r="L18" s="27">
        <v>27000</v>
      </c>
      <c r="M18" s="27">
        <v>29000</v>
      </c>
      <c r="N18" s="27"/>
      <c r="O18" s="27"/>
      <c r="P18" s="27"/>
      <c r="Q18" s="27"/>
      <c r="R18" s="27"/>
      <c r="S18" s="27"/>
      <c r="T18" s="27"/>
      <c r="U18" s="27"/>
      <c r="V18" s="27"/>
      <c r="W18" s="27"/>
      <c r="X18" s="11"/>
      <c r="Y18" s="11"/>
      <c r="Z18" s="11"/>
      <c r="AA18" s="11"/>
      <c r="AB18" s="11"/>
    </row>
    <row r="19" spans="1:28" x14ac:dyDescent="0.35">
      <c r="A19" s="3">
        <v>15</v>
      </c>
      <c r="B19" s="3" t="s">
        <v>252</v>
      </c>
      <c r="C19" s="3" t="s">
        <v>304</v>
      </c>
      <c r="D19" s="27">
        <v>23000</v>
      </c>
      <c r="E19" s="27">
        <v>23000</v>
      </c>
      <c r="F19" s="27">
        <v>23000</v>
      </c>
      <c r="G19" s="27">
        <v>23000</v>
      </c>
      <c r="H19" s="27">
        <v>23000</v>
      </c>
      <c r="I19" s="27">
        <v>23000</v>
      </c>
      <c r="J19" s="27">
        <v>23000</v>
      </c>
      <c r="K19" s="27">
        <v>23000</v>
      </c>
      <c r="L19" s="27">
        <v>23000</v>
      </c>
      <c r="M19" s="27">
        <v>24000</v>
      </c>
      <c r="N19" s="27"/>
      <c r="O19" s="27"/>
      <c r="P19" s="27"/>
      <c r="Q19" s="27"/>
      <c r="R19" s="27"/>
      <c r="S19" s="27"/>
      <c r="T19" s="27"/>
      <c r="U19" s="27"/>
      <c r="V19" s="27"/>
      <c r="W19" s="27"/>
      <c r="X19" s="11"/>
      <c r="Y19" s="11"/>
      <c r="Z19" s="11"/>
      <c r="AA19" s="11"/>
      <c r="AB19" s="11"/>
    </row>
    <row r="20" spans="1:28" x14ac:dyDescent="0.35">
      <c r="A20" s="3">
        <v>16</v>
      </c>
      <c r="B20" s="3" t="s">
        <v>263</v>
      </c>
      <c r="C20" s="3" t="s">
        <v>304</v>
      </c>
      <c r="D20" s="27">
        <v>93000</v>
      </c>
      <c r="E20" s="27">
        <v>93000</v>
      </c>
      <c r="F20" s="27">
        <v>93000</v>
      </c>
      <c r="G20" s="27">
        <v>93000</v>
      </c>
      <c r="H20" s="27">
        <v>93000</v>
      </c>
      <c r="I20" s="27">
        <v>93000</v>
      </c>
      <c r="J20" s="27">
        <v>93000</v>
      </c>
      <c r="K20" s="27">
        <v>93000</v>
      </c>
      <c r="L20" s="27">
        <v>93000</v>
      </c>
      <c r="M20" s="27">
        <v>93000</v>
      </c>
      <c r="N20" s="27"/>
      <c r="O20" s="27"/>
      <c r="P20" s="27"/>
      <c r="Q20" s="27"/>
      <c r="R20" s="27"/>
      <c r="S20" s="27"/>
      <c r="T20" s="27"/>
      <c r="U20" s="27"/>
      <c r="V20" s="27"/>
      <c r="W20" s="27"/>
      <c r="X20" s="11"/>
      <c r="Y20" s="11"/>
      <c r="Z20" s="11"/>
      <c r="AA20" s="11"/>
      <c r="AB20" s="11"/>
    </row>
    <row r="21" spans="1:28" x14ac:dyDescent="0.35">
      <c r="A21" s="3">
        <v>17</v>
      </c>
      <c r="B21" s="3" t="s">
        <v>264</v>
      </c>
      <c r="C21" s="3" t="s">
        <v>304</v>
      </c>
      <c r="D21" s="27">
        <v>60000</v>
      </c>
      <c r="E21" s="27">
        <v>60000</v>
      </c>
      <c r="F21" s="27">
        <v>60000</v>
      </c>
      <c r="G21" s="27">
        <v>60000</v>
      </c>
      <c r="H21" s="27">
        <v>60000</v>
      </c>
      <c r="I21" s="27">
        <v>60000</v>
      </c>
      <c r="J21" s="27">
        <v>60000</v>
      </c>
      <c r="K21" s="27">
        <v>60000</v>
      </c>
      <c r="L21" s="27">
        <v>60000</v>
      </c>
      <c r="M21" s="27">
        <v>60000</v>
      </c>
      <c r="N21" s="27"/>
      <c r="O21" s="27"/>
      <c r="P21" s="27"/>
      <c r="Q21" s="27"/>
      <c r="R21" s="27"/>
      <c r="S21" s="27"/>
      <c r="T21" s="27"/>
      <c r="U21" s="27"/>
      <c r="V21" s="27"/>
      <c r="W21" s="27"/>
      <c r="X21" s="11"/>
      <c r="Y21" s="11"/>
      <c r="Z21" s="11"/>
      <c r="AA21" s="11"/>
      <c r="AB21" s="11"/>
    </row>
    <row r="22" spans="1:28" x14ac:dyDescent="0.35">
      <c r="A22" s="3">
        <v>18</v>
      </c>
      <c r="B22" s="3" t="s">
        <v>265</v>
      </c>
      <c r="C22" s="3" t="s">
        <v>304</v>
      </c>
      <c r="D22" s="27">
        <v>55000</v>
      </c>
      <c r="E22" s="27">
        <v>55000</v>
      </c>
      <c r="F22" s="27">
        <v>55000</v>
      </c>
      <c r="G22" s="27">
        <v>55000</v>
      </c>
      <c r="H22" s="27">
        <v>55000</v>
      </c>
      <c r="I22" s="27">
        <v>55000</v>
      </c>
      <c r="J22" s="27">
        <v>55000</v>
      </c>
      <c r="K22" s="27">
        <v>55000</v>
      </c>
      <c r="L22" s="27">
        <v>55000</v>
      </c>
      <c r="M22" s="27">
        <v>55000</v>
      </c>
      <c r="N22" s="27"/>
      <c r="O22" s="27"/>
      <c r="P22" s="27"/>
      <c r="Q22" s="27"/>
      <c r="R22" s="27"/>
      <c r="S22" s="27"/>
      <c r="T22" s="27"/>
      <c r="U22" s="27"/>
      <c r="V22" s="27"/>
      <c r="W22" s="27"/>
      <c r="X22" s="11"/>
      <c r="Y22" s="11"/>
      <c r="Z22" s="11"/>
      <c r="AA22" s="11"/>
      <c r="AB22" s="11"/>
    </row>
    <row r="23" spans="1:28" x14ac:dyDescent="0.35">
      <c r="A23" s="3">
        <v>19</v>
      </c>
      <c r="B23" s="3" t="s">
        <v>306</v>
      </c>
      <c r="C23" s="3" t="s">
        <v>304</v>
      </c>
      <c r="D23" s="27">
        <v>28000</v>
      </c>
      <c r="E23" s="27">
        <v>28000</v>
      </c>
      <c r="F23" s="27">
        <v>28000</v>
      </c>
      <c r="G23" s="27">
        <v>28000</v>
      </c>
      <c r="H23" s="27">
        <v>28000</v>
      </c>
      <c r="I23" s="27">
        <v>28000</v>
      </c>
      <c r="J23" s="27">
        <v>28000</v>
      </c>
      <c r="K23" s="27">
        <v>28000</v>
      </c>
      <c r="L23" s="27">
        <v>28000</v>
      </c>
      <c r="M23" s="27">
        <v>28000</v>
      </c>
      <c r="N23" s="27"/>
      <c r="O23" s="27"/>
      <c r="P23" s="27"/>
      <c r="Q23" s="27"/>
      <c r="R23" s="27"/>
      <c r="S23" s="27"/>
      <c r="T23" s="27"/>
      <c r="U23" s="27"/>
      <c r="V23" s="27"/>
      <c r="W23" s="27"/>
      <c r="X23" s="11"/>
      <c r="Y23" s="11"/>
      <c r="Z23" s="11"/>
      <c r="AA23" s="11"/>
      <c r="AB23" s="11"/>
    </row>
    <row r="24" spans="1:28" x14ac:dyDescent="0.35">
      <c r="A24" s="3">
        <v>20</v>
      </c>
      <c r="B24" s="3" t="s">
        <v>254</v>
      </c>
      <c r="C24" s="3" t="s">
        <v>304</v>
      </c>
      <c r="D24" s="27">
        <v>28000</v>
      </c>
      <c r="E24" s="27">
        <v>28000</v>
      </c>
      <c r="F24" s="27">
        <v>28000</v>
      </c>
      <c r="G24" s="27">
        <v>28000</v>
      </c>
      <c r="H24" s="27">
        <v>28000</v>
      </c>
      <c r="I24" s="27">
        <v>28000</v>
      </c>
      <c r="J24" s="27">
        <v>28000</v>
      </c>
      <c r="K24" s="27">
        <v>28000</v>
      </c>
      <c r="L24" s="27">
        <v>28000</v>
      </c>
      <c r="M24" s="27">
        <v>28000</v>
      </c>
      <c r="N24" s="27"/>
      <c r="O24" s="27"/>
      <c r="P24" s="27"/>
      <c r="Q24" s="27"/>
      <c r="R24" s="27"/>
      <c r="S24" s="27"/>
      <c r="T24" s="27"/>
      <c r="U24" s="27"/>
      <c r="V24" s="27"/>
      <c r="W24" s="27"/>
      <c r="X24" s="11"/>
      <c r="Y24" s="11"/>
      <c r="Z24" s="11"/>
      <c r="AA24" s="11"/>
      <c r="AB24" s="11"/>
    </row>
    <row r="25" spans="1:28" x14ac:dyDescent="0.35">
      <c r="A25" s="3">
        <v>21</v>
      </c>
      <c r="B25" s="3" t="s">
        <v>307</v>
      </c>
      <c r="C25" s="3" t="s">
        <v>304</v>
      </c>
      <c r="D25" s="27">
        <v>60000</v>
      </c>
      <c r="E25" s="27">
        <v>60000</v>
      </c>
      <c r="F25" s="27">
        <v>60000</v>
      </c>
      <c r="G25" s="27">
        <v>60000</v>
      </c>
      <c r="H25" s="27">
        <v>60000</v>
      </c>
      <c r="I25" s="27">
        <v>60000</v>
      </c>
      <c r="J25" s="27">
        <v>60000</v>
      </c>
      <c r="K25" s="27">
        <v>60000</v>
      </c>
      <c r="L25" s="27">
        <v>60000</v>
      </c>
      <c r="M25" s="27">
        <v>60000</v>
      </c>
      <c r="N25" s="27"/>
      <c r="O25" s="27"/>
      <c r="P25" s="27"/>
      <c r="Q25" s="27"/>
      <c r="R25" s="27"/>
      <c r="S25" s="27"/>
      <c r="T25" s="27"/>
      <c r="U25" s="27"/>
      <c r="V25" s="27"/>
      <c r="W25" s="27"/>
      <c r="X25" s="11"/>
      <c r="Y25" s="11"/>
      <c r="Z25" s="11"/>
      <c r="AA25" s="11"/>
      <c r="AB25" s="11"/>
    </row>
    <row r="26" spans="1:28" x14ac:dyDescent="0.35">
      <c r="A26" s="3">
        <v>22</v>
      </c>
      <c r="B26" s="3" t="s">
        <v>259</v>
      </c>
      <c r="C26" s="3" t="s">
        <v>304</v>
      </c>
      <c r="D26" s="27">
        <v>2800</v>
      </c>
      <c r="E26" s="27">
        <v>2800</v>
      </c>
      <c r="F26" s="27">
        <v>2800</v>
      </c>
      <c r="G26" s="27">
        <v>2800</v>
      </c>
      <c r="H26" s="27">
        <v>2800</v>
      </c>
      <c r="I26" s="27">
        <v>2800</v>
      </c>
      <c r="J26" s="27">
        <v>2800</v>
      </c>
      <c r="K26" s="27">
        <v>2800</v>
      </c>
      <c r="L26" s="27">
        <v>2800</v>
      </c>
      <c r="M26" s="27">
        <v>2800</v>
      </c>
      <c r="N26" s="27"/>
      <c r="O26" s="27"/>
      <c r="P26" s="27"/>
      <c r="Q26" s="27"/>
      <c r="R26" s="27"/>
      <c r="S26" s="27"/>
      <c r="T26" s="27"/>
      <c r="U26" s="27"/>
      <c r="V26" s="27"/>
      <c r="W26" s="27"/>
      <c r="X26" s="11"/>
      <c r="Y26" s="11"/>
      <c r="Z26" s="11"/>
      <c r="AA26" s="11"/>
      <c r="AB26" s="11"/>
    </row>
    <row r="27" spans="1:28" x14ac:dyDescent="0.35">
      <c r="A27" s="3">
        <v>23</v>
      </c>
      <c r="B27" s="3" t="s">
        <v>257</v>
      </c>
      <c r="C27" s="3" t="s">
        <v>304</v>
      </c>
      <c r="D27" s="27">
        <v>24000</v>
      </c>
      <c r="E27" s="27">
        <v>24000</v>
      </c>
      <c r="F27" s="27">
        <v>24000</v>
      </c>
      <c r="G27" s="27">
        <v>24000</v>
      </c>
      <c r="H27" s="27">
        <v>24000</v>
      </c>
      <c r="I27" s="27">
        <v>24000</v>
      </c>
      <c r="J27" s="27">
        <v>24000</v>
      </c>
      <c r="K27" s="27">
        <v>24000</v>
      </c>
      <c r="L27" s="27">
        <v>24000</v>
      </c>
      <c r="M27" s="27">
        <v>24000</v>
      </c>
      <c r="N27" s="27"/>
      <c r="O27" s="27"/>
      <c r="P27" s="27"/>
      <c r="Q27" s="27"/>
      <c r="R27" s="27"/>
      <c r="S27" s="27"/>
      <c r="T27" s="27"/>
      <c r="U27" s="27"/>
      <c r="V27" s="27"/>
      <c r="W27" s="27"/>
      <c r="X27" s="11"/>
      <c r="Y27" s="11"/>
      <c r="Z27" s="11"/>
      <c r="AA27" s="11"/>
      <c r="AB27" s="11"/>
    </row>
    <row r="28" spans="1:28" x14ac:dyDescent="0.35">
      <c r="A28" s="3">
        <v>24</v>
      </c>
      <c r="B28" s="3" t="s">
        <v>258</v>
      </c>
      <c r="C28" s="3" t="s">
        <v>304</v>
      </c>
      <c r="D28" s="27">
        <v>30000</v>
      </c>
      <c r="E28" s="27">
        <v>30000</v>
      </c>
      <c r="F28" s="27">
        <v>30000</v>
      </c>
      <c r="G28" s="27">
        <v>30000</v>
      </c>
      <c r="H28" s="27">
        <v>30000</v>
      </c>
      <c r="I28" s="27">
        <v>30000</v>
      </c>
      <c r="J28" s="27">
        <v>30000</v>
      </c>
      <c r="K28" s="27">
        <v>30000</v>
      </c>
      <c r="L28" s="27">
        <v>30000</v>
      </c>
      <c r="M28" s="27">
        <v>30000</v>
      </c>
      <c r="N28" s="27"/>
      <c r="O28" s="27"/>
      <c r="P28" s="27"/>
      <c r="Q28" s="27"/>
      <c r="R28" s="27"/>
      <c r="S28" s="27"/>
      <c r="T28" s="27"/>
      <c r="U28" s="27"/>
      <c r="V28" s="27"/>
      <c r="W28" s="27"/>
      <c r="X28" s="11"/>
      <c r="Y28" s="11"/>
      <c r="Z28" s="11"/>
      <c r="AA28" s="11"/>
      <c r="AB28" s="11"/>
    </row>
    <row r="29" spans="1:28" x14ac:dyDescent="0.35">
      <c r="A29" s="3">
        <v>25</v>
      </c>
      <c r="B29" s="3" t="s">
        <v>308</v>
      </c>
      <c r="C29" s="3" t="s">
        <v>304</v>
      </c>
      <c r="D29" s="27">
        <v>25000</v>
      </c>
      <c r="E29" s="27">
        <v>25000</v>
      </c>
      <c r="F29" s="27">
        <v>25000</v>
      </c>
      <c r="G29" s="27">
        <v>25000</v>
      </c>
      <c r="H29" s="27">
        <v>25000</v>
      </c>
      <c r="I29" s="27">
        <v>25000</v>
      </c>
      <c r="J29" s="27">
        <v>25000</v>
      </c>
      <c r="K29" s="27">
        <v>25000</v>
      </c>
      <c r="L29" s="27">
        <v>25000</v>
      </c>
      <c r="M29" s="27">
        <v>27000</v>
      </c>
      <c r="N29" s="27"/>
      <c r="O29" s="27"/>
      <c r="P29" s="27"/>
      <c r="Q29" s="27"/>
      <c r="R29" s="27"/>
      <c r="S29" s="27"/>
      <c r="T29" s="27"/>
      <c r="U29" s="27"/>
      <c r="V29" s="27"/>
      <c r="W29" s="27"/>
      <c r="X29" s="11"/>
      <c r="Y29" s="11"/>
      <c r="Z29" s="11"/>
      <c r="AA29" s="11"/>
      <c r="AB29" s="11"/>
    </row>
    <row r="30" spans="1:28" x14ac:dyDescent="0.35">
      <c r="A30" s="3">
        <v>26</v>
      </c>
      <c r="B30" s="3" t="s">
        <v>309</v>
      </c>
      <c r="C30" s="3" t="s">
        <v>304</v>
      </c>
      <c r="D30" s="27">
        <v>8000</v>
      </c>
      <c r="E30" s="27">
        <v>8000</v>
      </c>
      <c r="F30" s="27">
        <v>8000</v>
      </c>
      <c r="G30" s="27">
        <v>8000</v>
      </c>
      <c r="H30" s="27">
        <v>8000</v>
      </c>
      <c r="I30" s="27">
        <v>8000</v>
      </c>
      <c r="J30" s="27">
        <v>8000</v>
      </c>
      <c r="K30" s="27">
        <v>8000</v>
      </c>
      <c r="L30" s="27">
        <v>8000</v>
      </c>
      <c r="M30" s="27">
        <v>8000</v>
      </c>
      <c r="N30" s="27"/>
      <c r="O30" s="27"/>
      <c r="P30" s="27"/>
      <c r="Q30" s="27"/>
      <c r="R30" s="27"/>
      <c r="S30" s="27"/>
      <c r="T30" s="27"/>
      <c r="U30" s="27"/>
      <c r="V30" s="27"/>
      <c r="W30" s="27"/>
      <c r="X30" s="11"/>
      <c r="Y30" s="11"/>
      <c r="Z30" s="11"/>
      <c r="AA30" s="11"/>
      <c r="AB30" s="11"/>
    </row>
    <row r="31" spans="1:28" x14ac:dyDescent="0.35">
      <c r="A31" s="3">
        <v>27</v>
      </c>
      <c r="B31" s="3" t="s">
        <v>260</v>
      </c>
      <c r="C31" s="3" t="s">
        <v>304</v>
      </c>
      <c r="D31" s="27">
        <v>10500</v>
      </c>
      <c r="E31" s="27">
        <v>10500</v>
      </c>
      <c r="F31" s="27">
        <v>10500</v>
      </c>
      <c r="G31" s="27">
        <v>10500</v>
      </c>
      <c r="H31" s="27">
        <v>10500</v>
      </c>
      <c r="I31" s="27">
        <v>10500</v>
      </c>
      <c r="J31" s="27">
        <v>10500</v>
      </c>
      <c r="K31" s="27">
        <v>10500</v>
      </c>
      <c r="L31" s="27">
        <v>10500</v>
      </c>
      <c r="M31" s="27">
        <v>10500</v>
      </c>
      <c r="N31" s="27"/>
      <c r="O31" s="27"/>
      <c r="P31" s="27"/>
      <c r="Q31" s="27"/>
      <c r="R31" s="27"/>
      <c r="S31" s="27"/>
      <c r="T31" s="27"/>
      <c r="U31" s="27"/>
      <c r="V31" s="27"/>
      <c r="W31" s="27"/>
      <c r="X31" s="11"/>
      <c r="Y31" s="11"/>
      <c r="Z31" s="11"/>
      <c r="AA31" s="11"/>
      <c r="AB31" s="11"/>
    </row>
    <row r="32" spans="1:28" x14ac:dyDescent="0.35">
      <c r="A32" s="3">
        <v>28</v>
      </c>
      <c r="B32" s="3" t="s">
        <v>255</v>
      </c>
      <c r="C32" s="3" t="s">
        <v>304</v>
      </c>
      <c r="D32" s="27">
        <v>42000</v>
      </c>
      <c r="E32" s="27">
        <v>42000</v>
      </c>
      <c r="F32" s="27">
        <v>42000</v>
      </c>
      <c r="G32" s="27">
        <v>42000</v>
      </c>
      <c r="H32" s="27">
        <v>42000</v>
      </c>
      <c r="I32" s="27">
        <v>42000</v>
      </c>
      <c r="J32" s="27">
        <v>42000</v>
      </c>
      <c r="K32" s="27">
        <v>42000</v>
      </c>
      <c r="L32" s="27">
        <v>42000</v>
      </c>
      <c r="M32" s="27">
        <v>42000</v>
      </c>
      <c r="N32" s="27"/>
      <c r="O32" s="27"/>
      <c r="P32" s="27"/>
      <c r="Q32" s="27"/>
      <c r="R32" s="27"/>
      <c r="S32" s="27"/>
      <c r="T32" s="27"/>
      <c r="U32" s="27"/>
      <c r="V32" s="27"/>
      <c r="W32" s="27"/>
      <c r="X32" s="11"/>
      <c r="Y32" s="11"/>
      <c r="Z32" s="11"/>
      <c r="AA32" s="11"/>
      <c r="AB32" s="11"/>
    </row>
    <row r="33" spans="1:28" x14ac:dyDescent="0.35">
      <c r="A33" s="3">
        <v>29</v>
      </c>
      <c r="B33" s="3" t="s">
        <v>266</v>
      </c>
      <c r="C33" s="3" t="s">
        <v>304</v>
      </c>
      <c r="D33" s="27">
        <v>8000</v>
      </c>
      <c r="E33" s="27">
        <v>8000</v>
      </c>
      <c r="F33" s="27">
        <v>8000</v>
      </c>
      <c r="G33" s="27">
        <v>8000</v>
      </c>
      <c r="H33" s="27">
        <v>8000</v>
      </c>
      <c r="I33" s="27">
        <v>8000</v>
      </c>
      <c r="J33" s="27">
        <v>8000</v>
      </c>
      <c r="K33" s="27">
        <v>8000</v>
      </c>
      <c r="L33" s="27">
        <v>8000</v>
      </c>
      <c r="M33" s="27">
        <v>8000</v>
      </c>
      <c r="N33" s="27"/>
      <c r="O33" s="27"/>
      <c r="P33" s="27"/>
      <c r="Q33" s="27"/>
      <c r="R33" s="27"/>
      <c r="S33" s="27"/>
      <c r="T33" s="27"/>
      <c r="U33" s="27"/>
      <c r="V33" s="27"/>
      <c r="W33" s="27"/>
      <c r="X33" s="11"/>
      <c r="Y33" s="11"/>
      <c r="Z33" s="11"/>
      <c r="AA33" s="11"/>
      <c r="AB33" s="11"/>
    </row>
    <row r="34" spans="1:28" x14ac:dyDescent="0.35">
      <c r="A34" s="3">
        <v>30</v>
      </c>
      <c r="B34" s="3" t="s">
        <v>244</v>
      </c>
      <c r="C34" s="3" t="s">
        <v>304</v>
      </c>
      <c r="D34" s="27">
        <v>4750</v>
      </c>
      <c r="E34" s="27">
        <v>4750</v>
      </c>
      <c r="F34" s="27">
        <v>4750</v>
      </c>
      <c r="G34" s="27">
        <v>4750</v>
      </c>
      <c r="H34" s="27">
        <v>4750</v>
      </c>
      <c r="I34" s="27">
        <v>4750</v>
      </c>
      <c r="J34" s="27">
        <v>4750</v>
      </c>
      <c r="K34" s="27">
        <v>4750</v>
      </c>
      <c r="L34" s="27">
        <v>4750</v>
      </c>
      <c r="M34" s="27">
        <v>4750</v>
      </c>
      <c r="N34" s="27"/>
      <c r="O34" s="27"/>
      <c r="P34" s="27"/>
      <c r="Q34" s="27"/>
      <c r="R34" s="27"/>
      <c r="S34" s="27"/>
      <c r="T34" s="27"/>
      <c r="U34" s="27"/>
      <c r="V34" s="27"/>
      <c r="W34" s="27"/>
      <c r="X34" s="11"/>
      <c r="Y34" s="11"/>
      <c r="Z34" s="11"/>
      <c r="AA34" s="11"/>
      <c r="AB34" s="11"/>
    </row>
    <row r="35" spans="1:28" x14ac:dyDescent="0.35">
      <c r="A35" s="3">
        <v>31</v>
      </c>
      <c r="B35" s="3" t="s">
        <v>249</v>
      </c>
      <c r="C35" s="3" t="s">
        <v>304</v>
      </c>
      <c r="D35" s="27">
        <v>58000</v>
      </c>
      <c r="E35" s="27">
        <v>58000</v>
      </c>
      <c r="F35" s="27">
        <v>58000</v>
      </c>
      <c r="G35" s="27">
        <v>58000</v>
      </c>
      <c r="H35" s="27">
        <v>58000</v>
      </c>
      <c r="I35" s="27">
        <v>58000</v>
      </c>
      <c r="J35" s="27">
        <v>58000</v>
      </c>
      <c r="K35" s="27">
        <v>58000</v>
      </c>
      <c r="L35" s="27">
        <v>58000</v>
      </c>
      <c r="M35" s="27">
        <v>60000</v>
      </c>
      <c r="N35" s="27"/>
      <c r="O35" s="27"/>
      <c r="P35" s="27"/>
      <c r="Q35" s="27"/>
      <c r="R35" s="27"/>
      <c r="S35" s="27"/>
      <c r="T35" s="27"/>
      <c r="U35" s="27"/>
      <c r="V35" s="27"/>
      <c r="W35" s="27"/>
      <c r="X35" s="11"/>
      <c r="Y35" s="11"/>
      <c r="Z35" s="11"/>
      <c r="AA35" s="11"/>
      <c r="AB35" s="11"/>
    </row>
    <row r="36" spans="1:28" x14ac:dyDescent="0.35">
      <c r="A36" s="3">
        <v>32</v>
      </c>
      <c r="B36" s="3" t="s">
        <v>250</v>
      </c>
      <c r="C36" s="3" t="s">
        <v>304</v>
      </c>
      <c r="D36" s="27">
        <v>12000</v>
      </c>
      <c r="E36" s="27">
        <v>12000</v>
      </c>
      <c r="F36" s="27">
        <v>12000</v>
      </c>
      <c r="G36" s="27">
        <v>12000</v>
      </c>
      <c r="H36" s="27">
        <v>12000</v>
      </c>
      <c r="I36" s="27">
        <v>12000</v>
      </c>
      <c r="J36" s="27">
        <v>12000</v>
      </c>
      <c r="K36" s="27">
        <v>12000</v>
      </c>
      <c r="L36" s="27">
        <v>12000</v>
      </c>
      <c r="M36" s="27">
        <v>12000</v>
      </c>
      <c r="N36" s="27"/>
      <c r="O36" s="27"/>
      <c r="P36" s="27"/>
      <c r="Q36" s="27"/>
      <c r="R36" s="27"/>
      <c r="S36" s="27"/>
      <c r="T36" s="27"/>
      <c r="U36" s="27"/>
      <c r="V36" s="27"/>
      <c r="W36" s="27"/>
      <c r="X36" s="11"/>
      <c r="Y36" s="11"/>
      <c r="Z36" s="11"/>
      <c r="AA36" s="11"/>
      <c r="AB36" s="11"/>
    </row>
    <row r="37" spans="1:28" x14ac:dyDescent="0.35">
      <c r="A37" s="3">
        <v>33</v>
      </c>
      <c r="B37" s="3" t="s">
        <v>267</v>
      </c>
      <c r="C37" s="3" t="s">
        <v>304</v>
      </c>
      <c r="D37" s="27">
        <v>9000</v>
      </c>
      <c r="E37" s="27">
        <v>8000</v>
      </c>
      <c r="F37" s="27">
        <v>8000</v>
      </c>
      <c r="G37" s="27">
        <v>8000</v>
      </c>
      <c r="H37" s="27">
        <v>8000</v>
      </c>
      <c r="I37" s="27">
        <v>8000</v>
      </c>
      <c r="J37" s="27">
        <v>8000</v>
      </c>
      <c r="K37" s="27">
        <v>8000</v>
      </c>
      <c r="L37" s="27">
        <v>8000</v>
      </c>
      <c r="M37" s="27">
        <v>8000</v>
      </c>
      <c r="N37" s="27"/>
      <c r="O37" s="27"/>
      <c r="P37" s="27"/>
      <c r="Q37" s="27"/>
      <c r="R37" s="27"/>
      <c r="S37" s="27"/>
      <c r="T37" s="27"/>
      <c r="U37" s="27"/>
      <c r="V37" s="27"/>
      <c r="W37" s="27"/>
      <c r="X37" s="11"/>
      <c r="Y37" s="11"/>
      <c r="Z37" s="11"/>
      <c r="AA37" s="11"/>
      <c r="AB37" s="11"/>
    </row>
    <row r="38" spans="1:28" x14ac:dyDescent="0.35">
      <c r="A38" s="3">
        <v>34</v>
      </c>
      <c r="B38" s="3" t="s">
        <v>310</v>
      </c>
      <c r="C38" s="3" t="s">
        <v>304</v>
      </c>
      <c r="D38" s="27">
        <v>8000</v>
      </c>
      <c r="E38" s="27">
        <v>8000</v>
      </c>
      <c r="F38" s="27">
        <v>8000</v>
      </c>
      <c r="G38" s="27">
        <v>8000</v>
      </c>
      <c r="H38" s="27">
        <v>8000</v>
      </c>
      <c r="I38" s="27">
        <v>8000</v>
      </c>
      <c r="J38" s="27">
        <v>8000</v>
      </c>
      <c r="K38" s="27">
        <v>8000</v>
      </c>
      <c r="L38" s="27">
        <v>8000</v>
      </c>
      <c r="M38" s="27">
        <v>8000</v>
      </c>
      <c r="N38" s="27"/>
      <c r="O38" s="27"/>
      <c r="P38" s="27"/>
      <c r="Q38" s="27"/>
      <c r="R38" s="27"/>
      <c r="S38" s="27"/>
      <c r="T38" s="27"/>
      <c r="U38" s="27"/>
      <c r="V38" s="27"/>
      <c r="W38" s="27"/>
      <c r="X38" s="11"/>
      <c r="Y38" s="11"/>
      <c r="Z38" s="11"/>
      <c r="AA38" s="11"/>
      <c r="AB38" s="11"/>
    </row>
    <row r="39" spans="1:28" x14ac:dyDescent="0.35">
      <c r="A39" s="3">
        <v>35</v>
      </c>
      <c r="B39" s="3" t="s">
        <v>311</v>
      </c>
      <c r="C39" s="3" t="s">
        <v>304</v>
      </c>
      <c r="D39" s="27">
        <v>12000</v>
      </c>
      <c r="E39" s="27">
        <v>12000</v>
      </c>
      <c r="F39" s="27">
        <v>12000</v>
      </c>
      <c r="G39" s="27">
        <v>12000</v>
      </c>
      <c r="H39" s="27">
        <v>12000</v>
      </c>
      <c r="I39" s="27">
        <v>12000</v>
      </c>
      <c r="J39" s="27">
        <v>12000</v>
      </c>
      <c r="K39" s="27">
        <v>12000</v>
      </c>
      <c r="L39" s="27">
        <v>12000</v>
      </c>
      <c r="M39" s="27">
        <v>12000</v>
      </c>
      <c r="N39" s="27"/>
      <c r="O39" s="27"/>
      <c r="P39" s="27"/>
      <c r="Q39" s="27"/>
      <c r="R39" s="27"/>
      <c r="S39" s="27"/>
      <c r="T39" s="27"/>
      <c r="U39" s="27"/>
      <c r="V39" s="27"/>
      <c r="W39" s="27"/>
      <c r="X39" s="11"/>
      <c r="Y39" s="11"/>
      <c r="Z39" s="11"/>
      <c r="AA39" s="11"/>
      <c r="AB39" s="11"/>
    </row>
    <row r="40" spans="1:28" x14ac:dyDescent="0.35">
      <c r="A40" s="3">
        <v>36</v>
      </c>
      <c r="B40" s="3" t="s">
        <v>312</v>
      </c>
      <c r="C40" s="3" t="s">
        <v>304</v>
      </c>
      <c r="D40" s="27">
        <v>4000</v>
      </c>
      <c r="E40" s="27">
        <v>4000</v>
      </c>
      <c r="F40" s="27">
        <v>4000</v>
      </c>
      <c r="G40" s="27">
        <v>4000</v>
      </c>
      <c r="H40" s="27">
        <v>4000</v>
      </c>
      <c r="I40" s="27">
        <v>4000</v>
      </c>
      <c r="J40" s="27">
        <v>4000</v>
      </c>
      <c r="K40" s="27">
        <v>4000</v>
      </c>
      <c r="L40" s="27">
        <v>4000</v>
      </c>
      <c r="M40" s="27">
        <v>4000</v>
      </c>
      <c r="N40" s="27"/>
      <c r="O40" s="27"/>
      <c r="P40" s="27"/>
      <c r="Q40" s="27"/>
      <c r="R40" s="27"/>
      <c r="S40" s="27"/>
      <c r="T40" s="27"/>
      <c r="U40" s="27"/>
      <c r="V40" s="27"/>
      <c r="W40" s="27"/>
      <c r="X40" s="11"/>
      <c r="Y40" s="11"/>
      <c r="Z40" s="11"/>
      <c r="AA40" s="11"/>
      <c r="AB40" s="11"/>
    </row>
    <row r="41" spans="1:28" x14ac:dyDescent="0.35">
      <c r="A41" s="3">
        <v>37</v>
      </c>
      <c r="B41" s="3" t="s">
        <v>313</v>
      </c>
      <c r="C41" s="3" t="s">
        <v>304</v>
      </c>
      <c r="D41" s="27">
        <v>2000</v>
      </c>
      <c r="E41" s="27">
        <v>2000</v>
      </c>
      <c r="F41" s="27">
        <v>2000</v>
      </c>
      <c r="G41" s="27">
        <v>2000</v>
      </c>
      <c r="H41" s="27">
        <v>2000</v>
      </c>
      <c r="I41" s="27">
        <v>2000</v>
      </c>
      <c r="J41" s="27">
        <v>2000</v>
      </c>
      <c r="K41" s="27">
        <v>2000</v>
      </c>
      <c r="L41" s="27">
        <v>2000</v>
      </c>
      <c r="M41" s="27">
        <v>2000</v>
      </c>
      <c r="N41" s="27"/>
      <c r="O41" s="27"/>
      <c r="P41" s="27"/>
      <c r="Q41" s="27"/>
      <c r="R41" s="27"/>
      <c r="S41" s="27"/>
      <c r="T41" s="27"/>
      <c r="U41" s="27"/>
      <c r="V41" s="27"/>
      <c r="W41" s="27"/>
      <c r="X41" s="11"/>
      <c r="Y41" s="11"/>
      <c r="Z41" s="11"/>
      <c r="AA41" s="11"/>
      <c r="AB41" s="11"/>
    </row>
    <row r="42" spans="1:28" x14ac:dyDescent="0.35">
      <c r="A42" s="3">
        <v>38</v>
      </c>
      <c r="B42" s="3" t="s">
        <v>314</v>
      </c>
      <c r="C42" s="3" t="s">
        <v>304</v>
      </c>
      <c r="D42" s="27">
        <v>5000</v>
      </c>
      <c r="E42" s="27">
        <v>5000</v>
      </c>
      <c r="F42" s="27">
        <v>5000</v>
      </c>
      <c r="G42" s="27">
        <v>5000</v>
      </c>
      <c r="H42" s="27">
        <v>5000</v>
      </c>
      <c r="I42" s="27">
        <v>5000</v>
      </c>
      <c r="J42" s="27">
        <v>5000</v>
      </c>
      <c r="K42" s="27">
        <v>5000</v>
      </c>
      <c r="L42" s="27">
        <v>5000</v>
      </c>
      <c r="M42" s="27">
        <v>5000</v>
      </c>
      <c r="N42" s="27"/>
      <c r="O42" s="27"/>
      <c r="P42" s="27"/>
      <c r="Q42" s="27"/>
      <c r="R42" s="27"/>
      <c r="S42" s="27"/>
      <c r="T42" s="27"/>
      <c r="U42" s="27"/>
      <c r="V42" s="27"/>
      <c r="W42" s="27"/>
      <c r="X42" s="11"/>
      <c r="Y42" s="11"/>
      <c r="Z42" s="11"/>
      <c r="AA42" s="11"/>
      <c r="AB42" s="11"/>
    </row>
    <row r="43" spans="1:28" x14ac:dyDescent="0.35">
      <c r="A43" s="3">
        <v>39</v>
      </c>
      <c r="B43" s="3" t="s">
        <v>315</v>
      </c>
      <c r="C43" s="3" t="s">
        <v>304</v>
      </c>
      <c r="D43" s="27">
        <v>5000</v>
      </c>
      <c r="E43" s="27">
        <v>5000</v>
      </c>
      <c r="F43" s="27">
        <v>5000</v>
      </c>
      <c r="G43" s="27">
        <v>5000</v>
      </c>
      <c r="H43" s="27">
        <v>5000</v>
      </c>
      <c r="I43" s="27">
        <v>5000</v>
      </c>
      <c r="J43" s="27">
        <v>5000</v>
      </c>
      <c r="K43" s="27">
        <v>5000</v>
      </c>
      <c r="L43" s="27">
        <v>5000</v>
      </c>
      <c r="M43" s="27">
        <v>5000</v>
      </c>
      <c r="N43" s="27"/>
      <c r="O43" s="27"/>
      <c r="P43" s="27"/>
      <c r="Q43" s="27"/>
      <c r="R43" s="27"/>
      <c r="S43" s="27"/>
      <c r="T43" s="27"/>
      <c r="U43" s="27"/>
      <c r="V43" s="27"/>
      <c r="W43" s="27"/>
      <c r="X43" s="11"/>
      <c r="Y43" s="11"/>
      <c r="Z43" s="11"/>
      <c r="AA43" s="11"/>
      <c r="AB43" s="11"/>
    </row>
    <row r="44" spans="1:28" x14ac:dyDescent="0.35">
      <c r="A44" s="3">
        <v>40</v>
      </c>
      <c r="B44" s="3" t="s">
        <v>316</v>
      </c>
      <c r="C44" s="3" t="s">
        <v>304</v>
      </c>
      <c r="D44" s="27">
        <v>4000</v>
      </c>
      <c r="E44" s="27">
        <v>4000</v>
      </c>
      <c r="F44" s="27">
        <v>4000</v>
      </c>
      <c r="G44" s="27">
        <v>4000</v>
      </c>
      <c r="H44" s="27">
        <v>4000</v>
      </c>
      <c r="I44" s="27">
        <v>4000</v>
      </c>
      <c r="J44" s="27">
        <v>4000</v>
      </c>
      <c r="K44" s="27">
        <v>4000</v>
      </c>
      <c r="L44" s="27">
        <v>4000</v>
      </c>
      <c r="M44" s="27">
        <v>4000</v>
      </c>
      <c r="N44" s="27"/>
      <c r="O44" s="27"/>
      <c r="P44" s="27"/>
      <c r="Q44" s="27"/>
      <c r="R44" s="27"/>
      <c r="S44" s="27"/>
      <c r="T44" s="27"/>
      <c r="U44" s="27"/>
      <c r="V44" s="27"/>
      <c r="W44" s="27"/>
      <c r="X44" s="11"/>
      <c r="Y44" s="11"/>
      <c r="Z44" s="11"/>
      <c r="AA44" s="11"/>
      <c r="AB44" s="11"/>
    </row>
    <row r="45" spans="1:28" x14ac:dyDescent="0.35">
      <c r="A45" s="3">
        <v>41</v>
      </c>
      <c r="B45" s="3" t="s">
        <v>317</v>
      </c>
      <c r="C45" s="3" t="s">
        <v>304</v>
      </c>
      <c r="D45" s="27">
        <v>60000</v>
      </c>
      <c r="E45" s="27">
        <v>60000</v>
      </c>
      <c r="F45" s="27">
        <v>60000</v>
      </c>
      <c r="G45" s="27">
        <v>60000</v>
      </c>
      <c r="H45" s="27">
        <v>60000</v>
      </c>
      <c r="I45" s="27">
        <v>60000</v>
      </c>
      <c r="J45" s="27">
        <v>60000</v>
      </c>
      <c r="K45" s="27">
        <v>60000</v>
      </c>
      <c r="L45" s="27">
        <v>60000</v>
      </c>
      <c r="M45" s="27">
        <v>60000</v>
      </c>
      <c r="N45" s="27"/>
      <c r="O45" s="27"/>
      <c r="P45" s="27"/>
      <c r="Q45" s="27"/>
      <c r="R45" s="27"/>
      <c r="S45" s="27"/>
      <c r="T45" s="27"/>
      <c r="U45" s="27"/>
      <c r="V45" s="27"/>
      <c r="W45" s="27"/>
      <c r="X45" s="11"/>
      <c r="Y45" s="11"/>
      <c r="Z45" s="11"/>
      <c r="AA45" s="11"/>
      <c r="AB45" s="11"/>
    </row>
    <row r="46" spans="1:28" x14ac:dyDescent="0.35">
      <c r="A46" s="3">
        <v>42</v>
      </c>
      <c r="B46" s="3" t="s">
        <v>318</v>
      </c>
      <c r="C46" s="3" t="s">
        <v>304</v>
      </c>
      <c r="D46" s="27">
        <v>35000</v>
      </c>
      <c r="E46" s="27">
        <v>35000</v>
      </c>
      <c r="F46" s="27">
        <v>35000</v>
      </c>
      <c r="G46" s="27">
        <v>35000</v>
      </c>
      <c r="H46" s="27">
        <v>35000</v>
      </c>
      <c r="I46" s="27">
        <v>35000</v>
      </c>
      <c r="J46" s="27">
        <v>35000</v>
      </c>
      <c r="K46" s="27">
        <v>35000</v>
      </c>
      <c r="L46" s="27">
        <v>35000</v>
      </c>
      <c r="M46" s="27">
        <v>35000</v>
      </c>
      <c r="N46" s="27"/>
      <c r="O46" s="27"/>
      <c r="P46" s="27"/>
      <c r="Q46" s="27"/>
      <c r="R46" s="27"/>
      <c r="S46" s="27"/>
      <c r="T46" s="27"/>
      <c r="U46" s="27"/>
      <c r="V46" s="27"/>
      <c r="W46" s="27"/>
      <c r="X46" s="11"/>
      <c r="Y46" s="11"/>
      <c r="Z46" s="11"/>
      <c r="AA46" s="11"/>
      <c r="AB46" s="11"/>
    </row>
    <row r="47" spans="1:28" x14ac:dyDescent="0.35">
      <c r="A47" s="3">
        <v>43</v>
      </c>
      <c r="B47" s="3" t="s">
        <v>319</v>
      </c>
      <c r="C47" s="3" t="s">
        <v>304</v>
      </c>
      <c r="D47" s="27">
        <v>27000</v>
      </c>
      <c r="E47" s="27">
        <v>27000</v>
      </c>
      <c r="F47" s="27">
        <v>27000</v>
      </c>
      <c r="G47" s="27">
        <v>27000</v>
      </c>
      <c r="H47" s="27">
        <v>27000</v>
      </c>
      <c r="I47" s="27">
        <v>27000</v>
      </c>
      <c r="J47" s="27">
        <v>27000</v>
      </c>
      <c r="K47" s="27">
        <v>27000</v>
      </c>
      <c r="L47" s="27">
        <v>27000</v>
      </c>
      <c r="M47" s="27">
        <v>27000</v>
      </c>
      <c r="N47" s="27"/>
      <c r="O47" s="27"/>
      <c r="P47" s="27"/>
      <c r="Q47" s="27"/>
      <c r="R47" s="27"/>
      <c r="S47" s="27"/>
      <c r="T47" s="27"/>
      <c r="U47" s="27"/>
      <c r="V47" s="27"/>
      <c r="W47" s="27"/>
      <c r="X47" s="11"/>
      <c r="Y47" s="11"/>
      <c r="Z47" s="11"/>
      <c r="AA47" s="11"/>
      <c r="AB47" s="11"/>
    </row>
    <row r="48" spans="1:28" x14ac:dyDescent="0.35">
      <c r="A48" s="3">
        <v>44</v>
      </c>
      <c r="B48" s="3" t="s">
        <v>320</v>
      </c>
      <c r="C48" s="3" t="s">
        <v>304</v>
      </c>
      <c r="D48" s="27">
        <v>14000</v>
      </c>
      <c r="E48" s="27">
        <v>14000</v>
      </c>
      <c r="F48" s="27">
        <v>14000</v>
      </c>
      <c r="G48" s="27">
        <v>14000</v>
      </c>
      <c r="H48" s="27">
        <v>14000</v>
      </c>
      <c r="I48" s="27">
        <v>14000</v>
      </c>
      <c r="J48" s="27">
        <v>14000</v>
      </c>
      <c r="K48" s="27">
        <v>14000</v>
      </c>
      <c r="L48" s="27">
        <v>14000</v>
      </c>
      <c r="M48" s="27">
        <v>14000</v>
      </c>
      <c r="N48" s="27"/>
      <c r="O48" s="27"/>
      <c r="P48" s="27"/>
      <c r="Q48" s="27"/>
      <c r="R48" s="27"/>
      <c r="S48" s="27"/>
      <c r="T48" s="27"/>
      <c r="U48" s="27"/>
      <c r="V48" s="27"/>
      <c r="W48" s="27"/>
      <c r="X48" s="11"/>
      <c r="Y48" s="11"/>
      <c r="Z48" s="11"/>
      <c r="AA48" s="11"/>
      <c r="AB48" s="11"/>
    </row>
  </sheetData>
  <mergeCells count="1">
    <mergeCell ref="A1:A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Ringkasan Mingguan 2026</vt:lpstr>
      <vt:lpstr>Perhitungan IPH Mingguan 2026</vt:lpstr>
      <vt:lpstr>Top 5 Andil per Minggu 2026</vt:lpstr>
      <vt:lpstr>Saran ke Pemkab</vt:lpstr>
      <vt:lpstr>Pemetaan Variant</vt:lpstr>
      <vt:lpstr>P0Q0 Dasar 2022</vt:lpstr>
      <vt:lpstr>Data Des 2025</vt:lpstr>
      <vt:lpstr>Data Jan 2026</vt:lpstr>
      <vt:lpstr>Data Feb 2026</vt:lpstr>
      <vt:lpstr>Data Mar 2026</vt:lpstr>
      <vt:lpstr>Data Apr 2025</vt:lpstr>
      <vt:lpstr>Data Mei 2026</vt:lpstr>
      <vt:lpstr>Data Jun 2026</vt:lpstr>
      <vt:lpstr>Data Jul 2026</vt:lpstr>
      <vt:lpstr>DATAAGUSTUS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Devi Andriani</cp:lastModifiedBy>
  <cp:revision>1</cp:revision>
  <dcterms:created xsi:type="dcterms:W3CDTF">2026-08-05T18:31:53Z</dcterms:created>
  <dcterms:modified xsi:type="dcterms:W3CDTF">2026-08-18T09:19:08Z</dcterms:modified>
  <dc:language>en-US</dc:language>
</cp:coreProperties>
</file>